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16536" windowHeight="6036" firstSheet="16" activeTab="16"/>
  </bookViews>
  <sheets>
    <sheet name="AGEN BAOMEKOT" sheetId="5" r:id="rId1"/>
    <sheet name="AGEN SIKU EHA" sheetId="28" r:id="rId2"/>
    <sheet name="AGEN HABIBOLA" sheetId="32" r:id="rId3"/>
    <sheet name="AGEN WATUBLAPI" sheetId="37" r:id="rId4"/>
    <sheet name="2024" sheetId="12" r:id="rId5"/>
    <sheet name="2025" sheetId="48" r:id="rId6"/>
    <sheet name="JAN" sheetId="49" r:id="rId7"/>
    <sheet name="FEB" sheetId="50" r:id="rId8"/>
    <sheet name="MARET" sheetId="51" r:id="rId9"/>
    <sheet name="APRIL" sheetId="52" r:id="rId10"/>
    <sheet name="MEI" sheetId="53" r:id="rId11"/>
    <sheet name="JUNI" sheetId="55" r:id="rId12"/>
    <sheet name="JULI" sheetId="56" r:id="rId13"/>
    <sheet name="AGUST" sheetId="57" r:id="rId14"/>
    <sheet name="TAHUNAN" sheetId="25" r:id="rId15"/>
    <sheet name="2026" sheetId="24" r:id="rId16"/>
    <sheet name="SEPT" sheetId="35" r:id="rId17"/>
    <sheet name="TABEL INPUT" sheetId="41" r:id="rId18"/>
    <sheet name="KIOS" sheetId="30" r:id="rId19"/>
    <sheet name="RHUMAH" sheetId="58" r:id="rId20"/>
    <sheet name="REHAB RUMAH" sheetId="44" r:id="rId21"/>
    <sheet name="PESTA RIKI" sheetId="54" r:id="rId22"/>
    <sheet name="ESTIMASI PENGELUARAN BULANAN" sheetId="34" r:id="rId23"/>
    <sheet name="HITUNG GAJI REGULER KARYAWAN" sheetId="38" r:id="rId24"/>
    <sheet name="Sheet1" sheetId="40" r:id="rId25"/>
    <sheet name="Sheet2" sheetId="45" r:id="rId26"/>
    <sheet name="Sheet4" sheetId="59" r:id="rId27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1" i="35"/>
  <c r="C628"/>
  <c r="C626"/>
  <c r="C624"/>
  <c r="C622"/>
  <c r="C620"/>
  <c r="C618"/>
  <c r="C614"/>
  <c r="C611"/>
  <c r="C610"/>
  <c r="C608"/>
  <c r="C606"/>
  <c r="C601"/>
  <c r="C599"/>
  <c r="C597"/>
  <c r="C595"/>
  <c r="C593"/>
  <c r="C591"/>
  <c r="C589"/>
  <c r="C587"/>
  <c r="C585"/>
  <c r="C583"/>
  <c r="C581"/>
  <c r="C579"/>
  <c r="C577"/>
  <c r="C575"/>
  <c r="C573"/>
  <c r="C571"/>
  <c r="C569"/>
  <c r="C567"/>
  <c r="C565"/>
  <c r="C563"/>
  <c r="C561"/>
  <c r="C559"/>
  <c r="C557"/>
  <c r="C555"/>
  <c r="C553"/>
  <c r="C551"/>
  <c r="C549"/>
  <c r="C547"/>
  <c r="C545"/>
  <c r="C543"/>
  <c r="C541"/>
  <c r="C539"/>
  <c r="C537"/>
  <c r="C535"/>
  <c r="C533"/>
  <c r="C529"/>
  <c r="C527"/>
  <c r="C525"/>
  <c r="C523"/>
  <c r="C521"/>
  <c r="C519"/>
  <c r="C517"/>
  <c r="C515"/>
  <c r="C513"/>
  <c r="C511"/>
  <c r="C504"/>
  <c r="C502"/>
  <c r="C500"/>
  <c r="C498"/>
  <c r="C496"/>
  <c r="C494"/>
  <c r="C492"/>
  <c r="C490"/>
  <c r="C486"/>
  <c r="C484"/>
  <c r="C482"/>
  <c r="C480"/>
  <c r="C478"/>
  <c r="C474"/>
  <c r="C471"/>
  <c r="C469"/>
  <c r="C467"/>
  <c r="C463"/>
  <c r="C461"/>
  <c r="C459"/>
  <c r="C457"/>
  <c r="C455"/>
  <c r="C453"/>
  <c r="C451"/>
  <c r="C447"/>
  <c r="C445"/>
  <c r="C442"/>
  <c r="C439"/>
  <c r="C436"/>
  <c r="C433"/>
  <c r="C430"/>
  <c r="C423"/>
  <c r="C414"/>
  <c r="C412"/>
  <c r="C410"/>
  <c r="C408"/>
  <c r="C406"/>
  <c r="C404"/>
  <c r="B169" i="24" s="1"/>
  <c r="B170" s="1"/>
  <c r="B169" i="25" s="1"/>
  <c r="B170" s="1"/>
  <c r="C402" i="35"/>
  <c r="C400"/>
  <c r="B165" i="24" s="1"/>
  <c r="B166" s="1"/>
  <c r="B165" i="25" s="1"/>
  <c r="B166" s="1"/>
  <c r="C398" i="35"/>
  <c r="C396"/>
  <c r="B161" i="24" s="1"/>
  <c r="B162" s="1"/>
  <c r="B161" i="25" s="1"/>
  <c r="B162" s="1"/>
  <c r="C394" i="35"/>
  <c r="C392"/>
  <c r="B157" i="24" s="1"/>
  <c r="C389" i="35"/>
  <c r="C386"/>
  <c r="C384"/>
  <c r="C382"/>
  <c r="C380"/>
  <c r="C378"/>
  <c r="C376"/>
  <c r="C374"/>
  <c r="C372"/>
  <c r="C370"/>
  <c r="B135" i="24" s="1"/>
  <c r="B136" s="1"/>
  <c r="B135" i="25" s="1"/>
  <c r="B136" s="1"/>
  <c r="C368" i="35"/>
  <c r="B133" i="24" s="1"/>
  <c r="B134" s="1"/>
  <c r="B133" i="25" s="1"/>
  <c r="B134" s="1"/>
  <c r="C366" i="35"/>
  <c r="C364"/>
  <c r="C361"/>
  <c r="B126" i="24" s="1"/>
  <c r="B127" s="1"/>
  <c r="B126" i="25" s="1"/>
  <c r="B127" s="1"/>
  <c r="C356" i="35"/>
  <c r="C354"/>
  <c r="C352"/>
  <c r="C350"/>
  <c r="C348"/>
  <c r="C346"/>
  <c r="C344"/>
  <c r="C342"/>
  <c r="C340"/>
  <c r="C338"/>
  <c r="C336"/>
  <c r="C328"/>
  <c r="C326"/>
  <c r="C324"/>
  <c r="C322"/>
  <c r="C320"/>
  <c r="C318"/>
  <c r="C316"/>
  <c r="C314"/>
  <c r="C312"/>
  <c r="C310"/>
  <c r="C308"/>
  <c r="C300"/>
  <c r="C298"/>
  <c r="C296"/>
  <c r="C294"/>
  <c r="C292"/>
  <c r="C290"/>
  <c r="C288"/>
  <c r="C286"/>
  <c r="C284"/>
  <c r="C282"/>
  <c r="C280"/>
  <c r="C272"/>
  <c r="C270"/>
  <c r="C268"/>
  <c r="C266"/>
  <c r="C264"/>
  <c r="C262"/>
  <c r="C260"/>
  <c r="C258"/>
  <c r="C256"/>
  <c r="C254"/>
  <c r="C252"/>
  <c r="C216"/>
  <c r="C210"/>
  <c r="B175" i="24"/>
  <c r="B176" s="1"/>
  <c r="B175" i="25" s="1"/>
  <c r="B176" s="1"/>
  <c r="B143" i="24"/>
  <c r="B144" s="1"/>
  <c r="B143" i="25" s="1"/>
  <c r="B144" s="1"/>
  <c r="B131" i="24"/>
  <c r="B132" s="1"/>
  <c r="B131" i="25" s="1"/>
  <c r="B132" s="1"/>
  <c r="B154" i="24"/>
  <c r="B155" s="1"/>
  <c r="B154" i="25" s="1"/>
  <c r="B155" s="1"/>
  <c r="B141" i="24"/>
  <c r="B142" s="1"/>
  <c r="B141" i="25" s="1"/>
  <c r="B142" s="1"/>
  <c r="B137" i="24"/>
  <c r="B138" s="1"/>
  <c r="B137" i="25" s="1"/>
  <c r="B138" s="1"/>
  <c r="B129" i="24"/>
  <c r="B173"/>
  <c r="B174" s="1"/>
  <c r="B173" i="25" s="1"/>
  <c r="B174" s="1"/>
  <c r="B171" i="24"/>
  <c r="B172" s="1"/>
  <c r="B171" i="25" s="1"/>
  <c r="B172" s="1"/>
  <c r="B167" i="24"/>
  <c r="B168" s="1"/>
  <c r="B167" i="25" s="1"/>
  <c r="B168" s="1"/>
  <c r="B163" i="24"/>
  <c r="B164" s="1"/>
  <c r="B163" i="25" s="1"/>
  <c r="B164" s="1"/>
  <c r="B145" i="24"/>
  <c r="B146" s="1"/>
  <c r="B145" i="25" s="1"/>
  <c r="B146" s="1"/>
  <c r="B147" i="24"/>
  <c r="B148" s="1"/>
  <c r="B147" i="25" s="1"/>
  <c r="B148" s="1"/>
  <c r="B139" i="24"/>
  <c r="B140" s="1"/>
  <c r="B139" i="25" s="1"/>
  <c r="B140" s="1"/>
  <c r="B273"/>
  <c r="B345" i="24"/>
  <c r="B346" s="1"/>
  <c r="B344" i="25" s="1"/>
  <c r="B345" s="1"/>
  <c r="C112" i="35"/>
  <c r="C98"/>
  <c r="C97"/>
  <c r="C96"/>
  <c r="C95"/>
  <c r="C94"/>
  <c r="C90"/>
  <c r="C627"/>
  <c r="C625"/>
  <c r="C623"/>
  <c r="C621"/>
  <c r="C619"/>
  <c r="C613"/>
  <c r="C607"/>
  <c r="C605"/>
  <c r="C596"/>
  <c r="C594"/>
  <c r="C592"/>
  <c r="C590"/>
  <c r="C588"/>
  <c r="C586"/>
  <c r="C584"/>
  <c r="C582"/>
  <c r="C580"/>
  <c r="C578"/>
  <c r="C574"/>
  <c r="C572"/>
  <c r="C570"/>
  <c r="C568"/>
  <c r="C566"/>
  <c r="C564"/>
  <c r="C562"/>
  <c r="C560"/>
  <c r="C558"/>
  <c r="C556"/>
  <c r="C554"/>
  <c r="C552"/>
  <c r="C550"/>
  <c r="C548"/>
  <c r="C546"/>
  <c r="C544"/>
  <c r="C542"/>
  <c r="C540"/>
  <c r="C538"/>
  <c r="C536"/>
  <c r="C534"/>
  <c r="C532"/>
  <c r="C526"/>
  <c r="C524"/>
  <c r="C522"/>
  <c r="C520"/>
  <c r="C518"/>
  <c r="C516"/>
  <c r="C514"/>
  <c r="C512"/>
  <c r="C501"/>
  <c r="C499"/>
  <c r="C497"/>
  <c r="C495"/>
  <c r="C493"/>
  <c r="C491"/>
  <c r="C489"/>
  <c r="C483"/>
  <c r="C481"/>
  <c r="C477"/>
  <c r="C479"/>
  <c r="BG83" i="58"/>
  <c r="BF83"/>
  <c r="BE83"/>
  <c r="BG82"/>
  <c r="BG81"/>
  <c r="BG64"/>
  <c r="BG31"/>
  <c r="BG32"/>
  <c r="BG33"/>
  <c r="BG34"/>
  <c r="BG35"/>
  <c r="BG36"/>
  <c r="BG37"/>
  <c r="BG38"/>
  <c r="BG39"/>
  <c r="BG40"/>
  <c r="BG41"/>
  <c r="BG42"/>
  <c r="BG43"/>
  <c r="BG44"/>
  <c r="BG45"/>
  <c r="BG46"/>
  <c r="BG47"/>
  <c r="BG48"/>
  <c r="BG49"/>
  <c r="BG50"/>
  <c r="BG51"/>
  <c r="BG52"/>
  <c r="BG53"/>
  <c r="BG54"/>
  <c r="BG55"/>
  <c r="BG56"/>
  <c r="BG57"/>
  <c r="BG58"/>
  <c r="BG59"/>
  <c r="BG60"/>
  <c r="BG61"/>
  <c r="BG62"/>
  <c r="BG63"/>
  <c r="BG30"/>
  <c r="BF74"/>
  <c r="BF73"/>
  <c r="BF71"/>
  <c r="BF72"/>
  <c r="BF69"/>
  <c r="BF70"/>
  <c r="BE21"/>
  <c r="BD21"/>
  <c r="BF15"/>
  <c r="BG15"/>
  <c r="BH15"/>
  <c r="BI15"/>
  <c r="BH9"/>
  <c r="BG9"/>
  <c r="BF9"/>
  <c r="AV191"/>
  <c r="C226" i="35" s="1"/>
  <c r="AU191" i="58"/>
  <c r="C225" i="35" s="1"/>
  <c r="AR191" i="58"/>
  <c r="C245" i="35" s="1"/>
  <c r="AQ191" i="58"/>
  <c r="C244" i="35" s="1"/>
  <c r="AN191" i="58"/>
  <c r="AI191"/>
  <c r="AD191"/>
  <c r="Y191"/>
  <c r="T191"/>
  <c r="O191"/>
  <c r="J191"/>
  <c r="D191"/>
  <c r="AY188"/>
  <c r="C473" i="35" s="1"/>
  <c r="BA109" i="58"/>
  <c r="BD108"/>
  <c r="BC108"/>
  <c r="BB83"/>
  <c r="BA83"/>
  <c r="BC82"/>
  <c r="BC81"/>
  <c r="BA26"/>
  <c r="C506" i="35" s="1"/>
  <c r="C507" s="1"/>
  <c r="BC21" i="58"/>
  <c r="BB21"/>
  <c r="BA21"/>
  <c r="BE15"/>
  <c r="BD15"/>
  <c r="BC15"/>
  <c r="BB15"/>
  <c r="BA15"/>
  <c r="BJ15" s="1"/>
  <c r="BE9"/>
  <c r="BD9"/>
  <c r="BC9"/>
  <c r="BB9"/>
  <c r="BA9"/>
  <c r="AM5"/>
  <c r="AM6" s="1"/>
  <c r="AM7" s="1"/>
  <c r="AM8" s="1"/>
  <c r="AM9" s="1"/>
  <c r="AM10" s="1"/>
  <c r="AM11" s="1"/>
  <c r="AM12" s="1"/>
  <c r="AM13" s="1"/>
  <c r="AM14" s="1"/>
  <c r="AM15" s="1"/>
  <c r="AM16" s="1"/>
  <c r="AM17" s="1"/>
  <c r="AM18" s="1"/>
  <c r="AM19" s="1"/>
  <c r="AM20" s="1"/>
  <c r="AM21" s="1"/>
  <c r="AM22" s="1"/>
  <c r="AM23" s="1"/>
  <c r="AM24" s="1"/>
  <c r="AM25" s="1"/>
  <c r="AM26" s="1"/>
  <c r="AM27" s="1"/>
  <c r="AM28" s="1"/>
  <c r="AM29" s="1"/>
  <c r="AM30" s="1"/>
  <c r="AM31" s="1"/>
  <c r="AM32" s="1"/>
  <c r="AM33" s="1"/>
  <c r="AM34" s="1"/>
  <c r="AM35" s="1"/>
  <c r="AM36" s="1"/>
  <c r="AM37" s="1"/>
  <c r="AM38" s="1"/>
  <c r="AM39" s="1"/>
  <c r="AM40" s="1"/>
  <c r="AM41" s="1"/>
  <c r="AM42" s="1"/>
  <c r="AM43" s="1"/>
  <c r="AM44" s="1"/>
  <c r="AM45" s="1"/>
  <c r="AM46" s="1"/>
  <c r="AM47" s="1"/>
  <c r="AM48" s="1"/>
  <c r="AM49" s="1"/>
  <c r="AM50" s="1"/>
  <c r="AM51" s="1"/>
  <c r="AM52" s="1"/>
  <c r="AM53" s="1"/>
  <c r="AM54" s="1"/>
  <c r="AM55" s="1"/>
  <c r="AM56" s="1"/>
  <c r="AM57" s="1"/>
  <c r="AM58" s="1"/>
  <c r="AM59" s="1"/>
  <c r="AM60" s="1"/>
  <c r="AM61" s="1"/>
  <c r="AM62" s="1"/>
  <c r="AM63" s="1"/>
  <c r="AM64" s="1"/>
  <c r="AM65" s="1"/>
  <c r="AM66" s="1"/>
  <c r="AM67" s="1"/>
  <c r="AM68" s="1"/>
  <c r="AM69" s="1"/>
  <c r="AM70" s="1"/>
  <c r="AM71" s="1"/>
  <c r="AM72" s="1"/>
  <c r="AM73" s="1"/>
  <c r="AM74" s="1"/>
  <c r="AM75" s="1"/>
  <c r="AM76" s="1"/>
  <c r="AM77" s="1"/>
  <c r="AM78" s="1"/>
  <c r="AM79" s="1"/>
  <c r="AM80" s="1"/>
  <c r="AM81" s="1"/>
  <c r="AM82" s="1"/>
  <c r="AM83" s="1"/>
  <c r="AM84" s="1"/>
  <c r="AM85" s="1"/>
  <c r="AM86" s="1"/>
  <c r="AM87" s="1"/>
  <c r="AM88" s="1"/>
  <c r="AM89" s="1"/>
  <c r="AM90" s="1"/>
  <c r="AM91" s="1"/>
  <c r="AM92" s="1"/>
  <c r="AM93" s="1"/>
  <c r="AM94" s="1"/>
  <c r="AM95" s="1"/>
  <c r="AM96" s="1"/>
  <c r="AM97" s="1"/>
  <c r="AM98" s="1"/>
  <c r="AM99" s="1"/>
  <c r="AM100" s="1"/>
  <c r="AM101" s="1"/>
  <c r="AM102" s="1"/>
  <c r="AM103" s="1"/>
  <c r="AM104" s="1"/>
  <c r="AM105" s="1"/>
  <c r="AM106" s="1"/>
  <c r="AM107" s="1"/>
  <c r="AM108" s="1"/>
  <c r="AM109" s="1"/>
  <c r="AM110" s="1"/>
  <c r="AM111" s="1"/>
  <c r="AM112" s="1"/>
  <c r="AM113" s="1"/>
  <c r="AM114" s="1"/>
  <c r="AM115" s="1"/>
  <c r="AM116" s="1"/>
  <c r="AM117" s="1"/>
  <c r="AM118" s="1"/>
  <c r="AM119" s="1"/>
  <c r="AM120" s="1"/>
  <c r="AM121" s="1"/>
  <c r="AM122" s="1"/>
  <c r="AM123" s="1"/>
  <c r="AM124" s="1"/>
  <c r="AM125" s="1"/>
  <c r="AM126" s="1"/>
  <c r="AM127" s="1"/>
  <c r="AM128" s="1"/>
  <c r="AM129" s="1"/>
  <c r="AM130" s="1"/>
  <c r="AM131" s="1"/>
  <c r="AM132" s="1"/>
  <c r="AM133" s="1"/>
  <c r="AM134" s="1"/>
  <c r="AM135" s="1"/>
  <c r="AM136" s="1"/>
  <c r="AM137" s="1"/>
  <c r="AM138" s="1"/>
  <c r="AM139" s="1"/>
  <c r="AM140" s="1"/>
  <c r="AM141" s="1"/>
  <c r="AM142" s="1"/>
  <c r="AM143" s="1"/>
  <c r="AM144" s="1"/>
  <c r="AM145" s="1"/>
  <c r="AM146" s="1"/>
  <c r="AM147" s="1"/>
  <c r="AM148" s="1"/>
  <c r="AM149" s="1"/>
  <c r="AM150" s="1"/>
  <c r="AM151" s="1"/>
  <c r="AM152" s="1"/>
  <c r="AM153" s="1"/>
  <c r="AM154" s="1"/>
  <c r="AM155" s="1"/>
  <c r="AM156" s="1"/>
  <c r="AM157" s="1"/>
  <c r="AM158" s="1"/>
  <c r="AM159" s="1"/>
  <c r="AM160" s="1"/>
  <c r="AM161" s="1"/>
  <c r="AM162" s="1"/>
  <c r="AM163" s="1"/>
  <c r="AM164" s="1"/>
  <c r="AM165" s="1"/>
  <c r="AM166" s="1"/>
  <c r="AM167" s="1"/>
  <c r="AM168" s="1"/>
  <c r="AM169" s="1"/>
  <c r="AM170" s="1"/>
  <c r="AM171" s="1"/>
  <c r="AM172" s="1"/>
  <c r="AM173" s="1"/>
  <c r="AM174" s="1"/>
  <c r="AM175" s="1"/>
  <c r="AM176" s="1"/>
  <c r="AM177" s="1"/>
  <c r="AM178" s="1"/>
  <c r="AM179" s="1"/>
  <c r="AM180" s="1"/>
  <c r="AM181" s="1"/>
  <c r="AM182" s="1"/>
  <c r="AM183" s="1"/>
  <c r="AM184" s="1"/>
  <c r="AM185" s="1"/>
  <c r="AM186" s="1"/>
  <c r="AM187" s="1"/>
  <c r="AM188" s="1"/>
  <c r="AM189" s="1"/>
  <c r="AM190" s="1"/>
  <c r="AH5"/>
  <c r="AH6" s="1"/>
  <c r="AH7" s="1"/>
  <c r="AH8" s="1"/>
  <c r="AH9" s="1"/>
  <c r="AH10" s="1"/>
  <c r="AH11" s="1"/>
  <c r="AH12" s="1"/>
  <c r="AH13" s="1"/>
  <c r="AH14" s="1"/>
  <c r="AH15" s="1"/>
  <c r="AH16" s="1"/>
  <c r="AH17" s="1"/>
  <c r="AH18" s="1"/>
  <c r="AH19" s="1"/>
  <c r="AH20" s="1"/>
  <c r="AH21" s="1"/>
  <c r="AH22" s="1"/>
  <c r="AH23" s="1"/>
  <c r="AH24" s="1"/>
  <c r="AH25" s="1"/>
  <c r="AH26" s="1"/>
  <c r="AH27" s="1"/>
  <c r="AH28" s="1"/>
  <c r="AH29" s="1"/>
  <c r="AH30" s="1"/>
  <c r="AH31" s="1"/>
  <c r="AH32" s="1"/>
  <c r="AH33" s="1"/>
  <c r="AH34" s="1"/>
  <c r="AH35" s="1"/>
  <c r="AH36" s="1"/>
  <c r="AH37" s="1"/>
  <c r="AH38" s="1"/>
  <c r="AH39" s="1"/>
  <c r="AH40" s="1"/>
  <c r="AH41" s="1"/>
  <c r="AH42" s="1"/>
  <c r="AH43" s="1"/>
  <c r="AH44" s="1"/>
  <c r="AH45" s="1"/>
  <c r="AH46" s="1"/>
  <c r="AH47" s="1"/>
  <c r="AH48" s="1"/>
  <c r="AH49" s="1"/>
  <c r="AH50" s="1"/>
  <c r="AH51" s="1"/>
  <c r="AH52" s="1"/>
  <c r="AH53" s="1"/>
  <c r="AH54" s="1"/>
  <c r="AH55" s="1"/>
  <c r="AH56" s="1"/>
  <c r="AH57" s="1"/>
  <c r="AH58" s="1"/>
  <c r="AH59" s="1"/>
  <c r="AH60" s="1"/>
  <c r="AH61" s="1"/>
  <c r="AH62" s="1"/>
  <c r="AH63" s="1"/>
  <c r="AH64" s="1"/>
  <c r="AH65" s="1"/>
  <c r="AH66" s="1"/>
  <c r="AH67" s="1"/>
  <c r="AH68" s="1"/>
  <c r="AH69" s="1"/>
  <c r="AH70" s="1"/>
  <c r="AH71" s="1"/>
  <c r="AH72" s="1"/>
  <c r="AH73" s="1"/>
  <c r="AH74" s="1"/>
  <c r="AH75" s="1"/>
  <c r="AH76" s="1"/>
  <c r="AH77" s="1"/>
  <c r="AH78" s="1"/>
  <c r="AH79" s="1"/>
  <c r="AH80" s="1"/>
  <c r="AH81" s="1"/>
  <c r="AH82" s="1"/>
  <c r="AH83" s="1"/>
  <c r="AH84" s="1"/>
  <c r="AH85" s="1"/>
  <c r="AH86" s="1"/>
  <c r="AH87" s="1"/>
  <c r="AH88" s="1"/>
  <c r="AH89" s="1"/>
  <c r="AH90" s="1"/>
  <c r="AH91" s="1"/>
  <c r="AH92" s="1"/>
  <c r="AH93" s="1"/>
  <c r="AH94" s="1"/>
  <c r="AH95" s="1"/>
  <c r="AH96" s="1"/>
  <c r="AH97" s="1"/>
  <c r="AH98" s="1"/>
  <c r="AH99" s="1"/>
  <c r="AH100" s="1"/>
  <c r="AH101" s="1"/>
  <c r="AH102" s="1"/>
  <c r="AH103" s="1"/>
  <c r="AH104" s="1"/>
  <c r="AH105" s="1"/>
  <c r="AH106" s="1"/>
  <c r="AH107" s="1"/>
  <c r="AH108" s="1"/>
  <c r="AH109" s="1"/>
  <c r="AH110" s="1"/>
  <c r="AH111" s="1"/>
  <c r="AH112" s="1"/>
  <c r="AH113" s="1"/>
  <c r="AH114" s="1"/>
  <c r="AH115" s="1"/>
  <c r="AH116" s="1"/>
  <c r="AH117" s="1"/>
  <c r="AH118" s="1"/>
  <c r="AH119" s="1"/>
  <c r="AH120" s="1"/>
  <c r="AH121" s="1"/>
  <c r="AH122" s="1"/>
  <c r="AH123" s="1"/>
  <c r="AH124" s="1"/>
  <c r="AH125" s="1"/>
  <c r="AH126" s="1"/>
  <c r="AH127" s="1"/>
  <c r="AH128" s="1"/>
  <c r="AH129" s="1"/>
  <c r="AH130" s="1"/>
  <c r="AH131" s="1"/>
  <c r="AH132" s="1"/>
  <c r="AH133" s="1"/>
  <c r="AH134" s="1"/>
  <c r="AH135" s="1"/>
  <c r="AH136" s="1"/>
  <c r="AH137" s="1"/>
  <c r="AH138" s="1"/>
  <c r="AH139" s="1"/>
  <c r="AH140" s="1"/>
  <c r="AH141" s="1"/>
  <c r="AH142" s="1"/>
  <c r="AH143" s="1"/>
  <c r="AH144" s="1"/>
  <c r="AH145" s="1"/>
  <c r="AH146" s="1"/>
  <c r="AH147" s="1"/>
  <c r="AH148" s="1"/>
  <c r="AH149" s="1"/>
  <c r="AH150" s="1"/>
  <c r="AH151" s="1"/>
  <c r="AH152" s="1"/>
  <c r="AH153" s="1"/>
  <c r="AH154" s="1"/>
  <c r="AH155" s="1"/>
  <c r="AH156" s="1"/>
  <c r="AH157" s="1"/>
  <c r="AH158" s="1"/>
  <c r="AH159" s="1"/>
  <c r="AH160" s="1"/>
  <c r="AH161" s="1"/>
  <c r="AH162" s="1"/>
  <c r="AH163" s="1"/>
  <c r="AH164" s="1"/>
  <c r="AH165" s="1"/>
  <c r="AH166" s="1"/>
  <c r="AH167" s="1"/>
  <c r="AH168" s="1"/>
  <c r="AH169" s="1"/>
  <c r="AH170" s="1"/>
  <c r="AH171" s="1"/>
  <c r="AH172" s="1"/>
  <c r="AH173" s="1"/>
  <c r="AH174" s="1"/>
  <c r="AH175" s="1"/>
  <c r="AH176" s="1"/>
  <c r="AH177" s="1"/>
  <c r="AH178" s="1"/>
  <c r="AH179" s="1"/>
  <c r="AH180" s="1"/>
  <c r="AH181" s="1"/>
  <c r="AH182" s="1"/>
  <c r="AH183" s="1"/>
  <c r="AH184" s="1"/>
  <c r="AH185" s="1"/>
  <c r="AH186" s="1"/>
  <c r="AH187" s="1"/>
  <c r="AH188" s="1"/>
  <c r="AH189" s="1"/>
  <c r="AH190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C37" s="1"/>
  <c r="AC38" s="1"/>
  <c r="AC39" s="1"/>
  <c r="AC40" s="1"/>
  <c r="AC41" s="1"/>
  <c r="AC42" s="1"/>
  <c r="AC43" s="1"/>
  <c r="AC44" s="1"/>
  <c r="AC45" s="1"/>
  <c r="AC46" s="1"/>
  <c r="AC47" s="1"/>
  <c r="AC48" s="1"/>
  <c r="AC49" s="1"/>
  <c r="AC50" s="1"/>
  <c r="AC51" s="1"/>
  <c r="AC52" s="1"/>
  <c r="AC53" s="1"/>
  <c r="AC54" s="1"/>
  <c r="AC55" s="1"/>
  <c r="AC56" s="1"/>
  <c r="AC57" s="1"/>
  <c r="AC58" s="1"/>
  <c r="AC59" s="1"/>
  <c r="AC60" s="1"/>
  <c r="AC61" s="1"/>
  <c r="AC62" s="1"/>
  <c r="AC63" s="1"/>
  <c r="AC64" s="1"/>
  <c r="AC65" s="1"/>
  <c r="AC66" s="1"/>
  <c r="AC67" s="1"/>
  <c r="AC68" s="1"/>
  <c r="AC69" s="1"/>
  <c r="AC70" s="1"/>
  <c r="AC71" s="1"/>
  <c r="AC72" s="1"/>
  <c r="AC73" s="1"/>
  <c r="AC74" s="1"/>
  <c r="AC75" s="1"/>
  <c r="AC76" s="1"/>
  <c r="AC77" s="1"/>
  <c r="AC78" s="1"/>
  <c r="AC79" s="1"/>
  <c r="AC80" s="1"/>
  <c r="AC81" s="1"/>
  <c r="AC82" s="1"/>
  <c r="AC83" s="1"/>
  <c r="AC84" s="1"/>
  <c r="AC85" s="1"/>
  <c r="AC86" s="1"/>
  <c r="AC87" s="1"/>
  <c r="AC88" s="1"/>
  <c r="AC89" s="1"/>
  <c r="AC90" s="1"/>
  <c r="AC91" s="1"/>
  <c r="AC92" s="1"/>
  <c r="AC93" s="1"/>
  <c r="AC94" s="1"/>
  <c r="AC95" s="1"/>
  <c r="AC96" s="1"/>
  <c r="AC97" s="1"/>
  <c r="AC98" s="1"/>
  <c r="AC99" s="1"/>
  <c r="AC100" s="1"/>
  <c r="AC101" s="1"/>
  <c r="AC102" s="1"/>
  <c r="AC103" s="1"/>
  <c r="AC104" s="1"/>
  <c r="AC105" s="1"/>
  <c r="AC106" s="1"/>
  <c r="AC107" s="1"/>
  <c r="AC108" s="1"/>
  <c r="AC109" s="1"/>
  <c r="AC110" s="1"/>
  <c r="AC111" s="1"/>
  <c r="AC112" s="1"/>
  <c r="AC113" s="1"/>
  <c r="AC114" s="1"/>
  <c r="AC115" s="1"/>
  <c r="AC116" s="1"/>
  <c r="AC117" s="1"/>
  <c r="AC118" s="1"/>
  <c r="AC119" s="1"/>
  <c r="AC120" s="1"/>
  <c r="AC121" s="1"/>
  <c r="AC122" s="1"/>
  <c r="AC123" s="1"/>
  <c r="AC124" s="1"/>
  <c r="AC125" s="1"/>
  <c r="AC126" s="1"/>
  <c r="AC127" s="1"/>
  <c r="AC128" s="1"/>
  <c r="AC129" s="1"/>
  <c r="AC130" s="1"/>
  <c r="AC131" s="1"/>
  <c r="AC132" s="1"/>
  <c r="AC133" s="1"/>
  <c r="AC134" s="1"/>
  <c r="AC135" s="1"/>
  <c r="AC136" s="1"/>
  <c r="AC137" s="1"/>
  <c r="AC138" s="1"/>
  <c r="AC139" s="1"/>
  <c r="AC140" s="1"/>
  <c r="AC141" s="1"/>
  <c r="AC142" s="1"/>
  <c r="AC143" s="1"/>
  <c r="AC144" s="1"/>
  <c r="AC145" s="1"/>
  <c r="AC146" s="1"/>
  <c r="AC147" s="1"/>
  <c r="AC148" s="1"/>
  <c r="AC149" s="1"/>
  <c r="AC150" s="1"/>
  <c r="AC151" s="1"/>
  <c r="AC152" s="1"/>
  <c r="AC153" s="1"/>
  <c r="AC154" s="1"/>
  <c r="AC155" s="1"/>
  <c r="AC156" s="1"/>
  <c r="AC157" s="1"/>
  <c r="AC158" s="1"/>
  <c r="AC159" s="1"/>
  <c r="AC160" s="1"/>
  <c r="AC161" s="1"/>
  <c r="AC162" s="1"/>
  <c r="AC163" s="1"/>
  <c r="AC164" s="1"/>
  <c r="AC165" s="1"/>
  <c r="AC166" s="1"/>
  <c r="AC167" s="1"/>
  <c r="AC168" s="1"/>
  <c r="AC169" s="1"/>
  <c r="AC170" s="1"/>
  <c r="AC171" s="1"/>
  <c r="AC172" s="1"/>
  <c r="AC173" s="1"/>
  <c r="AC174" s="1"/>
  <c r="AC175" s="1"/>
  <c r="AC176" s="1"/>
  <c r="AC177" s="1"/>
  <c r="AC178" s="1"/>
  <c r="AC179" s="1"/>
  <c r="AC180" s="1"/>
  <c r="AC181" s="1"/>
  <c r="AC182" s="1"/>
  <c r="AC183" s="1"/>
  <c r="AC184" s="1"/>
  <c r="AC185" s="1"/>
  <c r="AC186" s="1"/>
  <c r="AC187" s="1"/>
  <c r="AC188" s="1"/>
  <c r="AC189" s="1"/>
  <c r="AC190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X80" s="1"/>
  <c r="X81" s="1"/>
  <c r="X82" s="1"/>
  <c r="X83" s="1"/>
  <c r="X84" s="1"/>
  <c r="X85" s="1"/>
  <c r="X86" s="1"/>
  <c r="X87" s="1"/>
  <c r="X88" s="1"/>
  <c r="X89" s="1"/>
  <c r="X90" s="1"/>
  <c r="X91" s="1"/>
  <c r="X92" s="1"/>
  <c r="X93" s="1"/>
  <c r="X94" s="1"/>
  <c r="X95" s="1"/>
  <c r="X96" s="1"/>
  <c r="X97" s="1"/>
  <c r="X98" s="1"/>
  <c r="X99" s="1"/>
  <c r="X100" s="1"/>
  <c r="X101" s="1"/>
  <c r="X102" s="1"/>
  <c r="X103" s="1"/>
  <c r="X104" s="1"/>
  <c r="X105" s="1"/>
  <c r="X106" s="1"/>
  <c r="X107" s="1"/>
  <c r="X108" s="1"/>
  <c r="X109" s="1"/>
  <c r="X110" s="1"/>
  <c r="X111" s="1"/>
  <c r="X112" s="1"/>
  <c r="X113" s="1"/>
  <c r="X114" s="1"/>
  <c r="X115" s="1"/>
  <c r="X116" s="1"/>
  <c r="X117" s="1"/>
  <c r="X118" s="1"/>
  <c r="X119" s="1"/>
  <c r="X120" s="1"/>
  <c r="X121" s="1"/>
  <c r="X122" s="1"/>
  <c r="X123" s="1"/>
  <c r="X124" s="1"/>
  <c r="X125" s="1"/>
  <c r="X126" s="1"/>
  <c r="X127" s="1"/>
  <c r="X128" s="1"/>
  <c r="X129" s="1"/>
  <c r="X130" s="1"/>
  <c r="X131" s="1"/>
  <c r="X132" s="1"/>
  <c r="X133" s="1"/>
  <c r="X134" s="1"/>
  <c r="X135" s="1"/>
  <c r="X136" s="1"/>
  <c r="X137" s="1"/>
  <c r="X138" s="1"/>
  <c r="X139" s="1"/>
  <c r="X140" s="1"/>
  <c r="X141" s="1"/>
  <c r="X142" s="1"/>
  <c r="X143" s="1"/>
  <c r="X144" s="1"/>
  <c r="X145" s="1"/>
  <c r="X146" s="1"/>
  <c r="X147" s="1"/>
  <c r="X148" s="1"/>
  <c r="X149" s="1"/>
  <c r="X150" s="1"/>
  <c r="X151" s="1"/>
  <c r="X152" s="1"/>
  <c r="X153" s="1"/>
  <c r="X154" s="1"/>
  <c r="X155" s="1"/>
  <c r="X156" s="1"/>
  <c r="X157" s="1"/>
  <c r="X158" s="1"/>
  <c r="X159" s="1"/>
  <c r="X160" s="1"/>
  <c r="X161" s="1"/>
  <c r="X162" s="1"/>
  <c r="X163" s="1"/>
  <c r="X164" s="1"/>
  <c r="X165" s="1"/>
  <c r="X166" s="1"/>
  <c r="X167" s="1"/>
  <c r="X168" s="1"/>
  <c r="X169" s="1"/>
  <c r="X170" s="1"/>
  <c r="X171" s="1"/>
  <c r="X172" s="1"/>
  <c r="X173" s="1"/>
  <c r="X174" s="1"/>
  <c r="X175" s="1"/>
  <c r="X176" s="1"/>
  <c r="X177" s="1"/>
  <c r="X178" s="1"/>
  <c r="X179" s="1"/>
  <c r="X180" s="1"/>
  <c r="X181" s="1"/>
  <c r="X182" s="1"/>
  <c r="X183" s="1"/>
  <c r="X184" s="1"/>
  <c r="X185" s="1"/>
  <c r="X186" s="1"/>
  <c r="X187" s="1"/>
  <c r="X188" s="1"/>
  <c r="X189" s="1"/>
  <c r="X190" s="1"/>
  <c r="S5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S35" s="1"/>
  <c r="S36" s="1"/>
  <c r="S37" s="1"/>
  <c r="S38" s="1"/>
  <c r="S39" s="1"/>
  <c r="S40" s="1"/>
  <c r="S41" s="1"/>
  <c r="S42" s="1"/>
  <c r="S43" s="1"/>
  <c r="S44" s="1"/>
  <c r="S45" s="1"/>
  <c r="S46" s="1"/>
  <c r="S47" s="1"/>
  <c r="S48" s="1"/>
  <c r="S49" s="1"/>
  <c r="S50" s="1"/>
  <c r="S51" s="1"/>
  <c r="S52" s="1"/>
  <c r="S53" s="1"/>
  <c r="S54" s="1"/>
  <c r="S55" s="1"/>
  <c r="S56" s="1"/>
  <c r="S57" s="1"/>
  <c r="S58" s="1"/>
  <c r="S59" s="1"/>
  <c r="S60" s="1"/>
  <c r="S61" s="1"/>
  <c r="S62" s="1"/>
  <c r="S63" s="1"/>
  <c r="S64" s="1"/>
  <c r="S65" s="1"/>
  <c r="S66" s="1"/>
  <c r="S67" s="1"/>
  <c r="S68" s="1"/>
  <c r="S69" s="1"/>
  <c r="S70" s="1"/>
  <c r="S71" s="1"/>
  <c r="S72" s="1"/>
  <c r="S73" s="1"/>
  <c r="S74" s="1"/>
  <c r="S75" s="1"/>
  <c r="S76" s="1"/>
  <c r="S77" s="1"/>
  <c r="S78" s="1"/>
  <c r="S79" s="1"/>
  <c r="S80" s="1"/>
  <c r="S81" s="1"/>
  <c r="S82" s="1"/>
  <c r="S83" s="1"/>
  <c r="S84" s="1"/>
  <c r="S85" s="1"/>
  <c r="S86" s="1"/>
  <c r="S87" s="1"/>
  <c r="S88" s="1"/>
  <c r="S89" s="1"/>
  <c r="S90" s="1"/>
  <c r="S91" s="1"/>
  <c r="S92" s="1"/>
  <c r="S93" s="1"/>
  <c r="S94" s="1"/>
  <c r="S95" s="1"/>
  <c r="S96" s="1"/>
  <c r="S97" s="1"/>
  <c r="S98" s="1"/>
  <c r="S99" s="1"/>
  <c r="S100" s="1"/>
  <c r="S101" s="1"/>
  <c r="S102" s="1"/>
  <c r="S103" s="1"/>
  <c r="S104" s="1"/>
  <c r="S105" s="1"/>
  <c r="S106" s="1"/>
  <c r="S107" s="1"/>
  <c r="S108" s="1"/>
  <c r="S109" s="1"/>
  <c r="S110" s="1"/>
  <c r="S111" s="1"/>
  <c r="S112" s="1"/>
  <c r="S113" s="1"/>
  <c r="S114" s="1"/>
  <c r="S115" s="1"/>
  <c r="S116" s="1"/>
  <c r="S117" s="1"/>
  <c r="S118" s="1"/>
  <c r="S119" s="1"/>
  <c r="S120" s="1"/>
  <c r="S121" s="1"/>
  <c r="S122" s="1"/>
  <c r="S123" s="1"/>
  <c r="S124" s="1"/>
  <c r="S125" s="1"/>
  <c r="S126" s="1"/>
  <c r="S127" s="1"/>
  <c r="S128" s="1"/>
  <c r="S129" s="1"/>
  <c r="S130" s="1"/>
  <c r="S131" s="1"/>
  <c r="S132" s="1"/>
  <c r="S133" s="1"/>
  <c r="S134" s="1"/>
  <c r="S135" s="1"/>
  <c r="S136" s="1"/>
  <c r="S137" s="1"/>
  <c r="S138" s="1"/>
  <c r="S139" s="1"/>
  <c r="S140" s="1"/>
  <c r="S141" s="1"/>
  <c r="S142" s="1"/>
  <c r="S143" s="1"/>
  <c r="S144" s="1"/>
  <c r="S145" s="1"/>
  <c r="S146" s="1"/>
  <c r="S147" s="1"/>
  <c r="S148" s="1"/>
  <c r="S149" s="1"/>
  <c r="S150" s="1"/>
  <c r="S151" s="1"/>
  <c r="S152" s="1"/>
  <c r="S153" s="1"/>
  <c r="S154" s="1"/>
  <c r="S155" s="1"/>
  <c r="S156" s="1"/>
  <c r="S157" s="1"/>
  <c r="S158" s="1"/>
  <c r="S159" s="1"/>
  <c r="S160" s="1"/>
  <c r="S161" s="1"/>
  <c r="S162" s="1"/>
  <c r="S163" s="1"/>
  <c r="S164" s="1"/>
  <c r="S165" s="1"/>
  <c r="S166" s="1"/>
  <c r="S167" s="1"/>
  <c r="S168" s="1"/>
  <c r="S169" s="1"/>
  <c r="S170" s="1"/>
  <c r="S171" s="1"/>
  <c r="S172" s="1"/>
  <c r="S173" s="1"/>
  <c r="S174" s="1"/>
  <c r="S175" s="1"/>
  <c r="S176" s="1"/>
  <c r="S177" s="1"/>
  <c r="S178" s="1"/>
  <c r="S179" s="1"/>
  <c r="S180" s="1"/>
  <c r="S181" s="1"/>
  <c r="S182" s="1"/>
  <c r="S183" s="1"/>
  <c r="S184" s="1"/>
  <c r="S185" s="1"/>
  <c r="S186" s="1"/>
  <c r="S187" s="1"/>
  <c r="S188" s="1"/>
  <c r="S189" s="1"/>
  <c r="S190" s="1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I5"/>
  <c r="I6" s="1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185" s="1"/>
  <c r="I186" s="1"/>
  <c r="I187" s="1"/>
  <c r="I188" s="1"/>
  <c r="I189" s="1"/>
  <c r="I190" s="1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56" i="35"/>
  <c r="C411"/>
  <c r="C383"/>
  <c r="C116"/>
  <c r="C47"/>
  <c r="C46"/>
  <c r="C45"/>
  <c r="C72"/>
  <c r="H15" i="54"/>
  <c r="C466" i="35" s="1"/>
  <c r="E4" i="54"/>
  <c r="E5"/>
  <c r="E6"/>
  <c r="E7"/>
  <c r="E8"/>
  <c r="E9"/>
  <c r="E10"/>
  <c r="E11"/>
  <c r="E12"/>
  <c r="E13"/>
  <c r="E14"/>
  <c r="E3"/>
  <c r="B246" i="24" l="1"/>
  <c r="B247" s="1"/>
  <c r="B245" i="25" s="1"/>
  <c r="B246" s="1"/>
  <c r="B331" i="24"/>
  <c r="B332" s="1"/>
  <c r="B330" i="25" s="1"/>
  <c r="B331" s="1"/>
  <c r="B365" i="24"/>
  <c r="B366" s="1"/>
  <c r="B364" i="25" s="1"/>
  <c r="B365" s="1"/>
  <c r="C615" i="35"/>
  <c r="B343" i="24"/>
  <c r="B344" s="1"/>
  <c r="B342" i="25" s="1"/>
  <c r="B343" s="1"/>
  <c r="B335" i="24"/>
  <c r="B336" s="1"/>
  <c r="B334" i="25" s="1"/>
  <c r="B335" s="1"/>
  <c r="B327" i="24"/>
  <c r="B328" s="1"/>
  <c r="B326" i="25" s="1"/>
  <c r="B327" s="1"/>
  <c r="B301" i="24"/>
  <c r="B302" s="1"/>
  <c r="B300" i="25" s="1"/>
  <c r="B301" s="1"/>
  <c r="B273" i="24"/>
  <c r="B274" s="1"/>
  <c r="B270" i="25" s="1"/>
  <c r="B271" s="1"/>
  <c r="B287" i="24"/>
  <c r="B288" s="1"/>
  <c r="B286" i="25" s="1"/>
  <c r="B287" s="1"/>
  <c r="B303" i="24"/>
  <c r="B304" s="1"/>
  <c r="B302" i="25" s="1"/>
  <c r="B303" s="1"/>
  <c r="B269" i="24"/>
  <c r="B270" s="1"/>
  <c r="B266" i="25" s="1"/>
  <c r="B267" s="1"/>
  <c r="B289" i="24"/>
  <c r="B290" s="1"/>
  <c r="B288" i="25" s="1"/>
  <c r="B289" s="1"/>
  <c r="B305" i="24"/>
  <c r="B306" s="1"/>
  <c r="B304" i="25" s="1"/>
  <c r="B305" s="1"/>
  <c r="B329" i="24"/>
  <c r="B330" s="1"/>
  <c r="B328" i="25" s="1"/>
  <c r="B329" s="1"/>
  <c r="B285" i="24"/>
  <c r="B286" s="1"/>
  <c r="B284" i="25" s="1"/>
  <c r="B285" s="1"/>
  <c r="B325" i="24"/>
  <c r="B326" s="1"/>
  <c r="B324" i="25" s="1"/>
  <c r="B325" s="1"/>
  <c r="B333" i="24"/>
  <c r="B334" s="1"/>
  <c r="B332" i="25" s="1"/>
  <c r="B333" s="1"/>
  <c r="B363" i="24"/>
  <c r="B364" s="1"/>
  <c r="B362" i="25" s="1"/>
  <c r="B363" s="1"/>
  <c r="BB190" i="58"/>
  <c r="C510" i="35"/>
  <c r="B367" i="24"/>
  <c r="B368" s="1"/>
  <c r="B366" i="25" s="1"/>
  <c r="B367" s="1"/>
  <c r="B341" i="24"/>
  <c r="B342" s="1"/>
  <c r="B340" i="25" s="1"/>
  <c r="B341" s="1"/>
  <c r="B339" i="24"/>
  <c r="B340" s="1"/>
  <c r="B338" i="25" s="1"/>
  <c r="B339" s="1"/>
  <c r="B337" i="24"/>
  <c r="B338" s="1"/>
  <c r="B336" i="25" s="1"/>
  <c r="B337" s="1"/>
  <c r="B271" i="24"/>
  <c r="B272" s="1"/>
  <c r="B268" i="25" s="1"/>
  <c r="B269" s="1"/>
  <c r="B244" i="24"/>
  <c r="B245" s="1"/>
  <c r="B243" i="25" s="1"/>
  <c r="B244" s="1"/>
  <c r="B228" i="24"/>
  <c r="B229" s="1"/>
  <c r="B227" i="25" s="1"/>
  <c r="B228" s="1"/>
  <c r="B159" i="24"/>
  <c r="B160" s="1"/>
  <c r="B159" i="25" s="1"/>
  <c r="B160" s="1"/>
  <c r="B353" i="24"/>
  <c r="B354" s="1"/>
  <c r="B352" i="25" s="1"/>
  <c r="B353" s="1"/>
  <c r="B149" i="24"/>
  <c r="B150" s="1"/>
  <c r="B158"/>
  <c r="B157" i="25" s="1"/>
  <c r="B158" s="1"/>
  <c r="B130" i="24"/>
  <c r="B129" i="25" s="1"/>
  <c r="B149" s="1"/>
  <c r="B150" s="1"/>
  <c r="C600" i="35"/>
  <c r="C503"/>
  <c r="C485"/>
  <c r="BC83" i="58"/>
  <c r="C413" i="35"/>
  <c r="C385"/>
  <c r="B15" i="54"/>
  <c r="C468" i="35" s="1"/>
  <c r="B213" i="24"/>
  <c r="B214" s="1"/>
  <c r="AB368" i="53"/>
  <c r="C113" i="35"/>
  <c r="C8"/>
  <c r="C9"/>
  <c r="C22"/>
  <c r="C24"/>
  <c r="C25"/>
  <c r="C26"/>
  <c r="C27"/>
  <c r="C28"/>
  <c r="C29"/>
  <c r="C30"/>
  <c r="C43"/>
  <c r="C56"/>
  <c r="C58"/>
  <c r="C71"/>
  <c r="C83"/>
  <c r="C102"/>
  <c r="C103"/>
  <c r="C104"/>
  <c r="C105"/>
  <c r="C106"/>
  <c r="C640"/>
  <c r="C176"/>
  <c r="C200"/>
  <c r="C641" s="1"/>
  <c r="C220"/>
  <c r="C221"/>
  <c r="C234"/>
  <c r="C242"/>
  <c r="C269"/>
  <c r="C297"/>
  <c r="C325"/>
  <c r="C353"/>
  <c r="C428"/>
  <c r="C431"/>
  <c r="C437"/>
  <c r="C383" i="25"/>
  <c r="F488" i="52"/>
  <c r="F183"/>
  <c r="F186" s="1"/>
  <c r="F190" s="1"/>
  <c r="W12" i="5"/>
  <c r="Q33" i="41"/>
  <c r="Q34"/>
  <c r="Q35"/>
  <c r="Q36"/>
  <c r="Q37"/>
  <c r="Q38"/>
  <c r="Q32"/>
  <c r="O39"/>
  <c r="C416" i="35" s="1"/>
  <c r="C417" s="1"/>
  <c r="Y10" i="32"/>
  <c r="Y11"/>
  <c r="Y12"/>
  <c r="Y13"/>
  <c r="Y9"/>
  <c r="Z11" i="28"/>
  <c r="Z12"/>
  <c r="Z10"/>
  <c r="Z9"/>
  <c r="Z8"/>
  <c r="W11" i="5"/>
  <c r="W10"/>
  <c r="W9"/>
  <c r="W8"/>
  <c r="W12" i="37"/>
  <c r="W11"/>
  <c r="W10"/>
  <c r="W9"/>
  <c r="W8"/>
  <c r="F44" i="38"/>
  <c r="F41"/>
  <c r="E16" i="44"/>
  <c r="C458" i="35" s="1"/>
  <c r="C528" l="1"/>
  <c r="B177" i="24"/>
  <c r="B179" s="1"/>
  <c r="B180" s="1"/>
  <c r="B177" i="25"/>
  <c r="B178" s="1"/>
  <c r="B130"/>
  <c r="B151"/>
  <c r="B152" s="1"/>
  <c r="B178" i="24"/>
  <c r="B151"/>
  <c r="B152" s="1"/>
  <c r="B214" i="25"/>
  <c r="B215" s="1"/>
  <c r="B212"/>
  <c r="B213" s="1"/>
  <c r="C470" i="35"/>
  <c r="C19"/>
  <c r="C446"/>
  <c r="C31"/>
  <c r="B183" i="24"/>
  <c r="B184" s="1"/>
  <c r="B117"/>
  <c r="B118" s="1"/>
  <c r="B89"/>
  <c r="B90" s="1"/>
  <c r="B61"/>
  <c r="B62" s="1"/>
  <c r="B33"/>
  <c r="B34" s="1"/>
  <c r="B205"/>
  <c r="B206" s="1"/>
  <c r="M247" i="48"/>
  <c r="M245"/>
  <c r="L238"/>
  <c r="K238" s="1"/>
  <c r="J238" s="1"/>
  <c r="I238" s="1"/>
  <c r="H238" s="1"/>
  <c r="M121"/>
  <c r="M122" s="1"/>
  <c r="L121"/>
  <c r="I121"/>
  <c r="M118"/>
  <c r="L118"/>
  <c r="L124" s="1"/>
  <c r="K118"/>
  <c r="J118"/>
  <c r="I118"/>
  <c r="H118"/>
  <c r="M93"/>
  <c r="L93" s="1"/>
  <c r="K93" s="1"/>
  <c r="J93" s="1"/>
  <c r="I93" s="1"/>
  <c r="H93" s="1"/>
  <c r="H87"/>
  <c r="H88" s="1"/>
  <c r="H86"/>
  <c r="H84"/>
  <c r="H82"/>
  <c r="H80"/>
  <c r="H78"/>
  <c r="H76"/>
  <c r="H74"/>
  <c r="H72"/>
  <c r="H70"/>
  <c r="M67"/>
  <c r="L67" s="1"/>
  <c r="K67" s="1"/>
  <c r="J67" s="1"/>
  <c r="I67" s="1"/>
  <c r="H67" s="1"/>
  <c r="K61"/>
  <c r="K121" s="1"/>
  <c r="J61"/>
  <c r="J121" s="1"/>
  <c r="I61"/>
  <c r="I63" s="1"/>
  <c r="H61"/>
  <c r="H63" s="1"/>
  <c r="K60"/>
  <c r="J60" s="1"/>
  <c r="I60" s="1"/>
  <c r="H60" s="1"/>
  <c r="K58"/>
  <c r="J58" s="1"/>
  <c r="I58" s="1"/>
  <c r="H58" s="1"/>
  <c r="K56"/>
  <c r="J56" s="1"/>
  <c r="I56" s="1"/>
  <c r="H56" s="1"/>
  <c r="K54"/>
  <c r="J54" s="1"/>
  <c r="I54" s="1"/>
  <c r="H54" s="1"/>
  <c r="K52"/>
  <c r="J52" s="1"/>
  <c r="I52" s="1"/>
  <c r="H52" s="1"/>
  <c r="K50"/>
  <c r="J50" s="1"/>
  <c r="I50" s="1"/>
  <c r="H50" s="1"/>
  <c r="K48"/>
  <c r="J48" s="1"/>
  <c r="I48" s="1"/>
  <c r="H48" s="1"/>
  <c r="K46"/>
  <c r="J46" s="1"/>
  <c r="I46" s="1"/>
  <c r="H46" s="1"/>
  <c r="K44"/>
  <c r="J44" s="1"/>
  <c r="I44" s="1"/>
  <c r="H44" s="1"/>
  <c r="M41"/>
  <c r="L41"/>
  <c r="K41" s="1"/>
  <c r="J41" s="1"/>
  <c r="I41" s="1"/>
  <c r="H41" s="1"/>
  <c r="M37"/>
  <c r="M38" s="1"/>
  <c r="L37"/>
  <c r="K37"/>
  <c r="J37"/>
  <c r="I37"/>
  <c r="H37"/>
  <c r="M15"/>
  <c r="L15" s="1"/>
  <c r="K15" s="1"/>
  <c r="J15" s="1"/>
  <c r="I15" s="1"/>
  <c r="H15" s="1"/>
  <c r="D16" i="44"/>
  <c r="C456" i="35" s="1"/>
  <c r="C16" i="44"/>
  <c r="C454" i="35" s="1"/>
  <c r="B16" i="44"/>
  <c r="C452" i="35" s="1"/>
  <c r="A16" i="44"/>
  <c r="C450" i="35" s="1"/>
  <c r="O28" i="41"/>
  <c r="E37" i="38"/>
  <c r="F37"/>
  <c r="G37"/>
  <c r="H37"/>
  <c r="I37"/>
  <c r="J37"/>
  <c r="J49" s="1"/>
  <c r="C37"/>
  <c r="D37"/>
  <c r="B179" i="25" l="1"/>
  <c r="B180" s="1"/>
  <c r="B215" i="24"/>
  <c r="B216" s="1"/>
  <c r="C33" i="35"/>
  <c r="C462"/>
  <c r="L122" i="48"/>
  <c r="B182" i="25"/>
  <c r="B183" s="1"/>
  <c r="L38" i="48"/>
  <c r="K38" s="1"/>
  <c r="J38" s="1"/>
  <c r="I38" s="1"/>
  <c r="H38" s="1"/>
  <c r="L119"/>
  <c r="B204" i="25"/>
  <c r="B205" s="1"/>
  <c r="B89"/>
  <c r="B90" s="1"/>
  <c r="B61"/>
  <c r="B62" s="1"/>
  <c r="B117"/>
  <c r="B118" s="1"/>
  <c r="B33"/>
  <c r="B34" s="1"/>
  <c r="J63" i="48"/>
  <c r="J124"/>
  <c r="K119"/>
  <c r="J119" s="1"/>
  <c r="I119" s="1"/>
  <c r="H119" s="1"/>
  <c r="M248"/>
  <c r="I124"/>
  <c r="M124"/>
  <c r="M125" s="1"/>
  <c r="L125" s="1"/>
  <c r="K62"/>
  <c r="J62" s="1"/>
  <c r="I62" s="1"/>
  <c r="H62" s="1"/>
  <c r="K124"/>
  <c r="K122"/>
  <c r="J122" s="1"/>
  <c r="I122" s="1"/>
  <c r="H89"/>
  <c r="H90" s="1"/>
  <c r="H121"/>
  <c r="H124" s="1"/>
  <c r="K63"/>
  <c r="K64" s="1"/>
  <c r="B203" i="24"/>
  <c r="B204" s="1"/>
  <c r="B201"/>
  <c r="B202" s="1"/>
  <c r="B207"/>
  <c r="B208" s="1"/>
  <c r="B199"/>
  <c r="B200" s="1"/>
  <c r="I28" i="41"/>
  <c r="L39"/>
  <c r="I39"/>
  <c r="F39"/>
  <c r="C39"/>
  <c r="AP5" i="37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P36" s="1"/>
  <c r="AP37" s="1"/>
  <c r="AP38" s="1"/>
  <c r="AP39" s="1"/>
  <c r="AP40" s="1"/>
  <c r="AP41" s="1"/>
  <c r="AP42" s="1"/>
  <c r="AP43" s="1"/>
  <c r="AP44" s="1"/>
  <c r="AP45" s="1"/>
  <c r="AP46" s="1"/>
  <c r="AP47" s="1"/>
  <c r="AP48" s="1"/>
  <c r="AP49" s="1"/>
  <c r="AP50" s="1"/>
  <c r="AP51" s="1"/>
  <c r="AP52" s="1"/>
  <c r="AP53" s="1"/>
  <c r="AP54" s="1"/>
  <c r="AP55" s="1"/>
  <c r="AP56" s="1"/>
  <c r="AP57" s="1"/>
  <c r="AP58" s="1"/>
  <c r="AP59" s="1"/>
  <c r="AP60" s="1"/>
  <c r="AP61" s="1"/>
  <c r="AP62" s="1"/>
  <c r="AP63" s="1"/>
  <c r="AP64" s="1"/>
  <c r="AP65" s="1"/>
  <c r="AP66" s="1"/>
  <c r="AP67" s="1"/>
  <c r="AP68" s="1"/>
  <c r="AP69" s="1"/>
  <c r="AP70" s="1"/>
  <c r="AP71" s="1"/>
  <c r="AP72" s="1"/>
  <c r="AP73" s="1"/>
  <c r="AP74" s="1"/>
  <c r="AP75" s="1"/>
  <c r="AP76" s="1"/>
  <c r="AP77" s="1"/>
  <c r="AP78" s="1"/>
  <c r="AP79" s="1"/>
  <c r="AP80" s="1"/>
  <c r="AP81" s="1"/>
  <c r="AP82" s="1"/>
  <c r="AP83" s="1"/>
  <c r="AP84" s="1"/>
  <c r="AP85" s="1"/>
  <c r="AP86" s="1"/>
  <c r="AP87" s="1"/>
  <c r="AP88" s="1"/>
  <c r="AP89" s="1"/>
  <c r="AP90" s="1"/>
  <c r="AP91" s="1"/>
  <c r="AP92" s="1"/>
  <c r="AP93" s="1"/>
  <c r="AP94" s="1"/>
  <c r="AP95" s="1"/>
  <c r="AP96" s="1"/>
  <c r="AP97" s="1"/>
  <c r="AP98" s="1"/>
  <c r="AP99" s="1"/>
  <c r="AP100" s="1"/>
  <c r="AP101" s="1"/>
  <c r="AP102" s="1"/>
  <c r="AP103" s="1"/>
  <c r="AP104" s="1"/>
  <c r="AP105" s="1"/>
  <c r="AP106" s="1"/>
  <c r="AP107" s="1"/>
  <c r="AP108" s="1"/>
  <c r="AP109" s="1"/>
  <c r="AP110" s="1"/>
  <c r="AP111" s="1"/>
  <c r="AP112" s="1"/>
  <c r="AP113" s="1"/>
  <c r="AP114" s="1"/>
  <c r="AP115" s="1"/>
  <c r="AP116" s="1"/>
  <c r="AP117" s="1"/>
  <c r="AP118" s="1"/>
  <c r="AP119" s="1"/>
  <c r="AP120" s="1"/>
  <c r="AP121" s="1"/>
  <c r="AP122" s="1"/>
  <c r="AP123" s="1"/>
  <c r="AP124" s="1"/>
  <c r="AP125" s="1"/>
  <c r="AP126" s="1"/>
  <c r="AP127" s="1"/>
  <c r="AP128" s="1"/>
  <c r="AP129" s="1"/>
  <c r="AP130" s="1"/>
  <c r="AP131" s="1"/>
  <c r="AP132" s="1"/>
  <c r="AP133" s="1"/>
  <c r="AP134" s="1"/>
  <c r="AP135" s="1"/>
  <c r="AP136" s="1"/>
  <c r="AP137" s="1"/>
  <c r="AP138" s="1"/>
  <c r="AP139" s="1"/>
  <c r="AP140" s="1"/>
  <c r="AP141" s="1"/>
  <c r="AP142" s="1"/>
  <c r="AP143" s="1"/>
  <c r="AP144" s="1"/>
  <c r="AP145" s="1"/>
  <c r="AP146" s="1"/>
  <c r="AP147" s="1"/>
  <c r="AP148" s="1"/>
  <c r="AP149" s="1"/>
  <c r="AP150" s="1"/>
  <c r="AP151" s="1"/>
  <c r="AP152" s="1"/>
  <c r="AP153" s="1"/>
  <c r="AP154" s="1"/>
  <c r="AP155" s="1"/>
  <c r="AP156" s="1"/>
  <c r="AP157" s="1"/>
  <c r="AP158" s="1"/>
  <c r="AP159" s="1"/>
  <c r="AP160" s="1"/>
  <c r="AP161" s="1"/>
  <c r="AP162" s="1"/>
  <c r="AP163" s="1"/>
  <c r="AP164" s="1"/>
  <c r="AP165" s="1"/>
  <c r="AP166" s="1"/>
  <c r="AP167" s="1"/>
  <c r="AP168" s="1"/>
  <c r="AP169" s="1"/>
  <c r="AP170" s="1"/>
  <c r="AP171" s="1"/>
  <c r="AP172" s="1"/>
  <c r="AP173" s="1"/>
  <c r="AP174" s="1"/>
  <c r="AP175" s="1"/>
  <c r="AP176" s="1"/>
  <c r="AP177" s="1"/>
  <c r="AP178" s="1"/>
  <c r="AP179" s="1"/>
  <c r="AP180" s="1"/>
  <c r="AP181" s="1"/>
  <c r="AP182" s="1"/>
  <c r="AP183" s="1"/>
  <c r="AP184" s="1"/>
  <c r="AP185" s="1"/>
  <c r="AP186" s="1"/>
  <c r="AP187" s="1"/>
  <c r="AP188" s="1"/>
  <c r="AP189" s="1"/>
  <c r="AP190" s="1"/>
  <c r="C84" i="35" s="1"/>
  <c r="AG5" i="37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37" s="1"/>
  <c r="AG38" s="1"/>
  <c r="AG39" s="1"/>
  <c r="AG40" s="1"/>
  <c r="AG41" s="1"/>
  <c r="AG42" s="1"/>
  <c r="AG43" s="1"/>
  <c r="AG44" s="1"/>
  <c r="AG45" s="1"/>
  <c r="AG46" s="1"/>
  <c r="AG47" s="1"/>
  <c r="AG48" s="1"/>
  <c r="AG49" s="1"/>
  <c r="AG50" s="1"/>
  <c r="AG51" s="1"/>
  <c r="AG52" s="1"/>
  <c r="AG53" s="1"/>
  <c r="AG54" s="1"/>
  <c r="AG55" s="1"/>
  <c r="AG56" s="1"/>
  <c r="AG57" s="1"/>
  <c r="AG58" s="1"/>
  <c r="AG59" s="1"/>
  <c r="AG60" s="1"/>
  <c r="AG61" s="1"/>
  <c r="AG62" s="1"/>
  <c r="AG63" s="1"/>
  <c r="AG64" s="1"/>
  <c r="AG65" s="1"/>
  <c r="AG66" s="1"/>
  <c r="AG67" s="1"/>
  <c r="AG68" s="1"/>
  <c r="AG69" s="1"/>
  <c r="AG70" s="1"/>
  <c r="AG71" s="1"/>
  <c r="AG72" s="1"/>
  <c r="AG73" s="1"/>
  <c r="AG74" s="1"/>
  <c r="AG75" s="1"/>
  <c r="AG76" s="1"/>
  <c r="AG77" s="1"/>
  <c r="AG78" s="1"/>
  <c r="AG79" s="1"/>
  <c r="AG80" s="1"/>
  <c r="AG81" s="1"/>
  <c r="AG82" s="1"/>
  <c r="AG83" s="1"/>
  <c r="AG84" s="1"/>
  <c r="AG85" s="1"/>
  <c r="AG86" s="1"/>
  <c r="AG87" s="1"/>
  <c r="AG88" s="1"/>
  <c r="AG89" s="1"/>
  <c r="AG90" s="1"/>
  <c r="AG91" s="1"/>
  <c r="AG92" s="1"/>
  <c r="AG93" s="1"/>
  <c r="AG94" s="1"/>
  <c r="AG95" s="1"/>
  <c r="AG96" s="1"/>
  <c r="AG97" s="1"/>
  <c r="AG98" s="1"/>
  <c r="AG99" s="1"/>
  <c r="AG100" s="1"/>
  <c r="AG101" s="1"/>
  <c r="AG102" s="1"/>
  <c r="AG103" s="1"/>
  <c r="AG104" s="1"/>
  <c r="AG105" s="1"/>
  <c r="AG106" s="1"/>
  <c r="AG107" s="1"/>
  <c r="AG108" s="1"/>
  <c r="AG109" s="1"/>
  <c r="AG110" s="1"/>
  <c r="AG111" s="1"/>
  <c r="AG112" s="1"/>
  <c r="AG113" s="1"/>
  <c r="AG114" s="1"/>
  <c r="AG115" s="1"/>
  <c r="AG116" s="1"/>
  <c r="AG117" s="1"/>
  <c r="AG118" s="1"/>
  <c r="AG119" s="1"/>
  <c r="AG120" s="1"/>
  <c r="AG121" s="1"/>
  <c r="AG122" s="1"/>
  <c r="AG123" s="1"/>
  <c r="AG124" s="1"/>
  <c r="AG125" s="1"/>
  <c r="AG126" s="1"/>
  <c r="AG127" s="1"/>
  <c r="AG128" s="1"/>
  <c r="AG129" s="1"/>
  <c r="AG130" s="1"/>
  <c r="AG131" s="1"/>
  <c r="AG132" s="1"/>
  <c r="AG133" s="1"/>
  <c r="AG134" s="1"/>
  <c r="AG135" s="1"/>
  <c r="AG136" s="1"/>
  <c r="AG137" s="1"/>
  <c r="AG138" s="1"/>
  <c r="AG139" s="1"/>
  <c r="AG140" s="1"/>
  <c r="AG141" s="1"/>
  <c r="AG142" s="1"/>
  <c r="AG143" s="1"/>
  <c r="AG144" s="1"/>
  <c r="AG145" s="1"/>
  <c r="AG146" s="1"/>
  <c r="AG147" s="1"/>
  <c r="AG148" s="1"/>
  <c r="AG149" s="1"/>
  <c r="AG150" s="1"/>
  <c r="AG151" s="1"/>
  <c r="AG152" s="1"/>
  <c r="AG153" s="1"/>
  <c r="AG154" s="1"/>
  <c r="AG155" s="1"/>
  <c r="AG156" s="1"/>
  <c r="AG157" s="1"/>
  <c r="AG158" s="1"/>
  <c r="AG159" s="1"/>
  <c r="AG160" s="1"/>
  <c r="AG161" s="1"/>
  <c r="AG162" s="1"/>
  <c r="AG163" s="1"/>
  <c r="AG164" s="1"/>
  <c r="AG165" s="1"/>
  <c r="AG166" s="1"/>
  <c r="AG167" s="1"/>
  <c r="AG168" s="1"/>
  <c r="AG169" s="1"/>
  <c r="AG170" s="1"/>
  <c r="AG171" s="1"/>
  <c r="AG172" s="1"/>
  <c r="AG173" s="1"/>
  <c r="AG174" s="1"/>
  <c r="AG175" s="1"/>
  <c r="AG176" s="1"/>
  <c r="AG177" s="1"/>
  <c r="AG178" s="1"/>
  <c r="AG179" s="1"/>
  <c r="AG180" s="1"/>
  <c r="AG181" s="1"/>
  <c r="AG182" s="1"/>
  <c r="AG183" s="1"/>
  <c r="AG184" s="1"/>
  <c r="AG185" s="1"/>
  <c r="AG186" s="1"/>
  <c r="AG187" s="1"/>
  <c r="AG188" s="1"/>
  <c r="AG189" s="1"/>
  <c r="AG190" s="1"/>
  <c r="C82" i="35" s="1"/>
  <c r="AA5" i="37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A35" s="1"/>
  <c r="AA36" s="1"/>
  <c r="AA37" s="1"/>
  <c r="AA38" s="1"/>
  <c r="AA39" s="1"/>
  <c r="AA40" s="1"/>
  <c r="AA41" s="1"/>
  <c r="AA42" s="1"/>
  <c r="AA43" s="1"/>
  <c r="AA44" s="1"/>
  <c r="AA45" s="1"/>
  <c r="AA46" s="1"/>
  <c r="AA47" s="1"/>
  <c r="AA48" s="1"/>
  <c r="AA49" s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A62" s="1"/>
  <c r="AA63" s="1"/>
  <c r="AA64" s="1"/>
  <c r="AA65" s="1"/>
  <c r="AA66" s="1"/>
  <c r="AA67" s="1"/>
  <c r="AA68" s="1"/>
  <c r="AA69" s="1"/>
  <c r="AA70" s="1"/>
  <c r="AA71" s="1"/>
  <c r="AA72" s="1"/>
  <c r="AA73" s="1"/>
  <c r="AA74" s="1"/>
  <c r="AA75" s="1"/>
  <c r="AA76" s="1"/>
  <c r="AA77" s="1"/>
  <c r="AA78" s="1"/>
  <c r="AA79" s="1"/>
  <c r="AA80" s="1"/>
  <c r="AA81" s="1"/>
  <c r="AA82" s="1"/>
  <c r="AA83" s="1"/>
  <c r="AA84" s="1"/>
  <c r="AA85" s="1"/>
  <c r="AA86" s="1"/>
  <c r="AA87" s="1"/>
  <c r="AA88" s="1"/>
  <c r="AA89" s="1"/>
  <c r="AA90" s="1"/>
  <c r="AA91" s="1"/>
  <c r="AA92" s="1"/>
  <c r="AA93" s="1"/>
  <c r="AA94" s="1"/>
  <c r="AA95" s="1"/>
  <c r="AA96" s="1"/>
  <c r="AA97" s="1"/>
  <c r="AA98" s="1"/>
  <c r="AA99" s="1"/>
  <c r="AA100" s="1"/>
  <c r="AA101" s="1"/>
  <c r="AA102" s="1"/>
  <c r="AA103" s="1"/>
  <c r="AA104" s="1"/>
  <c r="AA105" s="1"/>
  <c r="AA106" s="1"/>
  <c r="AA107" s="1"/>
  <c r="AA108" s="1"/>
  <c r="AA109" s="1"/>
  <c r="AA110" s="1"/>
  <c r="AA111" s="1"/>
  <c r="AA112" s="1"/>
  <c r="AA113" s="1"/>
  <c r="AA114" s="1"/>
  <c r="AA115" s="1"/>
  <c r="AA116" s="1"/>
  <c r="AA117" s="1"/>
  <c r="AA118" s="1"/>
  <c r="AA119" s="1"/>
  <c r="AA120" s="1"/>
  <c r="AA121" s="1"/>
  <c r="AA122" s="1"/>
  <c r="AA123" s="1"/>
  <c r="AA124" s="1"/>
  <c r="AA125" s="1"/>
  <c r="AA126" s="1"/>
  <c r="AA127" s="1"/>
  <c r="AA128" s="1"/>
  <c r="AA129" s="1"/>
  <c r="AA130" s="1"/>
  <c r="AA131" s="1"/>
  <c r="AA132" s="1"/>
  <c r="AA133" s="1"/>
  <c r="AA134" s="1"/>
  <c r="AA135" s="1"/>
  <c r="AA136" s="1"/>
  <c r="AA137" s="1"/>
  <c r="AA138" s="1"/>
  <c r="AA139" s="1"/>
  <c r="AA140" s="1"/>
  <c r="AA141" s="1"/>
  <c r="AA142" s="1"/>
  <c r="AA143" s="1"/>
  <c r="AA144" s="1"/>
  <c r="AA145" s="1"/>
  <c r="AA146" s="1"/>
  <c r="AA147" s="1"/>
  <c r="AA148" s="1"/>
  <c r="AA149" s="1"/>
  <c r="AA150" s="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165" s="1"/>
  <c r="AA166" s="1"/>
  <c r="AA167" s="1"/>
  <c r="AA168" s="1"/>
  <c r="AA169" s="1"/>
  <c r="AA170" s="1"/>
  <c r="AA171" s="1"/>
  <c r="AA172" s="1"/>
  <c r="AA173" s="1"/>
  <c r="AA174" s="1"/>
  <c r="AA175" s="1"/>
  <c r="AA176" s="1"/>
  <c r="AA177" s="1"/>
  <c r="AA178" s="1"/>
  <c r="AA179" s="1"/>
  <c r="AA180" s="1"/>
  <c r="AA181" s="1"/>
  <c r="AA182" s="1"/>
  <c r="AA183" s="1"/>
  <c r="AA184" s="1"/>
  <c r="AA185" s="1"/>
  <c r="AA186" s="1"/>
  <c r="AA187" s="1"/>
  <c r="AA188" s="1"/>
  <c r="AA189" s="1"/>
  <c r="AA190" s="1"/>
  <c r="C81" i="35" s="1"/>
  <c r="V5" i="37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V37" s="1"/>
  <c r="V38" s="1"/>
  <c r="V39" s="1"/>
  <c r="V40" s="1"/>
  <c r="V41" s="1"/>
  <c r="V42" s="1"/>
  <c r="V43" s="1"/>
  <c r="V44" s="1"/>
  <c r="V45" s="1"/>
  <c r="V46" s="1"/>
  <c r="V47" s="1"/>
  <c r="V48" s="1"/>
  <c r="V49" s="1"/>
  <c r="V50" s="1"/>
  <c r="V51" s="1"/>
  <c r="V52" s="1"/>
  <c r="V53" s="1"/>
  <c r="V54" s="1"/>
  <c r="V55" s="1"/>
  <c r="V56" s="1"/>
  <c r="V57" s="1"/>
  <c r="V58" s="1"/>
  <c r="V59" s="1"/>
  <c r="V60" s="1"/>
  <c r="V61" s="1"/>
  <c r="V62" s="1"/>
  <c r="V63" s="1"/>
  <c r="V64" s="1"/>
  <c r="V65" s="1"/>
  <c r="V66" s="1"/>
  <c r="V67" s="1"/>
  <c r="V68" s="1"/>
  <c r="V69" s="1"/>
  <c r="V70" s="1"/>
  <c r="V71" s="1"/>
  <c r="V72" s="1"/>
  <c r="V73" s="1"/>
  <c r="V74" s="1"/>
  <c r="V75" s="1"/>
  <c r="V76" s="1"/>
  <c r="V77" s="1"/>
  <c r="V78" s="1"/>
  <c r="V79" s="1"/>
  <c r="V80" s="1"/>
  <c r="V81" s="1"/>
  <c r="V82" s="1"/>
  <c r="V83" s="1"/>
  <c r="V84" s="1"/>
  <c r="V85" s="1"/>
  <c r="V86" s="1"/>
  <c r="V87" s="1"/>
  <c r="V88" s="1"/>
  <c r="V89" s="1"/>
  <c r="V90" s="1"/>
  <c r="V91" s="1"/>
  <c r="V92" s="1"/>
  <c r="V93" s="1"/>
  <c r="V94" s="1"/>
  <c r="V95" s="1"/>
  <c r="V96" s="1"/>
  <c r="V97" s="1"/>
  <c r="V98" s="1"/>
  <c r="V99" s="1"/>
  <c r="V100" s="1"/>
  <c r="V101" s="1"/>
  <c r="V102" s="1"/>
  <c r="V103" s="1"/>
  <c r="V104" s="1"/>
  <c r="V105" s="1"/>
  <c r="V106" s="1"/>
  <c r="V107" s="1"/>
  <c r="V108" s="1"/>
  <c r="V109" s="1"/>
  <c r="V110" s="1"/>
  <c r="V111" s="1"/>
  <c r="V112" s="1"/>
  <c r="V113" s="1"/>
  <c r="V114" s="1"/>
  <c r="V115" s="1"/>
  <c r="V116" s="1"/>
  <c r="V117" s="1"/>
  <c r="V118" s="1"/>
  <c r="V119" s="1"/>
  <c r="V120" s="1"/>
  <c r="V121" s="1"/>
  <c r="V122" s="1"/>
  <c r="V123" s="1"/>
  <c r="V124" s="1"/>
  <c r="V125" s="1"/>
  <c r="V126" s="1"/>
  <c r="V127" s="1"/>
  <c r="V128" s="1"/>
  <c r="V129" s="1"/>
  <c r="V130" s="1"/>
  <c r="V131" s="1"/>
  <c r="V132" s="1"/>
  <c r="V133" s="1"/>
  <c r="V134" s="1"/>
  <c r="V135" s="1"/>
  <c r="V136" s="1"/>
  <c r="V137" s="1"/>
  <c r="V138" s="1"/>
  <c r="V139" s="1"/>
  <c r="V140" s="1"/>
  <c r="V141" s="1"/>
  <c r="V142" s="1"/>
  <c r="V143" s="1"/>
  <c r="V144" s="1"/>
  <c r="V145" s="1"/>
  <c r="V146" s="1"/>
  <c r="V147" s="1"/>
  <c r="V148" s="1"/>
  <c r="V149" s="1"/>
  <c r="V150" s="1"/>
  <c r="V151" s="1"/>
  <c r="V152" s="1"/>
  <c r="V153" s="1"/>
  <c r="V154" s="1"/>
  <c r="V155" s="1"/>
  <c r="V156" s="1"/>
  <c r="V157" s="1"/>
  <c r="V158" s="1"/>
  <c r="V159" s="1"/>
  <c r="V160" s="1"/>
  <c r="V161" s="1"/>
  <c r="V162" s="1"/>
  <c r="V163" s="1"/>
  <c r="V164" s="1"/>
  <c r="V165" s="1"/>
  <c r="V166" s="1"/>
  <c r="V167" s="1"/>
  <c r="V168" s="1"/>
  <c r="V169" s="1"/>
  <c r="V170" s="1"/>
  <c r="V171" s="1"/>
  <c r="V172" s="1"/>
  <c r="V173" s="1"/>
  <c r="V174" s="1"/>
  <c r="V175" s="1"/>
  <c r="V176" s="1"/>
  <c r="V177" s="1"/>
  <c r="V178" s="1"/>
  <c r="V179" s="1"/>
  <c r="V180" s="1"/>
  <c r="V181" s="1"/>
  <c r="V182" s="1"/>
  <c r="V183" s="1"/>
  <c r="V184" s="1"/>
  <c r="V185" s="1"/>
  <c r="V186" s="1"/>
  <c r="V187" s="1"/>
  <c r="V188" s="1"/>
  <c r="V189" s="1"/>
  <c r="V190" s="1"/>
  <c r="C78" i="35" s="1"/>
  <c r="J5" i="37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C79" i="35" s="1"/>
  <c r="E5" i="37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C80" i="35" s="1"/>
  <c r="Q6" i="32"/>
  <c r="AV6"/>
  <c r="AP6"/>
  <c r="AJ6"/>
  <c r="AD6"/>
  <c r="X6"/>
  <c r="J6"/>
  <c r="D6"/>
  <c r="AS5" i="28"/>
  <c r="AJ5"/>
  <c r="AD5"/>
  <c r="Y5"/>
  <c r="M5"/>
  <c r="H5"/>
  <c r="AQ5" i="5"/>
  <c r="AH5"/>
  <c r="AB5"/>
  <c r="V5"/>
  <c r="K5"/>
  <c r="E5"/>
  <c r="L28" i="41"/>
  <c r="F28"/>
  <c r="C28"/>
  <c r="L52"/>
  <c r="BA14" i="37" s="1"/>
  <c r="BD14" s="1"/>
  <c r="C351" i="35" s="1"/>
  <c r="I52" i="41"/>
  <c r="AZ15" i="32" s="1"/>
  <c r="BC15" s="1"/>
  <c r="C323" i="35" s="1"/>
  <c r="F52" i="41"/>
  <c r="BD14" i="28" s="1"/>
  <c r="BG14" s="1"/>
  <c r="C295" i="35" s="1"/>
  <c r="C52" i="41"/>
  <c r="BF34" i="5" s="1"/>
  <c r="BI34" s="1"/>
  <c r="C267" i="35" s="1"/>
  <c r="BA6" i="37"/>
  <c r="BD6" s="1"/>
  <c r="C335" i="35" s="1"/>
  <c r="BA13" i="37"/>
  <c r="BD13" s="1"/>
  <c r="C349" i="35" s="1"/>
  <c r="BA12" i="37"/>
  <c r="BD12" s="1"/>
  <c r="C347" i="35" s="1"/>
  <c r="BA11" i="37"/>
  <c r="BD11" s="1"/>
  <c r="C345" i="35" s="1"/>
  <c r="BA10" i="37"/>
  <c r="BD10" s="1"/>
  <c r="C343" i="35" s="1"/>
  <c r="BA9" i="37"/>
  <c r="BD9" s="1"/>
  <c r="C341" i="35" s="1"/>
  <c r="BA8" i="37"/>
  <c r="BD8" s="1"/>
  <c r="C339" i="35" s="1"/>
  <c r="BA7" i="37"/>
  <c r="BD7" s="1"/>
  <c r="C337" i="35" s="1"/>
  <c r="W7" i="37"/>
  <c r="W6"/>
  <c r="Y8" i="32"/>
  <c r="Y7"/>
  <c r="AZ14"/>
  <c r="BC14" s="1"/>
  <c r="C321" i="35" s="1"/>
  <c r="AZ13" i="32"/>
  <c r="BC13" s="1"/>
  <c r="C319" i="35" s="1"/>
  <c r="AZ12" i="32"/>
  <c r="BC12" s="1"/>
  <c r="C317" i="35" s="1"/>
  <c r="AZ11" i="32"/>
  <c r="BC11" s="1"/>
  <c r="C315" i="35" s="1"/>
  <c r="AZ10" i="32"/>
  <c r="BC10" s="1"/>
  <c r="C313" i="35" s="1"/>
  <c r="AZ9" i="32"/>
  <c r="BC9" s="1"/>
  <c r="C311" i="35" s="1"/>
  <c r="AZ8" i="32"/>
  <c r="BC8" s="1"/>
  <c r="C309" i="35" s="1"/>
  <c r="AZ7" i="32"/>
  <c r="BC7" s="1"/>
  <c r="C307" i="35" s="1"/>
  <c r="BD13" i="28"/>
  <c r="BG13" s="1"/>
  <c r="C293" i="35" s="1"/>
  <c r="BD12" i="28"/>
  <c r="BG12" s="1"/>
  <c r="C291" i="35" s="1"/>
  <c r="BD11" i="28"/>
  <c r="BG11" s="1"/>
  <c r="C289" i="35" s="1"/>
  <c r="BD10" i="28"/>
  <c r="BG10" s="1"/>
  <c r="C287" i="35" s="1"/>
  <c r="BD9" i="28"/>
  <c r="BG9" s="1"/>
  <c r="C285" i="35" s="1"/>
  <c r="BD8" i="28"/>
  <c r="BG8" s="1"/>
  <c r="C283" i="35" s="1"/>
  <c r="BD7" i="28"/>
  <c r="BG7" s="1"/>
  <c r="C281" i="35" s="1"/>
  <c r="BD6" i="28"/>
  <c r="BG6" s="1"/>
  <c r="C279" i="35" s="1"/>
  <c r="Z7" i="28"/>
  <c r="Z6"/>
  <c r="BF32" i="5"/>
  <c r="BI32" s="1"/>
  <c r="C263" i="35" s="1"/>
  <c r="BF33" i="5"/>
  <c r="BI33" s="1"/>
  <c r="C265" i="35" s="1"/>
  <c r="BF31" i="5"/>
  <c r="BI31" s="1"/>
  <c r="C261" i="35" s="1"/>
  <c r="BF30" i="5"/>
  <c r="BI30" s="1"/>
  <c r="C259" i="35" s="1"/>
  <c r="BF29" i="5"/>
  <c r="BI29" s="1"/>
  <c r="C257" i="35" s="1"/>
  <c r="BF28" i="5"/>
  <c r="BI28" s="1"/>
  <c r="C255" i="35" s="1"/>
  <c r="BF27" i="5"/>
  <c r="BI27" s="1"/>
  <c r="C253" i="35" s="1"/>
  <c r="BF26" i="5"/>
  <c r="BI26" s="1"/>
  <c r="C251" i="35" s="1"/>
  <c r="BB6" i="5"/>
  <c r="BB7" s="1"/>
  <c r="BB8" s="1"/>
  <c r="BB9" s="1"/>
  <c r="BB10" s="1"/>
  <c r="BB11" s="1"/>
  <c r="BB12" s="1"/>
  <c r="BB13" s="1"/>
  <c r="BB14" s="1"/>
  <c r="BB15" s="1"/>
  <c r="BB16" s="1"/>
  <c r="BB17" s="1"/>
  <c r="BB18" s="1"/>
  <c r="BB19" s="1"/>
  <c r="BB20" s="1"/>
  <c r="BB21" s="1"/>
  <c r="BB22" s="1"/>
  <c r="BB23" s="1"/>
  <c r="BB24" s="1"/>
  <c r="BB25" s="1"/>
  <c r="BB26" s="1"/>
  <c r="BB27" s="1"/>
  <c r="BB28" s="1"/>
  <c r="BB29" s="1"/>
  <c r="BB30" s="1"/>
  <c r="BB31" s="1"/>
  <c r="BB32" s="1"/>
  <c r="BB33" s="1"/>
  <c r="BB34" s="1"/>
  <c r="BB35" s="1"/>
  <c r="BB36" s="1"/>
  <c r="BB37" s="1"/>
  <c r="BB38" s="1"/>
  <c r="BB39" s="1"/>
  <c r="BB40" s="1"/>
  <c r="BB41" s="1"/>
  <c r="BB42" s="1"/>
  <c r="BB43" s="1"/>
  <c r="BB44" s="1"/>
  <c r="BB45" s="1"/>
  <c r="BB46" s="1"/>
  <c r="BB47" s="1"/>
  <c r="BB48" s="1"/>
  <c r="BB49" s="1"/>
  <c r="BB50" s="1"/>
  <c r="BB51" s="1"/>
  <c r="BB52" s="1"/>
  <c r="BB53" s="1"/>
  <c r="BB54" s="1"/>
  <c r="BB55" s="1"/>
  <c r="BB56" s="1"/>
  <c r="BB57" s="1"/>
  <c r="BB58" s="1"/>
  <c r="BB59" s="1"/>
  <c r="BB60" s="1"/>
  <c r="BB61" s="1"/>
  <c r="BB62" s="1"/>
  <c r="BB63" s="1"/>
  <c r="BB64" s="1"/>
  <c r="BB65" s="1"/>
  <c r="BB66" s="1"/>
  <c r="BB67" s="1"/>
  <c r="BB68" s="1"/>
  <c r="BB69" s="1"/>
  <c r="BB70" s="1"/>
  <c r="BB71" s="1"/>
  <c r="BB72" s="1"/>
  <c r="BB73" s="1"/>
  <c r="BB74" s="1"/>
  <c r="BB75" s="1"/>
  <c r="BB76" s="1"/>
  <c r="BB77" s="1"/>
  <c r="BB78" s="1"/>
  <c r="BB79" s="1"/>
  <c r="BB80" s="1"/>
  <c r="BB81" s="1"/>
  <c r="BB82" s="1"/>
  <c r="BB83" s="1"/>
  <c r="BB84" s="1"/>
  <c r="BB85" s="1"/>
  <c r="BB86" s="1"/>
  <c r="BB87" s="1"/>
  <c r="BB88" s="1"/>
  <c r="BB89" s="1"/>
  <c r="BB90" s="1"/>
  <c r="BB91" s="1"/>
  <c r="BB92" s="1"/>
  <c r="BB93" s="1"/>
  <c r="BB94" s="1"/>
  <c r="BB95" s="1"/>
  <c r="BB96" s="1"/>
  <c r="BB97" s="1"/>
  <c r="BB98" s="1"/>
  <c r="BB99" s="1"/>
  <c r="BB100" s="1"/>
  <c r="BB101" s="1"/>
  <c r="BB102" s="1"/>
  <c r="BB103" s="1"/>
  <c r="BB104" s="1"/>
  <c r="BB105" s="1"/>
  <c r="BB106" s="1"/>
  <c r="BB107" s="1"/>
  <c r="BB108" s="1"/>
  <c r="BB109" s="1"/>
  <c r="BB110" s="1"/>
  <c r="BB111" s="1"/>
  <c r="BB112" s="1"/>
  <c r="BB113" s="1"/>
  <c r="BB114" s="1"/>
  <c r="BB115" s="1"/>
  <c r="BB116" s="1"/>
  <c r="BB117" s="1"/>
  <c r="BB118" s="1"/>
  <c r="BB119" s="1"/>
  <c r="BB120" s="1"/>
  <c r="BB121" s="1"/>
  <c r="BB122" s="1"/>
  <c r="BB123" s="1"/>
  <c r="BB124" s="1"/>
  <c r="BB125" s="1"/>
  <c r="BB126" s="1"/>
  <c r="BB127" s="1"/>
  <c r="BB128" s="1"/>
  <c r="BB129" s="1"/>
  <c r="BB130" s="1"/>
  <c r="BB131" s="1"/>
  <c r="BB132" s="1"/>
  <c r="BB133" s="1"/>
  <c r="BB134" s="1"/>
  <c r="BB135" s="1"/>
  <c r="BB136" s="1"/>
  <c r="BB137" s="1"/>
  <c r="BB138" s="1"/>
  <c r="BB139" s="1"/>
  <c r="BB140" s="1"/>
  <c r="BB141" s="1"/>
  <c r="BB142" s="1"/>
  <c r="BB143" s="1"/>
  <c r="BB144" s="1"/>
  <c r="BB145" s="1"/>
  <c r="BB146" s="1"/>
  <c r="BB147" s="1"/>
  <c r="BB148" s="1"/>
  <c r="BB149" s="1"/>
  <c r="BB150" s="1"/>
  <c r="BB151" s="1"/>
  <c r="BB152" s="1"/>
  <c r="BB153" s="1"/>
  <c r="BB154" s="1"/>
  <c r="BB155" s="1"/>
  <c r="BB156" s="1"/>
  <c r="BB157" s="1"/>
  <c r="BB158" s="1"/>
  <c r="BB159" s="1"/>
  <c r="BB160" s="1"/>
  <c r="BB161" s="1"/>
  <c r="BB162" s="1"/>
  <c r="BB163" s="1"/>
  <c r="BB164" s="1"/>
  <c r="BB165" s="1"/>
  <c r="BB166" s="1"/>
  <c r="BB167" s="1"/>
  <c r="BB168" s="1"/>
  <c r="BB169" s="1"/>
  <c r="BB170" s="1"/>
  <c r="BB171" s="1"/>
  <c r="BB172" s="1"/>
  <c r="BB173" s="1"/>
  <c r="BB174" s="1"/>
  <c r="BB175" s="1"/>
  <c r="BB176" s="1"/>
  <c r="BB177" s="1"/>
  <c r="BB178" s="1"/>
  <c r="BB179" s="1"/>
  <c r="BB180" s="1"/>
  <c r="BB181" s="1"/>
  <c r="BB182" s="1"/>
  <c r="BB183" s="1"/>
  <c r="BB184" s="1"/>
  <c r="BB185" s="1"/>
  <c r="BB186" s="1"/>
  <c r="BB187" s="1"/>
  <c r="BB188" s="1"/>
  <c r="BB189" s="1"/>
  <c r="BB190" s="1"/>
  <c r="W7"/>
  <c r="W6"/>
  <c r="AO191" i="37"/>
  <c r="U191"/>
  <c r="T191"/>
  <c r="AX190"/>
  <c r="AR190"/>
  <c r="AI190"/>
  <c r="AC190"/>
  <c r="L190"/>
  <c r="F190"/>
  <c r="AX189"/>
  <c r="AR189"/>
  <c r="AI189"/>
  <c r="AC189"/>
  <c r="L189"/>
  <c r="F189"/>
  <c r="AX188"/>
  <c r="AR188"/>
  <c r="AI188"/>
  <c r="AC188"/>
  <c r="L188"/>
  <c r="F188"/>
  <c r="AX187"/>
  <c r="AR187"/>
  <c r="AI187"/>
  <c r="AC187"/>
  <c r="L187"/>
  <c r="F187"/>
  <c r="AX186"/>
  <c r="AR186"/>
  <c r="AI186"/>
  <c r="AC186"/>
  <c r="L186"/>
  <c r="F186"/>
  <c r="AX185"/>
  <c r="AR185"/>
  <c r="AI185"/>
  <c r="AC185"/>
  <c r="L185"/>
  <c r="F185"/>
  <c r="AX184"/>
  <c r="AR184"/>
  <c r="AI184"/>
  <c r="AC184"/>
  <c r="L184"/>
  <c r="F184"/>
  <c r="AX183"/>
  <c r="AR183"/>
  <c r="AI183"/>
  <c r="AC183"/>
  <c r="L183"/>
  <c r="F183"/>
  <c r="AX182"/>
  <c r="AR182"/>
  <c r="AI182"/>
  <c r="AC182"/>
  <c r="L182"/>
  <c r="F182"/>
  <c r="AX181"/>
  <c r="AR181"/>
  <c r="AI181"/>
  <c r="AC181"/>
  <c r="L181"/>
  <c r="F181"/>
  <c r="AX180"/>
  <c r="AR180"/>
  <c r="AI180"/>
  <c r="AC180"/>
  <c r="L180"/>
  <c r="F180"/>
  <c r="AX179"/>
  <c r="AR179"/>
  <c r="AI179"/>
  <c r="AC179"/>
  <c r="L179"/>
  <c r="F179"/>
  <c r="AX178"/>
  <c r="AR178"/>
  <c r="AI178"/>
  <c r="AC178"/>
  <c r="L178"/>
  <c r="F178"/>
  <c r="AX177"/>
  <c r="AR177"/>
  <c r="AI177"/>
  <c r="AC177"/>
  <c r="L177"/>
  <c r="F177"/>
  <c r="AX176"/>
  <c r="AR176"/>
  <c r="AI176"/>
  <c r="AC176"/>
  <c r="L176"/>
  <c r="F176"/>
  <c r="AX175"/>
  <c r="AR175"/>
  <c r="AI175"/>
  <c r="AC175"/>
  <c r="L175"/>
  <c r="F175"/>
  <c r="AX174"/>
  <c r="AR174"/>
  <c r="AI174"/>
  <c r="AC174"/>
  <c r="L174"/>
  <c r="F174"/>
  <c r="AX173"/>
  <c r="AR173"/>
  <c r="AI173"/>
  <c r="AC173"/>
  <c r="L173"/>
  <c r="F173"/>
  <c r="AX172"/>
  <c r="AR172"/>
  <c r="AI172"/>
  <c r="AC172"/>
  <c r="L172"/>
  <c r="F172"/>
  <c r="AX171"/>
  <c r="AR171"/>
  <c r="AI171"/>
  <c r="AC171"/>
  <c r="L171"/>
  <c r="F171"/>
  <c r="AX170"/>
  <c r="AR170"/>
  <c r="AI170"/>
  <c r="AC170"/>
  <c r="L170"/>
  <c r="F170"/>
  <c r="AX169"/>
  <c r="AR169"/>
  <c r="AI169"/>
  <c r="AC169"/>
  <c r="L169"/>
  <c r="F169"/>
  <c r="AX168"/>
  <c r="AR168"/>
  <c r="AI168"/>
  <c r="AC168"/>
  <c r="L168"/>
  <c r="F168"/>
  <c r="AX167"/>
  <c r="AR167"/>
  <c r="AI167"/>
  <c r="AC167"/>
  <c r="L167"/>
  <c r="F167"/>
  <c r="AX166"/>
  <c r="AR166"/>
  <c r="AI166"/>
  <c r="AC166"/>
  <c r="L166"/>
  <c r="F166"/>
  <c r="AX165"/>
  <c r="AR165"/>
  <c r="AI165"/>
  <c r="AC165"/>
  <c r="L165"/>
  <c r="F165"/>
  <c r="AX164"/>
  <c r="AR164"/>
  <c r="AI164"/>
  <c r="AC164"/>
  <c r="L164"/>
  <c r="F164"/>
  <c r="AX163"/>
  <c r="AR163"/>
  <c r="AI163"/>
  <c r="AC163"/>
  <c r="L163"/>
  <c r="F163"/>
  <c r="AX162"/>
  <c r="AR162"/>
  <c r="AI162"/>
  <c r="AC162"/>
  <c r="L162"/>
  <c r="F162"/>
  <c r="AX161"/>
  <c r="AR161"/>
  <c r="AI161"/>
  <c r="AC161"/>
  <c r="L161"/>
  <c r="F161"/>
  <c r="AX160"/>
  <c r="AR160"/>
  <c r="AI160"/>
  <c r="AC160"/>
  <c r="L160"/>
  <c r="F160"/>
  <c r="AX159"/>
  <c r="AR159"/>
  <c r="AI159"/>
  <c r="AC159"/>
  <c r="L159"/>
  <c r="F159"/>
  <c r="AX158"/>
  <c r="AR158"/>
  <c r="AI158"/>
  <c r="AC158"/>
  <c r="L158"/>
  <c r="F158"/>
  <c r="AX157"/>
  <c r="AR157"/>
  <c r="AI157"/>
  <c r="AC157"/>
  <c r="L157"/>
  <c r="F157"/>
  <c r="AX156"/>
  <c r="AR156"/>
  <c r="AI156"/>
  <c r="AC156"/>
  <c r="L156"/>
  <c r="F156"/>
  <c r="AX155"/>
  <c r="AR155"/>
  <c r="AI155"/>
  <c r="AC155"/>
  <c r="L155"/>
  <c r="F155"/>
  <c r="AX154"/>
  <c r="AR154"/>
  <c r="AI154"/>
  <c r="AC154"/>
  <c r="L154"/>
  <c r="F154"/>
  <c r="AX153"/>
  <c r="AR153"/>
  <c r="AI153"/>
  <c r="AC153"/>
  <c r="L153"/>
  <c r="F153"/>
  <c r="AX152"/>
  <c r="AR152"/>
  <c r="AI152"/>
  <c r="AC152"/>
  <c r="L152"/>
  <c r="F152"/>
  <c r="AX151"/>
  <c r="AR151"/>
  <c r="AI151"/>
  <c r="AC151"/>
  <c r="L151"/>
  <c r="F151"/>
  <c r="AX150"/>
  <c r="AR150"/>
  <c r="AI150"/>
  <c r="AC150"/>
  <c r="L150"/>
  <c r="F150"/>
  <c r="AX149"/>
  <c r="AR149"/>
  <c r="AI149"/>
  <c r="AC149"/>
  <c r="L149"/>
  <c r="F149"/>
  <c r="AX148"/>
  <c r="AR148"/>
  <c r="AI148"/>
  <c r="AC148"/>
  <c r="L148"/>
  <c r="F148"/>
  <c r="AX147"/>
  <c r="AR147"/>
  <c r="AI147"/>
  <c r="AC147"/>
  <c r="L147"/>
  <c r="F147"/>
  <c r="AX146"/>
  <c r="AR146"/>
  <c r="AI146"/>
  <c r="AC146"/>
  <c r="L146"/>
  <c r="F146"/>
  <c r="AX145"/>
  <c r="AR145"/>
  <c r="AI145"/>
  <c r="AC145"/>
  <c r="L145"/>
  <c r="F145"/>
  <c r="AX144"/>
  <c r="AR144"/>
  <c r="AI144"/>
  <c r="AC144"/>
  <c r="L144"/>
  <c r="F144"/>
  <c r="AX143"/>
  <c r="AR143"/>
  <c r="AI143"/>
  <c r="AC143"/>
  <c r="L143"/>
  <c r="F143"/>
  <c r="AX142"/>
  <c r="AR142"/>
  <c r="AI142"/>
  <c r="AC142"/>
  <c r="L142"/>
  <c r="F142"/>
  <c r="AX141"/>
  <c r="AR141"/>
  <c r="AI141"/>
  <c r="AC141"/>
  <c r="L141"/>
  <c r="F141"/>
  <c r="AX140"/>
  <c r="AR140"/>
  <c r="AI140"/>
  <c r="AC140"/>
  <c r="L140"/>
  <c r="F140"/>
  <c r="AX139"/>
  <c r="AR139"/>
  <c r="AI139"/>
  <c r="AC139"/>
  <c r="L139"/>
  <c r="F139"/>
  <c r="AX138"/>
  <c r="AR138"/>
  <c r="AI138"/>
  <c r="AC138"/>
  <c r="L138"/>
  <c r="F138"/>
  <c r="AX137"/>
  <c r="AR137"/>
  <c r="AI137"/>
  <c r="AC137"/>
  <c r="L137"/>
  <c r="F137"/>
  <c r="AX136"/>
  <c r="AR136"/>
  <c r="AI136"/>
  <c r="AC136"/>
  <c r="L136"/>
  <c r="F136"/>
  <c r="AX135"/>
  <c r="AR135"/>
  <c r="AI135"/>
  <c r="AC135"/>
  <c r="L135"/>
  <c r="F135"/>
  <c r="AX134"/>
  <c r="AR134"/>
  <c r="AI134"/>
  <c r="AC134"/>
  <c r="L134"/>
  <c r="F134"/>
  <c r="AX133"/>
  <c r="AR133"/>
  <c r="AI133"/>
  <c r="AC133"/>
  <c r="L133"/>
  <c r="F133"/>
  <c r="AX132"/>
  <c r="AR132"/>
  <c r="AI132"/>
  <c r="AC132"/>
  <c r="L132"/>
  <c r="F132"/>
  <c r="AX131"/>
  <c r="AR131"/>
  <c r="AI131"/>
  <c r="AC131"/>
  <c r="L131"/>
  <c r="F131"/>
  <c r="AX130"/>
  <c r="AR130"/>
  <c r="AI130"/>
  <c r="AC130"/>
  <c r="L130"/>
  <c r="F130"/>
  <c r="AX129"/>
  <c r="AR129"/>
  <c r="AI129"/>
  <c r="AC129"/>
  <c r="L129"/>
  <c r="F129"/>
  <c r="AX128"/>
  <c r="AR128"/>
  <c r="AI128"/>
  <c r="AC128"/>
  <c r="L128"/>
  <c r="F128"/>
  <c r="AX127"/>
  <c r="AR127"/>
  <c r="AI127"/>
  <c r="AC127"/>
  <c r="L127"/>
  <c r="F127"/>
  <c r="AX126"/>
  <c r="AR126"/>
  <c r="AI126"/>
  <c r="AC126"/>
  <c r="L126"/>
  <c r="F126"/>
  <c r="AX125"/>
  <c r="AR125"/>
  <c r="AI125"/>
  <c r="AC125"/>
  <c r="L125"/>
  <c r="F125"/>
  <c r="AX124"/>
  <c r="AR124"/>
  <c r="AI124"/>
  <c r="AC124"/>
  <c r="L124"/>
  <c r="F124"/>
  <c r="AX123"/>
  <c r="AR123"/>
  <c r="AI123"/>
  <c r="AC123"/>
  <c r="L123"/>
  <c r="F123"/>
  <c r="AX122"/>
  <c r="AR122"/>
  <c r="AI122"/>
  <c r="AC122"/>
  <c r="L122"/>
  <c r="F122"/>
  <c r="AX121"/>
  <c r="AR121"/>
  <c r="AI121"/>
  <c r="AC121"/>
  <c r="L121"/>
  <c r="F121"/>
  <c r="AX120"/>
  <c r="AR120"/>
  <c r="AI120"/>
  <c r="AC120"/>
  <c r="L120"/>
  <c r="F120"/>
  <c r="AX119"/>
  <c r="AR119"/>
  <c r="AI119"/>
  <c r="AC119"/>
  <c r="L119"/>
  <c r="F119"/>
  <c r="AX118"/>
  <c r="AR118"/>
  <c r="AI118"/>
  <c r="AC118"/>
  <c r="L118"/>
  <c r="F118"/>
  <c r="AX117"/>
  <c r="AR117"/>
  <c r="AI117"/>
  <c r="AC117"/>
  <c r="L117"/>
  <c r="F117"/>
  <c r="AX116"/>
  <c r="AR116"/>
  <c r="AI116"/>
  <c r="AC116"/>
  <c r="L116"/>
  <c r="F116"/>
  <c r="AX115"/>
  <c r="AR115"/>
  <c r="AI115"/>
  <c r="AC115"/>
  <c r="L115"/>
  <c r="F115"/>
  <c r="AX114"/>
  <c r="AR114"/>
  <c r="AI114"/>
  <c r="AC114"/>
  <c r="L114"/>
  <c r="F114"/>
  <c r="AX113"/>
  <c r="AR113"/>
  <c r="AI113"/>
  <c r="AC113"/>
  <c r="L113"/>
  <c r="F113"/>
  <c r="AX112"/>
  <c r="AR112"/>
  <c r="AI112"/>
  <c r="AC112"/>
  <c r="L112"/>
  <c r="F112"/>
  <c r="AX111"/>
  <c r="AR111"/>
  <c r="AI111"/>
  <c r="AC111"/>
  <c r="L111"/>
  <c r="F111"/>
  <c r="AX110"/>
  <c r="AR110"/>
  <c r="AI110"/>
  <c r="AC110"/>
  <c r="L110"/>
  <c r="F110"/>
  <c r="AX109"/>
  <c r="AR109"/>
  <c r="AI109"/>
  <c r="AC109"/>
  <c r="L109"/>
  <c r="F109"/>
  <c r="AX108"/>
  <c r="AR108"/>
  <c r="AI108"/>
  <c r="AC108"/>
  <c r="L108"/>
  <c r="F108"/>
  <c r="AX107"/>
  <c r="AR107"/>
  <c r="AI107"/>
  <c r="AC107"/>
  <c r="L107"/>
  <c r="F107"/>
  <c r="AX106"/>
  <c r="AR106"/>
  <c r="AI106"/>
  <c r="AC106"/>
  <c r="L106"/>
  <c r="F106"/>
  <c r="AX105"/>
  <c r="AR105"/>
  <c r="AI105"/>
  <c r="AC105"/>
  <c r="L105"/>
  <c r="F105"/>
  <c r="AX104"/>
  <c r="AR104"/>
  <c r="AI104"/>
  <c r="AC104"/>
  <c r="L104"/>
  <c r="F104"/>
  <c r="AX103"/>
  <c r="AR103"/>
  <c r="AI103"/>
  <c r="AC103"/>
  <c r="L103"/>
  <c r="F103"/>
  <c r="AX102"/>
  <c r="AR102"/>
  <c r="AI102"/>
  <c r="AC102"/>
  <c r="L102"/>
  <c r="F102"/>
  <c r="AX101"/>
  <c r="AR101"/>
  <c r="AI101"/>
  <c r="AC101"/>
  <c r="L101"/>
  <c r="F101"/>
  <c r="AX100"/>
  <c r="AR100"/>
  <c r="AI100"/>
  <c r="AC100"/>
  <c r="L100"/>
  <c r="F100"/>
  <c r="AX99"/>
  <c r="AR99"/>
  <c r="AI99"/>
  <c r="AC99"/>
  <c r="L99"/>
  <c r="F99"/>
  <c r="AX98"/>
  <c r="AR98"/>
  <c r="AI98"/>
  <c r="AC98"/>
  <c r="L98"/>
  <c r="F98"/>
  <c r="AX97"/>
  <c r="AR97"/>
  <c r="AI97"/>
  <c r="AC97"/>
  <c r="L97"/>
  <c r="F97"/>
  <c r="AX96"/>
  <c r="AR96"/>
  <c r="AI96"/>
  <c r="AC96"/>
  <c r="L96"/>
  <c r="F96"/>
  <c r="AX95"/>
  <c r="AR95"/>
  <c r="AI95"/>
  <c r="AC95"/>
  <c r="L95"/>
  <c r="F95"/>
  <c r="AX94"/>
  <c r="AR94"/>
  <c r="AI94"/>
  <c r="AC94"/>
  <c r="L94"/>
  <c r="F94"/>
  <c r="AX93"/>
  <c r="AR93"/>
  <c r="AI93"/>
  <c r="AC93"/>
  <c r="L93"/>
  <c r="F93"/>
  <c r="AX92"/>
  <c r="AR92"/>
  <c r="AI92"/>
  <c r="AC92"/>
  <c r="L92"/>
  <c r="F92"/>
  <c r="AX91"/>
  <c r="AR91"/>
  <c r="AI91"/>
  <c r="AC91"/>
  <c r="L91"/>
  <c r="F91"/>
  <c r="AX90"/>
  <c r="AR90"/>
  <c r="AI90"/>
  <c r="AC90"/>
  <c r="L90"/>
  <c r="F90"/>
  <c r="AX89"/>
  <c r="AR89"/>
  <c r="AI89"/>
  <c r="AC89"/>
  <c r="L89"/>
  <c r="F89"/>
  <c r="AX88"/>
  <c r="AR88"/>
  <c r="AI88"/>
  <c r="AC88"/>
  <c r="L88"/>
  <c r="F88"/>
  <c r="AX87"/>
  <c r="AR87"/>
  <c r="AI87"/>
  <c r="AC87"/>
  <c r="L87"/>
  <c r="F87"/>
  <c r="AX86"/>
  <c r="AR86"/>
  <c r="AI86"/>
  <c r="AC86"/>
  <c r="L86"/>
  <c r="F86"/>
  <c r="AX85"/>
  <c r="AR85"/>
  <c r="AI85"/>
  <c r="AC85"/>
  <c r="L85"/>
  <c r="F85"/>
  <c r="AX84"/>
  <c r="AR84"/>
  <c r="AI84"/>
  <c r="AC84"/>
  <c r="L84"/>
  <c r="F84"/>
  <c r="AX83"/>
  <c r="AR83"/>
  <c r="AI83"/>
  <c r="AC83"/>
  <c r="L83"/>
  <c r="F83"/>
  <c r="AX82"/>
  <c r="AR82"/>
  <c r="AI82"/>
  <c r="AC82"/>
  <c r="L82"/>
  <c r="F82"/>
  <c r="AX81"/>
  <c r="AR81"/>
  <c r="AI81"/>
  <c r="AC81"/>
  <c r="L81"/>
  <c r="F81"/>
  <c r="AX80"/>
  <c r="AR80"/>
  <c r="AI80"/>
  <c r="AC80"/>
  <c r="L80"/>
  <c r="F80"/>
  <c r="AX79"/>
  <c r="AR79"/>
  <c r="AI79"/>
  <c r="AC79"/>
  <c r="L79"/>
  <c r="F79"/>
  <c r="AX78"/>
  <c r="AR78"/>
  <c r="AI78"/>
  <c r="AC78"/>
  <c r="L78"/>
  <c r="F78"/>
  <c r="AX77"/>
  <c r="AR77"/>
  <c r="AI77"/>
  <c r="AC77"/>
  <c r="L77"/>
  <c r="F77"/>
  <c r="AX76"/>
  <c r="AR76"/>
  <c r="AI76"/>
  <c r="AC76"/>
  <c r="L76"/>
  <c r="F76"/>
  <c r="AX75"/>
  <c r="AR75"/>
  <c r="AI75"/>
  <c r="AC75"/>
  <c r="L75"/>
  <c r="F75"/>
  <c r="AX74"/>
  <c r="AR74"/>
  <c r="AI74"/>
  <c r="AC74"/>
  <c r="L74"/>
  <c r="F74"/>
  <c r="AX73"/>
  <c r="AR73"/>
  <c r="AI73"/>
  <c r="AC73"/>
  <c r="L73"/>
  <c r="F73"/>
  <c r="AX72"/>
  <c r="AR72"/>
  <c r="AI72"/>
  <c r="AC72"/>
  <c r="L72"/>
  <c r="F72"/>
  <c r="AX71"/>
  <c r="AR71"/>
  <c r="AI71"/>
  <c r="AC71"/>
  <c r="L71"/>
  <c r="F71"/>
  <c r="AX70"/>
  <c r="AR70"/>
  <c r="AI70"/>
  <c r="AC70"/>
  <c r="L70"/>
  <c r="F70"/>
  <c r="AX69"/>
  <c r="AR69"/>
  <c r="AI69"/>
  <c r="AC69"/>
  <c r="L69"/>
  <c r="F69"/>
  <c r="AX68"/>
  <c r="AR68"/>
  <c r="AI68"/>
  <c r="AC68"/>
  <c r="L68"/>
  <c r="F68"/>
  <c r="AX67"/>
  <c r="AR67"/>
  <c r="AI67"/>
  <c r="AC67"/>
  <c r="L67"/>
  <c r="F67"/>
  <c r="AX66"/>
  <c r="AR66"/>
  <c r="AI66"/>
  <c r="AC66"/>
  <c r="L66"/>
  <c r="F66"/>
  <c r="AX65"/>
  <c r="AR65"/>
  <c r="AI65"/>
  <c r="AC65"/>
  <c r="L65"/>
  <c r="F65"/>
  <c r="AX64"/>
  <c r="AR64"/>
  <c r="AI64"/>
  <c r="AC64"/>
  <c r="L64"/>
  <c r="F64"/>
  <c r="AX63"/>
  <c r="AR63"/>
  <c r="AI63"/>
  <c r="AC63"/>
  <c r="L63"/>
  <c r="F63"/>
  <c r="AX62"/>
  <c r="AR62"/>
  <c r="AI62"/>
  <c r="AC62"/>
  <c r="L62"/>
  <c r="F62"/>
  <c r="AX61"/>
  <c r="AR61"/>
  <c r="AI61"/>
  <c r="AC61"/>
  <c r="L61"/>
  <c r="F61"/>
  <c r="AX60"/>
  <c r="AR60"/>
  <c r="AI60"/>
  <c r="AC60"/>
  <c r="L60"/>
  <c r="F60"/>
  <c r="AX59"/>
  <c r="AR59"/>
  <c r="AI59"/>
  <c r="AC59"/>
  <c r="L59"/>
  <c r="F59"/>
  <c r="AX58"/>
  <c r="AR58"/>
  <c r="AI58"/>
  <c r="AC58"/>
  <c r="L58"/>
  <c r="F58"/>
  <c r="AX57"/>
  <c r="AR57"/>
  <c r="AI57"/>
  <c r="AC57"/>
  <c r="L57"/>
  <c r="F57"/>
  <c r="AX56"/>
  <c r="AR56"/>
  <c r="AI56"/>
  <c r="AC56"/>
  <c r="L56"/>
  <c r="F56"/>
  <c r="AX55"/>
  <c r="AR55"/>
  <c r="AI55"/>
  <c r="AC55"/>
  <c r="L55"/>
  <c r="F55"/>
  <c r="AX54"/>
  <c r="AR54"/>
  <c r="AI54"/>
  <c r="AC54"/>
  <c r="L54"/>
  <c r="F54"/>
  <c r="AX53"/>
  <c r="AR53"/>
  <c r="AI53"/>
  <c r="AC53"/>
  <c r="L53"/>
  <c r="F53"/>
  <c r="AX52"/>
  <c r="AR52"/>
  <c r="AI52"/>
  <c r="AC52"/>
  <c r="L52"/>
  <c r="F52"/>
  <c r="AX51"/>
  <c r="AR51"/>
  <c r="AI51"/>
  <c r="AC51"/>
  <c r="L51"/>
  <c r="F51"/>
  <c r="AX50"/>
  <c r="AR50"/>
  <c r="AI50"/>
  <c r="AC50"/>
  <c r="L50"/>
  <c r="F50"/>
  <c r="AX49"/>
  <c r="AR49"/>
  <c r="AI49"/>
  <c r="AC49"/>
  <c r="L49"/>
  <c r="F49"/>
  <c r="AX48"/>
  <c r="AR48"/>
  <c r="AI48"/>
  <c r="AC48"/>
  <c r="L48"/>
  <c r="F48"/>
  <c r="AX47"/>
  <c r="AR47"/>
  <c r="AI47"/>
  <c r="AC47"/>
  <c r="L47"/>
  <c r="F47"/>
  <c r="AX46"/>
  <c r="AR46"/>
  <c r="AI46"/>
  <c r="AC46"/>
  <c r="L46"/>
  <c r="F46"/>
  <c r="AX45"/>
  <c r="AR45"/>
  <c r="AI45"/>
  <c r="AC45"/>
  <c r="L45"/>
  <c r="F45"/>
  <c r="AX44"/>
  <c r="AR44"/>
  <c r="AI44"/>
  <c r="AC44"/>
  <c r="L44"/>
  <c r="F44"/>
  <c r="AX43"/>
  <c r="AR43"/>
  <c r="AI43"/>
  <c r="AC43"/>
  <c r="L43"/>
  <c r="F43"/>
  <c r="AX42"/>
  <c r="AR42"/>
  <c r="AI42"/>
  <c r="AC42"/>
  <c r="L42"/>
  <c r="F42"/>
  <c r="AX41"/>
  <c r="AR41"/>
  <c r="AI41"/>
  <c r="AC41"/>
  <c r="L41"/>
  <c r="F41"/>
  <c r="AX40"/>
  <c r="AR40"/>
  <c r="AI40"/>
  <c r="AC40"/>
  <c r="L40"/>
  <c r="F40"/>
  <c r="AX39"/>
  <c r="AR39"/>
  <c r="AI39"/>
  <c r="AC39"/>
  <c r="L39"/>
  <c r="F39"/>
  <c r="AX38"/>
  <c r="AR38"/>
  <c r="AI38"/>
  <c r="AC38"/>
  <c r="L38"/>
  <c r="F38"/>
  <c r="AX37"/>
  <c r="AR37"/>
  <c r="AI37"/>
  <c r="AC37"/>
  <c r="L37"/>
  <c r="F37"/>
  <c r="AX36"/>
  <c r="AR36"/>
  <c r="AI36"/>
  <c r="AC36"/>
  <c r="L36"/>
  <c r="F36"/>
  <c r="AX35"/>
  <c r="AR35"/>
  <c r="AI35"/>
  <c r="AC35"/>
  <c r="L35"/>
  <c r="F35"/>
  <c r="AX34"/>
  <c r="AR34"/>
  <c r="AI34"/>
  <c r="AC34"/>
  <c r="L34"/>
  <c r="F34"/>
  <c r="AX33"/>
  <c r="AR33"/>
  <c r="AI33"/>
  <c r="AC33"/>
  <c r="L33"/>
  <c r="F33"/>
  <c r="AX32"/>
  <c r="AR32"/>
  <c r="AI32"/>
  <c r="AC32"/>
  <c r="L32"/>
  <c r="F32"/>
  <c r="AX31"/>
  <c r="AR31"/>
  <c r="AI31"/>
  <c r="AC31"/>
  <c r="L31"/>
  <c r="F31"/>
  <c r="AX30"/>
  <c r="AR30"/>
  <c r="AI30"/>
  <c r="AC30"/>
  <c r="L30"/>
  <c r="F30"/>
  <c r="AX29"/>
  <c r="AR29"/>
  <c r="AI29"/>
  <c r="AC29"/>
  <c r="L29"/>
  <c r="F29"/>
  <c r="AX28"/>
  <c r="AR28"/>
  <c r="AI28"/>
  <c r="AC28"/>
  <c r="L28"/>
  <c r="F28"/>
  <c r="AX27"/>
  <c r="AR27"/>
  <c r="AI27"/>
  <c r="AC27"/>
  <c r="L27"/>
  <c r="F27"/>
  <c r="AX26"/>
  <c r="AR26"/>
  <c r="AI26"/>
  <c r="AC26"/>
  <c r="L26"/>
  <c r="F26"/>
  <c r="AX25"/>
  <c r="AR25"/>
  <c r="AI25"/>
  <c r="AC25"/>
  <c r="L25"/>
  <c r="F25"/>
  <c r="AX24"/>
  <c r="AR24"/>
  <c r="AI24"/>
  <c r="AC24"/>
  <c r="L24"/>
  <c r="F24"/>
  <c r="AX23"/>
  <c r="AR23"/>
  <c r="AI23"/>
  <c r="AC23"/>
  <c r="L23"/>
  <c r="F23"/>
  <c r="AX22"/>
  <c r="AR22"/>
  <c r="AI22"/>
  <c r="AC22"/>
  <c r="L22"/>
  <c r="F22"/>
  <c r="AX21"/>
  <c r="AR21"/>
  <c r="AI21"/>
  <c r="AC21"/>
  <c r="L21"/>
  <c r="F21"/>
  <c r="AX20"/>
  <c r="AR20"/>
  <c r="AI20"/>
  <c r="AC20"/>
  <c r="L20"/>
  <c r="F20"/>
  <c r="AX19"/>
  <c r="AR19"/>
  <c r="AI19"/>
  <c r="AC19"/>
  <c r="L19"/>
  <c r="F19"/>
  <c r="AX18"/>
  <c r="AR18"/>
  <c r="AI18"/>
  <c r="AC18"/>
  <c r="L18"/>
  <c r="F18"/>
  <c r="AX17"/>
  <c r="AR17"/>
  <c r="AI17"/>
  <c r="AC17"/>
  <c r="L17"/>
  <c r="F17"/>
  <c r="AX16"/>
  <c r="AR16"/>
  <c r="AI16"/>
  <c r="AC16"/>
  <c r="L16"/>
  <c r="F16"/>
  <c r="AX15"/>
  <c r="AR15"/>
  <c r="AI15"/>
  <c r="AC15"/>
  <c r="L15"/>
  <c r="F15"/>
  <c r="AX14"/>
  <c r="AR14"/>
  <c r="AI14"/>
  <c r="AC14"/>
  <c r="L14"/>
  <c r="F14"/>
  <c r="AX13"/>
  <c r="AR13"/>
  <c r="AI13"/>
  <c r="AC13"/>
  <c r="L13"/>
  <c r="F13"/>
  <c r="AX12"/>
  <c r="AR12"/>
  <c r="AI12"/>
  <c r="AC12"/>
  <c r="L12"/>
  <c r="F12"/>
  <c r="AX11"/>
  <c r="AR11"/>
  <c r="AI11"/>
  <c r="AC11"/>
  <c r="L11"/>
  <c r="F11"/>
  <c r="AX10"/>
  <c r="AR10"/>
  <c r="AI10"/>
  <c r="AC10"/>
  <c r="L10"/>
  <c r="F10"/>
  <c r="AX9"/>
  <c r="AR9"/>
  <c r="AI9"/>
  <c r="AC9"/>
  <c r="L9"/>
  <c r="F9"/>
  <c r="AX8"/>
  <c r="AR8"/>
  <c r="AI8"/>
  <c r="AC8"/>
  <c r="L8"/>
  <c r="F8"/>
  <c r="AX7"/>
  <c r="AR7"/>
  <c r="AI7"/>
  <c r="AC7"/>
  <c r="L7"/>
  <c r="F7"/>
  <c r="AX6"/>
  <c r="AW6"/>
  <c r="AW7" s="1"/>
  <c r="AW8" s="1"/>
  <c r="AW9" s="1"/>
  <c r="AW10" s="1"/>
  <c r="AW11" s="1"/>
  <c r="AW12" s="1"/>
  <c r="AW13" s="1"/>
  <c r="AW14" s="1"/>
  <c r="AW15" s="1"/>
  <c r="AW16" s="1"/>
  <c r="AW17" s="1"/>
  <c r="AW18" s="1"/>
  <c r="AW19" s="1"/>
  <c r="AW20" s="1"/>
  <c r="AW21" s="1"/>
  <c r="AW22" s="1"/>
  <c r="AW23" s="1"/>
  <c r="AW24" s="1"/>
  <c r="AW25" s="1"/>
  <c r="AW26" s="1"/>
  <c r="AW27" s="1"/>
  <c r="AW28" s="1"/>
  <c r="AW29" s="1"/>
  <c r="AW30" s="1"/>
  <c r="AW31" s="1"/>
  <c r="AW32" s="1"/>
  <c r="AW33" s="1"/>
  <c r="AW34" s="1"/>
  <c r="AW35" s="1"/>
  <c r="AW36" s="1"/>
  <c r="AW37" s="1"/>
  <c r="AW38" s="1"/>
  <c r="AW39" s="1"/>
  <c r="AW40" s="1"/>
  <c r="AW41" s="1"/>
  <c r="AW42" s="1"/>
  <c r="AW43" s="1"/>
  <c r="AW44" s="1"/>
  <c r="AW45" s="1"/>
  <c r="AW46" s="1"/>
  <c r="AW47" s="1"/>
  <c r="AW48" s="1"/>
  <c r="AW49" s="1"/>
  <c r="AW50" s="1"/>
  <c r="AW51" s="1"/>
  <c r="AW52" s="1"/>
  <c r="AW53" s="1"/>
  <c r="AW54" s="1"/>
  <c r="AW55" s="1"/>
  <c r="AW56" s="1"/>
  <c r="AW57" s="1"/>
  <c r="AW58" s="1"/>
  <c r="AW59" s="1"/>
  <c r="AW60" s="1"/>
  <c r="AW61" s="1"/>
  <c r="AW62" s="1"/>
  <c r="AW63" s="1"/>
  <c r="AW64" s="1"/>
  <c r="AW65" s="1"/>
  <c r="AW66" s="1"/>
  <c r="AW67" s="1"/>
  <c r="AW68" s="1"/>
  <c r="AW69" s="1"/>
  <c r="AW70" s="1"/>
  <c r="AW71" s="1"/>
  <c r="AW72" s="1"/>
  <c r="AW73" s="1"/>
  <c r="AW74" s="1"/>
  <c r="AW75" s="1"/>
  <c r="AW76" s="1"/>
  <c r="AW77" s="1"/>
  <c r="AW78" s="1"/>
  <c r="AW79" s="1"/>
  <c r="AW80" s="1"/>
  <c r="AW81" s="1"/>
  <c r="AW82" s="1"/>
  <c r="AW83" s="1"/>
  <c r="AW84" s="1"/>
  <c r="AW85" s="1"/>
  <c r="AW86" s="1"/>
  <c r="AW87" s="1"/>
  <c r="AW88" s="1"/>
  <c r="AW89" s="1"/>
  <c r="AW90" s="1"/>
  <c r="AW91" s="1"/>
  <c r="AW92" s="1"/>
  <c r="AW93" s="1"/>
  <c r="AW94" s="1"/>
  <c r="AW95" s="1"/>
  <c r="AW96" s="1"/>
  <c r="AW97" s="1"/>
  <c r="AW98" s="1"/>
  <c r="AW99" s="1"/>
  <c r="AW100" s="1"/>
  <c r="AW101" s="1"/>
  <c r="AW102" s="1"/>
  <c r="AW103" s="1"/>
  <c r="AW104" s="1"/>
  <c r="AW105" s="1"/>
  <c r="AW106" s="1"/>
  <c r="AW107" s="1"/>
  <c r="AW108" s="1"/>
  <c r="AW109" s="1"/>
  <c r="AW110" s="1"/>
  <c r="AW111" s="1"/>
  <c r="AW112" s="1"/>
  <c r="AW113" s="1"/>
  <c r="AW114" s="1"/>
  <c r="AW115" s="1"/>
  <c r="AW116" s="1"/>
  <c r="AW117" s="1"/>
  <c r="AW118" s="1"/>
  <c r="AW119" s="1"/>
  <c r="AW120" s="1"/>
  <c r="AW121" s="1"/>
  <c r="AW122" s="1"/>
  <c r="AW123" s="1"/>
  <c r="AW124" s="1"/>
  <c r="AW125" s="1"/>
  <c r="AW126" s="1"/>
  <c r="AW127" s="1"/>
  <c r="AW128" s="1"/>
  <c r="AW129" s="1"/>
  <c r="AW130" s="1"/>
  <c r="AW131" s="1"/>
  <c r="AW132" s="1"/>
  <c r="AW133" s="1"/>
  <c r="AW134" s="1"/>
  <c r="AW135" s="1"/>
  <c r="AW136" s="1"/>
  <c r="AW137" s="1"/>
  <c r="AW138" s="1"/>
  <c r="AW139" s="1"/>
  <c r="AW140" s="1"/>
  <c r="AW141" s="1"/>
  <c r="AW142" s="1"/>
  <c r="AW143" s="1"/>
  <c r="AW144" s="1"/>
  <c r="AW145" s="1"/>
  <c r="AW146" s="1"/>
  <c r="AW147" s="1"/>
  <c r="AW148" s="1"/>
  <c r="AW149" s="1"/>
  <c r="AW150" s="1"/>
  <c r="AW151" s="1"/>
  <c r="AW152" s="1"/>
  <c r="AW153" s="1"/>
  <c r="AW154" s="1"/>
  <c r="AW155" s="1"/>
  <c r="AW156" s="1"/>
  <c r="AW157" s="1"/>
  <c r="AW158" s="1"/>
  <c r="AW159" s="1"/>
  <c r="AW160" s="1"/>
  <c r="AW161" s="1"/>
  <c r="AW162" s="1"/>
  <c r="AW163" s="1"/>
  <c r="AW164" s="1"/>
  <c r="AW165" s="1"/>
  <c r="AW166" s="1"/>
  <c r="AW167" s="1"/>
  <c r="AW168" s="1"/>
  <c r="AW169" s="1"/>
  <c r="AW170" s="1"/>
  <c r="AW171" s="1"/>
  <c r="AW172" s="1"/>
  <c r="AW173" s="1"/>
  <c r="AW174" s="1"/>
  <c r="AW175" s="1"/>
  <c r="AW176" s="1"/>
  <c r="AW177" s="1"/>
  <c r="AW178" s="1"/>
  <c r="AW179" s="1"/>
  <c r="AW180" s="1"/>
  <c r="AW181" s="1"/>
  <c r="AW182" s="1"/>
  <c r="AW183" s="1"/>
  <c r="AW184" s="1"/>
  <c r="AW185" s="1"/>
  <c r="AW186" s="1"/>
  <c r="AW187" s="1"/>
  <c r="AW188" s="1"/>
  <c r="AW189" s="1"/>
  <c r="AW190" s="1"/>
  <c r="AR6"/>
  <c r="AI6"/>
  <c r="AC6"/>
  <c r="L6"/>
  <c r="F6"/>
  <c r="AR5"/>
  <c r="AI5"/>
  <c r="AC5"/>
  <c r="L5"/>
  <c r="BA191" i="5"/>
  <c r="B361" i="24" l="1"/>
  <c r="B362" s="1"/>
  <c r="C617" i="35"/>
  <c r="B217" i="24"/>
  <c r="B218" s="1"/>
  <c r="C355" i="35"/>
  <c r="B111" i="24"/>
  <c r="B112" s="1"/>
  <c r="C327" i="35"/>
  <c r="B75" i="24"/>
  <c r="B76" s="1"/>
  <c r="C630" i="35"/>
  <c r="C86"/>
  <c r="C299"/>
  <c r="B47" i="24"/>
  <c r="B48" s="1"/>
  <c r="C271" i="35"/>
  <c r="B35" i="24"/>
  <c r="B36" s="1"/>
  <c r="Q28" i="41"/>
  <c r="B27" i="24"/>
  <c r="B28" s="1"/>
  <c r="Q39" i="41"/>
  <c r="AI191" i="37"/>
  <c r="F191"/>
  <c r="K125" i="48"/>
  <c r="J125" s="1"/>
  <c r="I125" s="1"/>
  <c r="H125" s="1"/>
  <c r="B206" i="25"/>
  <c r="B207" s="1"/>
  <c r="B209" i="24"/>
  <c r="B210" s="1"/>
  <c r="B198" i="25"/>
  <c r="B101" i="24"/>
  <c r="B102" s="1"/>
  <c r="B73"/>
  <c r="B74" s="1"/>
  <c r="B17"/>
  <c r="B18" s="1"/>
  <c r="J64" i="48"/>
  <c r="I64" s="1"/>
  <c r="H64" s="1"/>
  <c r="H122"/>
  <c r="B202" i="25"/>
  <c r="B203" s="1"/>
  <c r="B200"/>
  <c r="W191" i="37"/>
  <c r="B359" i="24"/>
  <c r="B81"/>
  <c r="B82" s="1"/>
  <c r="BA16" i="37"/>
  <c r="B29" i="24"/>
  <c r="B30" s="1"/>
  <c r="B23"/>
  <c r="B24" s="1"/>
  <c r="AZ17" i="32"/>
  <c r="BF36" i="5"/>
  <c r="B115" i="24"/>
  <c r="B116" s="1"/>
  <c r="B21"/>
  <c r="B22" s="1"/>
  <c r="B107"/>
  <c r="B108" s="1"/>
  <c r="B105"/>
  <c r="B106" s="1"/>
  <c r="B113"/>
  <c r="B114" s="1"/>
  <c r="B49"/>
  <c r="B50" s="1"/>
  <c r="B57"/>
  <c r="B58" s="1"/>
  <c r="B53"/>
  <c r="B54" s="1"/>
  <c r="B55"/>
  <c r="B56" s="1"/>
  <c r="B51"/>
  <c r="B52" s="1"/>
  <c r="B59"/>
  <c r="B60" s="1"/>
  <c r="B79"/>
  <c r="B80" s="1"/>
  <c r="B109"/>
  <c r="B110" s="1"/>
  <c r="B63"/>
  <c r="B64" s="1"/>
  <c r="BD16" i="28"/>
  <c r="B119" i="24"/>
  <c r="B120" s="1"/>
  <c r="B103"/>
  <c r="B104" s="1"/>
  <c r="B91"/>
  <c r="B92" s="1"/>
  <c r="B87"/>
  <c r="B88" s="1"/>
  <c r="B85"/>
  <c r="B86" s="1"/>
  <c r="B83"/>
  <c r="B84" s="1"/>
  <c r="B77"/>
  <c r="B78" s="1"/>
  <c r="B31"/>
  <c r="B32" s="1"/>
  <c r="B25"/>
  <c r="B26" s="1"/>
  <c r="B19"/>
  <c r="B20" s="1"/>
  <c r="B299"/>
  <c r="AX191" i="37"/>
  <c r="L191"/>
  <c r="AC191"/>
  <c r="AR191"/>
  <c r="B360" i="24" l="1"/>
  <c r="B358" i="25" s="1"/>
  <c r="B357" i="24"/>
  <c r="B358" s="1"/>
  <c r="B300"/>
  <c r="B298" i="25" s="1"/>
  <c r="B299" s="1"/>
  <c r="B216"/>
  <c r="B217" s="1"/>
  <c r="C422" i="35"/>
  <c r="B201" i="25"/>
  <c r="B208"/>
  <c r="B209" s="1"/>
  <c r="B37" i="24"/>
  <c r="B38" s="1"/>
  <c r="B93"/>
  <c r="B94" s="1"/>
  <c r="B63" i="25"/>
  <c r="B64" s="1"/>
  <c r="B105"/>
  <c r="B106" s="1"/>
  <c r="B121" i="24"/>
  <c r="B73" i="25"/>
  <c r="B17"/>
  <c r="B101"/>
  <c r="B45" i="24"/>
  <c r="B46" s="1"/>
  <c r="B199" i="25"/>
  <c r="B360"/>
  <c r="B361" s="1"/>
  <c r="AX193" i="37"/>
  <c r="C332" i="35" s="1"/>
  <c r="C333" s="1"/>
  <c r="B119" i="25"/>
  <c r="B120" s="1"/>
  <c r="B57"/>
  <c r="B58" s="1"/>
  <c r="B35"/>
  <c r="B36" s="1"/>
  <c r="B59"/>
  <c r="B60" s="1"/>
  <c r="B31"/>
  <c r="B32" s="1"/>
  <c r="B83"/>
  <c r="B84" s="1"/>
  <c r="B103"/>
  <c r="B104" s="1"/>
  <c r="B79"/>
  <c r="B80" s="1"/>
  <c r="B47"/>
  <c r="B48" s="1"/>
  <c r="B113"/>
  <c r="B114" s="1"/>
  <c r="B23"/>
  <c r="B24" s="1"/>
  <c r="B25"/>
  <c r="B26" s="1"/>
  <c r="B87"/>
  <c r="B88" s="1"/>
  <c r="B109"/>
  <c r="B110" s="1"/>
  <c r="B51"/>
  <c r="B52" s="1"/>
  <c r="B107"/>
  <c r="B108" s="1"/>
  <c r="B19"/>
  <c r="B20" s="1"/>
  <c r="B85"/>
  <c r="B86" s="1"/>
  <c r="B111"/>
  <c r="B112" s="1"/>
  <c r="B53"/>
  <c r="B54" s="1"/>
  <c r="B115"/>
  <c r="B116" s="1"/>
  <c r="B29"/>
  <c r="B30" s="1"/>
  <c r="B81"/>
  <c r="B82" s="1"/>
  <c r="B27"/>
  <c r="B28" s="1"/>
  <c r="B91"/>
  <c r="B92" s="1"/>
  <c r="B55"/>
  <c r="B56" s="1"/>
  <c r="B49"/>
  <c r="B50" s="1"/>
  <c r="B21"/>
  <c r="B22" s="1"/>
  <c r="B75"/>
  <c r="B76" s="1"/>
  <c r="B77"/>
  <c r="B78" s="1"/>
  <c r="AJ6" i="28"/>
  <c r="AD6"/>
  <c r="F27" i="34"/>
  <c r="E9"/>
  <c r="E8"/>
  <c r="F51"/>
  <c r="F52"/>
  <c r="F50"/>
  <c r="B359" i="25" l="1"/>
  <c r="B356"/>
  <c r="B357" s="1"/>
  <c r="B122" i="24"/>
  <c r="C357" i="35"/>
  <c r="C358" s="1"/>
  <c r="B98" i="24"/>
  <c r="B99" s="1"/>
  <c r="B18" i="25"/>
  <c r="B37"/>
  <c r="B102"/>
  <c r="B121"/>
  <c r="B122" s="1"/>
  <c r="B74"/>
  <c r="B93"/>
  <c r="B94" s="1"/>
  <c r="B65" i="24"/>
  <c r="B66" s="1"/>
  <c r="B45" i="25"/>
  <c r="AP7" i="32"/>
  <c r="AB6" i="5"/>
  <c r="B38" i="25" l="1"/>
  <c r="B189" i="24"/>
  <c r="B190" s="1"/>
  <c r="B46" i="25"/>
  <c r="B65"/>
  <c r="B66" s="1"/>
  <c r="B98"/>
  <c r="B123" i="24"/>
  <c r="B124" s="1"/>
  <c r="L7" i="32"/>
  <c r="AD5" i="5"/>
  <c r="Y6" i="28"/>
  <c r="E4" i="34"/>
  <c r="F41"/>
  <c r="F20"/>
  <c r="E3"/>
  <c r="E5"/>
  <c r="E6"/>
  <c r="E11"/>
  <c r="E12"/>
  <c r="E14"/>
  <c r="E15"/>
  <c r="E16"/>
  <c r="E17"/>
  <c r="E18"/>
  <c r="E2"/>
  <c r="B188" i="25" l="1"/>
  <c r="C609" i="35"/>
  <c r="B281" i="24"/>
  <c r="B282" s="1"/>
  <c r="B381"/>
  <c r="B381" i="25" s="1"/>
  <c r="B380" i="24"/>
  <c r="B380" i="25" s="1"/>
  <c r="B123"/>
  <c r="B124" s="1"/>
  <c r="B99"/>
  <c r="F2" i="34"/>
  <c r="G22" s="1"/>
  <c r="B279" i="24"/>
  <c r="B309"/>
  <c r="B310" s="1"/>
  <c r="B293"/>
  <c r="B294" s="1"/>
  <c r="B323"/>
  <c r="B324" s="1"/>
  <c r="B265"/>
  <c r="B266" s="1"/>
  <c r="B295"/>
  <c r="B296" s="1"/>
  <c r="B317"/>
  <c r="B318" s="1"/>
  <c r="B297"/>
  <c r="B298" s="1"/>
  <c r="B283"/>
  <c r="B284" s="1"/>
  <c r="B319"/>
  <c r="B320" s="1"/>
  <c r="B311"/>
  <c r="B312" s="1"/>
  <c r="B307"/>
  <c r="B308" s="1"/>
  <c r="B291"/>
  <c r="B292" s="1"/>
  <c r="B321"/>
  <c r="B322" s="1"/>
  <c r="B313"/>
  <c r="B314" s="1"/>
  <c r="B267"/>
  <c r="B268" s="1"/>
  <c r="M17" i="5"/>
  <c r="V6"/>
  <c r="B280" i="24" l="1"/>
  <c r="B189" i="25"/>
  <c r="B292"/>
  <c r="B293" s="1"/>
  <c r="B315" i="24"/>
  <c r="B316" s="1"/>
  <c r="B262" i="25"/>
  <c r="B263" s="1"/>
  <c r="B264"/>
  <c r="B265" s="1"/>
  <c r="B290"/>
  <c r="B291" s="1"/>
  <c r="B322"/>
  <c r="B323" s="1"/>
  <c r="B350" i="24"/>
  <c r="B351" s="1"/>
  <c r="G36" i="34"/>
  <c r="D24"/>
  <c r="B371" i="24"/>
  <c r="B372" s="1"/>
  <c r="B45" i="34"/>
  <c r="B316" i="25"/>
  <c r="B317" s="1"/>
  <c r="B312"/>
  <c r="B313" s="1"/>
  <c r="B320"/>
  <c r="B321" s="1"/>
  <c r="B318"/>
  <c r="B319" s="1"/>
  <c r="B347" i="24" l="1"/>
  <c r="B348" s="1"/>
  <c r="B314" i="25"/>
  <c r="B315" s="1"/>
  <c r="D38" i="34"/>
  <c r="G45"/>
  <c r="D47" s="1"/>
  <c r="B310" i="25"/>
  <c r="B311" s="1"/>
  <c r="Y7" i="28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Y35" s="1"/>
  <c r="Y36" s="1"/>
  <c r="Y37" s="1"/>
  <c r="Y38" s="1"/>
  <c r="Y39" s="1"/>
  <c r="Y40" s="1"/>
  <c r="Y41" s="1"/>
  <c r="Y42" s="1"/>
  <c r="Y43" s="1"/>
  <c r="Y44" s="1"/>
  <c r="Y45" s="1"/>
  <c r="Y46" s="1"/>
  <c r="Y47" s="1"/>
  <c r="Y48" s="1"/>
  <c r="Y49" s="1"/>
  <c r="Y50" s="1"/>
  <c r="Y51" s="1"/>
  <c r="Y52" s="1"/>
  <c r="Y53" s="1"/>
  <c r="Y54" s="1"/>
  <c r="Y55" s="1"/>
  <c r="Y56" s="1"/>
  <c r="Y57" s="1"/>
  <c r="Y58" s="1"/>
  <c r="Y59" s="1"/>
  <c r="Y60" s="1"/>
  <c r="Y61" s="1"/>
  <c r="Y62" s="1"/>
  <c r="Y63" s="1"/>
  <c r="Y64" s="1"/>
  <c r="Y65" s="1"/>
  <c r="Y66" s="1"/>
  <c r="Y67" s="1"/>
  <c r="Y68" s="1"/>
  <c r="Y69" s="1"/>
  <c r="Y70" s="1"/>
  <c r="Y71" s="1"/>
  <c r="Y72" s="1"/>
  <c r="Y73" s="1"/>
  <c r="Y74" s="1"/>
  <c r="Y75" s="1"/>
  <c r="Y76" s="1"/>
  <c r="Y77" s="1"/>
  <c r="Y78" s="1"/>
  <c r="Y79" s="1"/>
  <c r="Y80" s="1"/>
  <c r="Y81" s="1"/>
  <c r="Y82" s="1"/>
  <c r="Y83" s="1"/>
  <c r="Y84" s="1"/>
  <c r="Y85" s="1"/>
  <c r="Y86" s="1"/>
  <c r="Y87" s="1"/>
  <c r="Y88" s="1"/>
  <c r="Y89" s="1"/>
  <c r="Y90" s="1"/>
  <c r="Y91" s="1"/>
  <c r="Y92" s="1"/>
  <c r="Y93" s="1"/>
  <c r="Y94" s="1"/>
  <c r="Y95" s="1"/>
  <c r="Y96" s="1"/>
  <c r="Y97" s="1"/>
  <c r="Y98" s="1"/>
  <c r="Y99" s="1"/>
  <c r="Y100" s="1"/>
  <c r="Y101" s="1"/>
  <c r="Y102" s="1"/>
  <c r="Y103" s="1"/>
  <c r="Y104" s="1"/>
  <c r="Y105" s="1"/>
  <c r="Y106" s="1"/>
  <c r="Y107" s="1"/>
  <c r="Y108" s="1"/>
  <c r="Y109" s="1"/>
  <c r="Y110" s="1"/>
  <c r="Y111" s="1"/>
  <c r="Y112" s="1"/>
  <c r="Y113" s="1"/>
  <c r="Y114" s="1"/>
  <c r="Y115" s="1"/>
  <c r="Y116" s="1"/>
  <c r="Y117" s="1"/>
  <c r="Y118" s="1"/>
  <c r="Y119" s="1"/>
  <c r="Y120" s="1"/>
  <c r="Y121" s="1"/>
  <c r="Y122" s="1"/>
  <c r="Y123" s="1"/>
  <c r="Y124" s="1"/>
  <c r="Y125" s="1"/>
  <c r="Y126" s="1"/>
  <c r="Y127" s="1"/>
  <c r="Y128" s="1"/>
  <c r="Y129" s="1"/>
  <c r="Y130" s="1"/>
  <c r="Y131" s="1"/>
  <c r="Y132" s="1"/>
  <c r="Y133" s="1"/>
  <c r="Y134" s="1"/>
  <c r="Y135" s="1"/>
  <c r="Y136" s="1"/>
  <c r="Y137" s="1"/>
  <c r="Y138" s="1"/>
  <c r="Y139" s="1"/>
  <c r="Y140" s="1"/>
  <c r="Y141" s="1"/>
  <c r="Y142" s="1"/>
  <c r="Y143" s="1"/>
  <c r="Y144" s="1"/>
  <c r="Y145" s="1"/>
  <c r="Y146" s="1"/>
  <c r="Y147" s="1"/>
  <c r="Y148" s="1"/>
  <c r="Y149" s="1"/>
  <c r="Y150" s="1"/>
  <c r="Y151" s="1"/>
  <c r="Y152" s="1"/>
  <c r="Y153" s="1"/>
  <c r="Y154" s="1"/>
  <c r="Y155" s="1"/>
  <c r="Y156" s="1"/>
  <c r="Y157" s="1"/>
  <c r="Y158" s="1"/>
  <c r="Y159" s="1"/>
  <c r="Y160" s="1"/>
  <c r="Y161" s="1"/>
  <c r="Y162" s="1"/>
  <c r="Y163" s="1"/>
  <c r="Y164" s="1"/>
  <c r="Y165" s="1"/>
  <c r="Y166" s="1"/>
  <c r="Y167" s="1"/>
  <c r="Y168" s="1"/>
  <c r="Y169" s="1"/>
  <c r="Y170" s="1"/>
  <c r="Y171" s="1"/>
  <c r="Y172" s="1"/>
  <c r="Y173" s="1"/>
  <c r="Y174" s="1"/>
  <c r="Y175" s="1"/>
  <c r="Y176" s="1"/>
  <c r="Y177" s="1"/>
  <c r="Y178" s="1"/>
  <c r="Y179" s="1"/>
  <c r="Y180" s="1"/>
  <c r="Y181" s="1"/>
  <c r="Y182" s="1"/>
  <c r="Y183" s="1"/>
  <c r="Y184" s="1"/>
  <c r="Y185" s="1"/>
  <c r="Y186" s="1"/>
  <c r="Y187" s="1"/>
  <c r="Y188" s="1"/>
  <c r="Y189" s="1"/>
  <c r="Y190" s="1"/>
  <c r="C51" i="35" s="1"/>
  <c r="AV7" i="32" l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V37" s="1"/>
  <c r="AV38" s="1"/>
  <c r="AV39" s="1"/>
  <c r="AV40" s="1"/>
  <c r="AV41" s="1"/>
  <c r="AV42" s="1"/>
  <c r="AV43" s="1"/>
  <c r="AV44" s="1"/>
  <c r="AV45" s="1"/>
  <c r="AV46" s="1"/>
  <c r="AV47" s="1"/>
  <c r="AV48" s="1"/>
  <c r="AV49" s="1"/>
  <c r="AV50" s="1"/>
  <c r="AV51" s="1"/>
  <c r="AV52" s="1"/>
  <c r="AV53" s="1"/>
  <c r="AV54" s="1"/>
  <c r="AV55" s="1"/>
  <c r="AV56" s="1"/>
  <c r="AV57" s="1"/>
  <c r="AV58" s="1"/>
  <c r="AV59" s="1"/>
  <c r="AV60" s="1"/>
  <c r="AV61" s="1"/>
  <c r="AV62" s="1"/>
  <c r="AV63" s="1"/>
  <c r="AV64" s="1"/>
  <c r="AV65" s="1"/>
  <c r="AV66" s="1"/>
  <c r="AV67" s="1"/>
  <c r="AV68" s="1"/>
  <c r="AV69" s="1"/>
  <c r="AV70" s="1"/>
  <c r="AV71" s="1"/>
  <c r="AV72" s="1"/>
  <c r="AV73" s="1"/>
  <c r="AV74" s="1"/>
  <c r="AV75" s="1"/>
  <c r="AV76" s="1"/>
  <c r="AV77" s="1"/>
  <c r="AV78" s="1"/>
  <c r="AV79" s="1"/>
  <c r="AV80" s="1"/>
  <c r="AV81" s="1"/>
  <c r="AV82" s="1"/>
  <c r="AV83" s="1"/>
  <c r="AV84" s="1"/>
  <c r="AV85" s="1"/>
  <c r="AV86" s="1"/>
  <c r="AV87" s="1"/>
  <c r="AV88" s="1"/>
  <c r="AV89" s="1"/>
  <c r="AV90" s="1"/>
  <c r="AV91" s="1"/>
  <c r="AV92" s="1"/>
  <c r="AV93" s="1"/>
  <c r="AV94" s="1"/>
  <c r="AV95" s="1"/>
  <c r="AV96" s="1"/>
  <c r="AV97" s="1"/>
  <c r="AV98" s="1"/>
  <c r="AV99" s="1"/>
  <c r="AV100" s="1"/>
  <c r="AV101" s="1"/>
  <c r="AV102" s="1"/>
  <c r="AV103" s="1"/>
  <c r="AV104" s="1"/>
  <c r="AV105" s="1"/>
  <c r="AV106" s="1"/>
  <c r="AV107" s="1"/>
  <c r="AV108" s="1"/>
  <c r="AV109" s="1"/>
  <c r="AV110" s="1"/>
  <c r="AV111" s="1"/>
  <c r="AV112" s="1"/>
  <c r="AV113" s="1"/>
  <c r="AV114" s="1"/>
  <c r="AV115" s="1"/>
  <c r="AV116" s="1"/>
  <c r="AV117" s="1"/>
  <c r="AV118" s="1"/>
  <c r="AV119" s="1"/>
  <c r="AV120" s="1"/>
  <c r="AV121" s="1"/>
  <c r="AV122" s="1"/>
  <c r="AV123" s="1"/>
  <c r="AV124" s="1"/>
  <c r="AV125" s="1"/>
  <c r="AV126" s="1"/>
  <c r="AV127" s="1"/>
  <c r="AV128" s="1"/>
  <c r="AV129" s="1"/>
  <c r="AV130" s="1"/>
  <c r="AV131" s="1"/>
  <c r="AV132" s="1"/>
  <c r="AV133" s="1"/>
  <c r="AV134" s="1"/>
  <c r="AV135" s="1"/>
  <c r="AV136" s="1"/>
  <c r="AV137" s="1"/>
  <c r="AV138" s="1"/>
  <c r="AV139" s="1"/>
  <c r="AV140" s="1"/>
  <c r="AV141" s="1"/>
  <c r="AV142" s="1"/>
  <c r="AV143" s="1"/>
  <c r="AV144" s="1"/>
  <c r="AV145" s="1"/>
  <c r="AV146" s="1"/>
  <c r="AV147" s="1"/>
  <c r="AV148" s="1"/>
  <c r="AV149" s="1"/>
  <c r="AV150" s="1"/>
  <c r="AV151" s="1"/>
  <c r="AV152" s="1"/>
  <c r="AV153" s="1"/>
  <c r="AV154" s="1"/>
  <c r="AV155" s="1"/>
  <c r="AV156" s="1"/>
  <c r="AV157" s="1"/>
  <c r="AV158" s="1"/>
  <c r="AV159" s="1"/>
  <c r="AV160" s="1"/>
  <c r="AV161" s="1"/>
  <c r="AV162" s="1"/>
  <c r="AV163" s="1"/>
  <c r="AV164" s="1"/>
  <c r="AV165" s="1"/>
  <c r="AV166" s="1"/>
  <c r="AV167" s="1"/>
  <c r="AV168" s="1"/>
  <c r="AV169" s="1"/>
  <c r="AV170" s="1"/>
  <c r="AV171" s="1"/>
  <c r="AV172" s="1"/>
  <c r="AV173" s="1"/>
  <c r="AV174" s="1"/>
  <c r="AV175" s="1"/>
  <c r="AV176" s="1"/>
  <c r="AV177" s="1"/>
  <c r="AV178" s="1"/>
  <c r="AV179" s="1"/>
  <c r="AV180" s="1"/>
  <c r="AV181" s="1"/>
  <c r="AV182" s="1"/>
  <c r="AV183" s="1"/>
  <c r="AV184" s="1"/>
  <c r="AV185" s="1"/>
  <c r="AV186" s="1"/>
  <c r="AV187" s="1"/>
  <c r="AV188" s="1"/>
  <c r="AV189" s="1"/>
  <c r="AV190" s="1"/>
  <c r="AV191" s="1"/>
  <c r="C70" i="35" s="1"/>
  <c r="AP8" i="32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P36" s="1"/>
  <c r="AP37" s="1"/>
  <c r="AP38" s="1"/>
  <c r="AP39" s="1"/>
  <c r="AP40" s="1"/>
  <c r="AP41" s="1"/>
  <c r="AP42" s="1"/>
  <c r="AP43" s="1"/>
  <c r="AP44" s="1"/>
  <c r="AP45" s="1"/>
  <c r="AP46" s="1"/>
  <c r="AP47" s="1"/>
  <c r="AP48" s="1"/>
  <c r="AP49" s="1"/>
  <c r="AP50" s="1"/>
  <c r="AP51" s="1"/>
  <c r="AP52" s="1"/>
  <c r="AP53" s="1"/>
  <c r="AP54" s="1"/>
  <c r="AP55" s="1"/>
  <c r="AP56" s="1"/>
  <c r="AP57" s="1"/>
  <c r="AP58" s="1"/>
  <c r="AP59" s="1"/>
  <c r="AP60" s="1"/>
  <c r="AP61" s="1"/>
  <c r="AP62" s="1"/>
  <c r="AP63" s="1"/>
  <c r="AP64" s="1"/>
  <c r="AP65" s="1"/>
  <c r="AP66" s="1"/>
  <c r="AP67" s="1"/>
  <c r="AP68" s="1"/>
  <c r="AP69" s="1"/>
  <c r="AP70" s="1"/>
  <c r="AP71" s="1"/>
  <c r="AP72" s="1"/>
  <c r="AP73" s="1"/>
  <c r="AP74" s="1"/>
  <c r="AP75" s="1"/>
  <c r="AP76" s="1"/>
  <c r="AP77" s="1"/>
  <c r="AP78" s="1"/>
  <c r="AP79" s="1"/>
  <c r="AP80" s="1"/>
  <c r="AP81" s="1"/>
  <c r="AP82" s="1"/>
  <c r="AP83" s="1"/>
  <c r="AP84" s="1"/>
  <c r="AP85" s="1"/>
  <c r="AP86" s="1"/>
  <c r="AP87" s="1"/>
  <c r="AP88" s="1"/>
  <c r="AP89" s="1"/>
  <c r="AP90" s="1"/>
  <c r="AP91" s="1"/>
  <c r="AP92" s="1"/>
  <c r="AP93" s="1"/>
  <c r="AP94" s="1"/>
  <c r="AP95" s="1"/>
  <c r="AP96" s="1"/>
  <c r="AP97" s="1"/>
  <c r="AP98" s="1"/>
  <c r="AP99" s="1"/>
  <c r="AP100" s="1"/>
  <c r="AP101" s="1"/>
  <c r="AP102" s="1"/>
  <c r="AP103" s="1"/>
  <c r="AP104" s="1"/>
  <c r="AP105" s="1"/>
  <c r="AP106" s="1"/>
  <c r="AP107" s="1"/>
  <c r="AP108" s="1"/>
  <c r="AP109" s="1"/>
  <c r="AP110" s="1"/>
  <c r="AP111" s="1"/>
  <c r="AP112" s="1"/>
  <c r="AP113" s="1"/>
  <c r="AP114" s="1"/>
  <c r="AP115" s="1"/>
  <c r="AP116" s="1"/>
  <c r="AP117" s="1"/>
  <c r="AP118" s="1"/>
  <c r="AP119" s="1"/>
  <c r="AP120" s="1"/>
  <c r="AP121" s="1"/>
  <c r="AP122" s="1"/>
  <c r="AP123" s="1"/>
  <c r="AP124" s="1"/>
  <c r="AP125" s="1"/>
  <c r="AP126" s="1"/>
  <c r="AP127" s="1"/>
  <c r="AP128" s="1"/>
  <c r="AP129" s="1"/>
  <c r="AP130" s="1"/>
  <c r="AP131" s="1"/>
  <c r="AP132" s="1"/>
  <c r="AP133" s="1"/>
  <c r="AP134" s="1"/>
  <c r="AP135" s="1"/>
  <c r="AP136" s="1"/>
  <c r="AP137" s="1"/>
  <c r="AP138" s="1"/>
  <c r="AP139" s="1"/>
  <c r="AP140" s="1"/>
  <c r="AP141" s="1"/>
  <c r="AP142" s="1"/>
  <c r="AP143" s="1"/>
  <c r="AP144" s="1"/>
  <c r="AP145" s="1"/>
  <c r="AP146" s="1"/>
  <c r="AP147" s="1"/>
  <c r="AP148" s="1"/>
  <c r="AP149" s="1"/>
  <c r="AP150" s="1"/>
  <c r="AP151" s="1"/>
  <c r="AP152" s="1"/>
  <c r="AP153" s="1"/>
  <c r="AP154" s="1"/>
  <c r="AP155" s="1"/>
  <c r="AP156" s="1"/>
  <c r="AP157" s="1"/>
  <c r="AP158" s="1"/>
  <c r="AP159" s="1"/>
  <c r="AP160" s="1"/>
  <c r="AP161" s="1"/>
  <c r="AP162" s="1"/>
  <c r="AP163" s="1"/>
  <c r="AP164" s="1"/>
  <c r="AP165" s="1"/>
  <c r="AP166" s="1"/>
  <c r="AP167" s="1"/>
  <c r="AP168" s="1"/>
  <c r="AP169" s="1"/>
  <c r="AP170" s="1"/>
  <c r="AP171" s="1"/>
  <c r="AP172" s="1"/>
  <c r="AP173" s="1"/>
  <c r="AP174" s="1"/>
  <c r="AP175" s="1"/>
  <c r="AP176" s="1"/>
  <c r="AP177" s="1"/>
  <c r="AP178" s="1"/>
  <c r="AP179" s="1"/>
  <c r="AP180" s="1"/>
  <c r="AP181" s="1"/>
  <c r="AP182" s="1"/>
  <c r="AP183" s="1"/>
  <c r="AP184" s="1"/>
  <c r="AP185" s="1"/>
  <c r="AP186" s="1"/>
  <c r="AP187" s="1"/>
  <c r="AP188" s="1"/>
  <c r="AP189" s="1"/>
  <c r="AP190" s="1"/>
  <c r="AP191" s="1"/>
  <c r="C69" i="35" s="1"/>
  <c r="AJ7" i="32"/>
  <c r="AJ8" s="1"/>
  <c r="AJ9" s="1"/>
  <c r="AJ10" s="1"/>
  <c r="AJ11" s="1"/>
  <c r="AJ12" s="1"/>
  <c r="AJ13" s="1"/>
  <c r="AJ14" s="1"/>
  <c r="AJ15" s="1"/>
  <c r="AJ16" s="1"/>
  <c r="AJ17" s="1"/>
  <c r="AJ18" s="1"/>
  <c r="AJ19" s="1"/>
  <c r="AJ20" s="1"/>
  <c r="AJ21" s="1"/>
  <c r="AJ22" s="1"/>
  <c r="AJ23" s="1"/>
  <c r="AJ24" s="1"/>
  <c r="AJ25" s="1"/>
  <c r="AJ26" s="1"/>
  <c r="AJ27" s="1"/>
  <c r="AJ28" s="1"/>
  <c r="AJ29" s="1"/>
  <c r="AJ30" s="1"/>
  <c r="AJ31" s="1"/>
  <c r="AJ32" s="1"/>
  <c r="AJ33" s="1"/>
  <c r="AJ34" s="1"/>
  <c r="AJ35" s="1"/>
  <c r="AJ36" s="1"/>
  <c r="AJ37" s="1"/>
  <c r="AJ38" s="1"/>
  <c r="AJ39" s="1"/>
  <c r="AJ40" s="1"/>
  <c r="AJ41" s="1"/>
  <c r="AJ42" s="1"/>
  <c r="AJ43" s="1"/>
  <c r="AJ44" s="1"/>
  <c r="AJ45" s="1"/>
  <c r="AJ46" s="1"/>
  <c r="AJ47" s="1"/>
  <c r="AJ48" s="1"/>
  <c r="AJ49" s="1"/>
  <c r="AJ50" s="1"/>
  <c r="AJ51" s="1"/>
  <c r="AJ52" s="1"/>
  <c r="AJ53" s="1"/>
  <c r="AJ54" s="1"/>
  <c r="AJ55" s="1"/>
  <c r="AJ56" s="1"/>
  <c r="AJ57" s="1"/>
  <c r="AJ58" s="1"/>
  <c r="AJ59" s="1"/>
  <c r="AJ60" s="1"/>
  <c r="AJ61" s="1"/>
  <c r="AJ62" s="1"/>
  <c r="AJ63" s="1"/>
  <c r="AJ64" s="1"/>
  <c r="AJ65" s="1"/>
  <c r="AJ66" s="1"/>
  <c r="AJ67" s="1"/>
  <c r="AJ68" s="1"/>
  <c r="AJ69" s="1"/>
  <c r="AJ70" s="1"/>
  <c r="AJ71" s="1"/>
  <c r="AJ72" s="1"/>
  <c r="AJ73" s="1"/>
  <c r="AJ74" s="1"/>
  <c r="AJ75" s="1"/>
  <c r="AJ76" s="1"/>
  <c r="AJ77" s="1"/>
  <c r="AJ78" s="1"/>
  <c r="AJ79" s="1"/>
  <c r="AJ80" s="1"/>
  <c r="AJ81" s="1"/>
  <c r="AJ82" s="1"/>
  <c r="AJ83" s="1"/>
  <c r="AJ84" s="1"/>
  <c r="AJ85" s="1"/>
  <c r="AJ86" s="1"/>
  <c r="AJ87" s="1"/>
  <c r="AJ88" s="1"/>
  <c r="AJ89" s="1"/>
  <c r="AJ90" s="1"/>
  <c r="AJ91" s="1"/>
  <c r="AJ92" s="1"/>
  <c r="AJ93" s="1"/>
  <c r="AJ94" s="1"/>
  <c r="AJ95" s="1"/>
  <c r="AJ96" s="1"/>
  <c r="AJ97" s="1"/>
  <c r="AJ98" s="1"/>
  <c r="AJ99" s="1"/>
  <c r="AJ100" s="1"/>
  <c r="AJ101" s="1"/>
  <c r="AJ102" s="1"/>
  <c r="AJ103" s="1"/>
  <c r="AJ104" s="1"/>
  <c r="AJ105" s="1"/>
  <c r="AJ106" s="1"/>
  <c r="AJ107" s="1"/>
  <c r="AJ108" s="1"/>
  <c r="AJ109" s="1"/>
  <c r="AJ110" s="1"/>
  <c r="AJ111" s="1"/>
  <c r="AJ112" s="1"/>
  <c r="AJ113" s="1"/>
  <c r="AJ114" s="1"/>
  <c r="AJ115" s="1"/>
  <c r="AJ116" s="1"/>
  <c r="AJ117" s="1"/>
  <c r="AJ118" s="1"/>
  <c r="AJ119" s="1"/>
  <c r="AJ120" s="1"/>
  <c r="AJ121" s="1"/>
  <c r="AJ122" s="1"/>
  <c r="AJ123" s="1"/>
  <c r="AJ124" s="1"/>
  <c r="AJ125" s="1"/>
  <c r="AJ126" s="1"/>
  <c r="AJ127" s="1"/>
  <c r="AJ128" s="1"/>
  <c r="AJ129" s="1"/>
  <c r="AJ130" s="1"/>
  <c r="AJ131" s="1"/>
  <c r="AJ132" s="1"/>
  <c r="AJ133" s="1"/>
  <c r="AJ134" s="1"/>
  <c r="AJ135" s="1"/>
  <c r="AJ136" s="1"/>
  <c r="AJ137" s="1"/>
  <c r="AJ138" s="1"/>
  <c r="AJ139" s="1"/>
  <c r="AJ140" s="1"/>
  <c r="AJ141" s="1"/>
  <c r="AJ142" s="1"/>
  <c r="AJ143" s="1"/>
  <c r="AJ144" s="1"/>
  <c r="AJ145" s="1"/>
  <c r="AJ146" s="1"/>
  <c r="AJ147" s="1"/>
  <c r="AJ148" s="1"/>
  <c r="AJ149" s="1"/>
  <c r="AJ150" s="1"/>
  <c r="AJ151" s="1"/>
  <c r="AJ152" s="1"/>
  <c r="AJ153" s="1"/>
  <c r="AJ154" s="1"/>
  <c r="AJ155" s="1"/>
  <c r="AJ156" s="1"/>
  <c r="AJ157" s="1"/>
  <c r="AJ158" s="1"/>
  <c r="AJ159" s="1"/>
  <c r="AJ160" s="1"/>
  <c r="AJ161" s="1"/>
  <c r="AJ162" s="1"/>
  <c r="AJ163" s="1"/>
  <c r="AJ164" s="1"/>
  <c r="AJ165" s="1"/>
  <c r="AJ166" s="1"/>
  <c r="AJ167" s="1"/>
  <c r="AJ168" s="1"/>
  <c r="AJ169" s="1"/>
  <c r="AJ170" s="1"/>
  <c r="AJ171" s="1"/>
  <c r="AJ172" s="1"/>
  <c r="AJ173" s="1"/>
  <c r="AJ174" s="1"/>
  <c r="AJ175" s="1"/>
  <c r="AJ176" s="1"/>
  <c r="AJ177" s="1"/>
  <c r="AJ178" s="1"/>
  <c r="AJ179" s="1"/>
  <c r="AJ180" s="1"/>
  <c r="AJ181" s="1"/>
  <c r="AJ182" s="1"/>
  <c r="AJ183" s="1"/>
  <c r="AJ184" s="1"/>
  <c r="AJ185" s="1"/>
  <c r="AJ186" s="1"/>
  <c r="AJ187" s="1"/>
  <c r="AJ188" s="1"/>
  <c r="AJ189" s="1"/>
  <c r="AJ190" s="1"/>
  <c r="AJ191" s="1"/>
  <c r="C68" i="35" s="1"/>
  <c r="AD7" i="32"/>
  <c r="AD8" s="1"/>
  <c r="AD9" s="1"/>
  <c r="AD10" s="1"/>
  <c r="AD11" s="1"/>
  <c r="AD12" s="1"/>
  <c r="AD13" s="1"/>
  <c r="AD14" s="1"/>
  <c r="AD15" s="1"/>
  <c r="AD16" s="1"/>
  <c r="AD17" s="1"/>
  <c r="AD18" s="1"/>
  <c r="AD19" s="1"/>
  <c r="AD20" s="1"/>
  <c r="AD21" s="1"/>
  <c r="AD22" s="1"/>
  <c r="AD23" s="1"/>
  <c r="AD24" s="1"/>
  <c r="AD25" s="1"/>
  <c r="AD26" s="1"/>
  <c r="AD27" s="1"/>
  <c r="AD28" s="1"/>
  <c r="AD29" s="1"/>
  <c r="AD30" s="1"/>
  <c r="AD31" s="1"/>
  <c r="AD32" s="1"/>
  <c r="AD33" s="1"/>
  <c r="AD34" s="1"/>
  <c r="AD35" s="1"/>
  <c r="AD36" s="1"/>
  <c r="AD37" s="1"/>
  <c r="AD38" s="1"/>
  <c r="AD39" s="1"/>
  <c r="AD40" s="1"/>
  <c r="AD41" s="1"/>
  <c r="AD42" s="1"/>
  <c r="AD43" s="1"/>
  <c r="AD44" s="1"/>
  <c r="AD45" s="1"/>
  <c r="AD46" s="1"/>
  <c r="AD47" s="1"/>
  <c r="AD48" s="1"/>
  <c r="AD49" s="1"/>
  <c r="AD50" s="1"/>
  <c r="AD51" s="1"/>
  <c r="AD52" s="1"/>
  <c r="AD53" s="1"/>
  <c r="AD54" s="1"/>
  <c r="AD55" s="1"/>
  <c r="AD56" s="1"/>
  <c r="AD57" s="1"/>
  <c r="AD58" s="1"/>
  <c r="AD59" s="1"/>
  <c r="AD60" s="1"/>
  <c r="AD61" s="1"/>
  <c r="AD62" s="1"/>
  <c r="AD63" s="1"/>
  <c r="AD64" s="1"/>
  <c r="AD65" s="1"/>
  <c r="AD66" s="1"/>
  <c r="AD67" s="1"/>
  <c r="AD68" s="1"/>
  <c r="AD69" s="1"/>
  <c r="AD70" s="1"/>
  <c r="AD71" s="1"/>
  <c r="AD72" s="1"/>
  <c r="AD73" s="1"/>
  <c r="AD74" s="1"/>
  <c r="AD75" s="1"/>
  <c r="AD76" s="1"/>
  <c r="AD77" s="1"/>
  <c r="AD78" s="1"/>
  <c r="AD79" s="1"/>
  <c r="AD80" s="1"/>
  <c r="AD81" s="1"/>
  <c r="AD82" s="1"/>
  <c r="AD83" s="1"/>
  <c r="AD84" s="1"/>
  <c r="AD85" s="1"/>
  <c r="AD86" s="1"/>
  <c r="AD87" s="1"/>
  <c r="AD88" s="1"/>
  <c r="AD89" s="1"/>
  <c r="AD90" s="1"/>
  <c r="AD91" s="1"/>
  <c r="AD92" s="1"/>
  <c r="AD93" s="1"/>
  <c r="AD94" s="1"/>
  <c r="AD95" s="1"/>
  <c r="AD96" s="1"/>
  <c r="AD97" s="1"/>
  <c r="AD98" s="1"/>
  <c r="AD99" s="1"/>
  <c r="AD100" s="1"/>
  <c r="AD101" s="1"/>
  <c r="AD102" s="1"/>
  <c r="AD103" s="1"/>
  <c r="AD104" s="1"/>
  <c r="AD105" s="1"/>
  <c r="AD106" s="1"/>
  <c r="AD107" s="1"/>
  <c r="AD108" s="1"/>
  <c r="AD109" s="1"/>
  <c r="AD110" s="1"/>
  <c r="AD111" s="1"/>
  <c r="AD112" s="1"/>
  <c r="AD113" s="1"/>
  <c r="AD114" s="1"/>
  <c r="AD115" s="1"/>
  <c r="AD116" s="1"/>
  <c r="AD117" s="1"/>
  <c r="AD118" s="1"/>
  <c r="AD119" s="1"/>
  <c r="AD120" s="1"/>
  <c r="AD121" s="1"/>
  <c r="AD122" s="1"/>
  <c r="AD123" s="1"/>
  <c r="AD124" s="1"/>
  <c r="AD125" s="1"/>
  <c r="AD126" s="1"/>
  <c r="AD127" s="1"/>
  <c r="AD128" s="1"/>
  <c r="AD129" s="1"/>
  <c r="AD130" s="1"/>
  <c r="AD131" s="1"/>
  <c r="AD132" s="1"/>
  <c r="AD133" s="1"/>
  <c r="AD134" s="1"/>
  <c r="AD135" s="1"/>
  <c r="AD136" s="1"/>
  <c r="AD137" s="1"/>
  <c r="AD138" s="1"/>
  <c r="AD139" s="1"/>
  <c r="AD140" s="1"/>
  <c r="AD141" s="1"/>
  <c r="AD142" s="1"/>
  <c r="AD143" s="1"/>
  <c r="AD144" s="1"/>
  <c r="AD145" s="1"/>
  <c r="AD146" s="1"/>
  <c r="AD147" s="1"/>
  <c r="AD148" s="1"/>
  <c r="AD149" s="1"/>
  <c r="AD150" s="1"/>
  <c r="AD151" s="1"/>
  <c r="AD152" s="1"/>
  <c r="AD153" s="1"/>
  <c r="AD154" s="1"/>
  <c r="AD155" s="1"/>
  <c r="AD156" s="1"/>
  <c r="AD157" s="1"/>
  <c r="AD158" s="1"/>
  <c r="AD159" s="1"/>
  <c r="AD160" s="1"/>
  <c r="AD161" s="1"/>
  <c r="AD162" s="1"/>
  <c r="AD163" s="1"/>
  <c r="AD164" s="1"/>
  <c r="AD165" s="1"/>
  <c r="AD166" s="1"/>
  <c r="AD167" s="1"/>
  <c r="AD168" s="1"/>
  <c r="AD169" s="1"/>
  <c r="AD170" s="1"/>
  <c r="AD171" s="1"/>
  <c r="AD172" s="1"/>
  <c r="AD173" s="1"/>
  <c r="AD174" s="1"/>
  <c r="AD175" s="1"/>
  <c r="AD176" s="1"/>
  <c r="AD177" s="1"/>
  <c r="AD178" s="1"/>
  <c r="AD179" s="1"/>
  <c r="AD180" s="1"/>
  <c r="AD181" s="1"/>
  <c r="AD182" s="1"/>
  <c r="AD183" s="1"/>
  <c r="AD184" s="1"/>
  <c r="AD185" s="1"/>
  <c r="AD186" s="1"/>
  <c r="AD187" s="1"/>
  <c r="AD188" s="1"/>
  <c r="AD189" s="1"/>
  <c r="AD190" s="1"/>
  <c r="AD191" s="1"/>
  <c r="C67" i="35" s="1"/>
  <c r="X7" i="32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X80" s="1"/>
  <c r="X81" s="1"/>
  <c r="X82" s="1"/>
  <c r="X83" s="1"/>
  <c r="X84" s="1"/>
  <c r="X85" s="1"/>
  <c r="X86" s="1"/>
  <c r="X87" s="1"/>
  <c r="X88" s="1"/>
  <c r="X89" s="1"/>
  <c r="X90" s="1"/>
  <c r="X91" s="1"/>
  <c r="X92" s="1"/>
  <c r="X93" s="1"/>
  <c r="X94" s="1"/>
  <c r="X95" s="1"/>
  <c r="X96" s="1"/>
  <c r="X97" s="1"/>
  <c r="X98" s="1"/>
  <c r="X99" s="1"/>
  <c r="X100" s="1"/>
  <c r="X101" s="1"/>
  <c r="X102" s="1"/>
  <c r="X103" s="1"/>
  <c r="X104" s="1"/>
  <c r="X105" s="1"/>
  <c r="X106" s="1"/>
  <c r="X107" s="1"/>
  <c r="X108" s="1"/>
  <c r="X109" s="1"/>
  <c r="X110" s="1"/>
  <c r="X111" s="1"/>
  <c r="X112" s="1"/>
  <c r="X113" s="1"/>
  <c r="X114" s="1"/>
  <c r="X115" s="1"/>
  <c r="X116" s="1"/>
  <c r="X117" s="1"/>
  <c r="X118" s="1"/>
  <c r="X119" s="1"/>
  <c r="X120" s="1"/>
  <c r="X121" s="1"/>
  <c r="X122" s="1"/>
  <c r="X123" s="1"/>
  <c r="X124" s="1"/>
  <c r="X125" s="1"/>
  <c r="X126" s="1"/>
  <c r="X127" s="1"/>
  <c r="X128" s="1"/>
  <c r="X129" s="1"/>
  <c r="X130" s="1"/>
  <c r="X131" s="1"/>
  <c r="X132" s="1"/>
  <c r="X133" s="1"/>
  <c r="X134" s="1"/>
  <c r="X135" s="1"/>
  <c r="X136" s="1"/>
  <c r="X137" s="1"/>
  <c r="X138" s="1"/>
  <c r="X139" s="1"/>
  <c r="X140" s="1"/>
  <c r="X141" s="1"/>
  <c r="X142" s="1"/>
  <c r="X143" s="1"/>
  <c r="X144" s="1"/>
  <c r="X145" s="1"/>
  <c r="X146" s="1"/>
  <c r="X147" s="1"/>
  <c r="X148" s="1"/>
  <c r="X149" s="1"/>
  <c r="X150" s="1"/>
  <c r="X151" s="1"/>
  <c r="X152" s="1"/>
  <c r="X153" s="1"/>
  <c r="X154" s="1"/>
  <c r="X155" s="1"/>
  <c r="X156" s="1"/>
  <c r="X157" s="1"/>
  <c r="X158" s="1"/>
  <c r="X159" s="1"/>
  <c r="X160" s="1"/>
  <c r="X161" s="1"/>
  <c r="X162" s="1"/>
  <c r="X163" s="1"/>
  <c r="X164" s="1"/>
  <c r="X165" s="1"/>
  <c r="X166" s="1"/>
  <c r="X167" s="1"/>
  <c r="X168" s="1"/>
  <c r="X169" s="1"/>
  <c r="X170" s="1"/>
  <c r="X171" s="1"/>
  <c r="X172" s="1"/>
  <c r="X173" s="1"/>
  <c r="X174" s="1"/>
  <c r="X175" s="1"/>
  <c r="X176" s="1"/>
  <c r="X177" s="1"/>
  <c r="X178" s="1"/>
  <c r="X179" s="1"/>
  <c r="X180" s="1"/>
  <c r="X181" s="1"/>
  <c r="X182" s="1"/>
  <c r="X183" s="1"/>
  <c r="X184" s="1"/>
  <c r="X185" s="1"/>
  <c r="X186" s="1"/>
  <c r="X187" s="1"/>
  <c r="X188" s="1"/>
  <c r="X189" s="1"/>
  <c r="X190" s="1"/>
  <c r="X191" s="1"/>
  <c r="C66" i="35" s="1"/>
  <c r="S8" i="32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7"/>
  <c r="Q7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Q108" s="1"/>
  <c r="Q109" s="1"/>
  <c r="Q110" s="1"/>
  <c r="Q111" s="1"/>
  <c r="Q112" s="1"/>
  <c r="Q113" s="1"/>
  <c r="Q114" s="1"/>
  <c r="Q115" s="1"/>
  <c r="Q116" s="1"/>
  <c r="Q117" s="1"/>
  <c r="Q118" s="1"/>
  <c r="Q119" s="1"/>
  <c r="Q120" s="1"/>
  <c r="Q121" s="1"/>
  <c r="Q122" s="1"/>
  <c r="Q123" s="1"/>
  <c r="Q124" s="1"/>
  <c r="Q125" s="1"/>
  <c r="Q126" s="1"/>
  <c r="Q127" s="1"/>
  <c r="Q128" s="1"/>
  <c r="Q129" s="1"/>
  <c r="Q130" s="1"/>
  <c r="Q131" s="1"/>
  <c r="Q132" s="1"/>
  <c r="Q133" s="1"/>
  <c r="Q134" s="1"/>
  <c r="Q135" s="1"/>
  <c r="Q136" s="1"/>
  <c r="Q137" s="1"/>
  <c r="Q138" s="1"/>
  <c r="Q139" s="1"/>
  <c r="Q140" s="1"/>
  <c r="Q141" s="1"/>
  <c r="Q142" s="1"/>
  <c r="Q143" s="1"/>
  <c r="Q144" s="1"/>
  <c r="Q145" s="1"/>
  <c r="Q146" s="1"/>
  <c r="Q147" s="1"/>
  <c r="Q148" s="1"/>
  <c r="Q149" s="1"/>
  <c r="Q150" s="1"/>
  <c r="Q151" s="1"/>
  <c r="Q152" s="1"/>
  <c r="Q153" s="1"/>
  <c r="Q154" s="1"/>
  <c r="Q155" s="1"/>
  <c r="Q156" s="1"/>
  <c r="Q157" s="1"/>
  <c r="Q158" s="1"/>
  <c r="Q159" s="1"/>
  <c r="Q160" s="1"/>
  <c r="Q161" s="1"/>
  <c r="Q162" s="1"/>
  <c r="Q163" s="1"/>
  <c r="Q164" s="1"/>
  <c r="Q165" s="1"/>
  <c r="Q166" s="1"/>
  <c r="Q167" s="1"/>
  <c r="Q168" s="1"/>
  <c r="Q169" s="1"/>
  <c r="Q170" s="1"/>
  <c r="Q171" s="1"/>
  <c r="Q172" s="1"/>
  <c r="Q173" s="1"/>
  <c r="Q174" s="1"/>
  <c r="Q175" s="1"/>
  <c r="Q176" s="1"/>
  <c r="Q177" s="1"/>
  <c r="Q178" s="1"/>
  <c r="Q179" s="1"/>
  <c r="Q180" s="1"/>
  <c r="Q181" s="1"/>
  <c r="Q182" s="1"/>
  <c r="Q183" s="1"/>
  <c r="Q184" s="1"/>
  <c r="Q185" s="1"/>
  <c r="Q186" s="1"/>
  <c r="Q187" s="1"/>
  <c r="Q188" s="1"/>
  <c r="Q189" s="1"/>
  <c r="Q190" s="1"/>
  <c r="Q191" s="1"/>
  <c r="C65" i="35" s="1"/>
  <c r="L8" i="32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C63" i="35" s="1"/>
  <c r="E8" i="32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7"/>
  <c r="AW192"/>
  <c r="AQ192"/>
  <c r="AK192"/>
  <c r="AE192"/>
  <c r="Y192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C64" i="35" s="1"/>
  <c r="C73" l="1"/>
  <c r="L192" i="32"/>
  <c r="E192"/>
  <c r="S192"/>
  <c r="AW193" l="1"/>
  <c r="C304" i="35" s="1"/>
  <c r="C305" s="1"/>
  <c r="F19" i="5"/>
  <c r="F20"/>
  <c r="F21"/>
  <c r="F22"/>
  <c r="F18"/>
  <c r="B70" i="24" l="1"/>
  <c r="B71" s="1"/>
  <c r="C329" i="35"/>
  <c r="C330" s="1"/>
  <c r="B70" i="25" l="1"/>
  <c r="B71" s="1"/>
  <c r="B95" i="24"/>
  <c r="B96" s="1"/>
  <c r="BF5" i="5"/>
  <c r="BG5" s="1"/>
  <c r="B263" i="24"/>
  <c r="B264" s="1"/>
  <c r="C191" i="30"/>
  <c r="B191"/>
  <c r="L188"/>
  <c r="C217" i="35" s="1"/>
  <c r="C218" s="1"/>
  <c r="H188" i="30"/>
  <c r="C215" i="35" s="1"/>
  <c r="B220" i="24" l="1"/>
  <c r="B259"/>
  <c r="B260" s="1"/>
  <c r="B11"/>
  <c r="B12" s="1"/>
  <c r="B224"/>
  <c r="B95" i="25"/>
  <c r="B96" s="1"/>
  <c r="B257" i="24"/>
  <c r="B253"/>
  <c r="B254" s="1"/>
  <c r="B8"/>
  <c r="B9" s="1"/>
  <c r="B236"/>
  <c r="B370" i="25"/>
  <c r="B371" s="1"/>
  <c r="C122" i="35"/>
  <c r="B221" i="24" l="1"/>
  <c r="B258"/>
  <c r="B237"/>
  <c r="B225"/>
  <c r="C633" i="35"/>
  <c r="C634" s="1"/>
  <c r="B11" i="25"/>
  <c r="B240" i="24"/>
  <c r="B241" s="1"/>
  <c r="B230"/>
  <c r="B231" s="1"/>
  <c r="B261"/>
  <c r="B262" s="1"/>
  <c r="B242"/>
  <c r="B243" s="1"/>
  <c r="B226"/>
  <c r="B227" s="1"/>
  <c r="B248"/>
  <c r="B249" s="1"/>
  <c r="B238"/>
  <c r="B239" s="1"/>
  <c r="B8" i="25"/>
  <c r="B9" s="1"/>
  <c r="B275" i="24" l="1"/>
  <c r="B250"/>
  <c r="B232"/>
  <c r="B12" i="25"/>
  <c r="C108" i="35"/>
  <c r="AF12" i="28"/>
  <c r="B374" i="24" l="1"/>
  <c r="AR191" i="28"/>
  <c r="Z191"/>
  <c r="X191"/>
  <c r="W191"/>
  <c r="BA190"/>
  <c r="AU190"/>
  <c r="AL190"/>
  <c r="AF190"/>
  <c r="O190"/>
  <c r="I190"/>
  <c r="BA189"/>
  <c r="AU189"/>
  <c r="AL189"/>
  <c r="AF189"/>
  <c r="O189"/>
  <c r="I189"/>
  <c r="BA188"/>
  <c r="AU188"/>
  <c r="AL188"/>
  <c r="AF188"/>
  <c r="O188"/>
  <c r="I188"/>
  <c r="BA187"/>
  <c r="AU187"/>
  <c r="AL187"/>
  <c r="AF187"/>
  <c r="O187"/>
  <c r="I187"/>
  <c r="BA186"/>
  <c r="AU186"/>
  <c r="AL186"/>
  <c r="AF186"/>
  <c r="O186"/>
  <c r="I186"/>
  <c r="BA185"/>
  <c r="AU185"/>
  <c r="AL185"/>
  <c r="AF185"/>
  <c r="O185"/>
  <c r="I185"/>
  <c r="BA184"/>
  <c r="AU184"/>
  <c r="AL184"/>
  <c r="AF184"/>
  <c r="O184"/>
  <c r="I184"/>
  <c r="BA183"/>
  <c r="AU183"/>
  <c r="AL183"/>
  <c r="AF183"/>
  <c r="O183"/>
  <c r="I183"/>
  <c r="BA182"/>
  <c r="AU182"/>
  <c r="AL182"/>
  <c r="AF182"/>
  <c r="O182"/>
  <c r="I182"/>
  <c r="BA181"/>
  <c r="AU181"/>
  <c r="AL181"/>
  <c r="AF181"/>
  <c r="O181"/>
  <c r="I181"/>
  <c r="BA180"/>
  <c r="AU180"/>
  <c r="AL180"/>
  <c r="AF180"/>
  <c r="O180"/>
  <c r="I180"/>
  <c r="BA179"/>
  <c r="AU179"/>
  <c r="AL179"/>
  <c r="AF179"/>
  <c r="O179"/>
  <c r="I179"/>
  <c r="BA178"/>
  <c r="AU178"/>
  <c r="AL178"/>
  <c r="AF178"/>
  <c r="O178"/>
  <c r="I178"/>
  <c r="BA177"/>
  <c r="AU177"/>
  <c r="AL177"/>
  <c r="AF177"/>
  <c r="O177"/>
  <c r="I177"/>
  <c r="BA176"/>
  <c r="AU176"/>
  <c r="AL176"/>
  <c r="AF176"/>
  <c r="O176"/>
  <c r="I176"/>
  <c r="BA175"/>
  <c r="AU175"/>
  <c r="AL175"/>
  <c r="AF175"/>
  <c r="O175"/>
  <c r="I175"/>
  <c r="BA174"/>
  <c r="AU174"/>
  <c r="AL174"/>
  <c r="AF174"/>
  <c r="O174"/>
  <c r="I174"/>
  <c r="BA173"/>
  <c r="AU173"/>
  <c r="AL173"/>
  <c r="AF173"/>
  <c r="O173"/>
  <c r="I173"/>
  <c r="BA172"/>
  <c r="AU172"/>
  <c r="AL172"/>
  <c r="AF172"/>
  <c r="O172"/>
  <c r="I172"/>
  <c r="BA171"/>
  <c r="AU171"/>
  <c r="AL171"/>
  <c r="AF171"/>
  <c r="O171"/>
  <c r="I171"/>
  <c r="BA170"/>
  <c r="AU170"/>
  <c r="AL170"/>
  <c r="AF170"/>
  <c r="O170"/>
  <c r="I170"/>
  <c r="BA169"/>
  <c r="AU169"/>
  <c r="AL169"/>
  <c r="AF169"/>
  <c r="O169"/>
  <c r="I169"/>
  <c r="BA168"/>
  <c r="AU168"/>
  <c r="AL168"/>
  <c r="AF168"/>
  <c r="O168"/>
  <c r="I168"/>
  <c r="BA167"/>
  <c r="AU167"/>
  <c r="AL167"/>
  <c r="AF167"/>
  <c r="O167"/>
  <c r="I167"/>
  <c r="BA166"/>
  <c r="AU166"/>
  <c r="AL166"/>
  <c r="AF166"/>
  <c r="O166"/>
  <c r="I166"/>
  <c r="BA165"/>
  <c r="AU165"/>
  <c r="AL165"/>
  <c r="AF165"/>
  <c r="O165"/>
  <c r="I165"/>
  <c r="BA164"/>
  <c r="AU164"/>
  <c r="AL164"/>
  <c r="AF164"/>
  <c r="O164"/>
  <c r="I164"/>
  <c r="BA163"/>
  <c r="AU163"/>
  <c r="AL163"/>
  <c r="AF163"/>
  <c r="O163"/>
  <c r="I163"/>
  <c r="BA162"/>
  <c r="AU162"/>
  <c r="AL162"/>
  <c r="AF162"/>
  <c r="O162"/>
  <c r="I162"/>
  <c r="BA161"/>
  <c r="AU161"/>
  <c r="AL161"/>
  <c r="AF161"/>
  <c r="O161"/>
  <c r="I161"/>
  <c r="BA160"/>
  <c r="AU160"/>
  <c r="AL160"/>
  <c r="AF160"/>
  <c r="O160"/>
  <c r="I160"/>
  <c r="BA159"/>
  <c r="AU159"/>
  <c r="AL159"/>
  <c r="AF159"/>
  <c r="O159"/>
  <c r="I159"/>
  <c r="BA158"/>
  <c r="AU158"/>
  <c r="AL158"/>
  <c r="AF158"/>
  <c r="O158"/>
  <c r="I158"/>
  <c r="BA157"/>
  <c r="AU157"/>
  <c r="AL157"/>
  <c r="AF157"/>
  <c r="O157"/>
  <c r="I157"/>
  <c r="BA156"/>
  <c r="AU156"/>
  <c r="AL156"/>
  <c r="AF156"/>
  <c r="O156"/>
  <c r="I156"/>
  <c r="BA155"/>
  <c r="AU155"/>
  <c r="AL155"/>
  <c r="AF155"/>
  <c r="O155"/>
  <c r="I155"/>
  <c r="BA154"/>
  <c r="AU154"/>
  <c r="AL154"/>
  <c r="AF154"/>
  <c r="O154"/>
  <c r="I154"/>
  <c r="BA153"/>
  <c r="AU153"/>
  <c r="AL153"/>
  <c r="AF153"/>
  <c r="O153"/>
  <c r="I153"/>
  <c r="BA152"/>
  <c r="AU152"/>
  <c r="AL152"/>
  <c r="AF152"/>
  <c r="O152"/>
  <c r="I152"/>
  <c r="BA151"/>
  <c r="AU151"/>
  <c r="AL151"/>
  <c r="AF151"/>
  <c r="O151"/>
  <c r="I151"/>
  <c r="BA150"/>
  <c r="AU150"/>
  <c r="AL150"/>
  <c r="AF150"/>
  <c r="O150"/>
  <c r="I150"/>
  <c r="BA149"/>
  <c r="AU149"/>
  <c r="AL149"/>
  <c r="AF149"/>
  <c r="O149"/>
  <c r="I149"/>
  <c r="BA148"/>
  <c r="AU148"/>
  <c r="AL148"/>
  <c r="AF148"/>
  <c r="O148"/>
  <c r="I148"/>
  <c r="BA147"/>
  <c r="AU147"/>
  <c r="AL147"/>
  <c r="AF147"/>
  <c r="O147"/>
  <c r="I147"/>
  <c r="BA146"/>
  <c r="AU146"/>
  <c r="AL146"/>
  <c r="AF146"/>
  <c r="O146"/>
  <c r="I146"/>
  <c r="BA145"/>
  <c r="AU145"/>
  <c r="AL145"/>
  <c r="AF145"/>
  <c r="O145"/>
  <c r="I145"/>
  <c r="BA144"/>
  <c r="AU144"/>
  <c r="AL144"/>
  <c r="AF144"/>
  <c r="O144"/>
  <c r="I144"/>
  <c r="BA143"/>
  <c r="AU143"/>
  <c r="AL143"/>
  <c r="AF143"/>
  <c r="O143"/>
  <c r="I143"/>
  <c r="BA142"/>
  <c r="AU142"/>
  <c r="AL142"/>
  <c r="AF142"/>
  <c r="O142"/>
  <c r="I142"/>
  <c r="BA141"/>
  <c r="AU141"/>
  <c r="AL141"/>
  <c r="AF141"/>
  <c r="O141"/>
  <c r="I141"/>
  <c r="BA140"/>
  <c r="AU140"/>
  <c r="AL140"/>
  <c r="AF140"/>
  <c r="O140"/>
  <c r="I140"/>
  <c r="BA139"/>
  <c r="AU139"/>
  <c r="AL139"/>
  <c r="AF139"/>
  <c r="O139"/>
  <c r="I139"/>
  <c r="BA138"/>
  <c r="AU138"/>
  <c r="AL138"/>
  <c r="AF138"/>
  <c r="O138"/>
  <c r="I138"/>
  <c r="BA137"/>
  <c r="AU137"/>
  <c r="AL137"/>
  <c r="AF137"/>
  <c r="O137"/>
  <c r="I137"/>
  <c r="BA136"/>
  <c r="AU136"/>
  <c r="AL136"/>
  <c r="AF136"/>
  <c r="O136"/>
  <c r="I136"/>
  <c r="BA135"/>
  <c r="AU135"/>
  <c r="AL135"/>
  <c r="AF135"/>
  <c r="O135"/>
  <c r="I135"/>
  <c r="BA134"/>
  <c r="AU134"/>
  <c r="AL134"/>
  <c r="AF134"/>
  <c r="O134"/>
  <c r="I134"/>
  <c r="BA133"/>
  <c r="AU133"/>
  <c r="AL133"/>
  <c r="AF133"/>
  <c r="O133"/>
  <c r="I133"/>
  <c r="BA132"/>
  <c r="AU132"/>
  <c r="AL132"/>
  <c r="AF132"/>
  <c r="O132"/>
  <c r="I132"/>
  <c r="BA131"/>
  <c r="AU131"/>
  <c r="AL131"/>
  <c r="AF131"/>
  <c r="O131"/>
  <c r="I131"/>
  <c r="BA130"/>
  <c r="AU130"/>
  <c r="AL130"/>
  <c r="AF130"/>
  <c r="O130"/>
  <c r="I130"/>
  <c r="BA129"/>
  <c r="AU129"/>
  <c r="AL129"/>
  <c r="AF129"/>
  <c r="O129"/>
  <c r="I129"/>
  <c r="BA128"/>
  <c r="AU128"/>
  <c r="AL128"/>
  <c r="AF128"/>
  <c r="O128"/>
  <c r="I128"/>
  <c r="BA127"/>
  <c r="AU127"/>
  <c r="AL127"/>
  <c r="AF127"/>
  <c r="O127"/>
  <c r="I127"/>
  <c r="BA126"/>
  <c r="AU126"/>
  <c r="AL126"/>
  <c r="AF126"/>
  <c r="O126"/>
  <c r="I126"/>
  <c r="BA125"/>
  <c r="AU125"/>
  <c r="AL125"/>
  <c r="AF125"/>
  <c r="O125"/>
  <c r="I125"/>
  <c r="BA124"/>
  <c r="AU124"/>
  <c r="AL124"/>
  <c r="AF124"/>
  <c r="O124"/>
  <c r="I124"/>
  <c r="BA123"/>
  <c r="AU123"/>
  <c r="AL123"/>
  <c r="AF123"/>
  <c r="O123"/>
  <c r="I123"/>
  <c r="BA122"/>
  <c r="AU122"/>
  <c r="AL122"/>
  <c r="AF122"/>
  <c r="O122"/>
  <c r="I122"/>
  <c r="BA121"/>
  <c r="AU121"/>
  <c r="AL121"/>
  <c r="AF121"/>
  <c r="O121"/>
  <c r="I121"/>
  <c r="BA120"/>
  <c r="AU120"/>
  <c r="AL120"/>
  <c r="AF120"/>
  <c r="O120"/>
  <c r="I120"/>
  <c r="BA119"/>
  <c r="AU119"/>
  <c r="AL119"/>
  <c r="AF119"/>
  <c r="O119"/>
  <c r="I119"/>
  <c r="BA118"/>
  <c r="AU118"/>
  <c r="AL118"/>
  <c r="AF118"/>
  <c r="O118"/>
  <c r="I118"/>
  <c r="BA117"/>
  <c r="AU117"/>
  <c r="AL117"/>
  <c r="AF117"/>
  <c r="O117"/>
  <c r="I117"/>
  <c r="BA116"/>
  <c r="AU116"/>
  <c r="AL116"/>
  <c r="AF116"/>
  <c r="O116"/>
  <c r="I116"/>
  <c r="BA115"/>
  <c r="AU115"/>
  <c r="AL115"/>
  <c r="AF115"/>
  <c r="O115"/>
  <c r="I115"/>
  <c r="BA114"/>
  <c r="AU114"/>
  <c r="AL114"/>
  <c r="AF114"/>
  <c r="O114"/>
  <c r="I114"/>
  <c r="BA113"/>
  <c r="AU113"/>
  <c r="AL113"/>
  <c r="AF113"/>
  <c r="O113"/>
  <c r="I113"/>
  <c r="BA112"/>
  <c r="AU112"/>
  <c r="AL112"/>
  <c r="AF112"/>
  <c r="O112"/>
  <c r="I112"/>
  <c r="BA111"/>
  <c r="AU111"/>
  <c r="AL111"/>
  <c r="AF111"/>
  <c r="O111"/>
  <c r="I111"/>
  <c r="BA110"/>
  <c r="AU110"/>
  <c r="AL110"/>
  <c r="AF110"/>
  <c r="O110"/>
  <c r="I110"/>
  <c r="BA109"/>
  <c r="AU109"/>
  <c r="AL109"/>
  <c r="AF109"/>
  <c r="O109"/>
  <c r="I109"/>
  <c r="BA108"/>
  <c r="AU108"/>
  <c r="AL108"/>
  <c r="AF108"/>
  <c r="O108"/>
  <c r="I108"/>
  <c r="BA107"/>
  <c r="AU107"/>
  <c r="AL107"/>
  <c r="AF107"/>
  <c r="O107"/>
  <c r="I107"/>
  <c r="BA106"/>
  <c r="AU106"/>
  <c r="AL106"/>
  <c r="AF106"/>
  <c r="O106"/>
  <c r="I106"/>
  <c r="BA105"/>
  <c r="AU105"/>
  <c r="AL105"/>
  <c r="AF105"/>
  <c r="O105"/>
  <c r="I105"/>
  <c r="BA104"/>
  <c r="AU104"/>
  <c r="AL104"/>
  <c r="AF104"/>
  <c r="O104"/>
  <c r="I104"/>
  <c r="BA103"/>
  <c r="AU103"/>
  <c r="AL103"/>
  <c r="AF103"/>
  <c r="O103"/>
  <c r="I103"/>
  <c r="BA102"/>
  <c r="AU102"/>
  <c r="AL102"/>
  <c r="AF102"/>
  <c r="O102"/>
  <c r="I102"/>
  <c r="BA101"/>
  <c r="AU101"/>
  <c r="AL101"/>
  <c r="AF101"/>
  <c r="O101"/>
  <c r="I101"/>
  <c r="BA100"/>
  <c r="AU100"/>
  <c r="AL100"/>
  <c r="AF100"/>
  <c r="O100"/>
  <c r="I100"/>
  <c r="BA99"/>
  <c r="AU99"/>
  <c r="AL99"/>
  <c r="AF99"/>
  <c r="O99"/>
  <c r="I99"/>
  <c r="BA98"/>
  <c r="AU98"/>
  <c r="AL98"/>
  <c r="AF98"/>
  <c r="O98"/>
  <c r="I98"/>
  <c r="BA97"/>
  <c r="AU97"/>
  <c r="AL97"/>
  <c r="AF97"/>
  <c r="O97"/>
  <c r="I97"/>
  <c r="BA96"/>
  <c r="AU96"/>
  <c r="AL96"/>
  <c r="AF96"/>
  <c r="O96"/>
  <c r="I96"/>
  <c r="BA95"/>
  <c r="AU95"/>
  <c r="AL95"/>
  <c r="AF95"/>
  <c r="O95"/>
  <c r="I95"/>
  <c r="BA94"/>
  <c r="AU94"/>
  <c r="AL94"/>
  <c r="AF94"/>
  <c r="O94"/>
  <c r="I94"/>
  <c r="BA93"/>
  <c r="AU93"/>
  <c r="AL93"/>
  <c r="AF93"/>
  <c r="O93"/>
  <c r="I93"/>
  <c r="BA92"/>
  <c r="AU92"/>
  <c r="AL92"/>
  <c r="AF92"/>
  <c r="O92"/>
  <c r="I92"/>
  <c r="BA91"/>
  <c r="AU91"/>
  <c r="AL91"/>
  <c r="AF91"/>
  <c r="O91"/>
  <c r="I91"/>
  <c r="BA90"/>
  <c r="AU90"/>
  <c r="AL90"/>
  <c r="AF90"/>
  <c r="O90"/>
  <c r="I90"/>
  <c r="BA89"/>
  <c r="AU89"/>
  <c r="AL89"/>
  <c r="AF89"/>
  <c r="O89"/>
  <c r="I89"/>
  <c r="BA88"/>
  <c r="AU88"/>
  <c r="AL88"/>
  <c r="AF88"/>
  <c r="O88"/>
  <c r="I88"/>
  <c r="BA87"/>
  <c r="AU87"/>
  <c r="AL87"/>
  <c r="AF87"/>
  <c r="O87"/>
  <c r="I87"/>
  <c r="BA86"/>
  <c r="AU86"/>
  <c r="AL86"/>
  <c r="AF86"/>
  <c r="O86"/>
  <c r="I86"/>
  <c r="BA85"/>
  <c r="AU85"/>
  <c r="AL85"/>
  <c r="AF85"/>
  <c r="O85"/>
  <c r="I85"/>
  <c r="BA84"/>
  <c r="AU84"/>
  <c r="AL84"/>
  <c r="AF84"/>
  <c r="O84"/>
  <c r="I84"/>
  <c r="BA83"/>
  <c r="AU83"/>
  <c r="AL83"/>
  <c r="AF83"/>
  <c r="O83"/>
  <c r="I83"/>
  <c r="BA82"/>
  <c r="AU82"/>
  <c r="AL82"/>
  <c r="AF82"/>
  <c r="O82"/>
  <c r="I82"/>
  <c r="BA81"/>
  <c r="AU81"/>
  <c r="AL81"/>
  <c r="AF81"/>
  <c r="O81"/>
  <c r="I81"/>
  <c r="BA80"/>
  <c r="AU80"/>
  <c r="AL80"/>
  <c r="AF80"/>
  <c r="O80"/>
  <c r="I80"/>
  <c r="BA79"/>
  <c r="AU79"/>
  <c r="AL79"/>
  <c r="AF79"/>
  <c r="O79"/>
  <c r="I79"/>
  <c r="BA78"/>
  <c r="AU78"/>
  <c r="AL78"/>
  <c r="AF78"/>
  <c r="O78"/>
  <c r="I78"/>
  <c r="BA77"/>
  <c r="AU77"/>
  <c r="AL77"/>
  <c r="AF77"/>
  <c r="O77"/>
  <c r="I77"/>
  <c r="BA76"/>
  <c r="AU76"/>
  <c r="AL76"/>
  <c r="AF76"/>
  <c r="O76"/>
  <c r="I76"/>
  <c r="BA75"/>
  <c r="AU75"/>
  <c r="AL75"/>
  <c r="AF75"/>
  <c r="O75"/>
  <c r="I75"/>
  <c r="BA74"/>
  <c r="AU74"/>
  <c r="AL74"/>
  <c r="AF74"/>
  <c r="O74"/>
  <c r="I74"/>
  <c r="BA73"/>
  <c r="AU73"/>
  <c r="AL73"/>
  <c r="AF73"/>
  <c r="O73"/>
  <c r="I73"/>
  <c r="BA72"/>
  <c r="AU72"/>
  <c r="AL72"/>
  <c r="AF72"/>
  <c r="O72"/>
  <c r="I72"/>
  <c r="BA71"/>
  <c r="AU71"/>
  <c r="AL71"/>
  <c r="AF71"/>
  <c r="O71"/>
  <c r="I71"/>
  <c r="BA70"/>
  <c r="AU70"/>
  <c r="AL70"/>
  <c r="AF70"/>
  <c r="O70"/>
  <c r="I70"/>
  <c r="BA69"/>
  <c r="AU69"/>
  <c r="AL69"/>
  <c r="AF69"/>
  <c r="O69"/>
  <c r="I69"/>
  <c r="BA68"/>
  <c r="AU68"/>
  <c r="AL68"/>
  <c r="AF68"/>
  <c r="O68"/>
  <c r="I68"/>
  <c r="BA67"/>
  <c r="AU67"/>
  <c r="AL67"/>
  <c r="AF67"/>
  <c r="O67"/>
  <c r="I67"/>
  <c r="BA66"/>
  <c r="AU66"/>
  <c r="AL66"/>
  <c r="AF66"/>
  <c r="O66"/>
  <c r="I66"/>
  <c r="BA65"/>
  <c r="AU65"/>
  <c r="AL65"/>
  <c r="AF65"/>
  <c r="O65"/>
  <c r="I65"/>
  <c r="BA64"/>
  <c r="AU64"/>
  <c r="AL64"/>
  <c r="AF64"/>
  <c r="O64"/>
  <c r="I64"/>
  <c r="BA63"/>
  <c r="AU63"/>
  <c r="AL63"/>
  <c r="AF63"/>
  <c r="O63"/>
  <c r="I63"/>
  <c r="BA62"/>
  <c r="AU62"/>
  <c r="AL62"/>
  <c r="AF62"/>
  <c r="O62"/>
  <c r="I62"/>
  <c r="BA61"/>
  <c r="AU61"/>
  <c r="AL61"/>
  <c r="AF61"/>
  <c r="O61"/>
  <c r="I61"/>
  <c r="BA60"/>
  <c r="AU60"/>
  <c r="AL60"/>
  <c r="AF60"/>
  <c r="O60"/>
  <c r="I60"/>
  <c r="BA59"/>
  <c r="AU59"/>
  <c r="AL59"/>
  <c r="AF59"/>
  <c r="O59"/>
  <c r="I59"/>
  <c r="BA58"/>
  <c r="AU58"/>
  <c r="AL58"/>
  <c r="AF58"/>
  <c r="O58"/>
  <c r="I58"/>
  <c r="BA57"/>
  <c r="AU57"/>
  <c r="AL57"/>
  <c r="AF57"/>
  <c r="O57"/>
  <c r="I57"/>
  <c r="BA56"/>
  <c r="AU56"/>
  <c r="AL56"/>
  <c r="AF56"/>
  <c r="O56"/>
  <c r="I56"/>
  <c r="BA55"/>
  <c r="AU55"/>
  <c r="AL55"/>
  <c r="AF55"/>
  <c r="O55"/>
  <c r="I55"/>
  <c r="BA54"/>
  <c r="AU54"/>
  <c r="AL54"/>
  <c r="AF54"/>
  <c r="O54"/>
  <c r="I54"/>
  <c r="BA53"/>
  <c r="AU53"/>
  <c r="AL53"/>
  <c r="AF53"/>
  <c r="O53"/>
  <c r="I53"/>
  <c r="BA52"/>
  <c r="AU52"/>
  <c r="AL52"/>
  <c r="AF52"/>
  <c r="O52"/>
  <c r="I52"/>
  <c r="BA51"/>
  <c r="AU51"/>
  <c r="AL51"/>
  <c r="AF51"/>
  <c r="O51"/>
  <c r="I51"/>
  <c r="BA50"/>
  <c r="AU50"/>
  <c r="AL50"/>
  <c r="AF50"/>
  <c r="O50"/>
  <c r="I50"/>
  <c r="BA49"/>
  <c r="AU49"/>
  <c r="AL49"/>
  <c r="AF49"/>
  <c r="O49"/>
  <c r="I49"/>
  <c r="BA48"/>
  <c r="AU48"/>
  <c r="AL48"/>
  <c r="AF48"/>
  <c r="O48"/>
  <c r="I48"/>
  <c r="BA47"/>
  <c r="AU47"/>
  <c r="AL47"/>
  <c r="AF47"/>
  <c r="O47"/>
  <c r="I47"/>
  <c r="BA46"/>
  <c r="AU46"/>
  <c r="AL46"/>
  <c r="AF46"/>
  <c r="O46"/>
  <c r="I46"/>
  <c r="BA45"/>
  <c r="AU45"/>
  <c r="AL45"/>
  <c r="AF45"/>
  <c r="O45"/>
  <c r="I45"/>
  <c r="BA44"/>
  <c r="AU44"/>
  <c r="AL44"/>
  <c r="AF44"/>
  <c r="O44"/>
  <c r="I44"/>
  <c r="BA43"/>
  <c r="AU43"/>
  <c r="AL43"/>
  <c r="AF43"/>
  <c r="O43"/>
  <c r="I43"/>
  <c r="BA42"/>
  <c r="AU42"/>
  <c r="AL42"/>
  <c r="AF42"/>
  <c r="O42"/>
  <c r="I42"/>
  <c r="BA41"/>
  <c r="AU41"/>
  <c r="AL41"/>
  <c r="AF41"/>
  <c r="O41"/>
  <c r="I41"/>
  <c r="BA40"/>
  <c r="AU40"/>
  <c r="AL40"/>
  <c r="AF40"/>
  <c r="O40"/>
  <c r="I40"/>
  <c r="BA39"/>
  <c r="AU39"/>
  <c r="AL39"/>
  <c r="AF39"/>
  <c r="O39"/>
  <c r="I39"/>
  <c r="BA38"/>
  <c r="AU38"/>
  <c r="AL38"/>
  <c r="AF38"/>
  <c r="O38"/>
  <c r="I38"/>
  <c r="BA37"/>
  <c r="AU37"/>
  <c r="AL37"/>
  <c r="AF37"/>
  <c r="O37"/>
  <c r="I37"/>
  <c r="BA36"/>
  <c r="AU36"/>
  <c r="AL36"/>
  <c r="AF36"/>
  <c r="O36"/>
  <c r="I36"/>
  <c r="BA35"/>
  <c r="AU35"/>
  <c r="AL35"/>
  <c r="AF35"/>
  <c r="O35"/>
  <c r="I35"/>
  <c r="BA34"/>
  <c r="AU34"/>
  <c r="AL34"/>
  <c r="AF34"/>
  <c r="O34"/>
  <c r="I34"/>
  <c r="BA33"/>
  <c r="AU33"/>
  <c r="AL33"/>
  <c r="AF33"/>
  <c r="O33"/>
  <c r="I33"/>
  <c r="BA32"/>
  <c r="AU32"/>
  <c r="AL32"/>
  <c r="AF32"/>
  <c r="O32"/>
  <c r="I32"/>
  <c r="BA31"/>
  <c r="AU31"/>
  <c r="AL31"/>
  <c r="AF31"/>
  <c r="O31"/>
  <c r="I31"/>
  <c r="BA30"/>
  <c r="AU30"/>
  <c r="AL30"/>
  <c r="AF30"/>
  <c r="O30"/>
  <c r="I30"/>
  <c r="BA29"/>
  <c r="AU29"/>
  <c r="AL29"/>
  <c r="AF29"/>
  <c r="O29"/>
  <c r="I29"/>
  <c r="BA28"/>
  <c r="AU28"/>
  <c r="AL28"/>
  <c r="AF28"/>
  <c r="O28"/>
  <c r="I28"/>
  <c r="BA27"/>
  <c r="AU27"/>
  <c r="AL27"/>
  <c r="AF27"/>
  <c r="O27"/>
  <c r="I27"/>
  <c r="BA26"/>
  <c r="AU26"/>
  <c r="AL26"/>
  <c r="AF26"/>
  <c r="O26"/>
  <c r="I26"/>
  <c r="BA25"/>
  <c r="AU25"/>
  <c r="AL25"/>
  <c r="AF25"/>
  <c r="O25"/>
  <c r="I25"/>
  <c r="BA24"/>
  <c r="AU24"/>
  <c r="AL24"/>
  <c r="AF24"/>
  <c r="O24"/>
  <c r="I24"/>
  <c r="BA23"/>
  <c r="AU23"/>
  <c r="AL23"/>
  <c r="AF23"/>
  <c r="O23"/>
  <c r="I23"/>
  <c r="BA22"/>
  <c r="AU22"/>
  <c r="AL22"/>
  <c r="AF22"/>
  <c r="O22"/>
  <c r="I22"/>
  <c r="BA21"/>
  <c r="AU21"/>
  <c r="AL21"/>
  <c r="AF21"/>
  <c r="O21"/>
  <c r="I21"/>
  <c r="BA20"/>
  <c r="AU20"/>
  <c r="AL20"/>
  <c r="AF20"/>
  <c r="O20"/>
  <c r="I20"/>
  <c r="BA19"/>
  <c r="AU19"/>
  <c r="AL19"/>
  <c r="AF19"/>
  <c r="O19"/>
  <c r="I19"/>
  <c r="BA18"/>
  <c r="AU18"/>
  <c r="AL18"/>
  <c r="AF18"/>
  <c r="O18"/>
  <c r="I18"/>
  <c r="BA17"/>
  <c r="AU17"/>
  <c r="AL17"/>
  <c r="AF17"/>
  <c r="O17"/>
  <c r="I17"/>
  <c r="BA16"/>
  <c r="AU16"/>
  <c r="AL16"/>
  <c r="AF16"/>
  <c r="O16"/>
  <c r="I16"/>
  <c r="BA15"/>
  <c r="AU15"/>
  <c r="AL15"/>
  <c r="AF15"/>
  <c r="O15"/>
  <c r="I15"/>
  <c r="BA14"/>
  <c r="AU14"/>
  <c r="AL14"/>
  <c r="AF14"/>
  <c r="O14"/>
  <c r="I14"/>
  <c r="BA13"/>
  <c r="AU13"/>
  <c r="AL13"/>
  <c r="AF13"/>
  <c r="O13"/>
  <c r="I13"/>
  <c r="BA12"/>
  <c r="AU12"/>
  <c r="AL12"/>
  <c r="O12"/>
  <c r="I12"/>
  <c r="BA11"/>
  <c r="AU11"/>
  <c r="AL11"/>
  <c r="AF11"/>
  <c r="O11"/>
  <c r="I11"/>
  <c r="BA10"/>
  <c r="AU10"/>
  <c r="AL10"/>
  <c r="AF10"/>
  <c r="O10"/>
  <c r="I10"/>
  <c r="BA9"/>
  <c r="AU9"/>
  <c r="AL9"/>
  <c r="AF9"/>
  <c r="O9"/>
  <c r="I9"/>
  <c r="BA8"/>
  <c r="AU8"/>
  <c r="AL8"/>
  <c r="AF8"/>
  <c r="O8"/>
  <c r="I8"/>
  <c r="BA7"/>
  <c r="AU7"/>
  <c r="AL7"/>
  <c r="AF7"/>
  <c r="O7"/>
  <c r="I7"/>
  <c r="BA6"/>
  <c r="AZ6"/>
  <c r="AZ7" s="1"/>
  <c r="AZ8" s="1"/>
  <c r="AZ9" s="1"/>
  <c r="AZ10" s="1"/>
  <c r="AZ11" s="1"/>
  <c r="AZ12" s="1"/>
  <c r="AZ13" s="1"/>
  <c r="AZ14" s="1"/>
  <c r="AZ15" s="1"/>
  <c r="AZ16" s="1"/>
  <c r="AZ17" s="1"/>
  <c r="AZ18" s="1"/>
  <c r="AZ19" s="1"/>
  <c r="AZ20" s="1"/>
  <c r="AZ21" s="1"/>
  <c r="AZ22" s="1"/>
  <c r="AZ23" s="1"/>
  <c r="AZ24" s="1"/>
  <c r="AZ25" s="1"/>
  <c r="AZ26" s="1"/>
  <c r="AZ27" s="1"/>
  <c r="AZ28" s="1"/>
  <c r="AZ29" s="1"/>
  <c r="AZ30" s="1"/>
  <c r="AZ31" s="1"/>
  <c r="AZ32" s="1"/>
  <c r="AZ33" s="1"/>
  <c r="AZ34" s="1"/>
  <c r="AZ35" s="1"/>
  <c r="AZ36" s="1"/>
  <c r="AZ37" s="1"/>
  <c r="AZ38" s="1"/>
  <c r="AZ39" s="1"/>
  <c r="AZ40" s="1"/>
  <c r="AZ41" s="1"/>
  <c r="AZ42" s="1"/>
  <c r="AZ43" s="1"/>
  <c r="AZ44" s="1"/>
  <c r="AZ45" s="1"/>
  <c r="AZ46" s="1"/>
  <c r="AZ47" s="1"/>
  <c r="AZ48" s="1"/>
  <c r="AZ49" s="1"/>
  <c r="AZ50" s="1"/>
  <c r="AZ51" s="1"/>
  <c r="AZ52" s="1"/>
  <c r="AZ53" s="1"/>
  <c r="AZ54" s="1"/>
  <c r="AZ55" s="1"/>
  <c r="AZ56" s="1"/>
  <c r="AZ57" s="1"/>
  <c r="AZ58" s="1"/>
  <c r="AZ59" s="1"/>
  <c r="AZ60" s="1"/>
  <c r="AZ61" s="1"/>
  <c r="AZ62" s="1"/>
  <c r="AZ63" s="1"/>
  <c r="AZ64" s="1"/>
  <c r="AZ65" s="1"/>
  <c r="AZ66" s="1"/>
  <c r="AZ67" s="1"/>
  <c r="AZ68" s="1"/>
  <c r="AZ69" s="1"/>
  <c r="AZ70" s="1"/>
  <c r="AZ71" s="1"/>
  <c r="AZ72" s="1"/>
  <c r="AZ73" s="1"/>
  <c r="AZ74" s="1"/>
  <c r="AZ75" s="1"/>
  <c r="AZ76" s="1"/>
  <c r="AZ77" s="1"/>
  <c r="AZ78" s="1"/>
  <c r="AZ79" s="1"/>
  <c r="AZ80" s="1"/>
  <c r="AZ81" s="1"/>
  <c r="AZ82" s="1"/>
  <c r="AZ83" s="1"/>
  <c r="AZ84" s="1"/>
  <c r="AZ85" s="1"/>
  <c r="AZ86" s="1"/>
  <c r="AZ87" s="1"/>
  <c r="AZ88" s="1"/>
  <c r="AZ89" s="1"/>
  <c r="AZ90" s="1"/>
  <c r="AZ91" s="1"/>
  <c r="AZ92" s="1"/>
  <c r="AZ93" s="1"/>
  <c r="AZ94" s="1"/>
  <c r="AZ95" s="1"/>
  <c r="AZ96" s="1"/>
  <c r="AZ97" s="1"/>
  <c r="AZ98" s="1"/>
  <c r="AZ99" s="1"/>
  <c r="AZ100" s="1"/>
  <c r="AZ101" s="1"/>
  <c r="AZ102" s="1"/>
  <c r="AZ103" s="1"/>
  <c r="AZ104" s="1"/>
  <c r="AZ105" s="1"/>
  <c r="AZ106" s="1"/>
  <c r="AZ107" s="1"/>
  <c r="AZ108" s="1"/>
  <c r="AZ109" s="1"/>
  <c r="AZ110" s="1"/>
  <c r="AZ111" s="1"/>
  <c r="AZ112" s="1"/>
  <c r="AZ113" s="1"/>
  <c r="AZ114" s="1"/>
  <c r="AZ115" s="1"/>
  <c r="AZ116" s="1"/>
  <c r="AZ117" s="1"/>
  <c r="AZ118" s="1"/>
  <c r="AZ119" s="1"/>
  <c r="AZ120" s="1"/>
  <c r="AZ121" s="1"/>
  <c r="AZ122" s="1"/>
  <c r="AZ123" s="1"/>
  <c r="AZ124" s="1"/>
  <c r="AZ125" s="1"/>
  <c r="AZ126" s="1"/>
  <c r="AZ127" s="1"/>
  <c r="AZ128" s="1"/>
  <c r="AZ129" s="1"/>
  <c r="AZ130" s="1"/>
  <c r="AZ131" s="1"/>
  <c r="AZ132" s="1"/>
  <c r="AZ133" s="1"/>
  <c r="AZ134" s="1"/>
  <c r="AZ135" s="1"/>
  <c r="AZ136" s="1"/>
  <c r="AZ137" s="1"/>
  <c r="AZ138" s="1"/>
  <c r="AZ139" s="1"/>
  <c r="AZ140" s="1"/>
  <c r="AZ141" s="1"/>
  <c r="AZ142" s="1"/>
  <c r="AZ143" s="1"/>
  <c r="AZ144" s="1"/>
  <c r="AZ145" s="1"/>
  <c r="AZ146" s="1"/>
  <c r="AZ147" s="1"/>
  <c r="AZ148" s="1"/>
  <c r="AZ149" s="1"/>
  <c r="AZ150" s="1"/>
  <c r="AZ151" s="1"/>
  <c r="AZ152" s="1"/>
  <c r="AZ153" s="1"/>
  <c r="AZ154" s="1"/>
  <c r="AZ155" s="1"/>
  <c r="AZ156" s="1"/>
  <c r="AZ157" s="1"/>
  <c r="AZ158" s="1"/>
  <c r="AZ159" s="1"/>
  <c r="AZ160" s="1"/>
  <c r="AZ161" s="1"/>
  <c r="AZ162" s="1"/>
  <c r="AZ163" s="1"/>
  <c r="AZ164" s="1"/>
  <c r="AZ165" s="1"/>
  <c r="AZ166" s="1"/>
  <c r="AZ167" s="1"/>
  <c r="AZ168" s="1"/>
  <c r="AZ169" s="1"/>
  <c r="AZ170" s="1"/>
  <c r="AZ171" s="1"/>
  <c r="AZ172" s="1"/>
  <c r="AZ173" s="1"/>
  <c r="AZ174" s="1"/>
  <c r="AZ175" s="1"/>
  <c r="AZ176" s="1"/>
  <c r="AZ177" s="1"/>
  <c r="AZ178" s="1"/>
  <c r="AZ179" s="1"/>
  <c r="AZ180" s="1"/>
  <c r="AZ181" s="1"/>
  <c r="AZ182" s="1"/>
  <c r="AZ183" s="1"/>
  <c r="AZ184" s="1"/>
  <c r="AZ185" s="1"/>
  <c r="AZ186" s="1"/>
  <c r="AZ187" s="1"/>
  <c r="AZ188" s="1"/>
  <c r="AZ189" s="1"/>
  <c r="AZ190" s="1"/>
  <c r="AU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S37" s="1"/>
  <c r="AS38" s="1"/>
  <c r="AS39" s="1"/>
  <c r="AS40" s="1"/>
  <c r="AS41" s="1"/>
  <c r="AS42" s="1"/>
  <c r="AS43" s="1"/>
  <c r="AS44" s="1"/>
  <c r="AS45" s="1"/>
  <c r="AS46" s="1"/>
  <c r="AS47" s="1"/>
  <c r="AS48" s="1"/>
  <c r="AS49" s="1"/>
  <c r="AS50" s="1"/>
  <c r="AS51" s="1"/>
  <c r="AS52" s="1"/>
  <c r="AS53" s="1"/>
  <c r="AS54" s="1"/>
  <c r="AS55" s="1"/>
  <c r="AS56" s="1"/>
  <c r="AS57" s="1"/>
  <c r="AS58" s="1"/>
  <c r="AS59" s="1"/>
  <c r="AS60" s="1"/>
  <c r="AS61" s="1"/>
  <c r="AS62" s="1"/>
  <c r="AS63" s="1"/>
  <c r="AS64" s="1"/>
  <c r="AS65" s="1"/>
  <c r="AS66" s="1"/>
  <c r="AS67" s="1"/>
  <c r="AS68" s="1"/>
  <c r="AS69" s="1"/>
  <c r="AS70" s="1"/>
  <c r="AS71" s="1"/>
  <c r="AS72" s="1"/>
  <c r="AS73" s="1"/>
  <c r="AS74" s="1"/>
  <c r="AS75" s="1"/>
  <c r="AS76" s="1"/>
  <c r="AS77" s="1"/>
  <c r="AS78" s="1"/>
  <c r="AS79" s="1"/>
  <c r="AS80" s="1"/>
  <c r="AS81" s="1"/>
  <c r="AS82" s="1"/>
  <c r="AS83" s="1"/>
  <c r="AS84" s="1"/>
  <c r="AS85" s="1"/>
  <c r="AS86" s="1"/>
  <c r="AS87" s="1"/>
  <c r="AS88" s="1"/>
  <c r="AS89" s="1"/>
  <c r="AS90" s="1"/>
  <c r="AS91" s="1"/>
  <c r="AS92" s="1"/>
  <c r="AS93" s="1"/>
  <c r="AS94" s="1"/>
  <c r="AS95" s="1"/>
  <c r="AS96" s="1"/>
  <c r="AS97" s="1"/>
  <c r="AS98" s="1"/>
  <c r="AS99" s="1"/>
  <c r="AS100" s="1"/>
  <c r="AS101" s="1"/>
  <c r="AS102" s="1"/>
  <c r="AS103" s="1"/>
  <c r="AS104" s="1"/>
  <c r="AS105" s="1"/>
  <c r="AS106" s="1"/>
  <c r="AS107" s="1"/>
  <c r="AS108" s="1"/>
  <c r="AS109" s="1"/>
  <c r="AS110" s="1"/>
  <c r="AS111" s="1"/>
  <c r="AS112" s="1"/>
  <c r="AS113" s="1"/>
  <c r="AS114" s="1"/>
  <c r="AS115" s="1"/>
  <c r="AS116" s="1"/>
  <c r="AS117" s="1"/>
  <c r="AS118" s="1"/>
  <c r="AS119" s="1"/>
  <c r="AS120" s="1"/>
  <c r="AS121" s="1"/>
  <c r="AS122" s="1"/>
  <c r="AS123" s="1"/>
  <c r="AS124" s="1"/>
  <c r="AS125" s="1"/>
  <c r="AS126" s="1"/>
  <c r="AS127" s="1"/>
  <c r="AS128" s="1"/>
  <c r="AS129" s="1"/>
  <c r="AS130" s="1"/>
  <c r="AS131" s="1"/>
  <c r="AS132" s="1"/>
  <c r="AS133" s="1"/>
  <c r="AS134" s="1"/>
  <c r="AS135" s="1"/>
  <c r="AS136" s="1"/>
  <c r="AS137" s="1"/>
  <c r="AS138" s="1"/>
  <c r="AS139" s="1"/>
  <c r="AS140" s="1"/>
  <c r="AS141" s="1"/>
  <c r="AS142" s="1"/>
  <c r="AS143" s="1"/>
  <c r="AS144" s="1"/>
  <c r="AS145" s="1"/>
  <c r="AS146" s="1"/>
  <c r="AS147" s="1"/>
  <c r="AS148" s="1"/>
  <c r="AS149" s="1"/>
  <c r="AS150" s="1"/>
  <c r="AS151" s="1"/>
  <c r="AS152" s="1"/>
  <c r="AS153" s="1"/>
  <c r="AS154" s="1"/>
  <c r="AS155" s="1"/>
  <c r="AS156" s="1"/>
  <c r="AS157" s="1"/>
  <c r="AS158" s="1"/>
  <c r="AS159" s="1"/>
  <c r="AS160" s="1"/>
  <c r="AS161" s="1"/>
  <c r="AS162" s="1"/>
  <c r="AS163" s="1"/>
  <c r="AS164" s="1"/>
  <c r="AS165" s="1"/>
  <c r="AS166" s="1"/>
  <c r="AS167" s="1"/>
  <c r="AS168" s="1"/>
  <c r="AS169" s="1"/>
  <c r="AS170" s="1"/>
  <c r="AS171" s="1"/>
  <c r="AS172" s="1"/>
  <c r="AS173" s="1"/>
  <c r="AS174" s="1"/>
  <c r="AS175" s="1"/>
  <c r="AS176" s="1"/>
  <c r="AS177" s="1"/>
  <c r="AS178" s="1"/>
  <c r="AS179" s="1"/>
  <c r="AS180" s="1"/>
  <c r="AS181" s="1"/>
  <c r="AS182" s="1"/>
  <c r="AS183" s="1"/>
  <c r="AS184" s="1"/>
  <c r="AS185" s="1"/>
  <c r="AS186" s="1"/>
  <c r="AS187" s="1"/>
  <c r="AS188" s="1"/>
  <c r="AS189" s="1"/>
  <c r="AS190" s="1"/>
  <c r="C57" i="35" s="1"/>
  <c r="AL6" i="28"/>
  <c r="AJ7"/>
  <c r="AJ8" s="1"/>
  <c r="AJ9" s="1"/>
  <c r="AJ10" s="1"/>
  <c r="AJ11" s="1"/>
  <c r="AJ12" s="1"/>
  <c r="AJ13" s="1"/>
  <c r="AJ14" s="1"/>
  <c r="AJ15" s="1"/>
  <c r="AJ16" s="1"/>
  <c r="AJ17" s="1"/>
  <c r="AJ18" s="1"/>
  <c r="AJ19" s="1"/>
  <c r="AJ20" s="1"/>
  <c r="AJ21" s="1"/>
  <c r="AJ22" s="1"/>
  <c r="AJ23" s="1"/>
  <c r="AJ24" s="1"/>
  <c r="AJ25" s="1"/>
  <c r="AJ26" s="1"/>
  <c r="AJ27" s="1"/>
  <c r="AJ28" s="1"/>
  <c r="AJ29" s="1"/>
  <c r="AJ30" s="1"/>
  <c r="AJ31" s="1"/>
  <c r="AJ32" s="1"/>
  <c r="AJ33" s="1"/>
  <c r="AJ34" s="1"/>
  <c r="AJ35" s="1"/>
  <c r="AJ36" s="1"/>
  <c r="AJ37" s="1"/>
  <c r="AJ38" s="1"/>
  <c r="AJ39" s="1"/>
  <c r="AJ40" s="1"/>
  <c r="AJ41" s="1"/>
  <c r="AJ42" s="1"/>
  <c r="AJ43" s="1"/>
  <c r="AJ44" s="1"/>
  <c r="AJ45" s="1"/>
  <c r="AJ46" s="1"/>
  <c r="AJ47" s="1"/>
  <c r="AJ48" s="1"/>
  <c r="AJ49" s="1"/>
  <c r="AJ50" s="1"/>
  <c r="AJ51" s="1"/>
  <c r="AJ52" s="1"/>
  <c r="AJ53" s="1"/>
  <c r="AJ54" s="1"/>
  <c r="AJ55" s="1"/>
  <c r="AJ56" s="1"/>
  <c r="AJ57" s="1"/>
  <c r="AJ58" s="1"/>
  <c r="AJ59" s="1"/>
  <c r="AJ60" s="1"/>
  <c r="AJ61" s="1"/>
  <c r="AJ62" s="1"/>
  <c r="AJ63" s="1"/>
  <c r="AJ64" s="1"/>
  <c r="AJ65" s="1"/>
  <c r="AJ66" s="1"/>
  <c r="AJ67" s="1"/>
  <c r="AJ68" s="1"/>
  <c r="AJ69" s="1"/>
  <c r="AJ70" s="1"/>
  <c r="AJ71" s="1"/>
  <c r="AJ72" s="1"/>
  <c r="AJ73" s="1"/>
  <c r="AJ74" s="1"/>
  <c r="AJ75" s="1"/>
  <c r="AJ76" s="1"/>
  <c r="AJ77" s="1"/>
  <c r="AJ78" s="1"/>
  <c r="AJ79" s="1"/>
  <c r="AJ80" s="1"/>
  <c r="AJ81" s="1"/>
  <c r="AJ82" s="1"/>
  <c r="AJ83" s="1"/>
  <c r="AJ84" s="1"/>
  <c r="AJ85" s="1"/>
  <c r="AJ86" s="1"/>
  <c r="AJ87" s="1"/>
  <c r="AJ88" s="1"/>
  <c r="AJ89" s="1"/>
  <c r="AJ90" s="1"/>
  <c r="AJ91" s="1"/>
  <c r="AJ92" s="1"/>
  <c r="AJ93" s="1"/>
  <c r="AJ94" s="1"/>
  <c r="AJ95" s="1"/>
  <c r="AJ96" s="1"/>
  <c r="AJ97" s="1"/>
  <c r="AJ98" s="1"/>
  <c r="AJ99" s="1"/>
  <c r="AJ100" s="1"/>
  <c r="AJ101" s="1"/>
  <c r="AJ102" s="1"/>
  <c r="AJ103" s="1"/>
  <c r="AJ104" s="1"/>
  <c r="AJ105" s="1"/>
  <c r="AJ106" s="1"/>
  <c r="AJ107" s="1"/>
  <c r="AJ108" s="1"/>
  <c r="AJ109" s="1"/>
  <c r="AJ110" s="1"/>
  <c r="AJ111" s="1"/>
  <c r="AJ112" s="1"/>
  <c r="AJ113" s="1"/>
  <c r="AJ114" s="1"/>
  <c r="AJ115" s="1"/>
  <c r="AJ116" s="1"/>
  <c r="AJ117" s="1"/>
  <c r="AJ118" s="1"/>
  <c r="AJ119" s="1"/>
  <c r="AJ120" s="1"/>
  <c r="AJ121" s="1"/>
  <c r="AJ122" s="1"/>
  <c r="AJ123" s="1"/>
  <c r="AJ124" s="1"/>
  <c r="AJ125" s="1"/>
  <c r="AJ126" s="1"/>
  <c r="AJ127" s="1"/>
  <c r="AJ128" s="1"/>
  <c r="AJ129" s="1"/>
  <c r="AJ130" s="1"/>
  <c r="AJ131" s="1"/>
  <c r="AJ132" s="1"/>
  <c r="AJ133" s="1"/>
  <c r="AJ134" s="1"/>
  <c r="AJ135" s="1"/>
  <c r="AJ136" s="1"/>
  <c r="AJ137" s="1"/>
  <c r="AJ138" s="1"/>
  <c r="AJ139" s="1"/>
  <c r="AJ140" s="1"/>
  <c r="AJ141" s="1"/>
  <c r="AJ142" s="1"/>
  <c r="AJ143" s="1"/>
  <c r="AJ144" s="1"/>
  <c r="AJ145" s="1"/>
  <c r="AJ146" s="1"/>
  <c r="AJ147" s="1"/>
  <c r="AJ148" s="1"/>
  <c r="AJ149" s="1"/>
  <c r="AJ150" s="1"/>
  <c r="AJ151" s="1"/>
  <c r="AJ152" s="1"/>
  <c r="AJ153" s="1"/>
  <c r="AJ154" s="1"/>
  <c r="AJ155" s="1"/>
  <c r="AJ156" s="1"/>
  <c r="AJ157" s="1"/>
  <c r="AJ158" s="1"/>
  <c r="AJ159" s="1"/>
  <c r="AJ160" s="1"/>
  <c r="AJ161" s="1"/>
  <c r="AJ162" s="1"/>
  <c r="AJ163" s="1"/>
  <c r="AJ164" s="1"/>
  <c r="AJ165" s="1"/>
  <c r="AJ166" s="1"/>
  <c r="AJ167" s="1"/>
  <c r="AJ168" s="1"/>
  <c r="AJ169" s="1"/>
  <c r="AJ170" s="1"/>
  <c r="AJ171" s="1"/>
  <c r="AJ172" s="1"/>
  <c r="AJ173" s="1"/>
  <c r="AJ174" s="1"/>
  <c r="AJ175" s="1"/>
  <c r="AJ176" s="1"/>
  <c r="AJ177" s="1"/>
  <c r="AJ178" s="1"/>
  <c r="AJ179" s="1"/>
  <c r="AJ180" s="1"/>
  <c r="AJ181" s="1"/>
  <c r="AJ182" s="1"/>
  <c r="AJ183" s="1"/>
  <c r="AJ184" s="1"/>
  <c r="AJ185" s="1"/>
  <c r="AJ186" s="1"/>
  <c r="AJ187" s="1"/>
  <c r="AJ188" s="1"/>
  <c r="AJ189" s="1"/>
  <c r="AJ190" s="1"/>
  <c r="C55" i="35" s="1"/>
  <c r="AF6" i="28"/>
  <c r="AD7"/>
  <c r="AD8" s="1"/>
  <c r="AD9" s="1"/>
  <c r="AD10" s="1"/>
  <c r="AD11" s="1"/>
  <c r="AD12" s="1"/>
  <c r="AD13" s="1"/>
  <c r="AD14" s="1"/>
  <c r="AD15" s="1"/>
  <c r="AD16" s="1"/>
  <c r="AD17" s="1"/>
  <c r="AD18" s="1"/>
  <c r="AD19" s="1"/>
  <c r="AD20" s="1"/>
  <c r="AD21" s="1"/>
  <c r="AD22" s="1"/>
  <c r="AD23" s="1"/>
  <c r="AD24" s="1"/>
  <c r="AD25" s="1"/>
  <c r="AD26" s="1"/>
  <c r="AD27" s="1"/>
  <c r="AD28" s="1"/>
  <c r="AD29" s="1"/>
  <c r="AD30" s="1"/>
  <c r="AD31" s="1"/>
  <c r="AD32" s="1"/>
  <c r="AD33" s="1"/>
  <c r="AD34" s="1"/>
  <c r="AD35" s="1"/>
  <c r="AD36" s="1"/>
  <c r="AD37" s="1"/>
  <c r="AD38" s="1"/>
  <c r="AD39" s="1"/>
  <c r="AD40" s="1"/>
  <c r="AD41" s="1"/>
  <c r="AD42" s="1"/>
  <c r="AD43" s="1"/>
  <c r="AD44" s="1"/>
  <c r="AD45" s="1"/>
  <c r="AD46" s="1"/>
  <c r="AD47" s="1"/>
  <c r="AD48" s="1"/>
  <c r="AD49" s="1"/>
  <c r="AD50" s="1"/>
  <c r="AD51" s="1"/>
  <c r="AD52" s="1"/>
  <c r="AD53" s="1"/>
  <c r="AD54" s="1"/>
  <c r="AD55" s="1"/>
  <c r="AD56" s="1"/>
  <c r="AD57" s="1"/>
  <c r="AD58" s="1"/>
  <c r="AD59" s="1"/>
  <c r="AD60" s="1"/>
  <c r="AD61" s="1"/>
  <c r="AD62" s="1"/>
  <c r="AD63" s="1"/>
  <c r="AD64" s="1"/>
  <c r="AD65" s="1"/>
  <c r="AD66" s="1"/>
  <c r="AD67" s="1"/>
  <c r="AD68" s="1"/>
  <c r="AD69" s="1"/>
  <c r="AD70" s="1"/>
  <c r="AD71" s="1"/>
  <c r="AD72" s="1"/>
  <c r="AD73" s="1"/>
  <c r="AD74" s="1"/>
  <c r="AD75" s="1"/>
  <c r="AD76" s="1"/>
  <c r="AD77" s="1"/>
  <c r="AD78" s="1"/>
  <c r="AD79" s="1"/>
  <c r="AD80" s="1"/>
  <c r="AD81" s="1"/>
  <c r="AD82" s="1"/>
  <c r="AD83" s="1"/>
  <c r="AD84" s="1"/>
  <c r="AD85" s="1"/>
  <c r="AD86" s="1"/>
  <c r="AD87" s="1"/>
  <c r="AD88" s="1"/>
  <c r="AD89" s="1"/>
  <c r="AD90" s="1"/>
  <c r="AD91" s="1"/>
  <c r="AD92" s="1"/>
  <c r="AD93" s="1"/>
  <c r="AD94" s="1"/>
  <c r="AD95" s="1"/>
  <c r="AD96" s="1"/>
  <c r="AD97" s="1"/>
  <c r="AD98" s="1"/>
  <c r="AD99" s="1"/>
  <c r="AD100" s="1"/>
  <c r="AD101" s="1"/>
  <c r="AD102" s="1"/>
  <c r="AD103" s="1"/>
  <c r="AD104" s="1"/>
  <c r="AD105" s="1"/>
  <c r="AD106" s="1"/>
  <c r="AD107" s="1"/>
  <c r="AD108" s="1"/>
  <c r="AD109" s="1"/>
  <c r="AD110" s="1"/>
  <c r="AD111" s="1"/>
  <c r="AD112" s="1"/>
  <c r="AD113" s="1"/>
  <c r="AD114" s="1"/>
  <c r="AD115" s="1"/>
  <c r="AD116" s="1"/>
  <c r="AD117" s="1"/>
  <c r="AD118" s="1"/>
  <c r="AD119" s="1"/>
  <c r="AD120" s="1"/>
  <c r="AD121" s="1"/>
  <c r="AD122" s="1"/>
  <c r="AD123" s="1"/>
  <c r="AD124" s="1"/>
  <c r="AD125" s="1"/>
  <c r="AD126" s="1"/>
  <c r="AD127" s="1"/>
  <c r="AD128" s="1"/>
  <c r="AD129" s="1"/>
  <c r="AD130" s="1"/>
  <c r="AD131" s="1"/>
  <c r="AD132" s="1"/>
  <c r="AD133" s="1"/>
  <c r="AD134" s="1"/>
  <c r="AD135" s="1"/>
  <c r="AD136" s="1"/>
  <c r="AD137" s="1"/>
  <c r="AD138" s="1"/>
  <c r="AD139" s="1"/>
  <c r="AD140" s="1"/>
  <c r="AD141" s="1"/>
  <c r="AD142" s="1"/>
  <c r="AD143" s="1"/>
  <c r="AD144" s="1"/>
  <c r="AD145" s="1"/>
  <c r="AD146" s="1"/>
  <c r="AD147" s="1"/>
  <c r="AD148" s="1"/>
  <c r="AD149" s="1"/>
  <c r="AD150" s="1"/>
  <c r="AD151" s="1"/>
  <c r="AD152" s="1"/>
  <c r="AD153" s="1"/>
  <c r="AD154" s="1"/>
  <c r="AD155" s="1"/>
  <c r="AD156" s="1"/>
  <c r="AD157" s="1"/>
  <c r="AD158" s="1"/>
  <c r="AD159" s="1"/>
  <c r="AD160" s="1"/>
  <c r="AD161" s="1"/>
  <c r="AD162" s="1"/>
  <c r="AD163" s="1"/>
  <c r="AD164" s="1"/>
  <c r="AD165" s="1"/>
  <c r="AD166" s="1"/>
  <c r="AD167" s="1"/>
  <c r="AD168" s="1"/>
  <c r="AD169" s="1"/>
  <c r="AD170" s="1"/>
  <c r="AD171" s="1"/>
  <c r="AD172" s="1"/>
  <c r="AD173" s="1"/>
  <c r="AD174" s="1"/>
  <c r="AD175" s="1"/>
  <c r="AD176" s="1"/>
  <c r="AD177" s="1"/>
  <c r="AD178" s="1"/>
  <c r="AD179" s="1"/>
  <c r="AD180" s="1"/>
  <c r="AD181" s="1"/>
  <c r="AD182" s="1"/>
  <c r="AD183" s="1"/>
  <c r="AD184" s="1"/>
  <c r="AD185" s="1"/>
  <c r="AD186" s="1"/>
  <c r="AD187" s="1"/>
  <c r="AD188" s="1"/>
  <c r="AD189" s="1"/>
  <c r="AD190" s="1"/>
  <c r="C54" i="35" s="1"/>
  <c r="O6" i="28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37" s="1"/>
  <c r="M38" s="1"/>
  <c r="M39" s="1"/>
  <c r="M40" s="1"/>
  <c r="M41" s="1"/>
  <c r="M42" s="1"/>
  <c r="M43" s="1"/>
  <c r="M44" s="1"/>
  <c r="M45" s="1"/>
  <c r="M46" s="1"/>
  <c r="M47" s="1"/>
  <c r="M48" s="1"/>
  <c r="M49" s="1"/>
  <c r="M50" s="1"/>
  <c r="M51" s="1"/>
  <c r="M52" s="1"/>
  <c r="M53" s="1"/>
  <c r="M54" s="1"/>
  <c r="M55" s="1"/>
  <c r="M56" s="1"/>
  <c r="M57" s="1"/>
  <c r="M58" s="1"/>
  <c r="M59" s="1"/>
  <c r="M60" s="1"/>
  <c r="M61" s="1"/>
  <c r="M62" s="1"/>
  <c r="M63" s="1"/>
  <c r="M64" s="1"/>
  <c r="M65" s="1"/>
  <c r="M66" s="1"/>
  <c r="M67" s="1"/>
  <c r="M68" s="1"/>
  <c r="M69" s="1"/>
  <c r="M70" s="1"/>
  <c r="M71" s="1"/>
  <c r="M72" s="1"/>
  <c r="M73" s="1"/>
  <c r="M74" s="1"/>
  <c r="M75" s="1"/>
  <c r="M76" s="1"/>
  <c r="M77" s="1"/>
  <c r="M78" s="1"/>
  <c r="M79" s="1"/>
  <c r="M80" s="1"/>
  <c r="M81" s="1"/>
  <c r="M82" s="1"/>
  <c r="M83" s="1"/>
  <c r="M84" s="1"/>
  <c r="M85" s="1"/>
  <c r="M86" s="1"/>
  <c r="M87" s="1"/>
  <c r="M88" s="1"/>
  <c r="M89" s="1"/>
  <c r="M90" s="1"/>
  <c r="M91" s="1"/>
  <c r="M92" s="1"/>
  <c r="M93" s="1"/>
  <c r="M94" s="1"/>
  <c r="M95" s="1"/>
  <c r="M96" s="1"/>
  <c r="M97" s="1"/>
  <c r="M98" s="1"/>
  <c r="M99" s="1"/>
  <c r="M100" s="1"/>
  <c r="M101" s="1"/>
  <c r="M102" s="1"/>
  <c r="M103" s="1"/>
  <c r="M104" s="1"/>
  <c r="M105" s="1"/>
  <c r="M106" s="1"/>
  <c r="M107" s="1"/>
  <c r="M108" s="1"/>
  <c r="M109" s="1"/>
  <c r="M110" s="1"/>
  <c r="M111" s="1"/>
  <c r="M112" s="1"/>
  <c r="M113" s="1"/>
  <c r="M114" s="1"/>
  <c r="M115" s="1"/>
  <c r="M116" s="1"/>
  <c r="M117" s="1"/>
  <c r="M118" s="1"/>
  <c r="M119" s="1"/>
  <c r="M120" s="1"/>
  <c r="M121" s="1"/>
  <c r="M122" s="1"/>
  <c r="M123" s="1"/>
  <c r="M124" s="1"/>
  <c r="M125" s="1"/>
  <c r="M126" s="1"/>
  <c r="M127" s="1"/>
  <c r="M128" s="1"/>
  <c r="M129" s="1"/>
  <c r="M130" s="1"/>
  <c r="M131" s="1"/>
  <c r="M132" s="1"/>
  <c r="M133" s="1"/>
  <c r="M134" s="1"/>
  <c r="M135" s="1"/>
  <c r="M136" s="1"/>
  <c r="M137" s="1"/>
  <c r="M138" s="1"/>
  <c r="M139" s="1"/>
  <c r="M140" s="1"/>
  <c r="M141" s="1"/>
  <c r="M142" s="1"/>
  <c r="M143" s="1"/>
  <c r="M144" s="1"/>
  <c r="M145" s="1"/>
  <c r="M146" s="1"/>
  <c r="M147" s="1"/>
  <c r="M148" s="1"/>
  <c r="M149" s="1"/>
  <c r="M150" s="1"/>
  <c r="M151" s="1"/>
  <c r="M152" s="1"/>
  <c r="M153" s="1"/>
  <c r="M154" s="1"/>
  <c r="M155" s="1"/>
  <c r="M156" s="1"/>
  <c r="M157" s="1"/>
  <c r="M158" s="1"/>
  <c r="M159" s="1"/>
  <c r="M160" s="1"/>
  <c r="M161" s="1"/>
  <c r="M162" s="1"/>
  <c r="M163" s="1"/>
  <c r="M164" s="1"/>
  <c r="M165" s="1"/>
  <c r="M166" s="1"/>
  <c r="M167" s="1"/>
  <c r="M168" s="1"/>
  <c r="M169" s="1"/>
  <c r="M170" s="1"/>
  <c r="M171" s="1"/>
  <c r="M172" s="1"/>
  <c r="M173" s="1"/>
  <c r="M174" s="1"/>
  <c r="M175" s="1"/>
  <c r="M176" s="1"/>
  <c r="M177" s="1"/>
  <c r="M178" s="1"/>
  <c r="M179" s="1"/>
  <c r="M180" s="1"/>
  <c r="M181" s="1"/>
  <c r="M182" s="1"/>
  <c r="M183" s="1"/>
  <c r="M184" s="1"/>
  <c r="M185" s="1"/>
  <c r="M186" s="1"/>
  <c r="M187" s="1"/>
  <c r="M188" s="1"/>
  <c r="M189" s="1"/>
  <c r="M190" s="1"/>
  <c r="C52" i="35" s="1"/>
  <c r="I6" i="28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C53" i="35" s="1"/>
  <c r="AU5" i="28"/>
  <c r="AL5"/>
  <c r="AF5"/>
  <c r="O5"/>
  <c r="C60" i="35" l="1"/>
  <c r="O191" i="28"/>
  <c r="AL191"/>
  <c r="AU191"/>
  <c r="BA191"/>
  <c r="I191"/>
  <c r="AF191"/>
  <c r="BA193" l="1"/>
  <c r="C276" i="35" s="1"/>
  <c r="C277" s="1"/>
  <c r="B42" i="24" l="1"/>
  <c r="B43" s="1"/>
  <c r="C301" i="35"/>
  <c r="C302" s="1"/>
  <c r="B42" i="25" l="1"/>
  <c r="B43" s="1"/>
  <c r="B67" i="24"/>
  <c r="B68" s="1"/>
  <c r="B67" i="25" l="1"/>
  <c r="B68" s="1"/>
  <c r="W191" i="5" l="1"/>
  <c r="M7"/>
  <c r="F57"/>
  <c r="F12"/>
  <c r="F13"/>
  <c r="F25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V37" s="1"/>
  <c r="V38" s="1"/>
  <c r="V39" s="1"/>
  <c r="V40" s="1"/>
  <c r="V41" s="1"/>
  <c r="V42" s="1"/>
  <c r="V43" s="1"/>
  <c r="V44" s="1"/>
  <c r="V45" s="1"/>
  <c r="V46" s="1"/>
  <c r="V47" s="1"/>
  <c r="V48" s="1"/>
  <c r="V49" s="1"/>
  <c r="V50" s="1"/>
  <c r="V51" s="1"/>
  <c r="V52" s="1"/>
  <c r="V53" s="1"/>
  <c r="V54" s="1"/>
  <c r="V55" s="1"/>
  <c r="V56" s="1"/>
  <c r="V57" s="1"/>
  <c r="V58" s="1"/>
  <c r="AD10"/>
  <c r="AD11"/>
  <c r="AD12"/>
  <c r="K6"/>
  <c r="K7" s="1"/>
  <c r="B349" i="25" l="1"/>
  <c r="B350" s="1"/>
  <c r="V59" i="5"/>
  <c r="V60" s="1"/>
  <c r="V61" s="1"/>
  <c r="V62" s="1"/>
  <c r="V63" s="1"/>
  <c r="V64" s="1"/>
  <c r="V65" s="1"/>
  <c r="V66" s="1"/>
  <c r="V67" s="1"/>
  <c r="V68" s="1"/>
  <c r="V69" s="1"/>
  <c r="V70" s="1"/>
  <c r="V71" s="1"/>
  <c r="V72" s="1"/>
  <c r="V73" s="1"/>
  <c r="V74" s="1"/>
  <c r="V75" s="1"/>
  <c r="V76" s="1"/>
  <c r="V77" s="1"/>
  <c r="V78" s="1"/>
  <c r="V79" s="1"/>
  <c r="V80" s="1"/>
  <c r="V81" s="1"/>
  <c r="V82" s="1"/>
  <c r="V83" s="1"/>
  <c r="V84" s="1"/>
  <c r="V85" s="1"/>
  <c r="V86" s="1"/>
  <c r="V87" s="1"/>
  <c r="V88" s="1"/>
  <c r="V89" s="1"/>
  <c r="V90" s="1"/>
  <c r="V91" s="1"/>
  <c r="V92" s="1"/>
  <c r="V93" s="1"/>
  <c r="V94" s="1"/>
  <c r="V95" s="1"/>
  <c r="V96" s="1"/>
  <c r="V97" s="1"/>
  <c r="V98" s="1"/>
  <c r="V99" s="1"/>
  <c r="V100" s="1"/>
  <c r="V101" s="1"/>
  <c r="V102" s="1"/>
  <c r="V103" s="1"/>
  <c r="V104" s="1"/>
  <c r="V105" s="1"/>
  <c r="V106" s="1"/>
  <c r="V107" s="1"/>
  <c r="V108" s="1"/>
  <c r="V109" s="1"/>
  <c r="V110" s="1"/>
  <c r="V111" s="1"/>
  <c r="V112" s="1"/>
  <c r="V113" s="1"/>
  <c r="V114" s="1"/>
  <c r="V115" s="1"/>
  <c r="V116" s="1"/>
  <c r="V117" s="1"/>
  <c r="V118" s="1"/>
  <c r="V119" s="1"/>
  <c r="V120" s="1"/>
  <c r="V121" s="1"/>
  <c r="V122" s="1"/>
  <c r="V123" s="1"/>
  <c r="V124" s="1"/>
  <c r="V125" s="1"/>
  <c r="V126" s="1"/>
  <c r="V127" s="1"/>
  <c r="V128" s="1"/>
  <c r="V129" s="1"/>
  <c r="V130" s="1"/>
  <c r="V131" s="1"/>
  <c r="V132" s="1"/>
  <c r="V133" s="1"/>
  <c r="V134" s="1"/>
  <c r="V135" s="1"/>
  <c r="V136" s="1"/>
  <c r="V137" s="1"/>
  <c r="V138" s="1"/>
  <c r="V139" s="1"/>
  <c r="V140" s="1"/>
  <c r="V141" s="1"/>
  <c r="V142" s="1"/>
  <c r="V143" s="1"/>
  <c r="V144" s="1"/>
  <c r="V145" s="1"/>
  <c r="V146" s="1"/>
  <c r="V147" s="1"/>
  <c r="V148" s="1"/>
  <c r="V149" s="1"/>
  <c r="V150" s="1"/>
  <c r="V151" s="1"/>
  <c r="V152" s="1"/>
  <c r="V153" s="1"/>
  <c r="V154" s="1"/>
  <c r="V155" s="1"/>
  <c r="V156" s="1"/>
  <c r="V157" s="1"/>
  <c r="V158" s="1"/>
  <c r="V159" s="1"/>
  <c r="V160" s="1"/>
  <c r="V161" s="1"/>
  <c r="V162" s="1"/>
  <c r="V163" s="1"/>
  <c r="V164" s="1"/>
  <c r="V165" s="1"/>
  <c r="V166" s="1"/>
  <c r="V167" s="1"/>
  <c r="V168" s="1"/>
  <c r="V169" s="1"/>
  <c r="V170" s="1"/>
  <c r="V171" s="1"/>
  <c r="V172" s="1"/>
  <c r="V173" s="1"/>
  <c r="V174" s="1"/>
  <c r="V175" s="1"/>
  <c r="V176" s="1"/>
  <c r="V177" s="1"/>
  <c r="V178" s="1"/>
  <c r="V179" s="1"/>
  <c r="V180" s="1"/>
  <c r="V181" s="1"/>
  <c r="V182" s="1"/>
  <c r="V183" s="1"/>
  <c r="V184" s="1"/>
  <c r="V185" s="1"/>
  <c r="V186" s="1"/>
  <c r="V187" s="1"/>
  <c r="V188" s="1"/>
  <c r="V189" s="1"/>
  <c r="V190" s="1"/>
  <c r="C38" i="35" s="1"/>
  <c r="AJ190" i="5"/>
  <c r="AJ189"/>
  <c r="AJ188"/>
  <c r="AJ187"/>
  <c r="AJ186"/>
  <c r="AJ185"/>
  <c r="AJ184"/>
  <c r="AJ183"/>
  <c r="AJ182"/>
  <c r="AJ181"/>
  <c r="AJ180"/>
  <c r="AJ179"/>
  <c r="AJ178"/>
  <c r="AJ177"/>
  <c r="AJ176"/>
  <c r="AJ175"/>
  <c r="AJ174"/>
  <c r="AJ173"/>
  <c r="AJ172"/>
  <c r="AJ171"/>
  <c r="AJ170"/>
  <c r="AJ169"/>
  <c r="AJ168"/>
  <c r="AJ167"/>
  <c r="AJ166"/>
  <c r="AJ165"/>
  <c r="AJ164"/>
  <c r="AJ163"/>
  <c r="AJ162"/>
  <c r="AJ161"/>
  <c r="AJ160"/>
  <c r="AJ159"/>
  <c r="AJ158"/>
  <c r="AJ157"/>
  <c r="AJ156"/>
  <c r="AJ155"/>
  <c r="AJ154"/>
  <c r="AJ153"/>
  <c r="AJ152"/>
  <c r="AJ151"/>
  <c r="AJ150"/>
  <c r="AJ149"/>
  <c r="AJ148"/>
  <c r="AJ147"/>
  <c r="AJ146"/>
  <c r="AJ145"/>
  <c r="AJ144"/>
  <c r="AJ143"/>
  <c r="AJ142"/>
  <c r="AJ141"/>
  <c r="AJ140"/>
  <c r="AJ139"/>
  <c r="AJ138"/>
  <c r="AJ137"/>
  <c r="AJ136"/>
  <c r="AJ135"/>
  <c r="AJ134"/>
  <c r="AJ133"/>
  <c r="AJ132"/>
  <c r="AJ131"/>
  <c r="AJ130"/>
  <c r="AJ129"/>
  <c r="AJ128"/>
  <c r="AJ127"/>
  <c r="AJ126"/>
  <c r="AJ125"/>
  <c r="AJ124"/>
  <c r="AJ123"/>
  <c r="AJ122"/>
  <c r="AJ121"/>
  <c r="AJ120"/>
  <c r="AJ119"/>
  <c r="AJ118"/>
  <c r="AJ117"/>
  <c r="AJ116"/>
  <c r="AJ115"/>
  <c r="AJ114"/>
  <c r="AJ113"/>
  <c r="AJ112"/>
  <c r="AJ111"/>
  <c r="AJ110"/>
  <c r="AJ109"/>
  <c r="AJ108"/>
  <c r="AJ107"/>
  <c r="AJ106"/>
  <c r="AJ105"/>
  <c r="AJ104"/>
  <c r="AJ103"/>
  <c r="AJ102"/>
  <c r="AJ101"/>
  <c r="AJ100"/>
  <c r="AJ99"/>
  <c r="AJ98"/>
  <c r="AJ97"/>
  <c r="AJ96"/>
  <c r="AJ95"/>
  <c r="AJ94"/>
  <c r="AJ93"/>
  <c r="AJ92"/>
  <c r="AJ91"/>
  <c r="AJ90"/>
  <c r="AJ89"/>
  <c r="AJ88"/>
  <c r="AJ87"/>
  <c r="AJ86"/>
  <c r="AJ85"/>
  <c r="AJ84"/>
  <c r="AJ83"/>
  <c r="AJ82"/>
  <c r="AJ81"/>
  <c r="AJ80"/>
  <c r="AJ79"/>
  <c r="AJ78"/>
  <c r="AJ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J7"/>
  <c r="AJ6"/>
  <c r="AH6"/>
  <c r="AH7" s="1"/>
  <c r="AH8" s="1"/>
  <c r="AH9" s="1"/>
  <c r="AH10" s="1"/>
  <c r="AH11" s="1"/>
  <c r="AH12" s="1"/>
  <c r="AH13" s="1"/>
  <c r="AH14" s="1"/>
  <c r="AH15" s="1"/>
  <c r="AH16" s="1"/>
  <c r="AH17" s="1"/>
  <c r="AH18" s="1"/>
  <c r="AH19" s="1"/>
  <c r="AH20" s="1"/>
  <c r="AH21" s="1"/>
  <c r="AH22" s="1"/>
  <c r="AH23" s="1"/>
  <c r="AH24" s="1"/>
  <c r="AH25" s="1"/>
  <c r="AH26" s="1"/>
  <c r="AH27" s="1"/>
  <c r="AH28" s="1"/>
  <c r="AH29" s="1"/>
  <c r="AH30" s="1"/>
  <c r="AH31" s="1"/>
  <c r="AH32" s="1"/>
  <c r="AH33" s="1"/>
  <c r="AH34" s="1"/>
  <c r="AH35" s="1"/>
  <c r="AH36" s="1"/>
  <c r="AH37" s="1"/>
  <c r="AH38" s="1"/>
  <c r="AH39" s="1"/>
  <c r="AH40" s="1"/>
  <c r="AH41" s="1"/>
  <c r="AH42" s="1"/>
  <c r="AH43" s="1"/>
  <c r="AH44" s="1"/>
  <c r="AH45" s="1"/>
  <c r="AH46" s="1"/>
  <c r="AH47" s="1"/>
  <c r="AH48" s="1"/>
  <c r="AH49" s="1"/>
  <c r="AH50" s="1"/>
  <c r="AH51" s="1"/>
  <c r="AH52" s="1"/>
  <c r="AH53" s="1"/>
  <c r="AH54" s="1"/>
  <c r="AH55" s="1"/>
  <c r="AH56" s="1"/>
  <c r="AH57" s="1"/>
  <c r="AH58" s="1"/>
  <c r="AH59" s="1"/>
  <c r="AH60" s="1"/>
  <c r="AH61" s="1"/>
  <c r="AH62" s="1"/>
  <c r="AH63" s="1"/>
  <c r="AH64" s="1"/>
  <c r="AH65" s="1"/>
  <c r="AH66" s="1"/>
  <c r="AH67" s="1"/>
  <c r="AH68" s="1"/>
  <c r="AH69" s="1"/>
  <c r="AH70" s="1"/>
  <c r="AH71" s="1"/>
  <c r="AH72" s="1"/>
  <c r="AH73" s="1"/>
  <c r="AH74" s="1"/>
  <c r="AH75" s="1"/>
  <c r="AH76" s="1"/>
  <c r="AH77" s="1"/>
  <c r="AH78" s="1"/>
  <c r="AH79" s="1"/>
  <c r="AH80" s="1"/>
  <c r="AH81" s="1"/>
  <c r="AH82" s="1"/>
  <c r="AH83" s="1"/>
  <c r="AH84" s="1"/>
  <c r="AH85" s="1"/>
  <c r="AH86" s="1"/>
  <c r="AH87" s="1"/>
  <c r="AH88" s="1"/>
  <c r="AH89" s="1"/>
  <c r="AH90" s="1"/>
  <c r="AH91" s="1"/>
  <c r="AH92" s="1"/>
  <c r="AH93" s="1"/>
  <c r="AH94" s="1"/>
  <c r="AH95" s="1"/>
  <c r="AH96" s="1"/>
  <c r="AH97" s="1"/>
  <c r="AH98" s="1"/>
  <c r="AH99" s="1"/>
  <c r="AH100" s="1"/>
  <c r="AH101" s="1"/>
  <c r="AH102" s="1"/>
  <c r="AH103" s="1"/>
  <c r="AH104" s="1"/>
  <c r="AH105" s="1"/>
  <c r="AH106" s="1"/>
  <c r="AH107" s="1"/>
  <c r="AH108" s="1"/>
  <c r="AH109" s="1"/>
  <c r="AH110" s="1"/>
  <c r="AH111" s="1"/>
  <c r="AH112" s="1"/>
  <c r="AH113" s="1"/>
  <c r="AH114" s="1"/>
  <c r="AH115" s="1"/>
  <c r="AH116" s="1"/>
  <c r="AH117" s="1"/>
  <c r="AH118" s="1"/>
  <c r="AH119" s="1"/>
  <c r="AH120" s="1"/>
  <c r="AH121" s="1"/>
  <c r="AH122" s="1"/>
  <c r="AH123" s="1"/>
  <c r="AH124" s="1"/>
  <c r="AH125" s="1"/>
  <c r="AH126" s="1"/>
  <c r="AH127" s="1"/>
  <c r="AH128" s="1"/>
  <c r="AH129" s="1"/>
  <c r="AH130" s="1"/>
  <c r="AH131" s="1"/>
  <c r="AH132" s="1"/>
  <c r="AH133" s="1"/>
  <c r="AH134" s="1"/>
  <c r="AH135" s="1"/>
  <c r="AH136" s="1"/>
  <c r="AH137" s="1"/>
  <c r="AH138" s="1"/>
  <c r="AH139" s="1"/>
  <c r="AH140" s="1"/>
  <c r="AH141" s="1"/>
  <c r="AH142" s="1"/>
  <c r="AH143" s="1"/>
  <c r="AH144" s="1"/>
  <c r="AH145" s="1"/>
  <c r="AH146" s="1"/>
  <c r="AH147" s="1"/>
  <c r="AH148" s="1"/>
  <c r="AH149" s="1"/>
  <c r="AH150" s="1"/>
  <c r="AH151" s="1"/>
  <c r="AH152" s="1"/>
  <c r="AH153" s="1"/>
  <c r="AH154" s="1"/>
  <c r="AH155" s="1"/>
  <c r="AH156" s="1"/>
  <c r="AH157" s="1"/>
  <c r="AH158" s="1"/>
  <c r="AH159" s="1"/>
  <c r="AH160" s="1"/>
  <c r="AH161" s="1"/>
  <c r="AH162" s="1"/>
  <c r="AH163" s="1"/>
  <c r="AH164" s="1"/>
  <c r="AH165" s="1"/>
  <c r="AH166" s="1"/>
  <c r="AH167" s="1"/>
  <c r="AH168" s="1"/>
  <c r="AH169" s="1"/>
  <c r="AH170" s="1"/>
  <c r="AH171" s="1"/>
  <c r="AH172" s="1"/>
  <c r="AH173" s="1"/>
  <c r="AH174" s="1"/>
  <c r="AH175" s="1"/>
  <c r="AH176" s="1"/>
  <c r="AH177" s="1"/>
  <c r="AH178" s="1"/>
  <c r="AH179" s="1"/>
  <c r="AH180" s="1"/>
  <c r="AH181" s="1"/>
  <c r="AH182" s="1"/>
  <c r="AH183" s="1"/>
  <c r="AH184" s="1"/>
  <c r="AH185" s="1"/>
  <c r="AH186" s="1"/>
  <c r="AH187" s="1"/>
  <c r="AH188" s="1"/>
  <c r="AH189" s="1"/>
  <c r="AH190" s="1"/>
  <c r="C42" i="35" s="1"/>
  <c r="AJ5" i="5"/>
  <c r="AD190"/>
  <c r="AD189"/>
  <c r="AD188"/>
  <c r="AD187"/>
  <c r="AD186"/>
  <c r="AD185"/>
  <c r="AD184"/>
  <c r="AD183"/>
  <c r="AD182"/>
  <c r="AD181"/>
  <c r="AD180"/>
  <c r="AD179"/>
  <c r="AD178"/>
  <c r="AD177"/>
  <c r="AD176"/>
  <c r="AD175"/>
  <c r="AD174"/>
  <c r="AD173"/>
  <c r="AD172"/>
  <c r="AD171"/>
  <c r="AD170"/>
  <c r="AD169"/>
  <c r="AD168"/>
  <c r="AD167"/>
  <c r="AD166"/>
  <c r="AD165"/>
  <c r="AD164"/>
  <c r="AD163"/>
  <c r="AD162"/>
  <c r="AD161"/>
  <c r="AD160"/>
  <c r="AD159"/>
  <c r="AD158"/>
  <c r="AD157"/>
  <c r="AD156"/>
  <c r="AD155"/>
  <c r="AD154"/>
  <c r="AD153"/>
  <c r="AD152"/>
  <c r="AD151"/>
  <c r="AD150"/>
  <c r="AD149"/>
  <c r="AD148"/>
  <c r="AD147"/>
  <c r="AD146"/>
  <c r="AD145"/>
  <c r="AD144"/>
  <c r="AD143"/>
  <c r="AD142"/>
  <c r="AD141"/>
  <c r="AD140"/>
  <c r="AD139"/>
  <c r="AD138"/>
  <c r="AD137"/>
  <c r="AD136"/>
  <c r="AD135"/>
  <c r="AD134"/>
  <c r="AD133"/>
  <c r="AD132"/>
  <c r="AD131"/>
  <c r="AD130"/>
  <c r="AD129"/>
  <c r="AD128"/>
  <c r="AD127"/>
  <c r="AD126"/>
  <c r="AD125"/>
  <c r="AD124"/>
  <c r="AD123"/>
  <c r="AD122"/>
  <c r="AD121"/>
  <c r="AD120"/>
  <c r="AD119"/>
  <c r="AD118"/>
  <c r="AD117"/>
  <c r="AD116"/>
  <c r="AD115"/>
  <c r="AD114"/>
  <c r="AD113"/>
  <c r="AD112"/>
  <c r="AD111"/>
  <c r="AD110"/>
  <c r="AD109"/>
  <c r="AD108"/>
  <c r="AD107"/>
  <c r="AD106"/>
  <c r="AD105"/>
  <c r="AD104"/>
  <c r="AD103"/>
  <c r="AD102"/>
  <c r="AD101"/>
  <c r="AD100"/>
  <c r="AD99"/>
  <c r="AD98"/>
  <c r="AD97"/>
  <c r="AD96"/>
  <c r="AD95"/>
  <c r="AD94"/>
  <c r="AD93"/>
  <c r="AD92"/>
  <c r="AD91"/>
  <c r="AD90"/>
  <c r="AD89"/>
  <c r="AD88"/>
  <c r="AD87"/>
  <c r="AD86"/>
  <c r="AD85"/>
  <c r="AD84"/>
  <c r="AD83"/>
  <c r="AD82"/>
  <c r="AD81"/>
  <c r="AD80"/>
  <c r="AD79"/>
  <c r="AD78"/>
  <c r="AD77"/>
  <c r="AD76"/>
  <c r="AD75"/>
  <c r="AD74"/>
  <c r="AD73"/>
  <c r="AD72"/>
  <c r="AD71"/>
  <c r="AD70"/>
  <c r="AD69"/>
  <c r="AD68"/>
  <c r="AD67"/>
  <c r="AD66"/>
  <c r="AD65"/>
  <c r="AD64"/>
  <c r="AD63"/>
  <c r="AD62"/>
  <c r="AD61"/>
  <c r="AD60"/>
  <c r="AD59"/>
  <c r="AD58"/>
  <c r="AD57"/>
  <c r="AD56"/>
  <c r="AD55"/>
  <c r="AD54"/>
  <c r="AD53"/>
  <c r="AD52"/>
  <c r="AD51"/>
  <c r="AD50"/>
  <c r="AD49"/>
  <c r="AD48"/>
  <c r="AD47"/>
  <c r="AD46"/>
  <c r="AD45"/>
  <c r="AD44"/>
  <c r="AD43"/>
  <c r="AD42"/>
  <c r="AD41"/>
  <c r="AD40"/>
  <c r="AD39"/>
  <c r="AD38"/>
  <c r="AD37"/>
  <c r="AD36"/>
  <c r="AD35"/>
  <c r="AD34"/>
  <c r="AD33"/>
  <c r="AD32"/>
  <c r="AD31"/>
  <c r="AD30"/>
  <c r="AD29"/>
  <c r="AD28"/>
  <c r="AD27"/>
  <c r="AD26"/>
  <c r="AD25"/>
  <c r="AD24"/>
  <c r="AD23"/>
  <c r="AD22"/>
  <c r="AD21"/>
  <c r="AD20"/>
  <c r="AD19"/>
  <c r="AD18"/>
  <c r="AD17"/>
  <c r="AD16"/>
  <c r="AD15"/>
  <c r="AD14"/>
  <c r="AD13"/>
  <c r="AD9"/>
  <c r="AD8"/>
  <c r="AD7"/>
  <c r="AD6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B37" s="1"/>
  <c r="AB38" s="1"/>
  <c r="AB39" s="1"/>
  <c r="AB40" s="1"/>
  <c r="AB41" s="1"/>
  <c r="AB42" s="1"/>
  <c r="AB43" s="1"/>
  <c r="AB44" s="1"/>
  <c r="AB45" s="1"/>
  <c r="AB46" s="1"/>
  <c r="AB47" s="1"/>
  <c r="AB48" s="1"/>
  <c r="AB49" s="1"/>
  <c r="AB50" s="1"/>
  <c r="AB51" s="1"/>
  <c r="AB52" s="1"/>
  <c r="AB53" s="1"/>
  <c r="AB54" s="1"/>
  <c r="AB55" s="1"/>
  <c r="AB56" s="1"/>
  <c r="AB57" s="1"/>
  <c r="AB58" s="1"/>
  <c r="AB59" s="1"/>
  <c r="AB60" s="1"/>
  <c r="AB61" s="1"/>
  <c r="AB62" s="1"/>
  <c r="AB63" s="1"/>
  <c r="AB64" s="1"/>
  <c r="AB65" s="1"/>
  <c r="AB66" s="1"/>
  <c r="AB67" s="1"/>
  <c r="AB68" s="1"/>
  <c r="AB69" s="1"/>
  <c r="AB70" s="1"/>
  <c r="AB71" s="1"/>
  <c r="AB72" s="1"/>
  <c r="AB73" s="1"/>
  <c r="AB74" s="1"/>
  <c r="AB75" s="1"/>
  <c r="AB76" s="1"/>
  <c r="AB77" s="1"/>
  <c r="AB78" s="1"/>
  <c r="AB79" s="1"/>
  <c r="AB80" s="1"/>
  <c r="AB81" s="1"/>
  <c r="AB82" s="1"/>
  <c r="AB83" s="1"/>
  <c r="AB84" s="1"/>
  <c r="AB85" s="1"/>
  <c r="AB86" s="1"/>
  <c r="AB87" s="1"/>
  <c r="AB88" s="1"/>
  <c r="AB89" s="1"/>
  <c r="AB90" s="1"/>
  <c r="AB91" s="1"/>
  <c r="AB92" s="1"/>
  <c r="AB93" s="1"/>
  <c r="AB94" s="1"/>
  <c r="AB95" s="1"/>
  <c r="AB96" s="1"/>
  <c r="AB97" s="1"/>
  <c r="AB98" s="1"/>
  <c r="AB99" s="1"/>
  <c r="AB100" s="1"/>
  <c r="AB101" s="1"/>
  <c r="AB102" s="1"/>
  <c r="AB103" s="1"/>
  <c r="AB104" s="1"/>
  <c r="AB105" s="1"/>
  <c r="AB106" s="1"/>
  <c r="AB107" s="1"/>
  <c r="AB108" s="1"/>
  <c r="AB109" s="1"/>
  <c r="AB110" s="1"/>
  <c r="AB111" s="1"/>
  <c r="AB112" s="1"/>
  <c r="AB113" s="1"/>
  <c r="AB114" s="1"/>
  <c r="AB115" s="1"/>
  <c r="AB116" s="1"/>
  <c r="AB117" s="1"/>
  <c r="AB118" s="1"/>
  <c r="AB119" s="1"/>
  <c r="AB120" s="1"/>
  <c r="AB121" s="1"/>
  <c r="AB122" s="1"/>
  <c r="AB123" s="1"/>
  <c r="AB124" s="1"/>
  <c r="AB125" s="1"/>
  <c r="AB126" s="1"/>
  <c r="AB127" s="1"/>
  <c r="AB128" s="1"/>
  <c r="AB129" s="1"/>
  <c r="AB130" s="1"/>
  <c r="AB131" s="1"/>
  <c r="AB132" s="1"/>
  <c r="AB133" s="1"/>
  <c r="AB134" s="1"/>
  <c r="AB135" s="1"/>
  <c r="AB136" s="1"/>
  <c r="AB137" s="1"/>
  <c r="AB138" s="1"/>
  <c r="AB139" s="1"/>
  <c r="AB140" s="1"/>
  <c r="AB141" s="1"/>
  <c r="AB142" s="1"/>
  <c r="AB143" s="1"/>
  <c r="AB144" s="1"/>
  <c r="AB145" s="1"/>
  <c r="AB146" s="1"/>
  <c r="AB147" s="1"/>
  <c r="AB148" s="1"/>
  <c r="AB149" s="1"/>
  <c r="AB150" s="1"/>
  <c r="AB151" s="1"/>
  <c r="AB152" s="1"/>
  <c r="AB153" s="1"/>
  <c r="AB154" s="1"/>
  <c r="AB155" s="1"/>
  <c r="AB156" s="1"/>
  <c r="AB157" s="1"/>
  <c r="AB158" s="1"/>
  <c r="AB159" s="1"/>
  <c r="AB160" s="1"/>
  <c r="AB161" s="1"/>
  <c r="AB162" s="1"/>
  <c r="AB163" s="1"/>
  <c r="AB164" s="1"/>
  <c r="AB165" s="1"/>
  <c r="AB166" s="1"/>
  <c r="AB167" s="1"/>
  <c r="AB168" s="1"/>
  <c r="AB169" s="1"/>
  <c r="AB170" s="1"/>
  <c r="AB171" s="1"/>
  <c r="AB172" s="1"/>
  <c r="AB173" s="1"/>
  <c r="AB174" s="1"/>
  <c r="AB175" s="1"/>
  <c r="AB176" s="1"/>
  <c r="AB177" s="1"/>
  <c r="AB178" s="1"/>
  <c r="AB179" s="1"/>
  <c r="AB180" s="1"/>
  <c r="AB181" s="1"/>
  <c r="AB182" s="1"/>
  <c r="AB183" s="1"/>
  <c r="AB184" s="1"/>
  <c r="AB185" s="1"/>
  <c r="AB186" s="1"/>
  <c r="AB187" s="1"/>
  <c r="AB188" s="1"/>
  <c r="AB189" s="1"/>
  <c r="AB190" s="1"/>
  <c r="C41" i="35" s="1"/>
  <c r="B256" i="25" l="1"/>
  <c r="B278"/>
  <c r="B235"/>
  <c r="B294"/>
  <c r="B295" s="1"/>
  <c r="B282"/>
  <c r="B283" s="1"/>
  <c r="B241"/>
  <c r="B242" s="1"/>
  <c r="B280"/>
  <c r="B281" s="1"/>
  <c r="B223"/>
  <c r="B306"/>
  <c r="B307" s="1"/>
  <c r="B239"/>
  <c r="B240" s="1"/>
  <c r="B225"/>
  <c r="B226" s="1"/>
  <c r="B296"/>
  <c r="B297" s="1"/>
  <c r="B229"/>
  <c r="B230" s="1"/>
  <c r="B237"/>
  <c r="B238" s="1"/>
  <c r="B308"/>
  <c r="B309" s="1"/>
  <c r="B233" i="24"/>
  <c r="AD191" i="5"/>
  <c r="AJ191"/>
  <c r="B346" i="25" l="1"/>
  <c r="B347" s="1"/>
  <c r="B257"/>
  <c r="B236"/>
  <c r="B224"/>
  <c r="B231"/>
  <c r="B232" s="1"/>
  <c r="B279"/>
  <c r="M13" i="5"/>
  <c r="M6" l="1"/>
  <c r="M8" l="1"/>
  <c r="M9"/>
  <c r="M10"/>
  <c r="M11"/>
  <c r="M12"/>
  <c r="M14"/>
  <c r="M15"/>
  <c r="M16"/>
  <c r="M18"/>
  <c r="M19"/>
  <c r="M20"/>
  <c r="M21"/>
  <c r="M22"/>
  <c r="J15" i="12" l="1"/>
  <c r="J6"/>
  <c r="J9"/>
  <c r="B252" i="25" l="1"/>
  <c r="B253" s="1"/>
  <c r="AS165" i="5"/>
  <c r="M165"/>
  <c r="F165"/>
  <c r="AS164"/>
  <c r="M164"/>
  <c r="F164"/>
  <c r="AS163"/>
  <c r="M163"/>
  <c r="F163"/>
  <c r="AS162"/>
  <c r="M162"/>
  <c r="F162"/>
  <c r="AS161"/>
  <c r="M161"/>
  <c r="F161"/>
  <c r="AS170"/>
  <c r="M170"/>
  <c r="F170"/>
  <c r="AS169"/>
  <c r="M169"/>
  <c r="F169"/>
  <c r="AS168"/>
  <c r="M168"/>
  <c r="F168"/>
  <c r="AS167"/>
  <c r="M167"/>
  <c r="F167"/>
  <c r="AS166"/>
  <c r="M166"/>
  <c r="F166"/>
  <c r="AS175"/>
  <c r="M175"/>
  <c r="F175"/>
  <c r="AS174"/>
  <c r="M174"/>
  <c r="F174"/>
  <c r="AS173"/>
  <c r="M173"/>
  <c r="F173"/>
  <c r="AS172"/>
  <c r="M172"/>
  <c r="F172"/>
  <c r="AS171"/>
  <c r="M171"/>
  <c r="F171"/>
  <c r="AS154"/>
  <c r="M154"/>
  <c r="F154"/>
  <c r="AS153"/>
  <c r="M153"/>
  <c r="F153"/>
  <c r="AS152"/>
  <c r="M152"/>
  <c r="F152"/>
  <c r="AS151"/>
  <c r="M151"/>
  <c r="F151"/>
  <c r="AS150"/>
  <c r="M150"/>
  <c r="F150"/>
  <c r="AS149"/>
  <c r="M149"/>
  <c r="F149"/>
  <c r="AS148"/>
  <c r="M148"/>
  <c r="F148"/>
  <c r="AS147"/>
  <c r="M147"/>
  <c r="F147"/>
  <c r="AS180"/>
  <c r="M180"/>
  <c r="F180"/>
  <c r="AS179"/>
  <c r="M179"/>
  <c r="F179"/>
  <c r="AS178"/>
  <c r="M178"/>
  <c r="F178"/>
  <c r="AS177"/>
  <c r="M177"/>
  <c r="F177"/>
  <c r="AS176"/>
  <c r="M176"/>
  <c r="F176"/>
  <c r="AS160"/>
  <c r="M160"/>
  <c r="F160"/>
  <c r="AS159"/>
  <c r="M159"/>
  <c r="F159"/>
  <c r="AS158"/>
  <c r="M158"/>
  <c r="F158"/>
  <c r="AS157"/>
  <c r="M157"/>
  <c r="F157"/>
  <c r="AS156"/>
  <c r="M156"/>
  <c r="F156"/>
  <c r="AS155"/>
  <c r="M155"/>
  <c r="F155"/>
  <c r="AS145"/>
  <c r="M145"/>
  <c r="F145"/>
  <c r="AS144"/>
  <c r="M144"/>
  <c r="F144"/>
  <c r="AS143"/>
  <c r="M143"/>
  <c r="F143"/>
  <c r="AS142"/>
  <c r="M142"/>
  <c r="F142"/>
  <c r="AS141"/>
  <c r="M141"/>
  <c r="F141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6"/>
  <c r="AS181"/>
  <c r="AS182"/>
  <c r="AS183"/>
  <c r="AS184"/>
  <c r="AS185"/>
  <c r="AS186"/>
  <c r="AS187"/>
  <c r="AS188"/>
  <c r="AS189"/>
  <c r="AS190"/>
  <c r="AS5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6"/>
  <c r="M181"/>
  <c r="M182"/>
  <c r="M183"/>
  <c r="M184"/>
  <c r="M185"/>
  <c r="M186"/>
  <c r="M187"/>
  <c r="M188"/>
  <c r="M189"/>
  <c r="M190"/>
  <c r="M5"/>
  <c r="B260" i="25" l="1"/>
  <c r="B261" s="1"/>
  <c r="F7" i="5"/>
  <c r="F8"/>
  <c r="F9"/>
  <c r="F10"/>
  <c r="F11"/>
  <c r="F14"/>
  <c r="F15"/>
  <c r="F16"/>
  <c r="F17"/>
  <c r="F23"/>
  <c r="F24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6"/>
  <c r="F181"/>
  <c r="F182"/>
  <c r="F183"/>
  <c r="F184"/>
  <c r="F185"/>
  <c r="F186"/>
  <c r="F187"/>
  <c r="F188"/>
  <c r="F189"/>
  <c r="F190"/>
  <c r="F6"/>
  <c r="E6" l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l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C40" i="35" s="1"/>
  <c r="AQ6" i="5" l="1"/>
  <c r="M191"/>
  <c r="K8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l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l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C39" i="35" s="1"/>
  <c r="AP191" i="5" l="1"/>
  <c r="B247" i="25" l="1"/>
  <c r="B251" i="24"/>
  <c r="T191" i="5"/>
  <c r="U191"/>
  <c r="B248" i="25" l="1"/>
  <c r="B249"/>
  <c r="B219"/>
  <c r="BC191" i="5"/>
  <c r="B250" i="25" l="1"/>
  <c r="B220"/>
  <c r="AQ7" i="5"/>
  <c r="AQ8" s="1"/>
  <c r="AQ9" s="1"/>
  <c r="AQ10" s="1"/>
  <c r="AQ11" s="1"/>
  <c r="AQ12" s="1"/>
  <c r="AQ13" s="1"/>
  <c r="AQ14" s="1"/>
  <c r="AQ15" s="1"/>
  <c r="AQ16" s="1"/>
  <c r="AQ17" s="1"/>
  <c r="AQ18" s="1"/>
  <c r="AQ19" s="1"/>
  <c r="AQ20" s="1"/>
  <c r="AQ21" s="1"/>
  <c r="AQ22" s="1"/>
  <c r="AQ23" s="1"/>
  <c r="AQ24" s="1"/>
  <c r="AQ25" s="1"/>
  <c r="AQ26" s="1"/>
  <c r="AQ27" s="1"/>
  <c r="AQ28" s="1"/>
  <c r="AQ29" s="1"/>
  <c r="AQ30" s="1"/>
  <c r="AQ31" s="1"/>
  <c r="AQ32" s="1"/>
  <c r="AQ33" s="1"/>
  <c r="AQ34" s="1"/>
  <c r="AQ35" s="1"/>
  <c r="AQ36" s="1"/>
  <c r="AQ37" s="1"/>
  <c r="AQ38" s="1"/>
  <c r="AQ39" s="1"/>
  <c r="AQ40" s="1"/>
  <c r="AQ41" s="1"/>
  <c r="AQ42" s="1"/>
  <c r="AQ43" s="1"/>
  <c r="AQ44" s="1"/>
  <c r="AQ45" s="1"/>
  <c r="AQ46" s="1"/>
  <c r="AQ47" s="1"/>
  <c r="AQ48" s="1"/>
  <c r="AQ49" s="1"/>
  <c r="AQ50" s="1"/>
  <c r="AQ51" s="1"/>
  <c r="AQ52" s="1"/>
  <c r="AQ53" s="1"/>
  <c r="AQ54" s="1"/>
  <c r="AQ55" s="1"/>
  <c r="AQ56" s="1"/>
  <c r="AQ57" s="1"/>
  <c r="AQ58" s="1"/>
  <c r="AQ59" s="1"/>
  <c r="AQ60" s="1"/>
  <c r="AQ61" s="1"/>
  <c r="AQ62" s="1"/>
  <c r="AQ63" s="1"/>
  <c r="AQ64" s="1"/>
  <c r="AQ65" s="1"/>
  <c r="AQ66" s="1"/>
  <c r="AQ67" s="1"/>
  <c r="AQ68" s="1"/>
  <c r="AQ69" s="1"/>
  <c r="AQ70" s="1"/>
  <c r="AQ71" s="1"/>
  <c r="AQ72" s="1"/>
  <c r="AQ73" s="1"/>
  <c r="AQ74" s="1"/>
  <c r="AQ75" s="1"/>
  <c r="AQ76" s="1"/>
  <c r="AQ77" s="1"/>
  <c r="AQ78" s="1"/>
  <c r="AQ79" s="1"/>
  <c r="AQ80" s="1"/>
  <c r="AQ81" s="1"/>
  <c r="AQ82" s="1"/>
  <c r="AQ83" s="1"/>
  <c r="AQ84" s="1"/>
  <c r="AQ85" s="1"/>
  <c r="AQ86" s="1"/>
  <c r="AQ87" s="1"/>
  <c r="AQ88" s="1"/>
  <c r="AQ89" s="1"/>
  <c r="AQ90" s="1"/>
  <c r="AQ91" s="1"/>
  <c r="AQ92" s="1"/>
  <c r="AQ93" s="1"/>
  <c r="AQ94" s="1"/>
  <c r="AQ95" s="1"/>
  <c r="AQ96" s="1"/>
  <c r="AQ97" s="1"/>
  <c r="AQ98" s="1"/>
  <c r="AQ99" s="1"/>
  <c r="AQ100" s="1"/>
  <c r="AQ101" s="1"/>
  <c r="AQ102" s="1"/>
  <c r="AQ103" s="1"/>
  <c r="AQ104" s="1"/>
  <c r="AQ105" s="1"/>
  <c r="AQ106" s="1"/>
  <c r="AQ107" s="1"/>
  <c r="AQ108" s="1"/>
  <c r="AQ109" s="1"/>
  <c r="AQ110" s="1"/>
  <c r="AQ111" s="1"/>
  <c r="AQ112" s="1"/>
  <c r="AQ113" s="1"/>
  <c r="AQ114" s="1"/>
  <c r="AQ115" s="1"/>
  <c r="AQ116" s="1"/>
  <c r="AQ117" s="1"/>
  <c r="AQ118" s="1"/>
  <c r="AQ119" s="1"/>
  <c r="AQ120" s="1"/>
  <c r="AQ121" s="1"/>
  <c r="AQ122" s="1"/>
  <c r="AQ123" s="1"/>
  <c r="AQ124" s="1"/>
  <c r="AQ125" s="1"/>
  <c r="AQ126" s="1"/>
  <c r="AQ127" s="1"/>
  <c r="AQ128" s="1"/>
  <c r="AQ129" s="1"/>
  <c r="AQ130" s="1"/>
  <c r="AQ131" s="1"/>
  <c r="AQ132" s="1"/>
  <c r="AQ133" s="1"/>
  <c r="AQ134" s="1"/>
  <c r="AQ135" s="1"/>
  <c r="AQ136" s="1"/>
  <c r="AQ137" s="1"/>
  <c r="AQ138" s="1"/>
  <c r="AQ139" s="1"/>
  <c r="AQ140" s="1"/>
  <c r="AS191"/>
  <c r="F191"/>
  <c r="BC193" l="1"/>
  <c r="C248" i="35" s="1"/>
  <c r="C249" s="1"/>
  <c r="BF22" i="5"/>
  <c r="AQ141"/>
  <c r="AQ142" s="1"/>
  <c r="AQ143" s="1"/>
  <c r="AQ144" s="1"/>
  <c r="AQ145" s="1"/>
  <c r="AQ146" s="1"/>
  <c r="AQ147" s="1"/>
  <c r="AQ148" s="1"/>
  <c r="AQ149" s="1"/>
  <c r="AQ150" s="1"/>
  <c r="AQ151" s="1"/>
  <c r="AQ152" s="1"/>
  <c r="AQ153" s="1"/>
  <c r="AQ154" s="1"/>
  <c r="AQ155" s="1"/>
  <c r="AQ156" s="1"/>
  <c r="AQ157" s="1"/>
  <c r="AQ158" s="1"/>
  <c r="AQ159" s="1"/>
  <c r="AQ160" s="1"/>
  <c r="AQ161" s="1"/>
  <c r="AQ162" s="1"/>
  <c r="AQ163" s="1"/>
  <c r="AQ164" s="1"/>
  <c r="AQ165" s="1"/>
  <c r="AQ166" s="1"/>
  <c r="AQ167" s="1"/>
  <c r="AQ168" s="1"/>
  <c r="AQ169" s="1"/>
  <c r="AQ170" s="1"/>
  <c r="AQ171" s="1"/>
  <c r="AQ172" s="1"/>
  <c r="AQ173" s="1"/>
  <c r="AQ174" s="1"/>
  <c r="AQ175" s="1"/>
  <c r="AQ176" s="1"/>
  <c r="AQ177" s="1"/>
  <c r="AQ178" s="1"/>
  <c r="AQ179" s="1"/>
  <c r="AQ180" s="1"/>
  <c r="AQ181" s="1"/>
  <c r="AQ182" s="1"/>
  <c r="AQ183" s="1"/>
  <c r="AQ184" s="1"/>
  <c r="AQ185" s="1"/>
  <c r="AQ186" s="1"/>
  <c r="AQ187" s="1"/>
  <c r="AQ188" s="1"/>
  <c r="AQ189" s="1"/>
  <c r="AQ190" s="1"/>
  <c r="C44" i="35" s="1"/>
  <c r="C48" l="1"/>
  <c r="C125" s="1"/>
  <c r="C129" s="1"/>
  <c r="C206" s="1"/>
  <c r="B14" i="24"/>
  <c r="C419" i="35"/>
  <c r="C420" s="1"/>
  <c r="C273"/>
  <c r="C274" s="1"/>
  <c r="BF14" i="5"/>
  <c r="BG14" s="1"/>
  <c r="B15" i="24" l="1"/>
  <c r="B14" i="25" s="1"/>
  <c r="B185" s="1"/>
  <c r="B186" i="24"/>
  <c r="B187" s="1"/>
  <c r="C203" i="35"/>
  <c r="C207" s="1"/>
  <c r="C425"/>
  <c r="C426" s="1"/>
  <c r="C213"/>
  <c r="C223" s="1"/>
  <c r="C639"/>
  <c r="C642" s="1"/>
  <c r="C636"/>
  <c r="B39" i="24"/>
  <c r="B40" s="1"/>
  <c r="C214" i="35" l="1"/>
  <c r="C644"/>
  <c r="C645" s="1"/>
  <c r="B15" i="25"/>
  <c r="B192" i="24"/>
  <c r="B193" s="1"/>
  <c r="B39" i="25"/>
  <c r="B40" s="1"/>
  <c r="B186" l="1"/>
  <c r="B191"/>
  <c r="B192" s="1"/>
  <c r="B379" i="24" l="1"/>
  <c r="B379" i="25" s="1"/>
  <c r="B383" s="1"/>
  <c r="B5" i="24"/>
  <c r="B6" s="1"/>
  <c r="B382" l="1"/>
  <c r="B5" i="25"/>
  <c r="B6" s="1"/>
  <c r="B258"/>
  <c r="B274" s="1"/>
  <c r="B276" i="24"/>
  <c r="B375" l="1"/>
  <c r="B373" i="25"/>
  <c r="B259"/>
  <c r="B384" i="24"/>
  <c r="B385" s="1"/>
  <c r="B374" i="25" l="1"/>
  <c r="B275"/>
  <c r="B377" i="24"/>
  <c r="B195"/>
  <c r="B196" s="1"/>
  <c r="B376" i="25" l="1"/>
  <c r="B377" s="1"/>
  <c r="B194"/>
  <c r="B195" s="1"/>
  <c r="I49" i="38"/>
  <c r="F49" l="1"/>
  <c r="E49"/>
  <c r="C49"/>
  <c r="H49"/>
  <c r="D49"/>
  <c r="G49"/>
  <c r="C51" l="1"/>
</calcChain>
</file>

<file path=xl/sharedStrings.xml><?xml version="1.0" encoding="utf-8"?>
<sst xmlns="http://schemas.openxmlformats.org/spreadsheetml/2006/main" count="6760" uniqueCount="909">
  <si>
    <t>UANG TUNAI</t>
  </si>
  <si>
    <t>DIGIPOS</t>
  </si>
  <si>
    <t>PORTAL PULSA</t>
  </si>
  <si>
    <t>THYAND</t>
  </si>
  <si>
    <t>CHYKA</t>
  </si>
  <si>
    <t>DANA</t>
  </si>
  <si>
    <t>OVO</t>
  </si>
  <si>
    <t>LINKAJA</t>
  </si>
  <si>
    <t>MOFJEK</t>
  </si>
  <si>
    <t>PEGADAIAN</t>
  </si>
  <si>
    <t>UANG KECIL</t>
  </si>
  <si>
    <t>HUTANG</t>
  </si>
  <si>
    <t>BON KIOS</t>
  </si>
  <si>
    <t>TOTAL</t>
  </si>
  <si>
    <t>KOIN 500</t>
  </si>
  <si>
    <t>KOIN 1000</t>
  </si>
  <si>
    <t>SIDOMPUL</t>
  </si>
  <si>
    <t>POSPAY</t>
  </si>
  <si>
    <t>PEMASUKAN LAINNYA</t>
  </si>
  <si>
    <t>BELANJA KIOS</t>
  </si>
  <si>
    <t>BIAYA</t>
  </si>
  <si>
    <t>PIUTANG</t>
  </si>
  <si>
    <t>TAMIN</t>
  </si>
  <si>
    <t>UTANG + MSI</t>
  </si>
  <si>
    <t>KIOS</t>
  </si>
  <si>
    <t xml:space="preserve">UANG YG ADA </t>
  </si>
  <si>
    <t>MARI</t>
  </si>
  <si>
    <t>LAINNYA</t>
  </si>
  <si>
    <t>TRANSFER</t>
  </si>
  <si>
    <t>SALDO</t>
  </si>
  <si>
    <t>TOP UP</t>
  </si>
  <si>
    <t>JUAL PULSA</t>
  </si>
  <si>
    <t>HARGA MODAL</t>
  </si>
  <si>
    <t>TRANSFER MASUK</t>
  </si>
  <si>
    <t>TRANSFER KELUAR</t>
  </si>
  <si>
    <t>TOTAL UANG + PIUTANG + BON KIOS - UTANG</t>
  </si>
  <si>
    <t>KOMISI</t>
  </si>
  <si>
    <t>TRANSFER BRI</t>
  </si>
  <si>
    <t>FEE</t>
  </si>
  <si>
    <t>BRIMO</t>
  </si>
  <si>
    <t>BRIMO T2                                         357201019274503</t>
  </si>
  <si>
    <t>BNI CHYKA                                        1775419104</t>
  </si>
  <si>
    <t>PENJUALAN</t>
  </si>
  <si>
    <t>BELANJA</t>
  </si>
  <si>
    <t>SIDOMPUL                                             087788625894</t>
  </si>
  <si>
    <t xml:space="preserve"> </t>
  </si>
  <si>
    <t>AGEN</t>
  </si>
  <si>
    <t>TOTAL KIOS</t>
  </si>
  <si>
    <t>TOTAL AGEN</t>
  </si>
  <si>
    <t>PENGELUARAN LAINNYA</t>
  </si>
  <si>
    <t>DIGI POS</t>
  </si>
  <si>
    <t>EDC FASTPAY</t>
  </si>
  <si>
    <t>BRILINK / BRIMO T1</t>
  </si>
  <si>
    <t>BRIMO C1</t>
  </si>
  <si>
    <t>BNI CHYKA</t>
  </si>
  <si>
    <t>BRIMO C2</t>
  </si>
  <si>
    <t>BRIMO C3</t>
  </si>
  <si>
    <t>BRIMO T2</t>
  </si>
  <si>
    <t>BNI THYAND</t>
  </si>
  <si>
    <t>TOTAL PENGELUARAN</t>
  </si>
  <si>
    <t>TOTAL PEMASUKAN</t>
  </si>
  <si>
    <t>PENGELUARAN PULSA</t>
  </si>
  <si>
    <t>PULSA</t>
  </si>
  <si>
    <t>BAYAR BON KIOS</t>
  </si>
  <si>
    <t>ORANG BAYAR PIUTANG</t>
  </si>
  <si>
    <t>BAYAR HUTANG</t>
  </si>
  <si>
    <t>NAMA</t>
  </si>
  <si>
    <t>BON</t>
  </si>
  <si>
    <t>BAYAR</t>
  </si>
  <si>
    <t>BRI    357201028758536</t>
  </si>
  <si>
    <t>BNI       1775419104</t>
  </si>
  <si>
    <t>EDC FRANSISKA MARGARETHA                                                          FA391817</t>
  </si>
  <si>
    <t>EDC SEFTIANUS RUBEN                                                          FA494427</t>
  </si>
  <si>
    <t>FASTPAY CHYKA</t>
  </si>
  <si>
    <t>FASTPAY THYAND</t>
  </si>
  <si>
    <t>TARIK TUNAI</t>
  </si>
  <si>
    <t>WIN YENI</t>
  </si>
  <si>
    <t xml:space="preserve">HARGA JUAL </t>
  </si>
  <si>
    <t>HARGA JUAL</t>
  </si>
  <si>
    <t>TARIK / TOP UP</t>
  </si>
  <si>
    <t>HARGA BAYAR</t>
  </si>
  <si>
    <t>M 190</t>
  </si>
  <si>
    <t>S 190</t>
  </si>
  <si>
    <t>AD 190</t>
  </si>
  <si>
    <t>FEE BRILINK</t>
  </si>
  <si>
    <t>TOTAL FEE BRILINK</t>
  </si>
  <si>
    <t xml:space="preserve">ADMIN BANK </t>
  </si>
  <si>
    <t>JAN FEB MAR</t>
  </si>
  <si>
    <t>APRIL</t>
  </si>
  <si>
    <t>MEI</t>
  </si>
  <si>
    <t>BRI  C1    469301000223502</t>
  </si>
  <si>
    <t>BRIMO C2                         357201041984530</t>
  </si>
  <si>
    <t>BRIMO C3                             357201045150531</t>
  </si>
  <si>
    <t>BRIMO ELREI JUNIOR                             357201019275509</t>
  </si>
  <si>
    <t>ELREI JUNIOR</t>
  </si>
  <si>
    <t xml:space="preserve">        C2   '357201041984530</t>
  </si>
  <si>
    <t xml:space="preserve">        C3   '357201045150531</t>
  </si>
  <si>
    <t>PENGELUARAN PULSA LISTRIK</t>
  </si>
  <si>
    <t>PULSA LISTRIK</t>
  </si>
  <si>
    <t>BELANJA        KIOS</t>
  </si>
  <si>
    <t>PENGELUARAN</t>
  </si>
  <si>
    <t>UANG ROBEK</t>
  </si>
  <si>
    <t>BRIMO SANROY JUNIOR                                         469301019283507</t>
  </si>
  <si>
    <t>SANROY JUNIOR</t>
  </si>
  <si>
    <t>JUNI</t>
  </si>
  <si>
    <t>JULI</t>
  </si>
  <si>
    <t>AIR TENGKI</t>
  </si>
  <si>
    <t>PENGELUARAN AIR TENGKI</t>
  </si>
  <si>
    <t>TOTAL PENGELUARAN AIR TENGKI</t>
  </si>
  <si>
    <t>TOTAL PENGELUARAN LAINNYA</t>
  </si>
  <si>
    <t>AGUSTUS</t>
  </si>
  <si>
    <t>3 SAKTI</t>
  </si>
  <si>
    <t>RITA PPOB</t>
  </si>
  <si>
    <t>SEPTEMBER</t>
  </si>
  <si>
    <t>OKTOBER</t>
  </si>
  <si>
    <t>NOVEMBER</t>
  </si>
  <si>
    <t>DESEMBER</t>
  </si>
  <si>
    <t>UANG YANG ADA</t>
  </si>
  <si>
    <t>JANUARI</t>
  </si>
  <si>
    <t>MAMA</t>
  </si>
  <si>
    <t>LARA</t>
  </si>
  <si>
    <t>TOTAL PENGELUARAN (PERBULAN)</t>
  </si>
  <si>
    <t>TOTAL (SELURUH BULAN)</t>
  </si>
  <si>
    <t xml:space="preserve">PENGELUARAN LAINNYA </t>
  </si>
  <si>
    <t>TOTAL (SELURUH TAHUN)</t>
  </si>
  <si>
    <t>TOTAL PENGELUARAN (PERTAHUN)</t>
  </si>
  <si>
    <t>TOTAL PEMASUKAN (PERTAHUN)</t>
  </si>
  <si>
    <t>TOTAL PEMASUKAN (SELURUH TAHUN)</t>
  </si>
  <si>
    <t>KAMIS</t>
  </si>
  <si>
    <t>RABU</t>
  </si>
  <si>
    <t>SELASA</t>
  </si>
  <si>
    <t>SENIN</t>
  </si>
  <si>
    <t>MINGGU</t>
  </si>
  <si>
    <t>SABTU</t>
  </si>
  <si>
    <t>JUMAT</t>
  </si>
  <si>
    <t>SET</t>
  </si>
  <si>
    <t>REI</t>
  </si>
  <si>
    <t>ROY</t>
  </si>
  <si>
    <t>BAOMEKOT</t>
  </si>
  <si>
    <t>NEBE</t>
  </si>
  <si>
    <t>BIAYA REKENING</t>
  </si>
  <si>
    <t>C1</t>
  </si>
  <si>
    <t>C2</t>
  </si>
  <si>
    <t>C3</t>
  </si>
  <si>
    <t>T1</t>
  </si>
  <si>
    <t>T2</t>
  </si>
  <si>
    <t>BNI C</t>
  </si>
  <si>
    <t>BNI T</t>
  </si>
  <si>
    <t>ROI</t>
  </si>
  <si>
    <t>TOTAL PERBULAN</t>
  </si>
  <si>
    <t>TOTAL PERTAHUN</t>
  </si>
  <si>
    <t>TOTAL HARIAN</t>
  </si>
  <si>
    <t>MSI CHYKA</t>
  </si>
  <si>
    <t>FEBRUARI</t>
  </si>
  <si>
    <t>PENGELUARAN AXXT</t>
  </si>
  <si>
    <t>AXXT</t>
  </si>
  <si>
    <t>ANGSURAN</t>
  </si>
  <si>
    <t>ANGSURAN BRI</t>
  </si>
  <si>
    <t>POKOK</t>
  </si>
  <si>
    <t>BUNGA</t>
  </si>
  <si>
    <t>BRI</t>
  </si>
  <si>
    <t>DOI ABEL</t>
  </si>
  <si>
    <t>NET</t>
  </si>
  <si>
    <t>BRIMO KELUAR</t>
  </si>
  <si>
    <t>ADMIN BANK</t>
  </si>
  <si>
    <t>BRILINK CHYKA                                                                                                                                                           469301000223502</t>
  </si>
  <si>
    <t>AS 190</t>
  </si>
  <si>
    <t>SISA POKOK</t>
  </si>
  <si>
    <t>SIMPEL IM3</t>
  </si>
  <si>
    <t>MARET</t>
  </si>
  <si>
    <t>BRILINK      THYAND                                                                                                                                                                                                357201028758536</t>
  </si>
  <si>
    <t>3 SAKTI   THYAND                                                  089512732555</t>
  </si>
  <si>
    <t>SIKU</t>
  </si>
  <si>
    <t>AGEN BAOMEKOT</t>
  </si>
  <si>
    <t>AGEN SIKU</t>
  </si>
  <si>
    <t>DIGIPOS  R2 CELL                                                          082144228240</t>
  </si>
  <si>
    <t>DIGIPOS R2 SIKU EHA                                                               085189220661</t>
  </si>
  <si>
    <t>3 SAKTI   CHYKA                                                 08999977283</t>
  </si>
  <si>
    <t>PEGADAIAN CHYKA  + 2437</t>
  </si>
  <si>
    <t>BAPA</t>
  </si>
  <si>
    <t>AMBIL BARANG KIOS</t>
  </si>
  <si>
    <t>SALDO AWAL</t>
  </si>
  <si>
    <t>SALDO AKHIR</t>
  </si>
  <si>
    <t>KIOS TOTAL HARIAN</t>
  </si>
  <si>
    <t>PEMASUKAN</t>
  </si>
  <si>
    <t>TUNAI</t>
  </si>
  <si>
    <t>HILDE AMOS</t>
  </si>
  <si>
    <t>GAJI KARYAWAN</t>
  </si>
  <si>
    <t>REGULER</t>
  </si>
  <si>
    <t>TOTAL BELANJA KIOS</t>
  </si>
  <si>
    <t>TOTAL AMBIL BARANG KIOS</t>
  </si>
  <si>
    <t>REJA</t>
  </si>
  <si>
    <t>FEBY</t>
  </si>
  <si>
    <t>HABIBOLA</t>
  </si>
  <si>
    <t>FEE BRILINK TIAN (BAOMEKOT)</t>
  </si>
  <si>
    <t>FEE BRILINK CHYKA (SIKU EHA)</t>
  </si>
  <si>
    <t>ISI MANUAL</t>
  </si>
  <si>
    <t>SIMPEL IM3                                                                     085702789843</t>
  </si>
  <si>
    <t>RINI</t>
  </si>
  <si>
    <t>FAST PAY</t>
  </si>
  <si>
    <t>BNI</t>
  </si>
  <si>
    <t>BCA</t>
  </si>
  <si>
    <t>MANDIRI</t>
  </si>
  <si>
    <t>BPD NTT</t>
  </si>
  <si>
    <t>AH 190</t>
  </si>
  <si>
    <t>AM 190</t>
  </si>
  <si>
    <t>Y 190</t>
  </si>
  <si>
    <t>I 190</t>
  </si>
  <si>
    <t>N 190</t>
  </si>
  <si>
    <t>X 190</t>
  </si>
  <si>
    <t>C 190</t>
  </si>
  <si>
    <t>HABI BOLA</t>
  </si>
  <si>
    <t>FASTPAY</t>
  </si>
  <si>
    <t>NTT</t>
  </si>
  <si>
    <t>BIAYA ADMIN BANK</t>
  </si>
  <si>
    <t>ALDOPUS YOMANSIUS BURA                                                                                                       0119 0101 1019 532</t>
  </si>
  <si>
    <t>SEFTIANUS RUBEN                                                                                                                        1110203088</t>
  </si>
  <si>
    <t>SEFTIANUS RUBEN                                                                                                                                  6986084102</t>
  </si>
  <si>
    <t>SEFTIANUS RUBEN                                                                                                                                   1810003483022</t>
  </si>
  <si>
    <t>BCA                                                                                CHYKA                                     6986050208</t>
  </si>
  <si>
    <t>BCA   6986050208</t>
  </si>
  <si>
    <t>MANDIRI   1810003483006</t>
  </si>
  <si>
    <t>MANDIRI                                                               CHYKA                             1810003483006</t>
  </si>
  <si>
    <t>T2          '357201019274503</t>
  </si>
  <si>
    <t>JML</t>
  </si>
  <si>
    <t>TOTAL UANG</t>
  </si>
  <si>
    <t>TOTAL SALDO</t>
  </si>
  <si>
    <t>TOTAL UANG + SALDO</t>
  </si>
  <si>
    <t>AGEN HABI BOLA</t>
  </si>
  <si>
    <t>NARTY</t>
  </si>
  <si>
    <t>BCA C</t>
  </si>
  <si>
    <t>BCA T</t>
  </si>
  <si>
    <t>MANDIRI C</t>
  </si>
  <si>
    <t>MANDIRI T</t>
  </si>
  <si>
    <t>NTT C</t>
  </si>
  <si>
    <t>NTT T</t>
  </si>
  <si>
    <t>BRI YOMAN</t>
  </si>
  <si>
    <t>PROFIT</t>
  </si>
  <si>
    <t>HARI MINGGU</t>
  </si>
  <si>
    <t>CABANG 5</t>
  </si>
  <si>
    <t>CABANG 4</t>
  </si>
  <si>
    <t>SUNROY</t>
  </si>
  <si>
    <t>ELREI</t>
  </si>
  <si>
    <t>REKENING</t>
  </si>
  <si>
    <t>GAJI</t>
  </si>
  <si>
    <t>DATA</t>
  </si>
  <si>
    <t>ELINK</t>
  </si>
  <si>
    <t>LISTRIK</t>
  </si>
  <si>
    <t>BMK</t>
  </si>
  <si>
    <t>BBM</t>
  </si>
  <si>
    <t>KONSUMSI</t>
  </si>
  <si>
    <t>CICILAN BANK</t>
  </si>
  <si>
    <t>OTO</t>
  </si>
  <si>
    <t>CICILAN</t>
  </si>
  <si>
    <t>PENYUSUTAN</t>
  </si>
  <si>
    <t>PERAWATAN</t>
  </si>
  <si>
    <t>MINIMAL PROFIT PERHARI</t>
  </si>
  <si>
    <t>FA391817 FRANSISKA MARGARETHA PRADA</t>
  </si>
  <si>
    <t>SEFTIANUS RUBEN                                                                                                                                   2511214109</t>
  </si>
  <si>
    <t>O85191401601    MARIA MAGDALENA</t>
  </si>
  <si>
    <t>O85191401601   FRANSISKA MARGARETHA</t>
  </si>
  <si>
    <t>HILDE BARU</t>
  </si>
  <si>
    <t>BRIMO YOMAN</t>
  </si>
  <si>
    <t>PEGADAIAN MAGDA</t>
  </si>
  <si>
    <t>AR 191</t>
  </si>
  <si>
    <t>AQ 191</t>
  </si>
  <si>
    <t>V 190</t>
  </si>
  <si>
    <t>K 190</t>
  </si>
  <si>
    <t>E 190</t>
  </si>
  <si>
    <t>AB 190</t>
  </si>
  <si>
    <t>AQ 190</t>
  </si>
  <si>
    <t>H  190</t>
  </si>
  <si>
    <t>AJ 190</t>
  </si>
  <si>
    <t>AZ  190</t>
  </si>
  <si>
    <t>J  191</t>
  </si>
  <si>
    <t>D  191</t>
  </si>
  <si>
    <t>Q  191</t>
  </si>
  <si>
    <t>X  191</t>
  </si>
  <si>
    <t>AD  191</t>
  </si>
  <si>
    <t>AJ  191</t>
  </si>
  <si>
    <t>AP  191</t>
  </si>
  <si>
    <t>AV  191</t>
  </si>
  <si>
    <t>AC  190</t>
  </si>
  <si>
    <t>H  188</t>
  </si>
  <si>
    <t>L  188</t>
  </si>
  <si>
    <t>C  191</t>
  </si>
  <si>
    <t>B  191</t>
  </si>
  <si>
    <t>AU  191</t>
  </si>
  <si>
    <t>BA  193</t>
  </si>
  <si>
    <t>AW  193</t>
  </si>
  <si>
    <t>U  191</t>
  </si>
  <si>
    <t>AY  188</t>
  </si>
  <si>
    <t>BA  21</t>
  </si>
  <si>
    <t>BB  21</t>
  </si>
  <si>
    <t>BC  21</t>
  </si>
  <si>
    <t>BA  9</t>
  </si>
  <si>
    <t>BB  9</t>
  </si>
  <si>
    <t>BC  9</t>
  </si>
  <si>
    <t>BD  9</t>
  </si>
  <si>
    <t>BE  9</t>
  </si>
  <si>
    <t>BA  26</t>
  </si>
  <si>
    <t>BA  15</t>
  </si>
  <si>
    <t>BB 15</t>
  </si>
  <si>
    <t>BC 15</t>
  </si>
  <si>
    <t>BD  15</t>
  </si>
  <si>
    <t>BE  15</t>
  </si>
  <si>
    <t>BG 36</t>
  </si>
  <si>
    <t>BG  37</t>
  </si>
  <si>
    <t>BG  38</t>
  </si>
  <si>
    <t>BG  39</t>
  </si>
  <si>
    <t>BG  40</t>
  </si>
  <si>
    <t>BG  41</t>
  </si>
  <si>
    <t>BG  42</t>
  </si>
  <si>
    <t>BG  43</t>
  </si>
  <si>
    <t>BG  44</t>
  </si>
  <si>
    <t>BG  45</t>
  </si>
  <si>
    <t>BG  46</t>
  </si>
  <si>
    <t>BG  47</t>
  </si>
  <si>
    <t>BG  48</t>
  </si>
  <si>
    <t>BG  49</t>
  </si>
  <si>
    <t>BG  50</t>
  </si>
  <si>
    <t>BG  51</t>
  </si>
  <si>
    <t>BA  83</t>
  </si>
  <si>
    <t>BB  83</t>
  </si>
  <si>
    <t>KOMISI FASTPAY CHYKA ( SIKU EHA)</t>
  </si>
  <si>
    <t>KOMISI FASTPAY THYAND  (BAOMEKOT)</t>
  </si>
  <si>
    <t>MINIMAL PROVIT CABANG PERHARI</t>
  </si>
  <si>
    <t>AGEN WB</t>
  </si>
  <si>
    <t>TEMPAT</t>
  </si>
  <si>
    <t>AIR</t>
  </si>
  <si>
    <t>AIR MINUM</t>
  </si>
  <si>
    <t>HBB</t>
  </si>
  <si>
    <t>AGEN SIKU EHA</t>
  </si>
  <si>
    <t>AGEN HABIBOLA</t>
  </si>
  <si>
    <t>SEWA TEMPAT</t>
  </si>
  <si>
    <t>PEGADAIAN THYAND  + 2437                                                            082147266855</t>
  </si>
  <si>
    <t>UANG KOIN TABUNG</t>
  </si>
  <si>
    <t>BIAYA TOP UP</t>
  </si>
  <si>
    <t>BIAYA ADMIN REKENING</t>
  </si>
  <si>
    <t>KOMISI FASTPAY CHYKA (HABIBOLA)</t>
  </si>
  <si>
    <t>BRILINK BARU            THYAND                              011901070079503</t>
  </si>
  <si>
    <t>FEE BRILINK TIAN (WATUBLAPI)</t>
  </si>
  <si>
    <t>BA 191</t>
  </si>
  <si>
    <t>WATUBLAPI</t>
  </si>
  <si>
    <t>DIGIPOS R2 WATUBLAPI                                                               085189220661</t>
  </si>
  <si>
    <t>AGEN WATUBLAPI</t>
  </si>
  <si>
    <t>T3</t>
  </si>
  <si>
    <t>BRILINK THYAND BARU                                                                                                                                                 469301000223502</t>
  </si>
  <si>
    <t>SIMPEL IM3 THYAND                                                                      085745584943 AgenkiosR2$</t>
  </si>
  <si>
    <t>AIR GALON</t>
  </si>
  <si>
    <t>PROFIT BERSIH</t>
  </si>
  <si>
    <t>TOTAL PENGELUARAN HARIAN AGEN</t>
  </si>
  <si>
    <t>TOTAL PROFIT BERSIH</t>
  </si>
  <si>
    <t>ADMIN BULANAN</t>
  </si>
  <si>
    <t>TOTAL PENGELUARAN BULANAN AGEN</t>
  </si>
  <si>
    <t>TOTAL PENGELUARAN TAHUNAN AGEN</t>
  </si>
  <si>
    <t>TOTAL PROFIT BERSIH TAHUNAN</t>
  </si>
  <si>
    <t>BIAYA TOP UP / TARIK</t>
  </si>
  <si>
    <t>HARI</t>
  </si>
  <si>
    <t>TANGGAL</t>
  </si>
  <si>
    <t>KARYAWAN</t>
  </si>
  <si>
    <t>TOTAL GAJI</t>
  </si>
  <si>
    <t>TOTAL FEE BRILINK PER HARI</t>
  </si>
  <si>
    <t>LELI</t>
  </si>
  <si>
    <t>SIMPANAN</t>
  </si>
  <si>
    <t>PINTAR</t>
  </si>
  <si>
    <t>BS</t>
  </si>
  <si>
    <t>SIMPANAN KOPERASI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</si>
  <si>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>BRILINK</t>
    </r>
  </si>
  <si>
    <t>NAMA AGEN</t>
  </si>
  <si>
    <t>:</t>
  </si>
  <si>
    <t>S RUBEN</t>
  </si>
  <si>
    <t>NO REKENING</t>
  </si>
  <si>
    <t>ID AGEN</t>
  </si>
  <si>
    <t>NO HP</t>
  </si>
  <si>
    <t>NO BELAKANG CHIP</t>
  </si>
  <si>
    <t>EMAIL</t>
  </si>
  <si>
    <t>seftianusr03@gmail.com</t>
  </si>
  <si>
    <t>NAMA OUTLET</t>
  </si>
  <si>
    <t>ID OUTLET</t>
  </si>
  <si>
    <t>MERCHANT ID</t>
  </si>
  <si>
    <t>USER NAME</t>
  </si>
  <si>
    <t>seftianusr03</t>
  </si>
  <si>
    <t>PASSWORD</t>
  </si>
  <si>
    <t>Agenkiosr2</t>
  </si>
  <si>
    <t>PIN</t>
  </si>
  <si>
    <t>ID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</si>
  <si>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 xml:space="preserve">DIGIPOS </t>
    </r>
  </si>
  <si>
    <t>R2 CELL</t>
  </si>
  <si>
    <t>NO CHIP</t>
  </si>
  <si>
    <t>POSISI KARTU CHIP</t>
  </si>
  <si>
    <t>SIM 1 HP VIVO (KIOS BAOMEKOT)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</si>
  <si>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>RITA 3</t>
    </r>
  </si>
  <si>
    <t>KIOS R2 CELL</t>
  </si>
  <si>
    <t>SIM 2 HP VIVO KIOS BAOMEKOT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</si>
  <si>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>SIMPEL IM3</t>
    </r>
  </si>
  <si>
    <t>KIOS R21</t>
  </si>
  <si>
    <t>Agenkiosr2$</t>
  </si>
  <si>
    <t>6201 0000 1648 65744 - 0</t>
  </si>
  <si>
    <t>MASA AKTIF KARTU</t>
  </si>
  <si>
    <t>05 OKTOBER 2025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</si>
  <si>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>FASTPAY</t>
    </r>
  </si>
  <si>
    <t>SEFTIANUS RUBEN</t>
  </si>
  <si>
    <t>FA494427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</si>
  <si>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Calibri"/>
        <family val="2"/>
        <scheme val="minor"/>
      </rPr>
      <t>PEGADAIAN</t>
    </r>
  </si>
  <si>
    <t>KODE AGEN</t>
  </si>
  <si>
    <t>TIPE AGEN</t>
  </si>
  <si>
    <t>AGEN PEMBAYARAN</t>
  </si>
  <si>
    <t>NO REK WALLET</t>
  </si>
  <si>
    <t>UPC. KEWAPANTE</t>
  </si>
  <si>
    <t>NOMOR OUTLET</t>
  </si>
  <si>
    <t>ALAMAT</t>
  </si>
  <si>
    <t>JL. RAYA GELITING</t>
  </si>
  <si>
    <t>AGEN FRANSISKA</t>
  </si>
  <si>
    <t>elreisunroy@gmail.com</t>
  </si>
  <si>
    <t>Agenkiosr22</t>
  </si>
  <si>
    <t>KIOS R2 CABANG SIKU EHA</t>
  </si>
  <si>
    <t>R2 SIKU EHA</t>
  </si>
  <si>
    <t>KIOS R21 SIKU</t>
  </si>
  <si>
    <t>6201 0000 1708 79179 – 0</t>
  </si>
  <si>
    <t>SIM 1 HP VIVO SET</t>
  </si>
  <si>
    <t>KIOS R2 BAOMEKOT</t>
  </si>
  <si>
    <t>FA391817</t>
  </si>
  <si>
    <t>FRANSISKA MARGARETHA PRADA</t>
  </si>
  <si>
    <t>Kios R2 Cabang Habibola</t>
  </si>
  <si>
    <t>SIM 1 HP SAMSUNG (HP HABIBOLA)</t>
  </si>
  <si>
    <t>ELREISUNROY@GMAIL.COM</t>
  </si>
  <si>
    <t>MARIA MAGDALENA</t>
  </si>
  <si>
    <t>Agenkiosr22$</t>
  </si>
  <si>
    <t>AGEN REGULER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</si>
  <si>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BRIMO YOMAN</t>
    </r>
  </si>
  <si>
    <t>USERNAME</t>
  </si>
  <si>
    <t>A1dopusyomansiusbura</t>
  </si>
  <si>
    <t>Ps</t>
  </si>
  <si>
    <t>NOREK</t>
  </si>
  <si>
    <t>NAMA REK</t>
  </si>
  <si>
    <t>ALDOPUS YOMANSIUS BURA</t>
  </si>
  <si>
    <t>NOMOR KARTU ATM</t>
  </si>
  <si>
    <t>08225236****</t>
  </si>
  <si>
    <t>aldopusyomansiusbura@gmail.com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</si>
  <si>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BNI WONDR</t>
    </r>
  </si>
  <si>
    <t>PS</t>
  </si>
  <si>
    <t>NO REK</t>
  </si>
  <si>
    <t>NO KARTU ATM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</si>
  <si>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BCA THIAN</t>
    </r>
  </si>
  <si>
    <t>JENIS REKENING</t>
  </si>
  <si>
    <t>TAHAPAN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</si>
  <si>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MANDIRI LIVIN THIAN</t>
    </r>
  </si>
  <si>
    <t>TABUNGAN NOW</t>
  </si>
  <si>
    <t>JENIS KARTU ATM</t>
  </si>
  <si>
    <t xml:space="preserve">GPN SILVER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</si>
  <si>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NTT BEPUNG THIAN</t>
    </r>
  </si>
  <si>
    <t>FLOBAMORA</t>
  </si>
  <si>
    <t>AGEN R2</t>
  </si>
  <si>
    <t>082147266855 / 081246037420</t>
  </si>
  <si>
    <t>………………………/ 6210 0646 2503 7420 00</t>
  </si>
  <si>
    <t>seftianusr03@gmail.com / seftianusruben8@gmail.com</t>
  </si>
  <si>
    <t>seftianusruben8</t>
  </si>
  <si>
    <t>REGIST NO HP</t>
  </si>
  <si>
    <t>PAKAI NIK SEFTIANUS RUBEN</t>
  </si>
  <si>
    <t>SIM 2 HP AGEN WB REDMI A5</t>
  </si>
  <si>
    <t>R2 WATUBLAPI</t>
  </si>
  <si>
    <t>NAMA PEMILIK</t>
  </si>
  <si>
    <t>FRANSISKA</t>
  </si>
  <si>
    <t>NIK</t>
  </si>
  <si>
    <t>SIM 1 NOKIA WB</t>
  </si>
  <si>
    <t>1224 1250 04</t>
  </si>
  <si>
    <t>UPC KEWAPANTE</t>
  </si>
  <si>
    <t>357201028758536</t>
  </si>
  <si>
    <t>1224125630000400</t>
  </si>
  <si>
    <t>1224125630003570</t>
  </si>
  <si>
    <t>11901011019532</t>
  </si>
  <si>
    <t>6013014203280880</t>
  </si>
  <si>
    <t>5264222900753580</t>
  </si>
  <si>
    <t>6019007613739940</t>
  </si>
  <si>
    <t>6032987210997750</t>
  </si>
  <si>
    <t>6276530211609210</t>
  </si>
  <si>
    <t>11901070079503</t>
  </si>
  <si>
    <t>5221840261534570</t>
  </si>
  <si>
    <t>5307086202920000</t>
  </si>
  <si>
    <t>1224125630006060</t>
  </si>
  <si>
    <t>;</t>
  </si>
  <si>
    <t>1224122630000130</t>
  </si>
  <si>
    <t>1810003483022</t>
  </si>
  <si>
    <t>BB 190</t>
  </si>
  <si>
    <t>J 190</t>
  </si>
  <si>
    <t>E  190</t>
  </si>
  <si>
    <t>AA 190</t>
  </si>
  <si>
    <t>AG 190</t>
  </si>
  <si>
    <t>AW  190</t>
  </si>
  <si>
    <t>AP 190</t>
  </si>
  <si>
    <t>BC 193</t>
  </si>
  <si>
    <t>BI 26</t>
  </si>
  <si>
    <t>BI 27</t>
  </si>
  <si>
    <t>BI 28</t>
  </si>
  <si>
    <t>BI 29</t>
  </si>
  <si>
    <t>BI 30</t>
  </si>
  <si>
    <t>BI 31</t>
  </si>
  <si>
    <t>BI 32</t>
  </si>
  <si>
    <t>BI 33</t>
  </si>
  <si>
    <t>BI 34</t>
  </si>
  <si>
    <t>BG 6</t>
  </si>
  <si>
    <t>BG 7</t>
  </si>
  <si>
    <t>BG 8</t>
  </si>
  <si>
    <t>BG 9</t>
  </si>
  <si>
    <t>BG 10</t>
  </si>
  <si>
    <t>BG 11</t>
  </si>
  <si>
    <t>BG 12</t>
  </si>
  <si>
    <t>BG 13</t>
  </si>
  <si>
    <t>BG 14</t>
  </si>
  <si>
    <t>BC 7</t>
  </si>
  <si>
    <t>BC 8</t>
  </si>
  <si>
    <t>BC 9</t>
  </si>
  <si>
    <t>BC 10</t>
  </si>
  <si>
    <t>BC 11</t>
  </si>
  <si>
    <t>BC 12</t>
  </si>
  <si>
    <t>BC 13</t>
  </si>
  <si>
    <t>BC 14</t>
  </si>
  <si>
    <t>AX 193</t>
  </si>
  <si>
    <t>BD 6</t>
  </si>
  <si>
    <t>BD 7</t>
  </si>
  <si>
    <t>BD 8</t>
  </si>
  <si>
    <t>BD 9</t>
  </si>
  <si>
    <t>BD 10</t>
  </si>
  <si>
    <t>BD 11</t>
  </si>
  <si>
    <t>BD 12</t>
  </si>
  <si>
    <t>BD 13</t>
  </si>
  <si>
    <t>BD 14</t>
  </si>
  <si>
    <t>BG 52</t>
  </si>
  <si>
    <t>BF 58</t>
  </si>
  <si>
    <t>BF 59</t>
  </si>
  <si>
    <t>BA 109</t>
  </si>
  <si>
    <t>C173</t>
  </si>
  <si>
    <t>C133</t>
  </si>
  <si>
    <t>C 167</t>
  </si>
  <si>
    <t>BRILINK</t>
  </si>
  <si>
    <t>3 RITA</t>
  </si>
  <si>
    <t>IM3 SIMPEL</t>
  </si>
  <si>
    <t>PROFIT HARI KE 1</t>
  </si>
  <si>
    <t>PROFIT HARI KE 2</t>
  </si>
  <si>
    <t>PROFIT HARI KE 3</t>
  </si>
  <si>
    <t>PROFIT HARI KE 4</t>
  </si>
  <si>
    <t>PROFIT HARI KE 5</t>
  </si>
  <si>
    <t>BCA CIKA</t>
  </si>
  <si>
    <t>MANDIRI CIKA</t>
  </si>
  <si>
    <t>RUMAH</t>
  </si>
  <si>
    <t>WARNA</t>
  </si>
  <si>
    <t xml:space="preserve">KETERANGAN EDIT : </t>
  </si>
  <si>
    <t>LACI</t>
  </si>
  <si>
    <t>BRI C2</t>
  </si>
  <si>
    <t>BRI C3</t>
  </si>
  <si>
    <t>LACI STOK</t>
  </si>
  <si>
    <t>BRI ELREY</t>
  </si>
  <si>
    <t>BRI SANROY</t>
  </si>
  <si>
    <t>BRI T2</t>
  </si>
  <si>
    <t>MODAL KIOS</t>
  </si>
  <si>
    <t>Agenkiosr223</t>
  </si>
  <si>
    <t>BINTANG DIGIPOS BAOMEKOT</t>
  </si>
  <si>
    <t>BINTANG DIGIPOS SIKU EHA</t>
  </si>
  <si>
    <t>BINTANG DIGIPOS HABIBOLA</t>
  </si>
  <si>
    <t>BINTANG DIGIPOS WATUBLAPI</t>
  </si>
  <si>
    <t>KOMISI FASTPAY WATUBLAPI</t>
  </si>
  <si>
    <t>DOMPET CIKA</t>
  </si>
  <si>
    <t>DOMPET SET</t>
  </si>
  <si>
    <t>DIGIPOS FINPAY</t>
  </si>
  <si>
    <t>REK MEKAR MAGDA</t>
  </si>
  <si>
    <t>REK MEKAR NARTI</t>
  </si>
  <si>
    <t>REK TANI MAMA</t>
  </si>
  <si>
    <t>REK KIP REI</t>
  </si>
  <si>
    <t>REK BAPA NEBE</t>
  </si>
  <si>
    <t>ORANG RUMAH HABIBOLA</t>
  </si>
  <si>
    <t>EKO</t>
  </si>
  <si>
    <t>C</t>
  </si>
  <si>
    <t>BAHAN BANGUNAN</t>
  </si>
  <si>
    <t>ROKOK</t>
  </si>
  <si>
    <t>MOKE</t>
  </si>
  <si>
    <t>RENOVASI RUMAH</t>
  </si>
  <si>
    <t>081246037420</t>
  </si>
  <si>
    <t>KARTU DIGIPOS / BRIMO SET</t>
  </si>
  <si>
    <t>NOMOR</t>
  </si>
  <si>
    <t>MASA AKTIF</t>
  </si>
  <si>
    <t>PAKET AKTIF</t>
  </si>
  <si>
    <t>30 OKTOBER 2025</t>
  </si>
  <si>
    <t>DATA 8 GB</t>
  </si>
  <si>
    <t>KARTU IM3 SIMPEL</t>
  </si>
  <si>
    <t>085601982413</t>
  </si>
  <si>
    <t>TELPON SESAMA 20 MENIT</t>
  </si>
  <si>
    <t>30 OKT 2025</t>
  </si>
  <si>
    <t>KARTU 3 RITA</t>
  </si>
  <si>
    <t>089699750594</t>
  </si>
  <si>
    <t>DATA 500 MB</t>
  </si>
  <si>
    <t>26 NOV 2025 07;28</t>
  </si>
  <si>
    <t>TELPON</t>
  </si>
  <si>
    <t>WIFI (KARTU IM3)</t>
  </si>
  <si>
    <t>POSISI KARTU</t>
  </si>
  <si>
    <t>HP PULSA WB SIM 2</t>
  </si>
  <si>
    <t>HP PULSA WB SIM 1</t>
  </si>
  <si>
    <t>HP NOKIA WB SIM 2</t>
  </si>
  <si>
    <t>KARTU DIGIPOS</t>
  </si>
  <si>
    <t>HP PULSA BMK SIM 1</t>
  </si>
  <si>
    <t>DATA 19,94 GB</t>
  </si>
  <si>
    <t>11/22/2025 23;59</t>
  </si>
  <si>
    <t>HP PULSA BMK SIM 2</t>
  </si>
  <si>
    <t>089512732555</t>
  </si>
  <si>
    <t>WIFI (KARTU 3)</t>
  </si>
  <si>
    <t>085745584943</t>
  </si>
  <si>
    <t>082144228240</t>
  </si>
  <si>
    <t>085189220661</t>
  </si>
  <si>
    <t>HP PULSA SIKU SIM 1</t>
  </si>
  <si>
    <t>DATA 5,46 GB</t>
  </si>
  <si>
    <t>08999977283</t>
  </si>
  <si>
    <t>HP PULSA SIKU SIM 2</t>
  </si>
  <si>
    <t>HP SET SIM 1</t>
  </si>
  <si>
    <t>085702789843</t>
  </si>
  <si>
    <t>82144228240   (NO WA R2 BAOMEKOT)</t>
  </si>
  <si>
    <t>3572-0104-1984-530</t>
  </si>
  <si>
    <t>fmargaretha22</t>
  </si>
  <si>
    <t>SIM 2 HP README (ABU-ABU)</t>
  </si>
  <si>
    <t>SIM 1 HP README (ABU-ABU)</t>
  </si>
  <si>
    <t>HP NOKIA WB SIM 1</t>
  </si>
  <si>
    <t>82144228240 (PAKAI NO DIGI BM)</t>
  </si>
  <si>
    <t>baomekotjaya1@gmail.com</t>
  </si>
  <si>
    <t>DATA 1 GB</t>
  </si>
  <si>
    <t>KIOS R2 HABIBOLA</t>
  </si>
  <si>
    <t>PINJAM UANG MAMA BAOMEKOT</t>
  </si>
  <si>
    <t>TABUNGAN REI</t>
  </si>
  <si>
    <t>TABUNGAN ROI</t>
  </si>
  <si>
    <t>YUNITA</t>
  </si>
  <si>
    <t>NAA HERO</t>
  </si>
  <si>
    <t>RONI TATY</t>
  </si>
  <si>
    <t>28 - 31 Dec</t>
  </si>
  <si>
    <t>1 &amp; 2 Jan</t>
  </si>
  <si>
    <t>MINGGU - RABU</t>
  </si>
  <si>
    <t>KAMIS &amp; JUMAD</t>
  </si>
  <si>
    <t>ORANG SIKU</t>
  </si>
  <si>
    <t>4 - 5 JAN</t>
  </si>
  <si>
    <t>MINGGU - SENIN</t>
  </si>
  <si>
    <t>AMBIL BRG KIOS</t>
  </si>
  <si>
    <t>OM BOS RIN</t>
  </si>
  <si>
    <t>LACI KURANG</t>
  </si>
  <si>
    <t>9 &amp; 10 Jan</t>
  </si>
  <si>
    <t>JUMAT &amp; SABTU</t>
  </si>
  <si>
    <t>11 &amp; 12 Jan</t>
  </si>
  <si>
    <t>MINGGU &amp; SENIN</t>
  </si>
  <si>
    <t>16 - 17 - 18 jan</t>
  </si>
  <si>
    <t>JUMAT - SABTU - MINGGU</t>
  </si>
  <si>
    <t>MOVA</t>
  </si>
  <si>
    <t>20 &amp; 25 Jan</t>
  </si>
  <si>
    <t>SELASA &amp; MINGGU</t>
  </si>
  <si>
    <t>26 - 29 Jan</t>
  </si>
  <si>
    <t>SENIN - KAMIS</t>
  </si>
  <si>
    <t>AGNES</t>
  </si>
  <si>
    <t>30 &amp; 31 Jan</t>
  </si>
  <si>
    <t>JUMAD &amp; SABTU</t>
  </si>
  <si>
    <t>SHANTY</t>
  </si>
  <si>
    <t>1 - 4 Feb</t>
  </si>
  <si>
    <t>MILA</t>
  </si>
  <si>
    <t>5 - 8 Feb</t>
  </si>
  <si>
    <t>KAMIS - MINGGU</t>
  </si>
  <si>
    <t>BUNGA DT</t>
  </si>
  <si>
    <t>KONDO</t>
  </si>
  <si>
    <t>9 - 15 Feb</t>
  </si>
  <si>
    <t>SENIN - MINGGU</t>
  </si>
  <si>
    <t>DANA TALANGAN</t>
  </si>
  <si>
    <t>16 - 18 Feb</t>
  </si>
  <si>
    <t>SENIN - RABU</t>
  </si>
  <si>
    <t>WENING</t>
  </si>
  <si>
    <t>TENES SEMET</t>
  </si>
  <si>
    <t>23 - 25 Feb</t>
  </si>
  <si>
    <t>OBING</t>
  </si>
  <si>
    <t>UANG KUE</t>
  </si>
  <si>
    <t>BIDAN HABIBOLA</t>
  </si>
  <si>
    <t>26 - 28 Feb</t>
  </si>
  <si>
    <t>KAMIS - SABTU</t>
  </si>
  <si>
    <t>1 MARET</t>
  </si>
  <si>
    <t>2 - 4 MARET</t>
  </si>
  <si>
    <t>CASHBACK DANA TALANGAN</t>
  </si>
  <si>
    <t>SENIN SELASA RABU</t>
  </si>
  <si>
    <t>PROFIT HARI KE 6</t>
  </si>
  <si>
    <t>PROFIT HARI KE 7</t>
  </si>
  <si>
    <t>KERTAS STRUK</t>
  </si>
  <si>
    <t>BENSIN</t>
  </si>
  <si>
    <t>5 - 11 MARET</t>
  </si>
  <si>
    <t>KAMIS - RABU</t>
  </si>
  <si>
    <t>12 - 13 MARET</t>
  </si>
  <si>
    <t>14 MARET</t>
  </si>
  <si>
    <t>MINGGU - SELASA</t>
  </si>
  <si>
    <t>15 - 17 MARET</t>
  </si>
  <si>
    <t xml:space="preserve">KIOS </t>
  </si>
  <si>
    <t>18 MARET</t>
  </si>
  <si>
    <t>19 MARET</t>
  </si>
  <si>
    <t>UANG LEBIH AGEN WATUBLAPI</t>
  </si>
  <si>
    <t>20 MARET</t>
  </si>
  <si>
    <t>21 MARET</t>
  </si>
  <si>
    <t>22 - 23 MARET</t>
  </si>
  <si>
    <t>24 - 25 MARET</t>
  </si>
  <si>
    <t>26 MARET</t>
  </si>
  <si>
    <t>TATI RONI</t>
  </si>
  <si>
    <t>BAYU AKTIF SELAMANYA</t>
  </si>
  <si>
    <t>081246002017</t>
  </si>
  <si>
    <t>HP PULSA HABIBOLA SIM 1</t>
  </si>
  <si>
    <t>NOMOR AGEN</t>
  </si>
  <si>
    <t>HP PULSA HABIBOLA SIM 2</t>
  </si>
  <si>
    <t>085191401601</t>
  </si>
  <si>
    <t>BAYU</t>
  </si>
  <si>
    <t>KARTU IM3 DI HP WB</t>
  </si>
  <si>
    <t>26 MARET 2027</t>
  </si>
  <si>
    <t>JUMAT - SABTU</t>
  </si>
  <si>
    <t>27 - 28 MARET</t>
  </si>
  <si>
    <t>29 MARET</t>
  </si>
  <si>
    <t>30 MARET</t>
  </si>
  <si>
    <t>ATM BAPA EROR</t>
  </si>
  <si>
    <t>31 MARET</t>
  </si>
  <si>
    <t>ISKA</t>
  </si>
  <si>
    <t>3 - 5 Apr</t>
  </si>
  <si>
    <t>JUMAD - MINGGU</t>
  </si>
  <si>
    <t>ORANG TITIP UANG MAU BOOKING TIKET</t>
  </si>
  <si>
    <t>BAPA AMO WB</t>
  </si>
  <si>
    <t>SENIN - SELASA</t>
  </si>
  <si>
    <t>SELES 3</t>
  </si>
  <si>
    <t>REK KIP SANROY</t>
  </si>
  <si>
    <t>25 - 26 APRIL</t>
  </si>
  <si>
    <t>SABTU - MINGGU</t>
  </si>
  <si>
    <t>28 - 30 APRIL</t>
  </si>
  <si>
    <t>SELASA - KAMIS</t>
  </si>
  <si>
    <t>1 MEI</t>
  </si>
  <si>
    <t>UANG SIMPANAN</t>
  </si>
  <si>
    <t>2 MEI</t>
  </si>
  <si>
    <t>3 MEI</t>
  </si>
  <si>
    <t>4 MEI</t>
  </si>
  <si>
    <t>5 MEI</t>
  </si>
  <si>
    <t>NANDES</t>
  </si>
  <si>
    <t xml:space="preserve">KELIRU WATUBLAPI AGNES &amp; KRISTIN </t>
  </si>
  <si>
    <t>6 MEI</t>
  </si>
  <si>
    <t>NA'A HERO</t>
  </si>
  <si>
    <t>7 MEI</t>
  </si>
  <si>
    <t>ARISAN KKN</t>
  </si>
  <si>
    <t>8 - 10 MEI</t>
  </si>
  <si>
    <t>JUMAT - MINGGU</t>
  </si>
  <si>
    <t>11 MEI</t>
  </si>
  <si>
    <t>MERY DUS</t>
  </si>
  <si>
    <t>QRIS PAUL</t>
  </si>
  <si>
    <t>12 MEI</t>
  </si>
  <si>
    <t>13 MEI</t>
  </si>
  <si>
    <t>14 MEI</t>
  </si>
  <si>
    <t>15 MEI</t>
  </si>
  <si>
    <t>16 MEI</t>
  </si>
  <si>
    <t>BRIMO BAPA NEBE</t>
  </si>
  <si>
    <t>DOMPET HERMAN</t>
  </si>
  <si>
    <t>ISTRINYA OM KONTAN DONGA</t>
  </si>
  <si>
    <t>WATUBLAPI TF TANPA INFO</t>
  </si>
  <si>
    <t>SIKU TF TANPA INFO</t>
  </si>
  <si>
    <t>17 MEI</t>
  </si>
  <si>
    <t>18 - 20 MEI</t>
  </si>
  <si>
    <t>21 MEI</t>
  </si>
  <si>
    <t>22 MEI</t>
  </si>
  <si>
    <t>TANAH</t>
  </si>
  <si>
    <t>23 - 24  MEI</t>
  </si>
  <si>
    <t>25 MEI</t>
  </si>
  <si>
    <t>26 MEI</t>
  </si>
  <si>
    <t>27 MEI</t>
  </si>
  <si>
    <t>28 MEI</t>
  </si>
  <si>
    <t>29 MEI</t>
  </si>
  <si>
    <t>30 MEI</t>
  </si>
  <si>
    <t>T4</t>
  </si>
  <si>
    <t>T5</t>
  </si>
  <si>
    <t>C4</t>
  </si>
  <si>
    <t>C5</t>
  </si>
  <si>
    <t>AGEN SIKU UANG LEBIH</t>
  </si>
  <si>
    <t>22 JUNI 2026</t>
  </si>
  <si>
    <t>0895370387882</t>
  </si>
  <si>
    <t>04 JUNI 2026</t>
  </si>
  <si>
    <t>23 AGUS 2026</t>
  </si>
  <si>
    <t>26 OKT 2026</t>
  </si>
  <si>
    <t>4 JUNI 2026</t>
  </si>
  <si>
    <t>29 OKT 2026</t>
  </si>
  <si>
    <t>31 OKT 2026</t>
  </si>
  <si>
    <t>31 MEI</t>
  </si>
  <si>
    <t>6 - 11 JUNI</t>
  </si>
  <si>
    <t>SABTU - KAMIS</t>
  </si>
  <si>
    <t>JUMAD</t>
  </si>
  <si>
    <t>13 - 14 JUNI</t>
  </si>
  <si>
    <t>15 - 17 JUNI</t>
  </si>
  <si>
    <t>INDE SALDO BRILINK</t>
  </si>
  <si>
    <t>19 - 22 JUNI</t>
  </si>
  <si>
    <t>JUMAD - SENIN</t>
  </si>
  <si>
    <t>PENGELUARAN APA</t>
  </si>
  <si>
    <t>HARGA</t>
  </si>
  <si>
    <t>PENGELUARAN PESTA NIKA RIKI</t>
  </si>
  <si>
    <t>PENGELUARAN PESTA RIKI</t>
  </si>
  <si>
    <t>INDE</t>
  </si>
  <si>
    <t>SIKU MINTOL TF BELUM BAYAR RINI</t>
  </si>
  <si>
    <t>WATUBLAPI PULSA GAGAL</t>
  </si>
  <si>
    <t>INDE PUNYA UANG</t>
  </si>
  <si>
    <t>23 - 26</t>
  </si>
  <si>
    <t>SELASA - JUMAT</t>
  </si>
  <si>
    <t>27 JUNI</t>
  </si>
  <si>
    <t>PENGELUARAN PEZTA RIKI</t>
  </si>
  <si>
    <t>MINGGU - KAMIS</t>
  </si>
  <si>
    <t>28 JUNI - 3 JULI</t>
  </si>
  <si>
    <t>BRILINK INDE</t>
  </si>
  <si>
    <t>BRI T1</t>
  </si>
  <si>
    <t>MINGGU - JUMAT</t>
  </si>
  <si>
    <t>4 JULI</t>
  </si>
  <si>
    <t>05 - 06 JULI</t>
  </si>
  <si>
    <t>07 JULI</t>
  </si>
  <si>
    <t>KOTAK KEMAS</t>
  </si>
  <si>
    <t>08 JULI</t>
  </si>
  <si>
    <t>BRILINK C4</t>
  </si>
  <si>
    <t>BRILINK T3</t>
  </si>
  <si>
    <t>BRILINK C1</t>
  </si>
  <si>
    <t>BRILINK T1</t>
  </si>
  <si>
    <t>BRI C4</t>
  </si>
  <si>
    <t>BRI  T3</t>
  </si>
  <si>
    <t>BRI  T1</t>
  </si>
  <si>
    <t>REK KIP SANDROY</t>
  </si>
  <si>
    <t>09 - 10  JULI</t>
  </si>
  <si>
    <t>11 - 12  JULI</t>
  </si>
  <si>
    <t>TUKANG</t>
  </si>
  <si>
    <t>BUKU AGEN</t>
  </si>
  <si>
    <t>13  JULI</t>
  </si>
  <si>
    <t>14  JULI</t>
  </si>
  <si>
    <t>15  JULI</t>
  </si>
  <si>
    <t>ANAKNYA DESA LORES</t>
  </si>
  <si>
    <t>16  JULI</t>
  </si>
  <si>
    <t>17  JULI</t>
  </si>
  <si>
    <t>18 - 19 JULI</t>
  </si>
  <si>
    <t>REK MAMA EROR TARIK</t>
  </si>
  <si>
    <t>BUKU SIMPAN</t>
  </si>
  <si>
    <t>20 - 23 JULI</t>
  </si>
  <si>
    <t>24 - 27 JULI</t>
  </si>
  <si>
    <t>JUMAT - SENIN</t>
  </si>
  <si>
    <t>BRI AGNES</t>
  </si>
  <si>
    <t>28 JULI</t>
  </si>
  <si>
    <t>RAB U</t>
  </si>
  <si>
    <t>29 JULI</t>
  </si>
  <si>
    <t>30 -31 JULI</t>
  </si>
  <si>
    <t>KAMIS - JUMAT</t>
  </si>
  <si>
    <t xml:space="preserve">DANA TALANGAN </t>
  </si>
  <si>
    <t>1 -2  AGUS</t>
  </si>
  <si>
    <t>3 - 5 AGUS</t>
  </si>
  <si>
    <t>6 - 7 AGUS</t>
  </si>
  <si>
    <t>NUS RUPAK</t>
  </si>
  <si>
    <t>ANGSURAN BRI RIKI</t>
  </si>
  <si>
    <t>SISA PINJAMAN</t>
  </si>
  <si>
    <t>AGEN BARU</t>
  </si>
  <si>
    <t>8 AGUS</t>
  </si>
  <si>
    <t>DIGIPOS BAOMEKOT</t>
  </si>
  <si>
    <t>9 AGUS</t>
  </si>
  <si>
    <t>TONCE</t>
  </si>
  <si>
    <t>TATI</t>
  </si>
  <si>
    <t>DLL</t>
  </si>
  <si>
    <t xml:space="preserve">        C5</t>
  </si>
  <si>
    <t>C6</t>
  </si>
  <si>
    <t>T6</t>
  </si>
  <si>
    <t>UPAH TUKANG</t>
  </si>
  <si>
    <t>10 - 14 AGUS</t>
  </si>
  <si>
    <t>SENIN - JUMAT</t>
  </si>
  <si>
    <t>17 - 18 AGUS</t>
  </si>
  <si>
    <t>15 - 16 AGUS</t>
  </si>
  <si>
    <t>19 AGUS</t>
  </si>
  <si>
    <t>FITRY</t>
  </si>
  <si>
    <t>FASPAY TOP UP BELUM MASUK</t>
  </si>
  <si>
    <t>20 AGUS</t>
  </si>
  <si>
    <t>21 - 22 AGUS</t>
  </si>
  <si>
    <t>FASPAY WATUBLAPI</t>
  </si>
  <si>
    <t>23 AGUS</t>
  </si>
  <si>
    <t>NANDES WATUBLAPI</t>
  </si>
  <si>
    <t>24 - 26 AGUS</t>
  </si>
  <si>
    <t>27 AGUS</t>
  </si>
  <si>
    <t>28 AGUS</t>
  </si>
  <si>
    <t>MSI</t>
  </si>
  <si>
    <t>29 AGUS</t>
  </si>
  <si>
    <t>BARET</t>
  </si>
  <si>
    <t>30 AGUS</t>
  </si>
  <si>
    <t>31 AGUS</t>
  </si>
  <si>
    <t>GAJI PERCOBAAN</t>
  </si>
  <si>
    <t>GAJI TETAP PER BULAN</t>
  </si>
  <si>
    <t>GAJI TETAP PER HARI</t>
  </si>
  <si>
    <t>JUMLAH HARI KERJA (TANPA HARI MINGGU DAN LIBUR)</t>
  </si>
  <si>
    <t>BULAN SEPTEMBER 2026</t>
  </si>
  <si>
    <t>JMLH</t>
  </si>
  <si>
    <t>RUMAH BARU</t>
  </si>
  <si>
    <t>DAPUR</t>
  </si>
  <si>
    <t>JUMLAH</t>
  </si>
  <si>
    <t>TORAJA</t>
  </si>
  <si>
    <t>BCA C1</t>
  </si>
  <si>
    <t>BCA C2</t>
  </si>
  <si>
    <t>BCA C3</t>
  </si>
  <si>
    <t>BCA T1</t>
  </si>
  <si>
    <t>BCA T2</t>
  </si>
  <si>
    <t>BCA T3</t>
  </si>
  <si>
    <t>KOPERASI</t>
  </si>
  <si>
    <t>ANGSURAN ATAU LAINNYA</t>
  </si>
  <si>
    <t>KET</t>
  </si>
  <si>
    <t>KIP REI</t>
  </si>
  <si>
    <t>KIP ROY</t>
  </si>
  <si>
    <t>BRI BAPA NEBE</t>
  </si>
  <si>
    <t>BRI TANI MAMA</t>
  </si>
  <si>
    <t>BRI UMI NARTI</t>
  </si>
  <si>
    <t>BRI RIKI</t>
  </si>
  <si>
    <t>RUMAH BARU BAOMEKOT</t>
  </si>
  <si>
    <t>DAPUR BAOMEKOT</t>
  </si>
  <si>
    <t>KIP ROI</t>
  </si>
  <si>
    <t>BAOMEKOT RUMAH BARU</t>
  </si>
  <si>
    <t>BAOMEKOT DAPUR</t>
  </si>
  <si>
    <t>SISA ANGSURAN</t>
  </si>
  <si>
    <t>FITRI</t>
  </si>
  <si>
    <t>4 - 5 SEP</t>
  </si>
</sst>
</file>

<file path=xl/styles.xml><?xml version="1.0" encoding="utf-8"?>
<styleSheet xmlns="http://schemas.openxmlformats.org/spreadsheetml/2006/main">
  <numFmts count="4">
    <numFmt numFmtId="164" formatCode="_(&quot;Rp&quot;* #,##0_);_(&quot;Rp&quot;* \(#,##0\);_(&quot;Rp&quot;* &quot;-&quot;_);_(@_)"/>
    <numFmt numFmtId="165" formatCode="_([$Rp-421]* #,##0_);_([$Rp-421]* \(#,##0\);_([$Rp-421]* &quot;-&quot;_);_(@_)"/>
    <numFmt numFmtId="166" formatCode="0_);\(0\)"/>
    <numFmt numFmtId="167" formatCode="_([$Rp-421]* #,##0.00_);_([$Rp-421]* \(#,##0.00\);_([$Rp-421]* &quot;-&quot;??_);_(@_)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6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7.7"/>
      <color theme="10"/>
      <name val="Calibri"/>
      <family val="2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Symbol"/>
      <family val="1"/>
      <charset val="2"/>
    </font>
    <font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B7D9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ED2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7BD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683">
    <xf numFmtId="0" fontId="0" fillId="0" borderId="0" xfId="0"/>
    <xf numFmtId="0" fontId="0" fillId="0" borderId="11" xfId="0" applyBorder="1"/>
    <xf numFmtId="0" fontId="3" fillId="0" borderId="0" xfId="0" applyFont="1"/>
    <xf numFmtId="0" fontId="1" fillId="0" borderId="1" xfId="0" applyFont="1" applyBorder="1"/>
    <xf numFmtId="0" fontId="0" fillId="0" borderId="7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165" fontId="0" fillId="0" borderId="0" xfId="0" applyNumberFormat="1"/>
    <xf numFmtId="0" fontId="0" fillId="0" borderId="27" xfId="0" applyBorder="1"/>
    <xf numFmtId="0" fontId="0" fillId="0" borderId="24" xfId="0" applyBorder="1"/>
    <xf numFmtId="0" fontId="0" fillId="2" borderId="1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0" xfId="0" applyBorder="1"/>
    <xf numFmtId="0" fontId="0" fillId="0" borderId="38" xfId="0" applyBorder="1"/>
    <xf numFmtId="0" fontId="1" fillId="0" borderId="0" xfId="0" applyFont="1"/>
    <xf numFmtId="165" fontId="0" fillId="0" borderId="32" xfId="0" applyNumberFormat="1" applyBorder="1"/>
    <xf numFmtId="165" fontId="0" fillId="2" borderId="11" xfId="0" applyNumberFormat="1" applyFill="1" applyBorder="1" applyAlignment="1">
      <alignment vertical="center"/>
    </xf>
    <xf numFmtId="165" fontId="0" fillId="0" borderId="11" xfId="0" applyNumberFormat="1" applyBorder="1" applyAlignment="1">
      <alignment vertical="center"/>
    </xf>
    <xf numFmtId="0" fontId="0" fillId="8" borderId="11" xfId="0" applyFill="1" applyBorder="1"/>
    <xf numFmtId="165" fontId="0" fillId="8" borderId="11" xfId="0" applyNumberFormat="1" applyFill="1" applyBorder="1" applyAlignment="1">
      <alignment vertical="center"/>
    </xf>
    <xf numFmtId="0" fontId="0" fillId="10" borderId="0" xfId="0" applyFill="1"/>
    <xf numFmtId="165" fontId="5" fillId="13" borderId="11" xfId="0" applyNumberFormat="1" applyFont="1" applyFill="1" applyBorder="1" applyAlignment="1">
      <alignment vertical="center"/>
    </xf>
    <xf numFmtId="165" fontId="3" fillId="0" borderId="0" xfId="0" applyNumberFormat="1" applyFont="1"/>
    <xf numFmtId="0" fontId="0" fillId="0" borderId="28" xfId="0" applyBorder="1"/>
    <xf numFmtId="0" fontId="0" fillId="0" borderId="0" xfId="0" applyAlignment="1">
      <alignment horizontal="left" vertical="center"/>
    </xf>
    <xf numFmtId="165" fontId="5" fillId="0" borderId="11" xfId="0" applyNumberFormat="1" applyFont="1" applyBorder="1" applyAlignment="1">
      <alignment vertical="center"/>
    </xf>
    <xf numFmtId="0" fontId="0" fillId="13" borderId="11" xfId="0" applyFill="1" applyBorder="1"/>
    <xf numFmtId="0" fontId="1" fillId="0" borderId="11" xfId="0" applyFont="1" applyBorder="1"/>
    <xf numFmtId="165" fontId="8" fillId="0" borderId="1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13" borderId="11" xfId="0" applyFont="1" applyFill="1" applyBorder="1"/>
    <xf numFmtId="165" fontId="7" fillId="13" borderId="11" xfId="0" applyNumberFormat="1" applyFont="1" applyFill="1" applyBorder="1" applyAlignment="1">
      <alignment vertical="center"/>
    </xf>
    <xf numFmtId="0" fontId="3" fillId="2" borderId="11" xfId="0" applyFont="1" applyFill="1" applyBorder="1"/>
    <xf numFmtId="165" fontId="3" fillId="2" borderId="11" xfId="0" applyNumberFormat="1" applyFont="1" applyFill="1" applyBorder="1" applyAlignment="1">
      <alignment vertical="center"/>
    </xf>
    <xf numFmtId="0" fontId="3" fillId="8" borderId="11" xfId="0" applyFont="1" applyFill="1" applyBorder="1"/>
    <xf numFmtId="165" fontId="3" fillId="8" borderId="11" xfId="0" applyNumberFormat="1" applyFont="1" applyFill="1" applyBorder="1" applyAlignment="1">
      <alignment vertical="center"/>
    </xf>
    <xf numFmtId="165" fontId="9" fillId="2" borderId="11" xfId="0" applyNumberFormat="1" applyFont="1" applyFill="1" applyBorder="1" applyAlignment="1">
      <alignment vertical="center"/>
    </xf>
    <xf numFmtId="0" fontId="14" fillId="0" borderId="11" xfId="0" applyFont="1" applyBorder="1" applyAlignment="1">
      <alignment vertical="center"/>
    </xf>
    <xf numFmtId="165" fontId="14" fillId="0" borderId="11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3" fillId="0" borderId="4" xfId="0" applyFont="1" applyBorder="1"/>
    <xf numFmtId="0" fontId="3" fillId="0" borderId="5" xfId="0" applyFont="1" applyBorder="1" applyAlignment="1">
      <alignment horizontal="center" vertical="center"/>
    </xf>
    <xf numFmtId="16" fontId="3" fillId="0" borderId="5" xfId="0" applyNumberFormat="1" applyFont="1" applyBorder="1" applyAlignment="1">
      <alignment horizontal="center"/>
    </xf>
    <xf numFmtId="165" fontId="0" fillId="8" borderId="11" xfId="0" applyNumberFormat="1" applyFill="1" applyBorder="1"/>
    <xf numFmtId="165" fontId="0" fillId="0" borderId="11" xfId="0" applyNumberFormat="1" applyBorder="1"/>
    <xf numFmtId="165" fontId="0" fillId="2" borderId="11" xfId="0" applyNumberFormat="1" applyFill="1" applyBorder="1"/>
    <xf numFmtId="165" fontId="0" fillId="13" borderId="11" xfId="0" applyNumberFormat="1" applyFill="1" applyBorder="1"/>
    <xf numFmtId="165" fontId="1" fillId="0" borderId="11" xfId="0" applyNumberFormat="1" applyFont="1" applyBorder="1"/>
    <xf numFmtId="0" fontId="3" fillId="0" borderId="11" xfId="0" applyFont="1" applyBorder="1"/>
    <xf numFmtId="165" fontId="7" fillId="0" borderId="11" xfId="0" applyNumberFormat="1" applyFont="1" applyBorder="1" applyAlignment="1">
      <alignment vertical="center"/>
    </xf>
    <xf numFmtId="0" fontId="4" fillId="13" borderId="11" xfId="0" applyFont="1" applyFill="1" applyBorder="1"/>
    <xf numFmtId="165" fontId="15" fillId="13" borderId="11" xfId="0" applyNumberFormat="1" applyFont="1" applyFill="1" applyBorder="1" applyAlignment="1">
      <alignment vertical="center"/>
    </xf>
    <xf numFmtId="0" fontId="4" fillId="0" borderId="0" xfId="0" applyFont="1"/>
    <xf numFmtId="165" fontId="0" fillId="0" borderId="13" xfId="0" applyNumberFormat="1" applyBorder="1"/>
    <xf numFmtId="0" fontId="17" fillId="22" borderId="0" xfId="0" applyFont="1" applyFill="1"/>
    <xf numFmtId="165" fontId="17" fillId="22" borderId="0" xfId="0" applyNumberFormat="1" applyFont="1" applyFill="1"/>
    <xf numFmtId="0" fontId="17" fillId="0" borderId="0" xfId="0" applyFont="1"/>
    <xf numFmtId="0" fontId="18" fillId="0" borderId="0" xfId="0" applyFont="1" applyAlignment="1">
      <alignment vertical="center"/>
    </xf>
    <xf numFmtId="165" fontId="14" fillId="0" borderId="0" xfId="0" applyNumberFormat="1" applyFont="1"/>
    <xf numFmtId="0" fontId="18" fillId="0" borderId="1" xfId="0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5" fontId="14" fillId="0" borderId="9" xfId="0" applyNumberFormat="1" applyFont="1" applyBorder="1"/>
    <xf numFmtId="0" fontId="1" fillId="0" borderId="7" xfId="0" applyFont="1" applyBorder="1"/>
    <xf numFmtId="165" fontId="1" fillId="0" borderId="7" xfId="0" applyNumberFormat="1" applyFont="1" applyBorder="1"/>
    <xf numFmtId="165" fontId="0" fillId="0" borderId="22" xfId="0" applyNumberFormat="1" applyBorder="1"/>
    <xf numFmtId="0" fontId="18" fillId="13" borderId="1" xfId="0" applyFont="1" applyFill="1" applyBorder="1"/>
    <xf numFmtId="165" fontId="18" fillId="13" borderId="1" xfId="0" applyNumberFormat="1" applyFont="1" applyFill="1" applyBorder="1"/>
    <xf numFmtId="0" fontId="14" fillId="13" borderId="8" xfId="0" applyFont="1" applyFill="1" applyBorder="1"/>
    <xf numFmtId="165" fontId="14" fillId="13" borderId="8" xfId="0" applyNumberFormat="1" applyFont="1" applyFill="1" applyBorder="1" applyAlignment="1">
      <alignment vertical="center"/>
    </xf>
    <xf numFmtId="165" fontId="5" fillId="13" borderId="11" xfId="0" applyNumberFormat="1" applyFont="1" applyFill="1" applyBorder="1"/>
    <xf numFmtId="0" fontId="5" fillId="13" borderId="11" xfId="0" applyFont="1" applyFill="1" applyBorder="1"/>
    <xf numFmtId="0" fontId="7" fillId="13" borderId="11" xfId="0" applyFont="1" applyFill="1" applyBorder="1"/>
    <xf numFmtId="0" fontId="7" fillId="0" borderId="11" xfId="0" applyFont="1" applyBorder="1"/>
    <xf numFmtId="0" fontId="8" fillId="0" borderId="11" xfId="0" applyFont="1" applyBorder="1"/>
    <xf numFmtId="165" fontId="0" fillId="0" borderId="28" xfId="0" applyNumberFormat="1" applyBorder="1"/>
    <xf numFmtId="165" fontId="1" fillId="13" borderId="11" xfId="0" applyNumberFormat="1" applyFont="1" applyFill="1" applyBorder="1"/>
    <xf numFmtId="0" fontId="7" fillId="13" borderId="11" xfId="0" applyFont="1" applyFill="1" applyBorder="1" applyAlignment="1">
      <alignment horizontal="center" vertical="center"/>
    </xf>
    <xf numFmtId="0" fontId="1" fillId="0" borderId="22" xfId="0" applyFont="1" applyBorder="1"/>
    <xf numFmtId="165" fontId="1" fillId="0" borderId="22" xfId="0" applyNumberFormat="1" applyFont="1" applyBorder="1"/>
    <xf numFmtId="0" fontId="8" fillId="13" borderId="32" xfId="0" applyFont="1" applyFill="1" applyBorder="1"/>
    <xf numFmtId="165" fontId="8" fillId="13" borderId="32" xfId="0" applyNumberFormat="1" applyFont="1" applyFill="1" applyBorder="1"/>
    <xf numFmtId="0" fontId="0" fillId="8" borderId="57" xfId="0" applyFill="1" applyBorder="1"/>
    <xf numFmtId="165" fontId="0" fillId="8" borderId="58" xfId="0" applyNumberFormat="1" applyFill="1" applyBorder="1"/>
    <xf numFmtId="0" fontId="3" fillId="8" borderId="59" xfId="0" applyFont="1" applyFill="1" applyBorder="1"/>
    <xf numFmtId="165" fontId="3" fillId="8" borderId="60" xfId="0" applyNumberFormat="1" applyFont="1" applyFill="1" applyBorder="1" applyAlignment="1">
      <alignment vertical="center"/>
    </xf>
    <xf numFmtId="0" fontId="0" fillId="2" borderId="57" xfId="0" applyFill="1" applyBorder="1"/>
    <xf numFmtId="165" fontId="0" fillId="2" borderId="58" xfId="0" applyNumberFormat="1" applyFill="1" applyBorder="1"/>
    <xf numFmtId="0" fontId="3" fillId="2" borderId="61" xfId="0" applyFont="1" applyFill="1" applyBorder="1"/>
    <xf numFmtId="0" fontId="0" fillId="0" borderId="61" xfId="0" applyBorder="1"/>
    <xf numFmtId="0" fontId="0" fillId="2" borderId="61" xfId="0" applyFill="1" applyBorder="1"/>
    <xf numFmtId="0" fontId="3" fillId="2" borderId="59" xfId="0" applyFont="1" applyFill="1" applyBorder="1"/>
    <xf numFmtId="165" fontId="3" fillId="2" borderId="60" xfId="0" applyNumberFormat="1" applyFont="1" applyFill="1" applyBorder="1" applyAlignment="1">
      <alignment vertical="center"/>
    </xf>
    <xf numFmtId="0" fontId="1" fillId="13" borderId="61" xfId="0" applyFont="1" applyFill="1" applyBorder="1"/>
    <xf numFmtId="0" fontId="0" fillId="13" borderId="61" xfId="0" applyFill="1" applyBorder="1"/>
    <xf numFmtId="0" fontId="0" fillId="13" borderId="61" xfId="0" applyFill="1" applyBorder="1" applyAlignment="1">
      <alignment horizontal="center" vertical="center"/>
    </xf>
    <xf numFmtId="0" fontId="1" fillId="13" borderId="61" xfId="0" applyFont="1" applyFill="1" applyBorder="1" applyAlignment="1">
      <alignment horizontal="left" vertical="center"/>
    </xf>
    <xf numFmtId="0" fontId="0" fillId="13" borderId="61" xfId="0" applyFill="1" applyBorder="1" applyAlignment="1">
      <alignment horizontal="left" vertical="center"/>
    </xf>
    <xf numFmtId="0" fontId="3" fillId="13" borderId="59" xfId="0" applyFont="1" applyFill="1" applyBorder="1"/>
    <xf numFmtId="165" fontId="3" fillId="13" borderId="60" xfId="0" applyNumberFormat="1" applyFont="1" applyFill="1" applyBorder="1" applyAlignment="1">
      <alignment vertical="center"/>
    </xf>
    <xf numFmtId="0" fontId="3" fillId="13" borderId="62" xfId="0" applyFont="1" applyFill="1" applyBorder="1"/>
    <xf numFmtId="165" fontId="7" fillId="13" borderId="8" xfId="0" applyNumberFormat="1" applyFont="1" applyFill="1" applyBorder="1" applyAlignment="1">
      <alignment vertical="center"/>
    </xf>
    <xf numFmtId="0" fontId="0" fillId="0" borderId="63" xfId="0" applyBorder="1"/>
    <xf numFmtId="0" fontId="1" fillId="13" borderId="64" xfId="0" applyFont="1" applyFill="1" applyBorder="1"/>
    <xf numFmtId="0" fontId="1" fillId="13" borderId="62" xfId="0" applyFont="1" applyFill="1" applyBorder="1" applyAlignment="1">
      <alignment horizontal="center" vertical="center"/>
    </xf>
    <xf numFmtId="165" fontId="1" fillId="13" borderId="8" xfId="0" applyNumberFormat="1" applyFont="1" applyFill="1" applyBorder="1"/>
    <xf numFmtId="0" fontId="3" fillId="13" borderId="62" xfId="0" applyFont="1" applyFill="1" applyBorder="1" applyAlignment="1">
      <alignment horizontal="center" vertical="center"/>
    </xf>
    <xf numFmtId="0" fontId="3" fillId="0" borderId="63" xfId="0" applyFont="1" applyBorder="1"/>
    <xf numFmtId="165" fontId="7" fillId="0" borderId="22" xfId="0" applyNumberFormat="1" applyFont="1" applyBorder="1" applyAlignment="1">
      <alignment vertical="center"/>
    </xf>
    <xf numFmtId="0" fontId="1" fillId="0" borderId="63" xfId="0" applyFont="1" applyBorder="1"/>
    <xf numFmtId="165" fontId="1" fillId="13" borderId="1" xfId="0" applyNumberFormat="1" applyFont="1" applyFill="1" applyBorder="1"/>
    <xf numFmtId="0" fontId="3" fillId="0" borderId="63" xfId="0" applyFont="1" applyBorder="1" applyAlignment="1">
      <alignment horizontal="center" vertical="center"/>
    </xf>
    <xf numFmtId="165" fontId="3" fillId="5" borderId="60" xfId="0" applyNumberFormat="1" applyFont="1" applyFill="1" applyBorder="1" applyAlignment="1">
      <alignment vertical="center"/>
    </xf>
    <xf numFmtId="165" fontId="3" fillId="5" borderId="11" xfId="0" applyNumberFormat="1" applyFont="1" applyFill="1" applyBorder="1" applyAlignment="1">
      <alignment vertical="center"/>
    </xf>
    <xf numFmtId="165" fontId="1" fillId="5" borderId="8" xfId="0" applyNumberFormat="1" applyFont="1" applyFill="1" applyBorder="1"/>
    <xf numFmtId="165" fontId="1" fillId="5" borderId="11" xfId="0" applyNumberFormat="1" applyFont="1" applyFill="1" applyBorder="1"/>
    <xf numFmtId="0" fontId="1" fillId="4" borderId="64" xfId="0" applyFont="1" applyFill="1" applyBorder="1"/>
    <xf numFmtId="165" fontId="1" fillId="4" borderId="1" xfId="0" applyNumberFormat="1" applyFont="1" applyFill="1" applyBorder="1"/>
    <xf numFmtId="0" fontId="4" fillId="4" borderId="64" xfId="0" applyFont="1" applyFill="1" applyBorder="1"/>
    <xf numFmtId="165" fontId="0" fillId="4" borderId="1" xfId="0" applyNumberFormat="1" applyFill="1" applyBorder="1"/>
    <xf numFmtId="0" fontId="0" fillId="4" borderId="57" xfId="0" applyFill="1" applyBorder="1"/>
    <xf numFmtId="165" fontId="0" fillId="4" borderId="58" xfId="0" applyNumberFormat="1" applyFill="1" applyBorder="1"/>
    <xf numFmtId="165" fontId="8" fillId="13" borderId="11" xfId="0" applyNumberFormat="1" applyFont="1" applyFill="1" applyBorder="1"/>
    <xf numFmtId="165" fontId="1" fillId="5" borderId="11" xfId="0" applyNumberFormat="1" applyFont="1" applyFill="1" applyBorder="1" applyAlignment="1">
      <alignment horizontal="center"/>
    </xf>
    <xf numFmtId="0" fontId="19" fillId="13" borderId="62" xfId="0" applyFont="1" applyFill="1" applyBorder="1" applyAlignment="1">
      <alignment horizontal="center" vertical="center"/>
    </xf>
    <xf numFmtId="165" fontId="19" fillId="5" borderId="8" xfId="0" applyNumberFormat="1" applyFont="1" applyFill="1" applyBorder="1" applyAlignment="1">
      <alignment vertical="center"/>
    </xf>
    <xf numFmtId="165" fontId="19" fillId="13" borderId="8" xfId="0" applyNumberFormat="1" applyFont="1" applyFill="1" applyBorder="1" applyAlignment="1">
      <alignment vertical="center"/>
    </xf>
    <xf numFmtId="0" fontId="19" fillId="0" borderId="0" xfId="0" applyFont="1"/>
    <xf numFmtId="165" fontId="5" fillId="4" borderId="1" xfId="0" applyNumberFormat="1" applyFont="1" applyFill="1" applyBorder="1"/>
    <xf numFmtId="165" fontId="19" fillId="13" borderId="11" xfId="0" applyNumberFormat="1" applyFont="1" applyFill="1" applyBorder="1" applyAlignment="1">
      <alignment vertical="center"/>
    </xf>
    <xf numFmtId="0" fontId="8" fillId="13" borderId="11" xfId="0" applyFont="1" applyFill="1" applyBorder="1"/>
    <xf numFmtId="0" fontId="6" fillId="13" borderId="11" xfId="0" applyFont="1" applyFill="1" applyBorder="1"/>
    <xf numFmtId="165" fontId="20" fillId="13" borderId="11" xfId="0" applyNumberFormat="1" applyFont="1" applyFill="1" applyBorder="1" applyAlignment="1">
      <alignment vertical="center"/>
    </xf>
    <xf numFmtId="0" fontId="2" fillId="0" borderId="0" xfId="0" applyFont="1"/>
    <xf numFmtId="0" fontId="20" fillId="13" borderId="11" xfId="0" applyFont="1" applyFill="1" applyBorder="1" applyAlignment="1">
      <alignment horizontal="center" vertical="center"/>
    </xf>
    <xf numFmtId="165" fontId="8" fillId="13" borderId="11" xfId="0" applyNumberFormat="1" applyFont="1" applyFill="1" applyBorder="1" applyAlignment="1">
      <alignment vertical="center"/>
    </xf>
    <xf numFmtId="165" fontId="4" fillId="13" borderId="11" xfId="0" applyNumberFormat="1" applyFont="1" applyFill="1" applyBorder="1"/>
    <xf numFmtId="165" fontId="21" fillId="13" borderId="11" xfId="0" applyNumberFormat="1" applyFont="1" applyFill="1" applyBorder="1"/>
    <xf numFmtId="0" fontId="22" fillId="0" borderId="0" xfId="0" applyFont="1"/>
    <xf numFmtId="165" fontId="20" fillId="13" borderId="11" xfId="0" applyNumberFormat="1" applyFont="1" applyFill="1" applyBorder="1"/>
    <xf numFmtId="165" fontId="15" fillId="13" borderId="11" xfId="0" applyNumberFormat="1" applyFont="1" applyFill="1" applyBorder="1"/>
    <xf numFmtId="165" fontId="6" fillId="13" borderId="32" xfId="0" applyNumberFormat="1" applyFont="1" applyFill="1" applyBorder="1"/>
    <xf numFmtId="0" fontId="7" fillId="13" borderId="32" xfId="0" applyFont="1" applyFill="1" applyBorder="1"/>
    <xf numFmtId="165" fontId="7" fillId="13" borderId="32" xfId="0" applyNumberFormat="1" applyFont="1" applyFill="1" applyBorder="1"/>
    <xf numFmtId="165" fontId="21" fillId="13" borderId="32" xfId="0" applyNumberFormat="1" applyFont="1" applyFill="1" applyBorder="1"/>
    <xf numFmtId="165" fontId="19" fillId="13" borderId="32" xfId="0" applyNumberFormat="1" applyFont="1" applyFill="1" applyBorder="1"/>
    <xf numFmtId="0" fontId="14" fillId="0" borderId="0" xfId="0" applyFont="1"/>
    <xf numFmtId="0" fontId="14" fillId="22" borderId="0" xfId="0" applyFont="1" applyFill="1"/>
    <xf numFmtId="165" fontId="14" fillId="22" borderId="0" xfId="0" applyNumberFormat="1" applyFont="1" applyFill="1"/>
    <xf numFmtId="0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" fillId="13" borderId="64" xfId="0" applyFont="1" applyFill="1" applyBorder="1" applyAlignment="1">
      <alignment horizontal="left" vertical="center"/>
    </xf>
    <xf numFmtId="165" fontId="1" fillId="0" borderId="1" xfId="0" applyNumberFormat="1" applyFont="1" applyBorder="1"/>
    <xf numFmtId="165" fontId="1" fillId="19" borderId="8" xfId="0" applyNumberFormat="1" applyFont="1" applyFill="1" applyBorder="1"/>
    <xf numFmtId="165" fontId="1" fillId="0" borderId="8" xfId="0" applyNumberFormat="1" applyFont="1" applyBorder="1"/>
    <xf numFmtId="165" fontId="0" fillId="0" borderId="1" xfId="0" applyNumberFormat="1" applyBorder="1"/>
    <xf numFmtId="165" fontId="2" fillId="19" borderId="8" xfId="0" applyNumberFormat="1" applyFont="1" applyFill="1" applyBorder="1"/>
    <xf numFmtId="0" fontId="1" fillId="13" borderId="1" xfId="0" applyFont="1" applyFill="1" applyBorder="1"/>
    <xf numFmtId="0" fontId="1" fillId="13" borderId="8" xfId="0" applyFont="1" applyFill="1" applyBorder="1" applyAlignment="1">
      <alignment horizontal="center"/>
    </xf>
    <xf numFmtId="165" fontId="8" fillId="13" borderId="1" xfId="0" applyNumberFormat="1" applyFont="1" applyFill="1" applyBorder="1"/>
    <xf numFmtId="165" fontId="11" fillId="13" borderId="8" xfId="0" applyNumberFormat="1" applyFont="1" applyFill="1" applyBorder="1"/>
    <xf numFmtId="165" fontId="1" fillId="5" borderId="60" xfId="0" applyNumberFormat="1" applyFont="1" applyFill="1" applyBorder="1"/>
    <xf numFmtId="165" fontId="1" fillId="13" borderId="58" xfId="0" applyNumberFormat="1" applyFont="1" applyFill="1" applyBorder="1"/>
    <xf numFmtId="0" fontId="3" fillId="13" borderId="59" xfId="0" applyFont="1" applyFill="1" applyBorder="1" applyAlignment="1">
      <alignment horizontal="center" vertical="center"/>
    </xf>
    <xf numFmtId="165" fontId="1" fillId="13" borderId="60" xfId="0" applyNumberFormat="1" applyFont="1" applyFill="1" applyBorder="1"/>
    <xf numFmtId="0" fontId="2" fillId="13" borderId="57" xfId="0" applyFont="1" applyFill="1" applyBorder="1" applyAlignment="1">
      <alignment horizontal="left" vertical="center"/>
    </xf>
    <xf numFmtId="165" fontId="3" fillId="0" borderId="22" xfId="0" applyNumberFormat="1" applyFont="1" applyBorder="1" applyAlignment="1">
      <alignment vertical="center"/>
    </xf>
    <xf numFmtId="0" fontId="3" fillId="8" borderId="1" xfId="0" applyFont="1" applyFill="1" applyBorder="1"/>
    <xf numFmtId="165" fontId="3" fillId="8" borderId="1" xfId="0" applyNumberFormat="1" applyFont="1" applyFill="1" applyBorder="1" applyAlignment="1">
      <alignment vertical="center"/>
    </xf>
    <xf numFmtId="0" fontId="3" fillId="8" borderId="8" xfId="0" applyFont="1" applyFill="1" applyBorder="1"/>
    <xf numFmtId="165" fontId="3" fillId="5" borderId="8" xfId="0" applyNumberFormat="1" applyFont="1" applyFill="1" applyBorder="1" applyAlignment="1">
      <alignment vertical="center"/>
    </xf>
    <xf numFmtId="165" fontId="3" fillId="8" borderId="8" xfId="0" applyNumberFormat="1" applyFont="1" applyFill="1" applyBorder="1" applyAlignment="1">
      <alignment vertical="center"/>
    </xf>
    <xf numFmtId="0" fontId="3" fillId="8" borderId="11" xfId="0" applyFont="1" applyFill="1" applyBorder="1" applyAlignment="1">
      <alignment horizontal="center"/>
    </xf>
    <xf numFmtId="165" fontId="3" fillId="8" borderId="11" xfId="0" applyNumberFormat="1" applyFont="1" applyFill="1" applyBorder="1"/>
    <xf numFmtId="0" fontId="6" fillId="13" borderId="11" xfId="0" applyFont="1" applyFill="1" applyBorder="1" applyAlignment="1">
      <alignment horizontal="left" vertical="center"/>
    </xf>
    <xf numFmtId="0" fontId="20" fillId="13" borderId="11" xfId="0" applyFont="1" applyFill="1" applyBorder="1" applyAlignment="1">
      <alignment horizontal="left" vertical="center"/>
    </xf>
    <xf numFmtId="165" fontId="26" fillId="13" borderId="11" xfId="0" applyNumberFormat="1" applyFont="1" applyFill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24" borderId="0" xfId="0" applyFont="1" applyFill="1"/>
    <xf numFmtId="0" fontId="0" fillId="24" borderId="0" xfId="0" applyFill="1"/>
    <xf numFmtId="0" fontId="0" fillId="24" borderId="0" xfId="0" applyFill="1" applyAlignment="1">
      <alignment horizontal="center"/>
    </xf>
    <xf numFmtId="165" fontId="0" fillId="24" borderId="0" xfId="0" applyNumberFormat="1" applyFill="1"/>
    <xf numFmtId="0" fontId="22" fillId="24" borderId="0" xfId="0" applyFont="1" applyFill="1"/>
    <xf numFmtId="165" fontId="22" fillId="24" borderId="0" xfId="0" applyNumberFormat="1" applyFont="1" applyFill="1"/>
    <xf numFmtId="0" fontId="1" fillId="24" borderId="0" xfId="0" applyFont="1" applyFill="1" applyAlignment="1">
      <alignment horizontal="center" vertical="center"/>
    </xf>
    <xf numFmtId="165" fontId="2" fillId="24" borderId="0" xfId="0" applyNumberFormat="1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0" fillId="25" borderId="0" xfId="0" applyFill="1"/>
    <xf numFmtId="165" fontId="0" fillId="25" borderId="0" xfId="0" applyNumberFormat="1" applyFill="1"/>
    <xf numFmtId="165" fontId="2" fillId="25" borderId="0" xfId="0" applyNumberFormat="1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" fillId="10" borderId="0" xfId="0" applyFont="1" applyFill="1"/>
    <xf numFmtId="165" fontId="0" fillId="10" borderId="0" xfId="0" applyNumberFormat="1" applyFill="1"/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2" borderId="119" xfId="0" applyFill="1" applyBorder="1"/>
    <xf numFmtId="0" fontId="1" fillId="2" borderId="119" xfId="0" applyFont="1" applyFill="1" applyBorder="1"/>
    <xf numFmtId="165" fontId="1" fillId="13" borderId="28" xfId="0" applyNumberFormat="1" applyFont="1" applyFill="1" applyBorder="1"/>
    <xf numFmtId="165" fontId="1" fillId="2" borderId="28" xfId="0" applyNumberFormat="1" applyFont="1" applyFill="1" applyBorder="1"/>
    <xf numFmtId="165" fontId="5" fillId="2" borderId="58" xfId="0" applyNumberFormat="1" applyFont="1" applyFill="1" applyBorder="1"/>
    <xf numFmtId="165" fontId="5" fillId="2" borderId="28" xfId="0" applyNumberFormat="1" applyFont="1" applyFill="1" applyBorder="1"/>
    <xf numFmtId="0" fontId="4" fillId="2" borderId="119" xfId="0" applyFont="1" applyFill="1" applyBorder="1"/>
    <xf numFmtId="165" fontId="15" fillId="2" borderId="28" xfId="0" applyNumberFormat="1" applyFont="1" applyFill="1" applyBorder="1"/>
    <xf numFmtId="165" fontId="4" fillId="2" borderId="28" xfId="0" applyNumberFormat="1" applyFont="1" applyFill="1" applyBorder="1"/>
    <xf numFmtId="165" fontId="0" fillId="0" borderId="7" xfId="0" applyNumberFormat="1" applyBorder="1"/>
    <xf numFmtId="0" fontId="3" fillId="2" borderId="8" xfId="0" applyFont="1" applyFill="1" applyBorder="1"/>
    <xf numFmtId="165" fontId="3" fillId="2" borderId="8" xfId="0" applyNumberFormat="1" applyFont="1" applyFill="1" applyBorder="1" applyAlignment="1">
      <alignment vertical="center"/>
    </xf>
    <xf numFmtId="165" fontId="0" fillId="2" borderId="1" xfId="0" applyNumberFormat="1" applyFill="1" applyBorder="1"/>
    <xf numFmtId="0" fontId="1" fillId="26" borderId="119" xfId="0" applyFont="1" applyFill="1" applyBorder="1" applyAlignment="1">
      <alignment horizontal="center"/>
    </xf>
    <xf numFmtId="0" fontId="0" fillId="2" borderId="119" xfId="0" applyFill="1" applyBorder="1" applyAlignment="1">
      <alignment horizontal="right"/>
    </xf>
    <xf numFmtId="165" fontId="1" fillId="0" borderId="28" xfId="0" applyNumberFormat="1" applyFont="1" applyBorder="1"/>
    <xf numFmtId="0" fontId="1" fillId="22" borderId="119" xfId="0" applyFont="1" applyFill="1" applyBorder="1"/>
    <xf numFmtId="165" fontId="1" fillId="22" borderId="28" xfId="0" applyNumberFormat="1" applyFont="1" applyFill="1" applyBorder="1"/>
    <xf numFmtId="0" fontId="1" fillId="0" borderId="119" xfId="0" applyFont="1" applyBorder="1"/>
    <xf numFmtId="165" fontId="8" fillId="2" borderId="28" xfId="0" applyNumberFormat="1" applyFont="1" applyFill="1" applyBorder="1"/>
    <xf numFmtId="165" fontId="5" fillId="27" borderId="28" xfId="0" applyNumberFormat="1" applyFont="1" applyFill="1" applyBorder="1"/>
    <xf numFmtId="165" fontId="0" fillId="27" borderId="28" xfId="0" applyNumberFormat="1" applyFill="1" applyBorder="1"/>
    <xf numFmtId="165" fontId="1" fillId="27" borderId="28" xfId="0" applyNumberFormat="1" applyFont="1" applyFill="1" applyBorder="1"/>
    <xf numFmtId="165" fontId="8" fillId="27" borderId="28" xfId="0" applyNumberFormat="1" applyFont="1" applyFill="1" applyBorder="1"/>
    <xf numFmtId="165" fontId="0" fillId="23" borderId="11" xfId="0" applyNumberFormat="1" applyFill="1" applyBorder="1"/>
    <xf numFmtId="0" fontId="0" fillId="23" borderId="61" xfId="0" applyFill="1" applyBorder="1"/>
    <xf numFmtId="0" fontId="3" fillId="2" borderId="1" xfId="0" applyFont="1" applyFill="1" applyBorder="1" applyAlignment="1">
      <alignment vertical="center"/>
    </xf>
    <xf numFmtId="0" fontId="8" fillId="23" borderId="11" xfId="0" applyFont="1" applyFill="1" applyBorder="1"/>
    <xf numFmtId="0" fontId="0" fillId="2" borderId="11" xfId="0" applyFill="1" applyBorder="1" applyAlignment="1">
      <alignment horizontal="right"/>
    </xf>
    <xf numFmtId="0" fontId="0" fillId="22" borderId="11" xfId="0" applyFill="1" applyBorder="1"/>
    <xf numFmtId="165" fontId="0" fillId="22" borderId="11" xfId="0" applyNumberFormat="1" applyFill="1" applyBorder="1"/>
    <xf numFmtId="165" fontId="5" fillId="2" borderId="11" xfId="0" applyNumberFormat="1" applyFont="1" applyFill="1" applyBorder="1"/>
    <xf numFmtId="165" fontId="8" fillId="2" borderId="11" xfId="0" applyNumberFormat="1" applyFont="1" applyFill="1" applyBorder="1"/>
    <xf numFmtId="0" fontId="0" fillId="5" borderId="11" xfId="0" applyFill="1" applyBorder="1"/>
    <xf numFmtId="165" fontId="0" fillId="5" borderId="11" xfId="0" applyNumberFormat="1" applyFill="1" applyBorder="1"/>
    <xf numFmtId="0" fontId="3" fillId="22" borderId="11" xfId="0" applyFont="1" applyFill="1" applyBorder="1"/>
    <xf numFmtId="165" fontId="3" fillId="22" borderId="11" xfId="0" applyNumberFormat="1" applyFont="1" applyFill="1" applyBorder="1"/>
    <xf numFmtId="0" fontId="10" fillId="22" borderId="61" xfId="0" applyFont="1" applyFill="1" applyBorder="1" applyAlignment="1">
      <alignment vertical="center"/>
    </xf>
    <xf numFmtId="165" fontId="10" fillId="22" borderId="11" xfId="0" applyNumberFormat="1" applyFont="1" applyFill="1" applyBorder="1" applyAlignment="1">
      <alignment vertical="center"/>
    </xf>
    <xf numFmtId="165" fontId="10" fillId="23" borderId="11" xfId="0" applyNumberFormat="1" applyFont="1" applyFill="1" applyBorder="1" applyAlignment="1">
      <alignment vertical="center"/>
    </xf>
    <xf numFmtId="165" fontId="3" fillId="5" borderId="11" xfId="0" applyNumberFormat="1" applyFont="1" applyFill="1" applyBorder="1"/>
    <xf numFmtId="165" fontId="19" fillId="5" borderId="11" xfId="0" applyNumberFormat="1" applyFont="1" applyFill="1" applyBorder="1" applyAlignment="1">
      <alignment vertical="center"/>
    </xf>
    <xf numFmtId="165" fontId="21" fillId="5" borderId="11" xfId="0" applyNumberFormat="1" applyFont="1" applyFill="1" applyBorder="1" applyAlignment="1">
      <alignment vertical="center"/>
    </xf>
    <xf numFmtId="165" fontId="3" fillId="26" borderId="1" xfId="0" applyNumberFormat="1" applyFont="1" applyFill="1" applyBorder="1" applyAlignment="1">
      <alignment vertical="center"/>
    </xf>
    <xf numFmtId="165" fontId="3" fillId="26" borderId="8" xfId="0" applyNumberFormat="1" applyFont="1" applyFill="1" applyBorder="1" applyAlignment="1">
      <alignment vertical="center"/>
    </xf>
    <xf numFmtId="165" fontId="3" fillId="26" borderId="22" xfId="0" applyNumberFormat="1" applyFont="1" applyFill="1" applyBorder="1" applyAlignment="1">
      <alignment vertical="center"/>
    </xf>
    <xf numFmtId="165" fontId="1" fillId="5" borderId="28" xfId="0" applyNumberFormat="1" applyFont="1" applyFill="1" applyBorder="1"/>
    <xf numFmtId="165" fontId="10" fillId="5" borderId="1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63" xfId="0" applyFont="1" applyBorder="1" applyAlignment="1">
      <alignment horizontal="left" vertical="center"/>
    </xf>
    <xf numFmtId="165" fontId="1" fillId="5" borderId="22" xfId="0" applyNumberFormat="1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1" xfId="0" applyFont="1" applyFill="1" applyBorder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left" indent="5"/>
    </xf>
    <xf numFmtId="0" fontId="0" fillId="0" borderId="0" xfId="0" applyAlignment="1">
      <alignment horizontal="left" indent="5"/>
    </xf>
    <xf numFmtId="0" fontId="16" fillId="0" borderId="0" xfId="1" applyAlignment="1" applyProtection="1">
      <alignment horizontal="left" indent="5"/>
    </xf>
    <xf numFmtId="0" fontId="32" fillId="0" borderId="0" xfId="0" applyFont="1" applyAlignment="1">
      <alignment horizontal="left" indent="5"/>
    </xf>
    <xf numFmtId="0" fontId="33" fillId="0" borderId="0" xfId="0" applyFont="1" applyAlignment="1">
      <alignment horizontal="left" indent="5"/>
    </xf>
    <xf numFmtId="0" fontId="34" fillId="0" borderId="0" xfId="0" applyFont="1" applyAlignment="1">
      <alignment horizontal="left" indent="5"/>
    </xf>
    <xf numFmtId="0" fontId="0" fillId="0" borderId="0" xfId="0" quotePrefix="1" applyAlignment="1">
      <alignment horizontal="left" indent="5"/>
    </xf>
    <xf numFmtId="0" fontId="33" fillId="0" borderId="0" xfId="0" quotePrefix="1" applyFont="1" applyAlignment="1">
      <alignment horizontal="left" indent="5"/>
    </xf>
    <xf numFmtId="0" fontId="0" fillId="0" borderId="0" xfId="0" applyProtection="1">
      <protection locked="0"/>
    </xf>
    <xf numFmtId="0" fontId="0" fillId="0" borderId="41" xfId="0" applyBorder="1" applyProtection="1">
      <protection locked="0"/>
    </xf>
    <xf numFmtId="0" fontId="9" fillId="0" borderId="0" xfId="0" applyFont="1" applyProtection="1">
      <protection locked="0"/>
    </xf>
    <xf numFmtId="0" fontId="0" fillId="21" borderId="0" xfId="0" applyFill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21" borderId="0" xfId="0" applyFill="1" applyAlignment="1" applyProtection="1">
      <alignment horizontal="center" vertical="center"/>
      <protection locked="0"/>
    </xf>
    <xf numFmtId="0" fontId="10" fillId="0" borderId="41" xfId="0" applyFont="1" applyBorder="1" applyAlignment="1" applyProtection="1">
      <alignment horizontal="center" vertical="center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 wrapText="1"/>
      <protection locked="0"/>
    </xf>
    <xf numFmtId="0" fontId="0" fillId="5" borderId="17" xfId="0" applyFill="1" applyBorder="1" applyAlignment="1" applyProtection="1">
      <alignment horizontal="center" vertical="center" wrapText="1"/>
      <protection locked="0"/>
    </xf>
    <xf numFmtId="0" fontId="0" fillId="5" borderId="14" xfId="0" applyFill="1" applyBorder="1" applyAlignment="1" applyProtection="1">
      <alignment horizontal="center" vertical="center" wrapText="1"/>
      <protection locked="0"/>
    </xf>
    <xf numFmtId="0" fontId="0" fillId="5" borderId="36" xfId="0" applyFill="1" applyBorder="1" applyAlignment="1" applyProtection="1">
      <alignment horizontal="center" vertical="center" wrapText="1"/>
      <protection locked="0"/>
    </xf>
    <xf numFmtId="0" fontId="0" fillId="16" borderId="17" xfId="0" applyFill="1" applyBorder="1" applyAlignment="1" applyProtection="1">
      <alignment horizontal="center" vertical="center" wrapText="1"/>
      <protection locked="0"/>
    </xf>
    <xf numFmtId="0" fontId="0" fillId="16" borderId="14" xfId="0" applyFill="1" applyBorder="1" applyAlignment="1" applyProtection="1">
      <alignment horizontal="center" vertical="center" wrapText="1"/>
      <protection locked="0"/>
    </xf>
    <xf numFmtId="0" fontId="0" fillId="16" borderId="3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0" borderId="17" xfId="0" applyFill="1" applyBorder="1" applyAlignment="1" applyProtection="1">
      <alignment horizontal="center" vertical="center" wrapText="1"/>
      <protection locked="0"/>
    </xf>
    <xf numFmtId="0" fontId="0" fillId="20" borderId="14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center" vertical="center" wrapText="1"/>
      <protection locked="0"/>
    </xf>
    <xf numFmtId="0" fontId="0" fillId="7" borderId="14" xfId="0" applyFill="1" applyBorder="1" applyAlignment="1" applyProtection="1">
      <alignment horizontal="center" vertical="center" wrapText="1"/>
      <protection locked="0"/>
    </xf>
    <xf numFmtId="0" fontId="0" fillId="7" borderId="21" xfId="0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0" fillId="21" borderId="17" xfId="0" applyFill="1" applyBorder="1" applyAlignment="1" applyProtection="1">
      <alignment horizontal="center" vertical="center" wrapText="1"/>
      <protection locked="0"/>
    </xf>
    <xf numFmtId="0" fontId="0" fillId="21" borderId="14" xfId="0" applyFill="1" applyBorder="1" applyAlignment="1" applyProtection="1">
      <alignment horizontal="center" vertical="center" wrapText="1"/>
      <protection locked="0"/>
    </xf>
    <xf numFmtId="0" fontId="0" fillId="21" borderId="36" xfId="0" applyFill="1" applyBorder="1" applyAlignment="1" applyProtection="1">
      <alignment horizontal="center" vertical="center" wrapText="1"/>
      <protection locked="0"/>
    </xf>
    <xf numFmtId="0" fontId="0" fillId="8" borderId="26" xfId="0" applyFill="1" applyBorder="1" applyAlignment="1" applyProtection="1">
      <alignment horizontal="center" vertical="center" wrapText="1"/>
      <protection locked="0"/>
    </xf>
    <xf numFmtId="0" fontId="0" fillId="8" borderId="14" xfId="0" applyFill="1" applyBorder="1" applyAlignment="1" applyProtection="1">
      <alignment horizontal="center" vertical="center" wrapText="1"/>
      <protection locked="0"/>
    </xf>
    <xf numFmtId="0" fontId="0" fillId="8" borderId="36" xfId="0" applyFill="1" applyBorder="1" applyAlignment="1" applyProtection="1">
      <alignment horizontal="center" vertical="center" wrapText="1"/>
      <protection locked="0"/>
    </xf>
    <xf numFmtId="0" fontId="0" fillId="8" borderId="21" xfId="0" applyFill="1" applyBorder="1" applyAlignment="1" applyProtection="1">
      <alignment horizontal="center" vertical="center" wrapText="1"/>
      <protection locked="0"/>
    </xf>
    <xf numFmtId="0" fontId="0" fillId="17" borderId="26" xfId="0" applyFill="1" applyBorder="1" applyAlignment="1" applyProtection="1">
      <alignment horizontal="center" vertical="center" wrapText="1"/>
      <protection locked="0"/>
    </xf>
    <xf numFmtId="0" fontId="0" fillId="17" borderId="14" xfId="0" applyFill="1" applyBorder="1" applyAlignment="1" applyProtection="1">
      <alignment horizontal="center" vertical="center" wrapText="1"/>
      <protection locked="0"/>
    </xf>
    <xf numFmtId="0" fontId="0" fillId="17" borderId="36" xfId="0" applyFill="1" applyBorder="1" applyAlignment="1" applyProtection="1">
      <alignment horizontal="center" vertical="center" wrapText="1"/>
      <protection locked="0"/>
    </xf>
    <xf numFmtId="165" fontId="0" fillId="5" borderId="42" xfId="0" applyNumberFormat="1" applyFill="1" applyBorder="1" applyAlignment="1" applyProtection="1">
      <alignment horizontal="center" vertical="center"/>
      <protection locked="0"/>
    </xf>
    <xf numFmtId="165" fontId="0" fillId="5" borderId="16" xfId="0" applyNumberFormat="1" applyFill="1" applyBorder="1" applyAlignment="1" applyProtection="1">
      <alignment horizontal="center" vertical="center"/>
      <protection locked="0"/>
    </xf>
    <xf numFmtId="0" fontId="0" fillId="5" borderId="19" xfId="0" applyFill="1" applyBorder="1" applyAlignment="1" applyProtection="1">
      <alignment horizontal="center" vertical="center"/>
      <protection locked="0"/>
    </xf>
    <xf numFmtId="165" fontId="0" fillId="0" borderId="41" xfId="0" applyNumberFormat="1" applyBorder="1" applyAlignment="1" applyProtection="1">
      <alignment horizontal="center" vertical="center"/>
      <protection locked="0"/>
    </xf>
    <xf numFmtId="165" fontId="0" fillId="16" borderId="40" xfId="0" applyNumberFormat="1" applyFill="1" applyBorder="1" applyAlignment="1" applyProtection="1">
      <alignment horizontal="center" vertical="center"/>
      <protection locked="0"/>
    </xf>
    <xf numFmtId="165" fontId="0" fillId="16" borderId="16" xfId="0" applyNumberFormat="1" applyFill="1" applyBorder="1" applyAlignment="1" applyProtection="1">
      <alignment horizontal="center" vertical="center"/>
      <protection locked="0"/>
    </xf>
    <xf numFmtId="165" fontId="0" fillId="16" borderId="34" xfId="0" applyNumberFormat="1" applyFill="1" applyBorder="1" applyAlignment="1" applyProtection="1">
      <alignment horizontal="center" vertical="center"/>
      <protection locked="0"/>
    </xf>
    <xf numFmtId="165" fontId="0" fillId="7" borderId="42" xfId="0" applyNumberFormat="1" applyFill="1" applyBorder="1" applyAlignment="1" applyProtection="1">
      <alignment horizontal="center" vertical="center"/>
      <protection locked="0"/>
    </xf>
    <xf numFmtId="165" fontId="0" fillId="7" borderId="40" xfId="0" applyNumberFormat="1" applyFill="1" applyBorder="1" applyAlignment="1" applyProtection="1">
      <alignment horizontal="center" vertical="center"/>
      <protection locked="0"/>
    </xf>
    <xf numFmtId="165" fontId="0" fillId="7" borderId="16" xfId="0" applyNumberFormat="1" applyFill="1" applyBorder="1" applyAlignment="1" applyProtection="1">
      <alignment horizontal="center" vertical="center"/>
      <protection locked="0"/>
    </xf>
    <xf numFmtId="165" fontId="0" fillId="7" borderId="19" xfId="0" applyNumberFormat="1" applyFill="1" applyBorder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165" fontId="0" fillId="21" borderId="40" xfId="0" applyNumberFormat="1" applyFill="1" applyBorder="1" applyAlignment="1" applyProtection="1">
      <alignment horizontal="center" vertical="center"/>
      <protection locked="0"/>
    </xf>
    <xf numFmtId="165" fontId="0" fillId="21" borderId="16" xfId="0" applyNumberFormat="1" applyFill="1" applyBorder="1" applyAlignment="1" applyProtection="1">
      <alignment horizontal="center" vertical="center"/>
      <protection locked="0"/>
    </xf>
    <xf numFmtId="165" fontId="0" fillId="21" borderId="34" xfId="0" applyNumberFormat="1" applyFill="1" applyBorder="1" applyAlignment="1" applyProtection="1">
      <alignment horizontal="center" vertical="center"/>
      <protection locked="0"/>
    </xf>
    <xf numFmtId="165" fontId="0" fillId="8" borderId="42" xfId="0" applyNumberFormat="1" applyFill="1" applyBorder="1" applyAlignment="1" applyProtection="1">
      <alignment horizontal="center" vertical="center"/>
      <protection locked="0"/>
    </xf>
    <xf numFmtId="165" fontId="0" fillId="8" borderId="16" xfId="0" applyNumberFormat="1" applyFill="1" applyBorder="1" applyAlignment="1" applyProtection="1">
      <alignment horizontal="center" vertical="center"/>
      <protection locked="0"/>
    </xf>
    <xf numFmtId="165" fontId="0" fillId="8" borderId="34" xfId="0" applyNumberFormat="1" applyFill="1" applyBorder="1" applyAlignment="1" applyProtection="1">
      <alignment horizontal="center" vertical="center"/>
      <protection locked="0"/>
    </xf>
    <xf numFmtId="165" fontId="0" fillId="8" borderId="19" xfId="0" applyNumberFormat="1" applyFill="1" applyBorder="1" applyAlignment="1" applyProtection="1">
      <alignment horizontal="center" vertical="center"/>
      <protection locked="0"/>
    </xf>
    <xf numFmtId="165" fontId="0" fillId="17" borderId="42" xfId="0" applyNumberFormat="1" applyFill="1" applyBorder="1" applyAlignment="1" applyProtection="1">
      <alignment horizontal="center" vertical="center"/>
      <protection locked="0"/>
    </xf>
    <xf numFmtId="165" fontId="0" fillId="17" borderId="16" xfId="0" applyNumberFormat="1" applyFill="1" applyBorder="1" applyAlignment="1" applyProtection="1">
      <alignment horizontal="center" vertical="center"/>
      <protection locked="0"/>
    </xf>
    <xf numFmtId="0" fontId="0" fillId="17" borderId="19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5" fontId="0" fillId="5" borderId="25" xfId="0" applyNumberFormat="1" applyFill="1" applyBorder="1" applyProtection="1">
      <protection locked="0"/>
    </xf>
    <xf numFmtId="165" fontId="0" fillId="5" borderId="15" xfId="0" applyNumberFormat="1" applyFill="1" applyBorder="1" applyProtection="1">
      <protection locked="0"/>
    </xf>
    <xf numFmtId="165" fontId="0" fillId="0" borderId="41" xfId="0" applyNumberFormat="1" applyBorder="1" applyProtection="1">
      <protection locked="0"/>
    </xf>
    <xf numFmtId="165" fontId="0" fillId="16" borderId="18" xfId="0" applyNumberFormat="1" applyFill="1" applyBorder="1" applyProtection="1">
      <protection locked="0"/>
    </xf>
    <xf numFmtId="165" fontId="0" fillId="16" borderId="15" xfId="0" applyNumberFormat="1" applyFill="1" applyBorder="1" applyProtection="1">
      <protection locked="0"/>
    </xf>
    <xf numFmtId="165" fontId="0" fillId="16" borderId="35" xfId="0" applyNumberFormat="1" applyFill="1" applyBorder="1" applyProtection="1">
      <protection locked="0"/>
    </xf>
    <xf numFmtId="165" fontId="0" fillId="7" borderId="25" xfId="0" applyNumberFormat="1" applyFill="1" applyBorder="1" applyProtection="1">
      <protection locked="0"/>
    </xf>
    <xf numFmtId="165" fontId="0" fillId="7" borderId="18" xfId="0" applyNumberFormat="1" applyFill="1" applyBorder="1" applyProtection="1">
      <protection locked="0"/>
    </xf>
    <xf numFmtId="165" fontId="0" fillId="7" borderId="15" xfId="0" applyNumberFormat="1" applyFill="1" applyBorder="1" applyProtection="1">
      <protection locked="0"/>
    </xf>
    <xf numFmtId="165" fontId="0" fillId="7" borderId="20" xfId="0" applyNumberFormat="1" applyFill="1" applyBorder="1" applyProtection="1">
      <protection locked="0"/>
    </xf>
    <xf numFmtId="165" fontId="9" fillId="0" borderId="0" xfId="0" applyNumberFormat="1" applyFont="1" applyProtection="1">
      <protection locked="0"/>
    </xf>
    <xf numFmtId="165" fontId="0" fillId="21" borderId="18" xfId="0" applyNumberFormat="1" applyFill="1" applyBorder="1" applyProtection="1">
      <protection locked="0"/>
    </xf>
    <xf numFmtId="165" fontId="0" fillId="21" borderId="15" xfId="0" applyNumberFormat="1" applyFill="1" applyBorder="1" applyProtection="1">
      <protection locked="0"/>
    </xf>
    <xf numFmtId="165" fontId="0" fillId="21" borderId="35" xfId="0" applyNumberFormat="1" applyFill="1" applyBorder="1" applyProtection="1">
      <protection locked="0"/>
    </xf>
    <xf numFmtId="165" fontId="0" fillId="8" borderId="25" xfId="0" applyNumberFormat="1" applyFill="1" applyBorder="1" applyProtection="1">
      <protection locked="0"/>
    </xf>
    <xf numFmtId="165" fontId="0" fillId="8" borderId="15" xfId="0" applyNumberFormat="1" applyFill="1" applyBorder="1" applyProtection="1">
      <protection locked="0"/>
    </xf>
    <xf numFmtId="165" fontId="0" fillId="8" borderId="35" xfId="0" applyNumberFormat="1" applyFill="1" applyBorder="1" applyProtection="1">
      <protection locked="0"/>
    </xf>
    <xf numFmtId="165" fontId="0" fillId="17" borderId="25" xfId="0" applyNumberFormat="1" applyFill="1" applyBorder="1" applyProtection="1">
      <protection locked="0"/>
    </xf>
    <xf numFmtId="165" fontId="0" fillId="17" borderId="15" xfId="0" applyNumberFormat="1" applyFill="1" applyBorder="1" applyProtection="1">
      <protection locked="0"/>
    </xf>
    <xf numFmtId="165" fontId="0" fillId="17" borderId="20" xfId="0" applyNumberFormat="1" applyFill="1" applyBorder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5" fontId="0" fillId="16" borderId="15" xfId="0" applyNumberFormat="1" applyFill="1" applyBorder="1" applyAlignment="1" applyProtection="1">
      <alignment wrapText="1"/>
      <protection locked="0"/>
    </xf>
    <xf numFmtId="165" fontId="0" fillId="0" borderId="40" xfId="0" applyNumberFormat="1" applyBorder="1" applyProtection="1">
      <protection locked="0"/>
    </xf>
    <xf numFmtId="165" fontId="0" fillId="0" borderId="16" xfId="0" applyNumberFormat="1" applyBorder="1" applyProtection="1">
      <protection locked="0"/>
    </xf>
    <xf numFmtId="165" fontId="0" fillId="0" borderId="18" xfId="0" applyNumberFormat="1" applyBorder="1" applyProtection="1">
      <protection locked="0"/>
    </xf>
    <xf numFmtId="165" fontId="0" fillId="0" borderId="15" xfId="0" applyNumberFormat="1" applyBorder="1" applyProtection="1">
      <protection locked="0"/>
    </xf>
    <xf numFmtId="165" fontId="9" fillId="7" borderId="15" xfId="0" applyNumberFormat="1" applyFont="1" applyFill="1" applyBorder="1" applyProtection="1">
      <protection locked="0"/>
    </xf>
    <xf numFmtId="165" fontId="0" fillId="0" borderId="81" xfId="0" applyNumberFormat="1" applyBorder="1" applyProtection="1">
      <protection locked="0"/>
    </xf>
    <xf numFmtId="165" fontId="0" fillId="0" borderId="50" xfId="0" applyNumberFormat="1" applyBorder="1" applyProtection="1">
      <protection locked="0"/>
    </xf>
    <xf numFmtId="165" fontId="9" fillId="7" borderId="18" xfId="0" applyNumberFormat="1" applyFont="1" applyFill="1" applyBorder="1" applyProtection="1">
      <protection locked="0"/>
    </xf>
    <xf numFmtId="0" fontId="0" fillId="5" borderId="0" xfId="0" applyFill="1" applyProtection="1">
      <protection locked="0"/>
    </xf>
    <xf numFmtId="0" fontId="0" fillId="16" borderId="0" xfId="0" applyFill="1" applyProtection="1">
      <protection locked="0"/>
    </xf>
    <xf numFmtId="0" fontId="0" fillId="7" borderId="0" xfId="0" applyFill="1" applyProtection="1">
      <protection locked="0"/>
    </xf>
    <xf numFmtId="165" fontId="0" fillId="7" borderId="0" xfId="0" applyNumberFormat="1" applyFill="1" applyProtection="1">
      <protection locked="0"/>
    </xf>
    <xf numFmtId="165" fontId="1" fillId="7" borderId="0" xfId="0" applyNumberFormat="1" applyFont="1" applyFill="1" applyProtection="1">
      <protection locked="0"/>
    </xf>
    <xf numFmtId="165" fontId="11" fillId="0" borderId="0" xfId="0" applyNumberFormat="1" applyFont="1" applyProtection="1">
      <protection locked="0"/>
    </xf>
    <xf numFmtId="0" fontId="0" fillId="8" borderId="0" xfId="0" applyFill="1" applyProtection="1">
      <protection locked="0"/>
    </xf>
    <xf numFmtId="165" fontId="1" fillId="8" borderId="0" xfId="0" applyNumberFormat="1" applyFont="1" applyFill="1" applyProtection="1">
      <protection locked="0"/>
    </xf>
    <xf numFmtId="0" fontId="0" fillId="17" borderId="0" xfId="0" applyFill="1" applyProtection="1">
      <protection locked="0"/>
    </xf>
    <xf numFmtId="165" fontId="0" fillId="5" borderId="0" xfId="0" applyNumberFormat="1" applyFill="1" applyProtection="1">
      <protection locked="0"/>
    </xf>
    <xf numFmtId="165" fontId="0" fillId="16" borderId="0" xfId="0" applyNumberFormat="1" applyFill="1" applyProtection="1">
      <protection locked="0"/>
    </xf>
    <xf numFmtId="165" fontId="0" fillId="21" borderId="0" xfId="0" applyNumberFormat="1" applyFill="1" applyProtection="1">
      <protection locked="0"/>
    </xf>
    <xf numFmtId="0" fontId="1" fillId="0" borderId="41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5" fontId="0" fillId="5" borderId="15" xfId="0" applyNumberFormat="1" applyFill="1" applyBorder="1"/>
    <xf numFmtId="165" fontId="0" fillId="5" borderId="20" xfId="0" applyNumberFormat="1" applyFill="1" applyBorder="1"/>
    <xf numFmtId="0" fontId="0" fillId="5" borderId="0" xfId="0" applyFill="1"/>
    <xf numFmtId="165" fontId="1" fillId="5" borderId="0" xfId="0" applyNumberFormat="1" applyFont="1" applyFill="1"/>
    <xf numFmtId="165" fontId="0" fillId="16" borderId="15" xfId="0" applyNumberFormat="1" applyFill="1" applyBorder="1"/>
    <xf numFmtId="165" fontId="0" fillId="16" borderId="52" xfId="0" applyNumberFormat="1" applyFill="1" applyBorder="1" applyAlignment="1">
      <alignment horizontal="center" vertical="center"/>
    </xf>
    <xf numFmtId="165" fontId="0" fillId="16" borderId="20" xfId="0" applyNumberFormat="1" applyFill="1" applyBorder="1" applyAlignment="1">
      <alignment horizontal="center" vertical="center"/>
    </xf>
    <xf numFmtId="165" fontId="1" fillId="16" borderId="0" xfId="0" applyNumberFormat="1" applyFont="1" applyFill="1"/>
    <xf numFmtId="165" fontId="0" fillId="7" borderId="15" xfId="0" applyNumberFormat="1" applyFill="1" applyBorder="1"/>
    <xf numFmtId="165" fontId="1" fillId="7" borderId="0" xfId="0" applyNumberFormat="1" applyFont="1" applyFill="1"/>
    <xf numFmtId="165" fontId="0" fillId="7" borderId="0" xfId="0" applyNumberFormat="1" applyFill="1"/>
    <xf numFmtId="165" fontId="0" fillId="21" borderId="52" xfId="0" applyNumberFormat="1" applyFill="1" applyBorder="1" applyAlignment="1">
      <alignment horizontal="center" vertical="center"/>
    </xf>
    <xf numFmtId="165" fontId="0" fillId="21" borderId="15" xfId="0" applyNumberFormat="1" applyFill="1" applyBorder="1"/>
    <xf numFmtId="165" fontId="0" fillId="21" borderId="20" xfId="0" applyNumberFormat="1" applyFill="1" applyBorder="1" applyAlignment="1">
      <alignment horizontal="center" vertical="center"/>
    </xf>
    <xf numFmtId="165" fontId="1" fillId="21" borderId="0" xfId="0" applyNumberFormat="1" applyFont="1" applyFill="1"/>
    <xf numFmtId="165" fontId="0" fillId="8" borderId="15" xfId="0" applyNumberFormat="1" applyFill="1" applyBorder="1"/>
    <xf numFmtId="165" fontId="1" fillId="8" borderId="0" xfId="0" applyNumberFormat="1" applyFont="1" applyFill="1"/>
    <xf numFmtId="165" fontId="0" fillId="8" borderId="19" xfId="0" applyNumberFormat="1" applyFill="1" applyBorder="1" applyAlignment="1">
      <alignment horizontal="center" vertical="center"/>
    </xf>
    <xf numFmtId="165" fontId="0" fillId="8" borderId="20" xfId="0" applyNumberFormat="1" applyFill="1" applyBorder="1" applyAlignment="1">
      <alignment horizontal="center" vertical="center"/>
    </xf>
    <xf numFmtId="165" fontId="0" fillId="17" borderId="15" xfId="0" applyNumberFormat="1" applyFill="1" applyBorder="1" applyAlignment="1">
      <alignment horizontal="center" vertical="center"/>
    </xf>
    <xf numFmtId="165" fontId="0" fillId="17" borderId="0" xfId="0" applyNumberFormat="1" applyFill="1"/>
    <xf numFmtId="165" fontId="1" fillId="17" borderId="0" xfId="0" applyNumberFormat="1" applyFont="1" applyFill="1"/>
    <xf numFmtId="0" fontId="0" fillId="2" borderId="0" xfId="0" applyFill="1"/>
    <xf numFmtId="165" fontId="0" fillId="2" borderId="0" xfId="0" applyNumberFormat="1" applyFill="1"/>
    <xf numFmtId="0" fontId="0" fillId="0" borderId="126" xfId="0" applyBorder="1"/>
    <xf numFmtId="0" fontId="0" fillId="0" borderId="100" xfId="0" applyBorder="1"/>
    <xf numFmtId="0" fontId="0" fillId="0" borderId="112" xfId="0" applyBorder="1"/>
    <xf numFmtId="0" fontId="1" fillId="2" borderId="90" xfId="0" applyFont="1" applyFill="1" applyBorder="1"/>
    <xf numFmtId="165" fontId="0" fillId="2" borderId="93" xfId="0" applyNumberFormat="1" applyFill="1" applyBorder="1"/>
    <xf numFmtId="165" fontId="0" fillId="2" borderId="67" xfId="0" applyNumberFormat="1" applyFill="1" applyBorder="1"/>
    <xf numFmtId="165" fontId="0" fillId="2" borderId="125" xfId="0" applyNumberFormat="1" applyFill="1" applyBorder="1"/>
    <xf numFmtId="0" fontId="0" fillId="0" borderId="31" xfId="0" applyBorder="1" applyAlignment="1" applyProtection="1">
      <alignment horizontal="center" vertical="center"/>
      <protection locked="0"/>
    </xf>
    <xf numFmtId="165" fontId="0" fillId="0" borderId="43" xfId="0" applyNumberFormat="1" applyBorder="1" applyAlignment="1" applyProtection="1">
      <alignment horizontal="center" vertical="center"/>
      <protection locked="0"/>
    </xf>
    <xf numFmtId="165" fontId="0" fillId="0" borderId="20" xfId="0" applyNumberFormat="1" applyBorder="1" applyAlignment="1" applyProtection="1">
      <alignment horizontal="center" vertical="center"/>
      <protection locked="0"/>
    </xf>
    <xf numFmtId="165" fontId="0" fillId="6" borderId="42" xfId="0" applyNumberFormat="1" applyFill="1" applyBorder="1" applyAlignment="1" applyProtection="1">
      <alignment horizontal="center" vertic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65" fontId="0" fillId="6" borderId="34" xfId="0" applyNumberFormat="1" applyFill="1" applyBorder="1" applyAlignment="1" applyProtection="1">
      <alignment horizontal="center" vertical="center"/>
      <protection locked="0"/>
    </xf>
    <xf numFmtId="165" fontId="9" fillId="9" borderId="42" xfId="0" applyNumberFormat="1" applyFont="1" applyFill="1" applyBorder="1" applyAlignment="1" applyProtection="1">
      <alignment horizontal="center" vertical="center"/>
      <protection locked="0"/>
    </xf>
    <xf numFmtId="165" fontId="9" fillId="9" borderId="40" xfId="0" applyNumberFormat="1" applyFont="1" applyFill="1" applyBorder="1" applyAlignment="1" applyProtection="1">
      <alignment horizontal="center" vertical="center"/>
      <protection locked="0"/>
    </xf>
    <xf numFmtId="165" fontId="9" fillId="9" borderId="16" xfId="0" applyNumberFormat="1" applyFont="1" applyFill="1" applyBorder="1" applyAlignment="1" applyProtection="1">
      <alignment horizontal="center" vertical="center"/>
      <protection locked="0"/>
    </xf>
    <xf numFmtId="165" fontId="9" fillId="9" borderId="19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locked="0"/>
    </xf>
    <xf numFmtId="165" fontId="0" fillId="0" borderId="25" xfId="0" applyNumberFormat="1" applyBorder="1" applyProtection="1">
      <protection locked="0"/>
    </xf>
    <xf numFmtId="165" fontId="0" fillId="6" borderId="25" xfId="0" applyNumberFormat="1" applyFill="1" applyBorder="1" applyProtection="1">
      <protection locked="0"/>
    </xf>
    <xf numFmtId="165" fontId="0" fillId="6" borderId="15" xfId="0" applyNumberFormat="1" applyFill="1" applyBorder="1" applyProtection="1">
      <protection locked="0"/>
    </xf>
    <xf numFmtId="165" fontId="0" fillId="6" borderId="35" xfId="0" applyNumberFormat="1" applyFill="1" applyBorder="1" applyAlignment="1" applyProtection="1">
      <alignment horizontal="center" vertical="center"/>
      <protection locked="0"/>
    </xf>
    <xf numFmtId="165" fontId="9" fillId="9" borderId="25" xfId="0" applyNumberFormat="1" applyFont="1" applyFill="1" applyBorder="1" applyProtection="1">
      <protection locked="0"/>
    </xf>
    <xf numFmtId="165" fontId="9" fillId="9" borderId="18" xfId="0" applyNumberFormat="1" applyFont="1" applyFill="1" applyBorder="1" applyProtection="1">
      <protection locked="0"/>
    </xf>
    <xf numFmtId="165" fontId="9" fillId="9" borderId="15" xfId="0" applyNumberFormat="1" applyFont="1" applyFill="1" applyBorder="1" applyProtection="1">
      <protection locked="0"/>
    </xf>
    <xf numFmtId="165" fontId="9" fillId="9" borderId="20" xfId="0" applyNumberFormat="1" applyFont="1" applyFill="1" applyBorder="1" applyProtection="1">
      <protection locked="0"/>
    </xf>
    <xf numFmtId="165" fontId="9" fillId="6" borderId="25" xfId="0" applyNumberFormat="1" applyFont="1" applyFill="1" applyBorder="1" applyProtection="1">
      <protection locked="0"/>
    </xf>
    <xf numFmtId="0" fontId="0" fillId="6" borderId="0" xfId="0" applyFill="1" applyProtection="1">
      <protection locked="0"/>
    </xf>
    <xf numFmtId="0" fontId="9" fillId="9" borderId="0" xfId="0" applyFont="1" applyFill="1" applyProtection="1">
      <protection locked="0"/>
    </xf>
    <xf numFmtId="165" fontId="11" fillId="9" borderId="0" xfId="0" applyNumberFormat="1" applyFont="1" applyFill="1" applyProtection="1">
      <protection locked="0"/>
    </xf>
    <xf numFmtId="165" fontId="0" fillId="6" borderId="0" xfId="0" applyNumberFormat="1" applyFill="1" applyProtection="1">
      <protection locked="0"/>
    </xf>
    <xf numFmtId="0" fontId="1" fillId="0" borderId="0" xfId="0" applyFont="1" applyProtection="1">
      <protection locked="0"/>
    </xf>
    <xf numFmtId="0" fontId="0" fillId="5" borderId="19" xfId="0" applyFill="1" applyBorder="1" applyAlignment="1">
      <alignment horizontal="center" vertical="center"/>
    </xf>
    <xf numFmtId="165" fontId="0" fillId="6" borderId="15" xfId="0" applyNumberFormat="1" applyFill="1" applyBorder="1" applyAlignment="1">
      <alignment horizontal="center" vertical="center"/>
    </xf>
    <xf numFmtId="165" fontId="0" fillId="6" borderId="52" xfId="0" applyNumberFormat="1" applyFill="1" applyBorder="1" applyAlignment="1">
      <alignment horizontal="center" vertical="center"/>
    </xf>
    <xf numFmtId="165" fontId="0" fillId="6" borderId="20" xfId="0" applyNumberFormat="1" applyFill="1" applyBorder="1" applyAlignment="1">
      <alignment horizontal="center" vertical="center"/>
    </xf>
    <xf numFmtId="165" fontId="1" fillId="6" borderId="0" xfId="0" applyNumberFormat="1" applyFont="1" applyFill="1"/>
    <xf numFmtId="165" fontId="9" fillId="9" borderId="15" xfId="0" applyNumberFormat="1" applyFont="1" applyFill="1" applyBorder="1"/>
    <xf numFmtId="165" fontId="11" fillId="9" borderId="0" xfId="0" applyNumberFormat="1" applyFont="1" applyFill="1"/>
    <xf numFmtId="165" fontId="9" fillId="9" borderId="0" xfId="0" applyNumberFormat="1" applyFont="1" applyFill="1"/>
    <xf numFmtId="165" fontId="0" fillId="17" borderId="15" xfId="0" applyNumberFormat="1" applyFill="1" applyBorder="1"/>
    <xf numFmtId="165" fontId="0" fillId="17" borderId="15" xfId="0" applyNumberFormat="1" applyFill="1" applyBorder="1" applyAlignment="1">
      <alignment horizontal="right"/>
    </xf>
    <xf numFmtId="0" fontId="0" fillId="17" borderId="19" xfId="0" applyFill="1" applyBorder="1" applyAlignment="1">
      <alignment horizontal="center" vertical="center"/>
    </xf>
    <xf numFmtId="165" fontId="0" fillId="17" borderId="20" xfId="0" applyNumberFormat="1" applyFill="1" applyBorder="1"/>
    <xf numFmtId="165" fontId="1" fillId="2" borderId="93" xfId="0" applyNumberFormat="1" applyFont="1" applyFill="1" applyBorder="1"/>
    <xf numFmtId="165" fontId="1" fillId="2" borderId="67" xfId="0" applyNumberFormat="1" applyFont="1" applyFill="1" applyBorder="1"/>
    <xf numFmtId="165" fontId="1" fillId="2" borderId="125" xfId="0" applyNumberFormat="1" applyFont="1" applyFill="1" applyBorder="1"/>
    <xf numFmtId="0" fontId="0" fillId="0" borderId="4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 wrapText="1"/>
    </xf>
    <xf numFmtId="0" fontId="0" fillId="6" borderId="51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0" fillId="21" borderId="17" xfId="0" applyFill="1" applyBorder="1" applyAlignment="1">
      <alignment horizontal="center" vertical="center" wrapText="1"/>
    </xf>
    <xf numFmtId="0" fontId="0" fillId="21" borderId="14" xfId="0" applyFill="1" applyBorder="1" applyAlignment="1">
      <alignment horizontal="center" vertical="center" wrapText="1"/>
    </xf>
    <xf numFmtId="0" fontId="0" fillId="21" borderId="36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36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36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17" borderId="26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0" fillId="17" borderId="36" xfId="0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165" fontId="0" fillId="18" borderId="42" xfId="0" applyNumberFormat="1" applyFill="1" applyBorder="1" applyAlignment="1" applyProtection="1">
      <alignment horizontal="center" vertical="center"/>
      <protection locked="0"/>
    </xf>
    <xf numFmtId="165" fontId="0" fillId="18" borderId="16" xfId="0" applyNumberFormat="1" applyFill="1" applyBorder="1" applyAlignment="1" applyProtection="1">
      <alignment horizontal="center" vertical="center"/>
      <protection locked="0"/>
    </xf>
    <xf numFmtId="165" fontId="0" fillId="18" borderId="34" xfId="0" applyNumberFormat="1" applyFill="1" applyBorder="1" applyAlignment="1" applyProtection="1">
      <alignment horizontal="center" vertical="center"/>
      <protection locked="0"/>
    </xf>
    <xf numFmtId="165" fontId="0" fillId="18" borderId="19" xfId="0" applyNumberFormat="1" applyFill="1" applyBorder="1" applyAlignment="1" applyProtection="1">
      <alignment horizontal="center" vertical="center"/>
      <protection locked="0"/>
    </xf>
    <xf numFmtId="165" fontId="0" fillId="19" borderId="42" xfId="0" applyNumberFormat="1" applyFill="1" applyBorder="1" applyAlignment="1" applyProtection="1">
      <alignment horizontal="center" vertical="center"/>
      <protection locked="0"/>
    </xf>
    <xf numFmtId="165" fontId="0" fillId="19" borderId="16" xfId="0" applyNumberFormat="1" applyFill="1" applyBorder="1" applyAlignment="1" applyProtection="1">
      <alignment horizontal="center" vertical="center"/>
      <protection locked="0"/>
    </xf>
    <xf numFmtId="165" fontId="0" fillId="19" borderId="34" xfId="0" applyNumberFormat="1" applyFill="1" applyBorder="1" applyAlignment="1" applyProtection="1">
      <alignment horizontal="center" vertical="center"/>
      <protection locked="0"/>
    </xf>
    <xf numFmtId="165" fontId="0" fillId="19" borderId="19" xfId="0" applyNumberFormat="1" applyFill="1" applyBorder="1" applyAlignment="1" applyProtection="1">
      <alignment horizontal="center" vertical="center"/>
      <protection locked="0"/>
    </xf>
    <xf numFmtId="165" fontId="0" fillId="11" borderId="42" xfId="0" applyNumberFormat="1" applyFill="1" applyBorder="1" applyAlignment="1" applyProtection="1">
      <alignment horizontal="center" vertical="center"/>
      <protection locked="0"/>
    </xf>
    <xf numFmtId="165" fontId="0" fillId="11" borderId="16" xfId="0" applyNumberFormat="1" applyFill="1" applyBorder="1" applyAlignment="1" applyProtection="1">
      <alignment horizontal="center" vertical="center"/>
      <protection locked="0"/>
    </xf>
    <xf numFmtId="165" fontId="0" fillId="11" borderId="19" xfId="0" applyNumberFormat="1" applyFill="1" applyBorder="1" applyAlignment="1" applyProtection="1">
      <alignment horizontal="center" vertical="center"/>
      <protection locked="0"/>
    </xf>
    <xf numFmtId="165" fontId="0" fillId="10" borderId="42" xfId="0" applyNumberFormat="1" applyFill="1" applyBorder="1" applyAlignment="1" applyProtection="1">
      <alignment horizontal="center" vertical="center"/>
      <protection locked="0"/>
    </xf>
    <xf numFmtId="165" fontId="0" fillId="10" borderId="16" xfId="0" applyNumberFormat="1" applyFill="1" applyBorder="1" applyAlignment="1" applyProtection="1">
      <alignment horizontal="center" vertical="center"/>
      <protection locked="0"/>
    </xf>
    <xf numFmtId="165" fontId="0" fillId="10" borderId="19" xfId="0" applyNumberFormat="1" applyFill="1" applyBorder="1" applyAlignment="1" applyProtection="1">
      <alignment horizontal="center" vertical="center"/>
      <protection locked="0"/>
    </xf>
    <xf numFmtId="165" fontId="0" fillId="4" borderId="42" xfId="0" applyNumberFormat="1" applyFill="1" applyBorder="1" applyAlignment="1" applyProtection="1">
      <alignment horizontal="center" vertical="center"/>
      <protection locked="0"/>
    </xf>
    <xf numFmtId="165" fontId="0" fillId="4" borderId="16" xfId="0" applyNumberFormat="1" applyFill="1" applyBorder="1" applyAlignment="1" applyProtection="1">
      <alignment horizontal="center" vertical="center"/>
      <protection locked="0"/>
    </xf>
    <xf numFmtId="165" fontId="0" fillId="4" borderId="19" xfId="0" applyNumberFormat="1" applyFill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0" fillId="12" borderId="42" xfId="0" applyNumberFormat="1" applyFill="1" applyBorder="1" applyAlignment="1" applyProtection="1">
      <alignment horizontal="center" vertical="center"/>
      <protection locked="0"/>
    </xf>
    <xf numFmtId="165" fontId="0" fillId="12" borderId="16" xfId="0" applyNumberFormat="1" applyFill="1" applyBorder="1" applyAlignment="1" applyProtection="1">
      <alignment horizontal="center" vertical="center"/>
      <protection locked="0"/>
    </xf>
    <xf numFmtId="165" fontId="0" fillId="12" borderId="19" xfId="0" applyNumberFormat="1" applyFill="1" applyBorder="1" applyAlignment="1" applyProtection="1">
      <alignment horizontal="center" vertical="center"/>
      <protection locked="0"/>
    </xf>
    <xf numFmtId="165" fontId="0" fillId="18" borderId="25" xfId="0" applyNumberFormat="1" applyFill="1" applyBorder="1" applyProtection="1">
      <protection locked="0"/>
    </xf>
    <xf numFmtId="165" fontId="0" fillId="18" borderId="15" xfId="0" applyNumberFormat="1" applyFill="1" applyBorder="1" applyProtection="1">
      <protection locked="0"/>
    </xf>
    <xf numFmtId="165" fontId="0" fillId="18" borderId="35" xfId="0" applyNumberFormat="1" applyFill="1" applyBorder="1" applyProtection="1">
      <protection locked="0"/>
    </xf>
    <xf numFmtId="165" fontId="0" fillId="18" borderId="20" xfId="0" applyNumberFormat="1" applyFill="1" applyBorder="1" applyProtection="1">
      <protection locked="0"/>
    </xf>
    <xf numFmtId="165" fontId="0" fillId="19" borderId="25" xfId="0" applyNumberFormat="1" applyFill="1" applyBorder="1" applyProtection="1">
      <protection locked="0"/>
    </xf>
    <xf numFmtId="165" fontId="0" fillId="19" borderId="15" xfId="0" applyNumberFormat="1" applyFill="1" applyBorder="1" applyProtection="1">
      <protection locked="0"/>
    </xf>
    <xf numFmtId="165" fontId="0" fillId="19" borderId="35" xfId="0" applyNumberFormat="1" applyFill="1" applyBorder="1" applyProtection="1">
      <protection locked="0"/>
    </xf>
    <xf numFmtId="165" fontId="0" fillId="19" borderId="20" xfId="0" applyNumberFormat="1" applyFill="1" applyBorder="1" applyProtection="1">
      <protection locked="0"/>
    </xf>
    <xf numFmtId="165" fontId="0" fillId="11" borderId="25" xfId="0" applyNumberFormat="1" applyFill="1" applyBorder="1" applyProtection="1">
      <protection locked="0"/>
    </xf>
    <xf numFmtId="165" fontId="0" fillId="11" borderId="15" xfId="0" applyNumberFormat="1" applyFill="1" applyBorder="1" applyProtection="1">
      <protection locked="0"/>
    </xf>
    <xf numFmtId="165" fontId="0" fillId="11" borderId="20" xfId="0" applyNumberFormat="1" applyFill="1" applyBorder="1" applyProtection="1">
      <protection locked="0"/>
    </xf>
    <xf numFmtId="165" fontId="0" fillId="10" borderId="25" xfId="0" applyNumberFormat="1" applyFill="1" applyBorder="1" applyProtection="1">
      <protection locked="0"/>
    </xf>
    <xf numFmtId="165" fontId="0" fillId="10" borderId="15" xfId="0" applyNumberFormat="1" applyFill="1" applyBorder="1" applyProtection="1">
      <protection locked="0"/>
    </xf>
    <xf numFmtId="165" fontId="0" fillId="10" borderId="20" xfId="0" applyNumberFormat="1" applyFill="1" applyBorder="1" applyProtection="1">
      <protection locked="0"/>
    </xf>
    <xf numFmtId="165" fontId="0" fillId="4" borderId="25" xfId="0" applyNumberFormat="1" applyFill="1" applyBorder="1" applyProtection="1">
      <protection locked="0"/>
    </xf>
    <xf numFmtId="165" fontId="0" fillId="4" borderId="15" xfId="0" applyNumberFormat="1" applyFill="1" applyBorder="1" applyProtection="1">
      <protection locked="0"/>
    </xf>
    <xf numFmtId="165" fontId="0" fillId="4" borderId="20" xfId="0" applyNumberFormat="1" applyFill="1" applyBorder="1" applyProtection="1">
      <protection locked="0"/>
    </xf>
    <xf numFmtId="165" fontId="0" fillId="0" borderId="12" xfId="0" applyNumberFormat="1" applyBorder="1" applyProtection="1">
      <protection locked="0"/>
    </xf>
    <xf numFmtId="165" fontId="0" fillId="12" borderId="25" xfId="0" applyNumberFormat="1" applyFill="1" applyBorder="1" applyProtection="1">
      <protection locked="0"/>
    </xf>
    <xf numFmtId="165" fontId="0" fillId="12" borderId="15" xfId="0" applyNumberFormat="1" applyFill="1" applyBorder="1" applyProtection="1">
      <protection locked="0"/>
    </xf>
    <xf numFmtId="165" fontId="0" fillId="12" borderId="20" xfId="0" applyNumberFormat="1" applyFill="1" applyBorder="1" applyProtection="1">
      <protection locked="0"/>
    </xf>
    <xf numFmtId="165" fontId="1" fillId="0" borderId="0" xfId="0" applyNumberFormat="1" applyFont="1" applyProtection="1">
      <protection locked="0"/>
    </xf>
    <xf numFmtId="0" fontId="0" fillId="18" borderId="0" xfId="0" applyFill="1" applyProtection="1">
      <protection locked="0"/>
    </xf>
    <xf numFmtId="165" fontId="1" fillId="18" borderId="0" xfId="0" applyNumberFormat="1" applyFont="1" applyFill="1" applyProtection="1">
      <protection locked="0"/>
    </xf>
    <xf numFmtId="0" fontId="0" fillId="19" borderId="0" xfId="0" applyFill="1" applyProtection="1">
      <protection locked="0"/>
    </xf>
    <xf numFmtId="165" fontId="1" fillId="19" borderId="0" xfId="0" applyNumberFormat="1" applyFont="1" applyFill="1" applyProtection="1">
      <protection locked="0"/>
    </xf>
    <xf numFmtId="0" fontId="0" fillId="11" borderId="0" xfId="0" applyFill="1" applyProtection="1">
      <protection locked="0"/>
    </xf>
    <xf numFmtId="0" fontId="0" fillId="10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12" borderId="0" xfId="0" applyFill="1" applyProtection="1">
      <protection locked="0"/>
    </xf>
    <xf numFmtId="165" fontId="1" fillId="11" borderId="0" xfId="0" applyNumberFormat="1" applyFont="1" applyFill="1" applyProtection="1">
      <protection locked="0"/>
    </xf>
    <xf numFmtId="165" fontId="1" fillId="10" borderId="0" xfId="0" applyNumberFormat="1" applyFont="1" applyFill="1" applyProtection="1">
      <protection locked="0"/>
    </xf>
    <xf numFmtId="165" fontId="1" fillId="4" borderId="0" xfId="0" applyNumberFormat="1" applyFont="1" applyFill="1" applyProtection="1">
      <protection locked="0"/>
    </xf>
    <xf numFmtId="165" fontId="1" fillId="12" borderId="0" xfId="0" applyNumberFormat="1" applyFont="1" applyFill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7" borderId="17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165" fontId="0" fillId="7" borderId="19" xfId="0" applyNumberFormat="1" applyFill="1" applyBorder="1" applyAlignment="1">
      <alignment horizontal="center" vertical="center"/>
    </xf>
    <xf numFmtId="165" fontId="0" fillId="7" borderId="20" xfId="0" applyNumberFormat="1" applyFill="1" applyBorder="1"/>
    <xf numFmtId="165" fontId="1" fillId="0" borderId="0" xfId="0" applyNumberFormat="1" applyFont="1"/>
    <xf numFmtId="0" fontId="0" fillId="18" borderId="26" xfId="0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0" fillId="18" borderId="36" xfId="0" applyFill="1" applyBorder="1" applyAlignment="1">
      <alignment horizontal="center" vertical="center" wrapText="1"/>
    </xf>
    <xf numFmtId="0" fontId="0" fillId="18" borderId="21" xfId="0" applyFill="1" applyBorder="1" applyAlignment="1">
      <alignment horizontal="center" vertical="center" wrapText="1"/>
    </xf>
    <xf numFmtId="165" fontId="0" fillId="18" borderId="15" xfId="0" applyNumberFormat="1" applyFill="1" applyBorder="1"/>
    <xf numFmtId="165" fontId="0" fillId="18" borderId="19" xfId="0" applyNumberFormat="1" applyFill="1" applyBorder="1" applyAlignment="1">
      <alignment horizontal="center" vertical="center"/>
    </xf>
    <xf numFmtId="165" fontId="0" fillId="18" borderId="20" xfId="0" applyNumberFormat="1" applyFill="1" applyBorder="1"/>
    <xf numFmtId="165" fontId="1" fillId="18" borderId="0" xfId="0" applyNumberFormat="1" applyFont="1" applyFill="1"/>
    <xf numFmtId="0" fontId="0" fillId="19" borderId="26" xfId="0" applyFill="1" applyBorder="1" applyAlignment="1">
      <alignment horizontal="center" vertical="center" wrapText="1"/>
    </xf>
    <xf numFmtId="0" fontId="0" fillId="19" borderId="14" xfId="0" applyFill="1" applyBorder="1" applyAlignment="1">
      <alignment horizontal="center" vertical="center" wrapText="1"/>
    </xf>
    <xf numFmtId="0" fontId="0" fillId="19" borderId="36" xfId="0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 wrapText="1"/>
    </xf>
    <xf numFmtId="165" fontId="0" fillId="19" borderId="15" xfId="0" applyNumberFormat="1" applyFill="1" applyBorder="1"/>
    <xf numFmtId="165" fontId="0" fillId="19" borderId="19" xfId="0" applyNumberFormat="1" applyFill="1" applyBorder="1" applyAlignment="1">
      <alignment horizontal="center" vertical="center"/>
    </xf>
    <xf numFmtId="165" fontId="0" fillId="19" borderId="20" xfId="0" applyNumberFormat="1" applyFill="1" applyBorder="1"/>
    <xf numFmtId="165" fontId="1" fillId="19" borderId="0" xfId="0" applyNumberFormat="1" applyFont="1" applyFill="1"/>
    <xf numFmtId="0" fontId="0" fillId="11" borderId="26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165" fontId="0" fillId="11" borderId="15" xfId="0" applyNumberFormat="1" applyFill="1" applyBorder="1"/>
    <xf numFmtId="0" fontId="0" fillId="10" borderId="26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165" fontId="0" fillId="10" borderId="15" xfId="0" applyNumberFormat="1" applyFill="1" applyBorder="1"/>
    <xf numFmtId="0" fontId="0" fillId="4" borderId="26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5" fontId="0" fillId="4" borderId="15" xfId="0" applyNumberFormat="1" applyFill="1" applyBorder="1"/>
    <xf numFmtId="0" fontId="0" fillId="12" borderId="26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165" fontId="0" fillId="12" borderId="15" xfId="0" applyNumberFormat="1" applyFill="1" applyBorder="1"/>
    <xf numFmtId="165" fontId="1" fillId="2" borderId="0" xfId="0" applyNumberFormat="1" applyFont="1" applyFill="1"/>
    <xf numFmtId="165" fontId="0" fillId="0" borderId="34" xfId="0" applyNumberFormat="1" applyBorder="1" applyProtection="1">
      <protection locked="0"/>
    </xf>
    <xf numFmtId="165" fontId="0" fillId="0" borderId="35" xfId="0" applyNumberFormat="1" applyBorder="1" applyProtection="1">
      <protection locked="0"/>
    </xf>
    <xf numFmtId="165" fontId="0" fillId="0" borderId="51" xfId="0" applyNumberFormat="1" applyBorder="1" applyProtection="1">
      <protection locked="0"/>
    </xf>
    <xf numFmtId="165" fontId="9" fillId="9" borderId="19" xfId="0" applyNumberFormat="1" applyFont="1" applyFill="1" applyBorder="1" applyAlignment="1">
      <alignment horizontal="center" vertical="center"/>
    </xf>
    <xf numFmtId="0" fontId="1" fillId="0" borderId="90" xfId="0" applyFont="1" applyBorder="1"/>
    <xf numFmtId="165" fontId="2" fillId="18" borderId="99" xfId="0" applyNumberFormat="1" applyFont="1" applyFill="1" applyBorder="1"/>
    <xf numFmtId="165" fontId="2" fillId="18" borderId="101" xfId="0" applyNumberFormat="1" applyFont="1" applyFill="1" applyBorder="1"/>
    <xf numFmtId="165" fontId="2" fillId="18" borderId="102" xfId="0" applyNumberFormat="1" applyFont="1" applyFill="1" applyBorder="1"/>
    <xf numFmtId="0" fontId="0" fillId="0" borderId="0" xfId="0" applyAlignment="1" applyProtection="1">
      <alignment horizontal="left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14" borderId="42" xfId="0" applyFill="1" applyBorder="1" applyAlignment="1" applyProtection="1">
      <alignment horizontal="center" vertical="center"/>
      <protection locked="0"/>
    </xf>
    <xf numFmtId="165" fontId="0" fillId="14" borderId="16" xfId="0" applyNumberFormat="1" applyFill="1" applyBorder="1" applyAlignment="1" applyProtection="1">
      <alignment horizontal="center" vertical="center"/>
      <protection locked="0"/>
    </xf>
    <xf numFmtId="165" fontId="0" fillId="14" borderId="19" xfId="0" applyNumberFormat="1" applyFill="1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165" fontId="0" fillId="0" borderId="19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14" borderId="25" xfId="0" applyFill="1" applyBorder="1" applyProtection="1">
      <protection locked="0"/>
    </xf>
    <xf numFmtId="165" fontId="0" fillId="14" borderId="15" xfId="0" applyNumberFormat="1" applyFill="1" applyBorder="1" applyProtection="1">
      <protection locked="0"/>
    </xf>
    <xf numFmtId="165" fontId="0" fillId="14" borderId="20" xfId="0" applyNumberFormat="1" applyFill="1" applyBorder="1" applyProtection="1">
      <protection locked="0"/>
    </xf>
    <xf numFmtId="0" fontId="0" fillId="0" borderId="25" xfId="0" applyBorder="1" applyAlignment="1" applyProtection="1">
      <alignment horizontal="left"/>
      <protection locked="0"/>
    </xf>
    <xf numFmtId="165" fontId="0" fillId="0" borderId="15" xfId="0" applyNumberFormat="1" applyBorder="1" applyAlignment="1" applyProtection="1">
      <alignment horizontal="left"/>
      <protection locked="0"/>
    </xf>
    <xf numFmtId="165" fontId="0" fillId="0" borderId="20" xfId="0" applyNumberFormat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15" xfId="0" applyBorder="1" applyProtection="1">
      <protection locked="0"/>
    </xf>
    <xf numFmtId="16" fontId="0" fillId="0" borderId="25" xfId="0" applyNumberFormat="1" applyBorder="1" applyAlignment="1" applyProtection="1">
      <alignment horizontal="left"/>
      <protection locked="0"/>
    </xf>
    <xf numFmtId="166" fontId="0" fillId="0" borderId="15" xfId="0" applyNumberFormat="1" applyBorder="1" applyAlignment="1" applyProtection="1">
      <alignment horizontal="center" vertical="center"/>
      <protection locked="0"/>
    </xf>
    <xf numFmtId="37" fontId="0" fillId="0" borderId="15" xfId="0" applyNumberFormat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14" xfId="0" applyBorder="1" applyProtection="1">
      <protection locked="0"/>
    </xf>
    <xf numFmtId="165" fontId="0" fillId="0" borderId="21" xfId="0" applyNumberForma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5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54" xfId="0" applyBorder="1" applyProtection="1">
      <protection locked="0"/>
    </xf>
    <xf numFmtId="0" fontId="0" fillId="14" borderId="0" xfId="0" applyFill="1" applyProtection="1">
      <protection locked="0"/>
    </xf>
    <xf numFmtId="0" fontId="0" fillId="14" borderId="26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165" fontId="0" fillId="0" borderId="47" xfId="0" applyNumberFormat="1" applyBorder="1"/>
    <xf numFmtId="165" fontId="0" fillId="0" borderId="6" xfId="0" applyNumberFormat="1" applyBorder="1"/>
    <xf numFmtId="165" fontId="0" fillId="14" borderId="0" xfId="0" applyNumberFormat="1" applyFill="1"/>
    <xf numFmtId="0" fontId="0" fillId="15" borderId="42" xfId="0" applyFill="1" applyBorder="1" applyAlignment="1" applyProtection="1">
      <alignment horizontal="center" vertical="center"/>
      <protection locked="0"/>
    </xf>
    <xf numFmtId="165" fontId="0" fillId="15" borderId="16" xfId="0" applyNumberFormat="1" applyFill="1" applyBorder="1" applyAlignment="1" applyProtection="1">
      <alignment horizontal="center" vertical="center"/>
      <protection locked="0"/>
    </xf>
    <xf numFmtId="165" fontId="0" fillId="15" borderId="19" xfId="0" applyNumberFormat="1" applyFill="1" applyBorder="1" applyAlignment="1" applyProtection="1">
      <alignment horizontal="center" vertical="center"/>
      <protection locked="0"/>
    </xf>
    <xf numFmtId="0" fontId="0" fillId="8" borderId="42" xfId="0" applyFill="1" applyBorder="1" applyAlignment="1" applyProtection="1">
      <alignment horizontal="center" vertical="center"/>
      <protection locked="0"/>
    </xf>
    <xf numFmtId="16" fontId="0" fillId="15" borderId="25" xfId="0" applyNumberFormat="1" applyFill="1" applyBorder="1" applyAlignment="1" applyProtection="1">
      <alignment horizontal="center"/>
      <protection locked="0"/>
    </xf>
    <xf numFmtId="165" fontId="0" fillId="15" borderId="15" xfId="0" applyNumberFormat="1" applyFill="1" applyBorder="1" applyProtection="1">
      <protection locked="0"/>
    </xf>
    <xf numFmtId="0" fontId="0" fillId="8" borderId="25" xfId="0" applyFill="1" applyBorder="1" applyProtection="1">
      <protection locked="0"/>
    </xf>
    <xf numFmtId="165" fontId="0" fillId="8" borderId="20" xfId="0" applyNumberFormat="1" applyFill="1" applyBorder="1" applyProtection="1">
      <protection locked="0"/>
    </xf>
    <xf numFmtId="165" fontId="0" fillId="15" borderId="20" xfId="0" applyNumberFormat="1" applyFill="1" applyBorder="1" applyProtection="1">
      <protection locked="0"/>
    </xf>
    <xf numFmtId="165" fontId="0" fillId="0" borderId="70" xfId="0" applyNumberFormat="1" applyBorder="1" applyProtection="1">
      <protection locked="0"/>
    </xf>
    <xf numFmtId="165" fontId="0" fillId="0" borderId="55" xfId="0" applyNumberFormat="1" applyBorder="1" applyProtection="1">
      <protection locked="0"/>
    </xf>
    <xf numFmtId="165" fontId="0" fillId="0" borderId="66" xfId="0" applyNumberFormat="1" applyBorder="1" applyProtection="1">
      <protection locked="0"/>
    </xf>
    <xf numFmtId="0" fontId="0" fillId="15" borderId="25" xfId="0" applyFill="1" applyBorder="1" applyAlignment="1" applyProtection="1">
      <alignment horizontal="center"/>
      <protection locked="0"/>
    </xf>
    <xf numFmtId="0" fontId="0" fillId="0" borderId="65" xfId="0" applyBorder="1" applyProtection="1">
      <protection locked="0"/>
    </xf>
    <xf numFmtId="0" fontId="0" fillId="15" borderId="25" xfId="0" applyFill="1" applyBorder="1" applyAlignment="1" applyProtection="1">
      <alignment horizontal="center" vertical="center"/>
      <protection locked="0"/>
    </xf>
    <xf numFmtId="0" fontId="0" fillId="15" borderId="25" xfId="0" applyFill="1" applyBorder="1" applyProtection="1">
      <protection locked="0"/>
    </xf>
    <xf numFmtId="0" fontId="0" fillId="0" borderId="79" xfId="0" applyBorder="1" applyProtection="1">
      <protection locked="0"/>
    </xf>
    <xf numFmtId="0" fontId="0" fillId="0" borderId="63" xfId="0" applyBorder="1" applyProtection="1">
      <protection locked="0"/>
    </xf>
    <xf numFmtId="165" fontId="0" fillId="0" borderId="75" xfId="0" applyNumberFormat="1" applyBorder="1" applyProtection="1">
      <protection locked="0"/>
    </xf>
    <xf numFmtId="165" fontId="0" fillId="0" borderId="73" xfId="0" applyNumberFormat="1" applyBorder="1" applyProtection="1">
      <protection locked="0"/>
    </xf>
    <xf numFmtId="165" fontId="9" fillId="0" borderId="32" xfId="0" applyNumberFormat="1" applyFont="1" applyBorder="1" applyProtection="1">
      <protection locked="0"/>
    </xf>
    <xf numFmtId="165" fontId="0" fillId="0" borderId="32" xfId="0" applyNumberFormat="1" applyBorder="1" applyProtection="1">
      <protection locked="0"/>
    </xf>
    <xf numFmtId="165" fontId="0" fillId="0" borderId="32" xfId="0" applyNumberFormat="1" applyBorder="1" applyAlignment="1" applyProtection="1">
      <alignment vertical="center"/>
      <protection locked="0"/>
    </xf>
    <xf numFmtId="165" fontId="0" fillId="0" borderId="31" xfId="0" applyNumberFormat="1" applyBorder="1" applyProtection="1">
      <protection locked="0"/>
    </xf>
    <xf numFmtId="165" fontId="0" fillId="0" borderId="99" xfId="0" applyNumberFormat="1" applyBorder="1" applyProtection="1">
      <protection locked="0"/>
    </xf>
    <xf numFmtId="165" fontId="0" fillId="0" borderId="101" xfId="0" applyNumberFormat="1" applyBorder="1" applyProtection="1">
      <protection locked="0"/>
    </xf>
    <xf numFmtId="165" fontId="0" fillId="0" borderId="33" xfId="0" applyNumberFormat="1" applyBorder="1" applyProtection="1">
      <protection locked="0"/>
    </xf>
    <xf numFmtId="165" fontId="0" fillId="0" borderId="102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15" borderId="0" xfId="0" applyFill="1" applyProtection="1">
      <protection locked="0"/>
    </xf>
    <xf numFmtId="165" fontId="0" fillId="8" borderId="0" xfId="0" applyNumberFormat="1" applyFill="1" applyProtection="1">
      <protection locked="0"/>
    </xf>
    <xf numFmtId="0" fontId="0" fillId="15" borderId="26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165" fontId="0" fillId="15" borderId="0" xfId="0" applyNumberFormat="1" applyFill="1"/>
    <xf numFmtId="165" fontId="0" fillId="8" borderId="0" xfId="0" applyNumberFormat="1" applyFill="1"/>
    <xf numFmtId="165" fontId="1" fillId="12" borderId="0" xfId="0" applyNumberFormat="1" applyFont="1" applyFill="1"/>
    <xf numFmtId="0" fontId="0" fillId="13" borderId="72" xfId="0" applyFill="1" applyBorder="1" applyAlignment="1">
      <alignment horizontal="center" vertical="center"/>
    </xf>
    <xf numFmtId="0" fontId="0" fillId="13" borderId="56" xfId="0" applyFill="1" applyBorder="1" applyAlignment="1">
      <alignment horizontal="center" vertical="center"/>
    </xf>
    <xf numFmtId="0" fontId="0" fillId="13" borderId="74" xfId="0" applyFill="1" applyBorder="1" applyAlignment="1">
      <alignment horizontal="center" vertical="center"/>
    </xf>
    <xf numFmtId="165" fontId="0" fillId="4" borderId="76" xfId="0" applyNumberFormat="1" applyFill="1" applyBorder="1"/>
    <xf numFmtId="0" fontId="0" fillId="23" borderId="88" xfId="0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23" borderId="89" xfId="0" applyFill="1" applyBorder="1" applyAlignment="1">
      <alignment horizontal="center"/>
    </xf>
    <xf numFmtId="165" fontId="0" fillId="4" borderId="68" xfId="0" applyNumberFormat="1" applyFill="1" applyBorder="1"/>
    <xf numFmtId="165" fontId="0" fillId="4" borderId="92" xfId="0" applyNumberFormat="1" applyFill="1" applyBorder="1"/>
    <xf numFmtId="165" fontId="0" fillId="4" borderId="94" xfId="0" applyNumberFormat="1" applyFill="1" applyBorder="1"/>
    <xf numFmtId="165" fontId="0" fillId="4" borderId="71" xfId="0" applyNumberFormat="1" applyFill="1" applyBorder="1"/>
    <xf numFmtId="165" fontId="0" fillId="4" borderId="67" xfId="0" applyNumberFormat="1" applyFill="1" applyBorder="1"/>
    <xf numFmtId="0" fontId="0" fillId="23" borderId="88" xfId="0" applyFill="1" applyBorder="1"/>
    <xf numFmtId="0" fontId="0" fillId="23" borderId="14" xfId="0" applyFill="1" applyBorder="1"/>
    <xf numFmtId="0" fontId="0" fillId="23" borderId="14" xfId="0" applyFill="1" applyBorder="1" applyAlignment="1">
      <alignment horizontal="center" vertical="center"/>
    </xf>
    <xf numFmtId="0" fontId="0" fillId="23" borderId="89" xfId="0" applyFill="1" applyBorder="1" applyAlignment="1">
      <alignment horizontal="center" vertical="center"/>
    </xf>
    <xf numFmtId="0" fontId="0" fillId="23" borderId="31" xfId="0" applyFill="1" applyBorder="1"/>
    <xf numFmtId="0" fontId="0" fillId="23" borderId="32" xfId="0" applyFill="1" applyBorder="1"/>
    <xf numFmtId="0" fontId="0" fillId="23" borderId="33" xfId="0" applyFill="1" applyBorder="1"/>
    <xf numFmtId="165" fontId="0" fillId="4" borderId="44" xfId="0" applyNumberFormat="1" applyFill="1" applyBorder="1"/>
    <xf numFmtId="165" fontId="0" fillId="4" borderId="103" xfId="0" applyNumberFormat="1" applyFill="1" applyBorder="1"/>
    <xf numFmtId="16" fontId="0" fillId="0" borderId="5" xfId="0" applyNumberFormat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1" fillId="0" borderId="24" xfId="0" applyFont="1" applyBorder="1" applyProtection="1">
      <protection locked="0"/>
    </xf>
    <xf numFmtId="0" fontId="1" fillId="0" borderId="2" xfId="0" applyFont="1" applyBorder="1" applyProtection="1">
      <protection locked="0"/>
    </xf>
    <xf numFmtId="165" fontId="9" fillId="2" borderId="32" xfId="0" applyNumberFormat="1" applyFont="1" applyFill="1" applyBorder="1" applyProtection="1">
      <protection locked="0"/>
    </xf>
    <xf numFmtId="0" fontId="5" fillId="0" borderId="0" xfId="0" applyFont="1" applyProtection="1">
      <protection locked="0"/>
    </xf>
    <xf numFmtId="165" fontId="9" fillId="0" borderId="37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0" fontId="25" fillId="0" borderId="0" xfId="0" applyFont="1" applyProtection="1">
      <protection locked="0"/>
    </xf>
    <xf numFmtId="165" fontId="9" fillId="0" borderId="39" xfId="0" applyNumberFormat="1" applyFont="1" applyBorder="1" applyProtection="1">
      <protection locked="0"/>
    </xf>
    <xf numFmtId="0" fontId="5" fillId="3" borderId="29" xfId="0" applyFont="1" applyFill="1" applyBorder="1" applyProtection="1">
      <protection locked="0"/>
    </xf>
    <xf numFmtId="0" fontId="25" fillId="0" borderId="0" xfId="0" applyFont="1" applyAlignment="1" applyProtection="1">
      <alignment vertical="center"/>
      <protection locked="0"/>
    </xf>
    <xf numFmtId="165" fontId="7" fillId="3" borderId="29" xfId="0" applyNumberFormat="1" applyFont="1" applyFill="1" applyBorder="1" applyProtection="1">
      <protection locked="0"/>
    </xf>
    <xf numFmtId="165" fontId="9" fillId="2" borderId="39" xfId="0" applyNumberFormat="1" applyFont="1" applyFill="1" applyBorder="1" applyProtection="1">
      <protection locked="0"/>
    </xf>
    <xf numFmtId="0" fontId="8" fillId="3" borderId="2" xfId="0" applyFont="1" applyFill="1" applyBorder="1" applyAlignment="1" applyProtection="1">
      <alignment vertical="center"/>
      <protection locked="0"/>
    </xf>
    <xf numFmtId="0" fontId="8" fillId="0" borderId="29" xfId="0" applyFont="1" applyBorder="1" applyAlignment="1" applyProtection="1">
      <alignment vertical="center"/>
      <protection locked="0"/>
    </xf>
    <xf numFmtId="165" fontId="5" fillId="4" borderId="29" xfId="0" applyNumberFormat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5" fontId="11" fillId="5" borderId="5" xfId="0" applyNumberFormat="1" applyFont="1" applyFill="1" applyBorder="1" applyProtection="1">
      <protection locked="0"/>
    </xf>
    <xf numFmtId="165" fontId="9" fillId="5" borderId="32" xfId="0" applyNumberFormat="1" applyFont="1" applyFill="1" applyBorder="1" applyAlignment="1" applyProtection="1">
      <alignment vertical="center"/>
      <protection locked="0"/>
    </xf>
    <xf numFmtId="165" fontId="11" fillId="5" borderId="32" xfId="0" applyNumberFormat="1" applyFont="1" applyFill="1" applyBorder="1" applyAlignment="1" applyProtection="1">
      <alignment vertical="center"/>
      <protection locked="0"/>
    </xf>
    <xf numFmtId="0" fontId="16" fillId="0" borderId="0" xfId="1" applyAlignment="1" applyProtection="1">
      <protection locked="0"/>
    </xf>
    <xf numFmtId="165" fontId="11" fillId="0" borderId="32" xfId="0" applyNumberFormat="1" applyFont="1" applyBorder="1" applyAlignment="1" applyProtection="1">
      <alignment vertical="center"/>
      <protection locked="0"/>
    </xf>
    <xf numFmtId="165" fontId="5" fillId="2" borderId="32" xfId="0" applyNumberFormat="1" applyFont="1" applyFill="1" applyBorder="1" applyAlignment="1" applyProtection="1">
      <alignment vertical="center"/>
      <protection locked="0"/>
    </xf>
    <xf numFmtId="165" fontId="12" fillId="5" borderId="121" xfId="0" applyNumberFormat="1" applyFont="1" applyFill="1" applyBorder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165" fontId="0" fillId="5" borderId="37" xfId="0" applyNumberFormat="1" applyFill="1" applyBorder="1" applyAlignment="1" applyProtection="1">
      <alignment vertical="center"/>
      <protection locked="0"/>
    </xf>
    <xf numFmtId="165" fontId="10" fillId="5" borderId="37" xfId="0" applyNumberFormat="1" applyFont="1" applyFill="1" applyBorder="1" applyAlignment="1" applyProtection="1">
      <alignment vertical="center"/>
      <protection locked="0"/>
    </xf>
    <xf numFmtId="165" fontId="0" fillId="0" borderId="41" xfId="0" applyNumberFormat="1" applyBorder="1" applyAlignment="1" applyProtection="1">
      <alignment vertical="center"/>
      <protection locked="0"/>
    </xf>
    <xf numFmtId="165" fontId="11" fillId="5" borderId="33" xfId="0" applyNumberFormat="1" applyFont="1" applyFill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7" fillId="0" borderId="0" xfId="0" applyFont="1" applyProtection="1">
      <protection locked="0"/>
    </xf>
    <xf numFmtId="165" fontId="28" fillId="5" borderId="32" xfId="0" applyNumberFormat="1" applyFont="1" applyFill="1" applyBorder="1" applyAlignment="1" applyProtection="1">
      <alignment vertical="center"/>
      <protection locked="0"/>
    </xf>
    <xf numFmtId="0" fontId="28" fillId="0" borderId="0" xfId="0" applyFont="1" applyProtection="1">
      <protection locked="0"/>
    </xf>
    <xf numFmtId="165" fontId="21" fillId="5" borderId="32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Protection="1">
      <protection locked="0"/>
    </xf>
    <xf numFmtId="0" fontId="2" fillId="0" borderId="0" xfId="0" applyFont="1" applyProtection="1">
      <protection locked="0"/>
    </xf>
    <xf numFmtId="165" fontId="8" fillId="0" borderId="32" xfId="0" applyNumberFormat="1" applyFont="1" applyBorder="1" applyAlignment="1" applyProtection="1">
      <alignment vertical="center"/>
      <protection locked="0"/>
    </xf>
    <xf numFmtId="165" fontId="1" fillId="5" borderId="32" xfId="0" applyNumberFormat="1" applyFont="1" applyFill="1" applyBorder="1" applyAlignment="1" applyProtection="1">
      <alignment vertical="center"/>
      <protection locked="0"/>
    </xf>
    <xf numFmtId="165" fontId="0" fillId="2" borderId="32" xfId="0" applyNumberForma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2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0" fillId="0" borderId="5" xfId="0" applyBorder="1"/>
    <xf numFmtId="0" fontId="0" fillId="0" borderId="4" xfId="0" applyBorder="1"/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7" xfId="0" applyFont="1" applyBorder="1"/>
    <xf numFmtId="0" fontId="1" fillId="0" borderId="24" xfId="0" applyFont="1" applyBorder="1"/>
    <xf numFmtId="0" fontId="1" fillId="0" borderId="2" xfId="0" applyFont="1" applyBorder="1"/>
    <xf numFmtId="0" fontId="1" fillId="0" borderId="29" xfId="0" applyFont="1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29" xfId="0" applyBorder="1"/>
    <xf numFmtId="0" fontId="8" fillId="0" borderId="27" xfId="0" applyFont="1" applyBorder="1"/>
    <xf numFmtId="0" fontId="8" fillId="0" borderId="24" xfId="0" applyFont="1" applyBorder="1"/>
    <xf numFmtId="0" fontId="25" fillId="0" borderId="0" xfId="0" applyFont="1" applyAlignment="1">
      <alignment horizontal="center"/>
    </xf>
    <xf numFmtId="0" fontId="3" fillId="0" borderId="1" xfId="0" applyFont="1" applyBorder="1"/>
    <xf numFmtId="0" fontId="1" fillId="13" borderId="12" xfId="0" applyFont="1" applyFill="1" applyBorder="1"/>
    <xf numFmtId="1" fontId="1" fillId="13" borderId="12" xfId="0" applyNumberFormat="1" applyFont="1" applyFill="1" applyBorder="1"/>
    <xf numFmtId="0" fontId="1" fillId="0" borderId="12" xfId="0" applyFont="1" applyBorder="1"/>
    <xf numFmtId="0" fontId="1" fillId="0" borderId="4" xfId="0" applyFont="1" applyBorder="1"/>
    <xf numFmtId="0" fontId="1" fillId="0" borderId="5" xfId="0" applyFont="1" applyBorder="1"/>
    <xf numFmtId="0" fontId="0" fillId="13" borderId="7" xfId="0" applyFill="1" applyBorder="1"/>
    <xf numFmtId="0" fontId="1" fillId="13" borderId="38" xfId="0" applyFont="1" applyFill="1" applyBorder="1"/>
    <xf numFmtId="0" fontId="1" fillId="0" borderId="38" xfId="0" applyFont="1" applyBorder="1"/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1" fontId="0" fillId="0" borderId="12" xfId="0" applyNumberFormat="1" applyBorder="1"/>
    <xf numFmtId="1" fontId="0" fillId="0" borderId="38" xfId="0" applyNumberFormat="1" applyBorder="1"/>
    <xf numFmtId="0" fontId="0" fillId="0" borderId="49" xfId="0" applyBorder="1"/>
    <xf numFmtId="0" fontId="0" fillId="0" borderId="45" xfId="0" applyBorder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4" borderId="28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8" xfId="0" applyBorder="1"/>
    <xf numFmtId="0" fontId="0" fillId="0" borderId="23" xfId="0" applyBorder="1"/>
    <xf numFmtId="0" fontId="2" fillId="2" borderId="27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22" xfId="0" applyFont="1" applyBorder="1"/>
    <xf numFmtId="0" fontId="11" fillId="0" borderId="4" xfId="0" applyFont="1" applyBorder="1"/>
    <xf numFmtId="0" fontId="0" fillId="8" borderId="1" xfId="0" applyFill="1" applyBorder="1"/>
    <xf numFmtId="0" fontId="0" fillId="8" borderId="3" xfId="0" applyFill="1" applyBorder="1"/>
    <xf numFmtId="0" fontId="0" fillId="8" borderId="12" xfId="0" applyFill="1" applyBorder="1"/>
    <xf numFmtId="0" fontId="9" fillId="13" borderId="11" xfId="0" applyFont="1" applyFill="1" applyBorder="1" applyAlignment="1">
      <alignment horizontal="center"/>
    </xf>
    <xf numFmtId="0" fontId="11" fillId="13" borderId="12" xfId="0" applyFont="1" applyFill="1" applyBorder="1"/>
    <xf numFmtId="0" fontId="1" fillId="8" borderId="12" xfId="0" applyFont="1" applyFill="1" applyBorder="1"/>
    <xf numFmtId="0" fontId="11" fillId="8" borderId="11" xfId="0" applyFont="1" applyFill="1" applyBorder="1"/>
    <xf numFmtId="0" fontId="0" fillId="8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0" fontId="8" fillId="2" borderId="57" xfId="0" applyFont="1" applyFill="1" applyBorder="1"/>
    <xf numFmtId="0" fontId="8" fillId="2" borderId="86" xfId="0" applyFont="1" applyFill="1" applyBorder="1"/>
    <xf numFmtId="0" fontId="5" fillId="2" borderId="61" xfId="0" applyFont="1" applyFill="1" applyBorder="1"/>
    <xf numFmtId="0" fontId="8" fillId="2" borderId="12" xfId="0" applyFont="1" applyFill="1" applyBorder="1"/>
    <xf numFmtId="0" fontId="1" fillId="12" borderId="61" xfId="0" applyFont="1" applyFill="1" applyBorder="1" applyAlignment="1">
      <alignment horizontal="right" vertical="center"/>
    </xf>
    <xf numFmtId="0" fontId="1" fillId="12" borderId="12" xfId="0" applyFont="1" applyFill="1" applyBorder="1"/>
    <xf numFmtId="0" fontId="0" fillId="2" borderId="61" xfId="0" applyFill="1" applyBorder="1" applyAlignment="1">
      <alignment horizontal="right" vertical="center"/>
    </xf>
    <xf numFmtId="0" fontId="1" fillId="2" borderId="12" xfId="0" applyFont="1" applyFill="1" applyBorder="1"/>
    <xf numFmtId="0" fontId="1" fillId="22" borderId="61" xfId="0" applyFont="1" applyFill="1" applyBorder="1" applyAlignment="1">
      <alignment horizontal="left" vertical="center"/>
    </xf>
    <xf numFmtId="0" fontId="1" fillId="22" borderId="12" xfId="0" applyFont="1" applyFill="1" applyBorder="1"/>
    <xf numFmtId="0" fontId="0" fillId="0" borderId="61" xfId="0" applyBorder="1" applyAlignment="1">
      <alignment horizontal="right" vertical="center"/>
    </xf>
    <xf numFmtId="0" fontId="8" fillId="2" borderId="61" xfId="0" applyFont="1" applyFill="1" applyBorder="1"/>
    <xf numFmtId="0" fontId="1" fillId="0" borderId="61" xfId="0" applyFont="1" applyBorder="1" applyAlignment="1">
      <alignment horizontal="left" vertical="center"/>
    </xf>
    <xf numFmtId="0" fontId="12" fillId="2" borderId="59" xfId="0" applyFont="1" applyFill="1" applyBorder="1"/>
    <xf numFmtId="0" fontId="10" fillId="2" borderId="120" xfId="0" applyFont="1" applyFill="1" applyBorder="1"/>
    <xf numFmtId="0" fontId="0" fillId="13" borderId="28" xfId="0" applyFill="1" applyBorder="1"/>
    <xf numFmtId="0" fontId="1" fillId="13" borderId="29" xfId="0" applyFont="1" applyFill="1" applyBorder="1"/>
    <xf numFmtId="0" fontId="1" fillId="22" borderId="28" xfId="0" applyFont="1" applyFill="1" applyBorder="1" applyAlignment="1">
      <alignment vertical="center"/>
    </xf>
    <xf numFmtId="0" fontId="1" fillId="22" borderId="29" xfId="0" applyFont="1" applyFill="1" applyBorder="1"/>
    <xf numFmtId="0" fontId="0" fillId="22" borderId="28" xfId="0" applyFill="1" applyBorder="1"/>
    <xf numFmtId="0" fontId="5" fillId="13" borderId="1" xfId="0" applyFont="1" applyFill="1" applyBorder="1"/>
    <xf numFmtId="0" fontId="8" fillId="13" borderId="2" xfId="0" applyFont="1" applyFill="1" applyBorder="1"/>
    <xf numFmtId="0" fontId="5" fillId="13" borderId="11" xfId="0" applyFont="1" applyFill="1" applyBorder="1" applyAlignment="1">
      <alignment horizontal="center"/>
    </xf>
    <xf numFmtId="0" fontId="8" fillId="13" borderId="12" xfId="0" applyFont="1" applyFill="1" applyBorder="1"/>
    <xf numFmtId="0" fontId="11" fillId="13" borderId="8" xfId="0" applyFont="1" applyFill="1" applyBorder="1" applyAlignment="1">
      <alignment horizontal="center"/>
    </xf>
    <xf numFmtId="0" fontId="11" fillId="13" borderId="9" xfId="0" applyFont="1" applyFill="1" applyBorder="1"/>
    <xf numFmtId="0" fontId="5" fillId="1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28" fillId="2" borderId="11" xfId="0" applyFont="1" applyFill="1" applyBorder="1"/>
    <xf numFmtId="0" fontId="28" fillId="2" borderId="12" xfId="0" applyFont="1" applyFill="1" applyBorder="1"/>
    <xf numFmtId="0" fontId="11" fillId="13" borderId="11" xfId="0" applyFont="1" applyFill="1" applyBorder="1"/>
    <xf numFmtId="0" fontId="11" fillId="0" borderId="11" xfId="0" applyFont="1" applyBorder="1"/>
    <xf numFmtId="0" fontId="9" fillId="13" borderId="11" xfId="0" applyFont="1" applyFill="1" applyBorder="1"/>
    <xf numFmtId="0" fontId="9" fillId="13" borderId="11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21" fillId="13" borderId="11" xfId="0" applyFont="1" applyFill="1" applyBorder="1" applyAlignment="1">
      <alignment horizontal="center" vertical="center"/>
    </xf>
    <xf numFmtId="0" fontId="21" fillId="13" borderId="12" xfId="0" applyFont="1" applyFill="1" applyBorder="1"/>
    <xf numFmtId="0" fontId="0" fillId="13" borderId="11" xfId="0" applyFill="1" applyBorder="1" applyAlignment="1">
      <alignment horizontal="left" vertical="center"/>
    </xf>
    <xf numFmtId="0" fontId="21" fillId="2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11" fillId="2" borderId="11" xfId="0" applyFont="1" applyFill="1" applyBorder="1"/>
    <xf numFmtId="0" fontId="11" fillId="13" borderId="11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9" fillId="13" borderId="12" xfId="0" applyFont="1" applyFill="1" applyBorder="1"/>
    <xf numFmtId="0" fontId="1" fillId="13" borderId="11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2" borderId="12" xfId="0" applyFill="1" applyBorder="1"/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23" fillId="0" borderId="11" xfId="0" applyFont="1" applyBorder="1"/>
    <xf numFmtId="0" fontId="23" fillId="0" borderId="12" xfId="0" applyFont="1" applyBorder="1"/>
    <xf numFmtId="0" fontId="4" fillId="0" borderId="11" xfId="0" applyFont="1" applyBorder="1"/>
    <xf numFmtId="0" fontId="4" fillId="0" borderId="12" xfId="0" applyFont="1" applyBorder="1"/>
    <xf numFmtId="0" fontId="18" fillId="22" borderId="11" xfId="0" applyFont="1" applyFill="1" applyBorder="1"/>
    <xf numFmtId="0" fontId="18" fillId="22" borderId="12" xfId="0" applyFont="1" applyFill="1" applyBorder="1"/>
    <xf numFmtId="0" fontId="4" fillId="0" borderId="7" xfId="0" applyFont="1" applyBorder="1"/>
    <xf numFmtId="0" fontId="4" fillId="0" borderId="38" xfId="0" applyFont="1" applyBorder="1"/>
    <xf numFmtId="165" fontId="6" fillId="0" borderId="33" xfId="0" applyNumberFormat="1" applyFont="1" applyBorder="1"/>
    <xf numFmtId="165" fontId="8" fillId="0" borderId="84" xfId="0" applyNumberFormat="1" applyFont="1" applyBorder="1"/>
    <xf numFmtId="165" fontId="25" fillId="0" borderId="0" xfId="0" applyNumberFormat="1" applyFont="1"/>
    <xf numFmtId="165" fontId="9" fillId="0" borderId="0" xfId="0" applyNumberFormat="1" applyFont="1"/>
    <xf numFmtId="0" fontId="5" fillId="0" borderId="0" xfId="0" applyFont="1"/>
    <xf numFmtId="165" fontId="6" fillId="0" borderId="0" xfId="0" applyNumberFormat="1" applyFont="1"/>
    <xf numFmtId="165" fontId="9" fillId="0" borderId="31" xfId="0" applyNumberFormat="1" applyFont="1" applyBorder="1"/>
    <xf numFmtId="165" fontId="13" fillId="13" borderId="32" xfId="0" applyNumberFormat="1" applyFont="1" applyFill="1" applyBorder="1"/>
    <xf numFmtId="165" fontId="8" fillId="0" borderId="33" xfId="0" applyNumberFormat="1" applyFont="1" applyBorder="1"/>
    <xf numFmtId="165" fontId="9" fillId="0" borderId="32" xfId="0" applyNumberFormat="1" applyFont="1" applyBorder="1"/>
    <xf numFmtId="165" fontId="9" fillId="0" borderId="83" xfId="0" applyNumberFormat="1" applyFont="1" applyBorder="1"/>
    <xf numFmtId="165" fontId="5" fillId="13" borderId="39" xfId="0" applyNumberFormat="1" applyFont="1" applyFill="1" applyBorder="1"/>
    <xf numFmtId="165" fontId="9" fillId="0" borderId="39" xfId="0" applyNumberFormat="1" applyFont="1" applyBorder="1"/>
    <xf numFmtId="165" fontId="9" fillId="0" borderId="41" xfId="0" applyNumberFormat="1" applyFont="1" applyBorder="1"/>
    <xf numFmtId="0" fontId="5" fillId="3" borderId="29" xfId="0" applyFont="1" applyFill="1" applyBorder="1"/>
    <xf numFmtId="165" fontId="6" fillId="0" borderId="32" xfId="0" applyNumberFormat="1" applyFont="1" applyBorder="1"/>
    <xf numFmtId="165" fontId="5" fillId="0" borderId="0" xfId="0" applyNumberFormat="1" applyFont="1"/>
    <xf numFmtId="165" fontId="5" fillId="0" borderId="39" xfId="0" applyNumberFormat="1" applyFont="1" applyBorder="1"/>
    <xf numFmtId="165" fontId="6" fillId="0" borderId="45" xfId="0" applyNumberFormat="1" applyFont="1" applyBorder="1"/>
    <xf numFmtId="165" fontId="25" fillId="2" borderId="0" xfId="0" applyNumberFormat="1" applyFont="1" applyFill="1" applyAlignment="1">
      <alignment vertical="center"/>
    </xf>
    <xf numFmtId="165" fontId="6" fillId="0" borderId="23" xfId="0" applyNumberFormat="1" applyFont="1" applyBorder="1"/>
    <xf numFmtId="165" fontId="6" fillId="0" borderId="24" xfId="0" applyNumberFormat="1" applyFont="1" applyBorder="1"/>
    <xf numFmtId="165" fontId="7" fillId="2" borderId="24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165" fontId="0" fillId="8" borderId="31" xfId="0" applyNumberFormat="1" applyFill="1" applyBorder="1"/>
    <xf numFmtId="165" fontId="0" fillId="8" borderId="32" xfId="0" applyNumberFormat="1" applyFill="1" applyBorder="1" applyAlignment="1">
      <alignment vertical="center"/>
    </xf>
    <xf numFmtId="165" fontId="13" fillId="13" borderId="32" xfId="0" applyNumberFormat="1" applyFont="1" applyFill="1" applyBorder="1" applyAlignment="1">
      <alignment vertical="center"/>
    </xf>
    <xf numFmtId="165" fontId="5" fillId="13" borderId="32" xfId="0" applyNumberFormat="1" applyFont="1" applyFill="1" applyBorder="1" applyAlignment="1">
      <alignment vertical="center"/>
    </xf>
    <xf numFmtId="165" fontId="0" fillId="0" borderId="32" xfId="0" applyNumberFormat="1" applyBorder="1" applyAlignment="1">
      <alignment vertical="center"/>
    </xf>
    <xf numFmtId="165" fontId="0" fillId="0" borderId="39" xfId="0" applyNumberFormat="1" applyBorder="1" applyAlignment="1">
      <alignment vertical="center"/>
    </xf>
    <xf numFmtId="165" fontId="5" fillId="2" borderId="118" xfId="0" applyNumberFormat="1" applyFont="1" applyFill="1" applyBorder="1" applyAlignment="1">
      <alignment vertical="center"/>
    </xf>
    <xf numFmtId="165" fontId="11" fillId="0" borderId="32" xfId="0" applyNumberFormat="1" applyFont="1" applyBorder="1" applyAlignment="1">
      <alignment vertical="center"/>
    </xf>
    <xf numFmtId="165" fontId="5" fillId="2" borderId="32" xfId="0" applyNumberFormat="1" applyFont="1" applyFill="1" applyBorder="1" applyAlignment="1">
      <alignment vertical="center"/>
    </xf>
    <xf numFmtId="165" fontId="8" fillId="2" borderId="32" xfId="0" applyNumberFormat="1" applyFont="1" applyFill="1" applyBorder="1" applyAlignment="1">
      <alignment vertical="center"/>
    </xf>
    <xf numFmtId="165" fontId="11" fillId="22" borderId="32" xfId="0" applyNumberFormat="1" applyFont="1" applyFill="1" applyBorder="1" applyAlignment="1">
      <alignment vertical="center"/>
    </xf>
    <xf numFmtId="165" fontId="19" fillId="9" borderId="32" xfId="0" applyNumberFormat="1" applyFont="1" applyFill="1" applyBorder="1" applyAlignment="1">
      <alignment vertical="center"/>
    </xf>
    <xf numFmtId="165" fontId="0" fillId="0" borderId="37" xfId="0" applyNumberFormat="1" applyBorder="1" applyAlignment="1">
      <alignment vertical="center"/>
    </xf>
    <xf numFmtId="165" fontId="0" fillId="2" borderId="37" xfId="0" applyNumberFormat="1" applyFill="1" applyBorder="1" applyAlignment="1">
      <alignment vertical="center"/>
    </xf>
    <xf numFmtId="165" fontId="10" fillId="22" borderId="37" xfId="0" applyNumberFormat="1" applyFont="1" applyFill="1" applyBorder="1" applyAlignment="1">
      <alignment vertical="center"/>
    </xf>
    <xf numFmtId="165" fontId="5" fillId="13" borderId="31" xfId="0" applyNumberFormat="1" applyFont="1" applyFill="1" applyBorder="1" applyAlignment="1">
      <alignment vertical="center"/>
    </xf>
    <xf numFmtId="165" fontId="8" fillId="13" borderId="32" xfId="0" applyNumberFormat="1" applyFont="1" applyFill="1" applyBorder="1" applyAlignment="1">
      <alignment vertical="center"/>
    </xf>
    <xf numFmtId="165" fontId="11" fillId="13" borderId="32" xfId="0" applyNumberFormat="1" applyFont="1" applyFill="1" applyBorder="1" applyAlignment="1">
      <alignment vertical="center"/>
    </xf>
    <xf numFmtId="165" fontId="5" fillId="0" borderId="32" xfId="0" applyNumberFormat="1" applyFont="1" applyBorder="1" applyAlignment="1">
      <alignment vertical="center"/>
    </xf>
    <xf numFmtId="165" fontId="8" fillId="0" borderId="32" xfId="0" applyNumberFormat="1" applyFont="1" applyBorder="1" applyAlignment="1">
      <alignment vertical="center"/>
    </xf>
    <xf numFmtId="165" fontId="1" fillId="0" borderId="32" xfId="0" applyNumberFormat="1" applyFont="1" applyBorder="1" applyAlignment="1">
      <alignment vertical="center"/>
    </xf>
    <xf numFmtId="165" fontId="0" fillId="2" borderId="32" xfId="0" applyNumberFormat="1" applyFill="1" applyBorder="1" applyAlignment="1">
      <alignment vertical="center"/>
    </xf>
    <xf numFmtId="165" fontId="10" fillId="0" borderId="32" xfId="0" applyNumberFormat="1" applyFont="1" applyBorder="1" applyAlignment="1">
      <alignment vertical="center"/>
    </xf>
    <xf numFmtId="165" fontId="23" fillId="0" borderId="12" xfId="0" applyNumberFormat="1" applyFont="1" applyBorder="1"/>
    <xf numFmtId="165" fontId="4" fillId="0" borderId="12" xfId="0" applyNumberFormat="1" applyFont="1" applyBorder="1"/>
    <xf numFmtId="165" fontId="18" fillId="22" borderId="12" xfId="0" applyNumberFormat="1" applyFont="1" applyFill="1" applyBorder="1"/>
    <xf numFmtId="165" fontId="4" fillId="0" borderId="38" xfId="0" applyNumberFormat="1" applyFont="1" applyBorder="1"/>
    <xf numFmtId="0" fontId="0" fillId="0" borderId="43" xfId="0" applyBorder="1"/>
    <xf numFmtId="0" fontId="0" fillId="0" borderId="42" xfId="0" applyBorder="1"/>
    <xf numFmtId="165" fontId="0" fillId="0" borderId="129" xfId="0" applyNumberFormat="1" applyBorder="1"/>
    <xf numFmtId="165" fontId="0" fillId="0" borderId="20" xfId="0" applyNumberFormat="1" applyBorder="1"/>
    <xf numFmtId="165" fontId="0" fillId="0" borderId="21" xfId="0" applyNumberFormat="1" applyBorder="1"/>
    <xf numFmtId="0" fontId="30" fillId="0" borderId="63" xfId="0" applyFont="1" applyBorder="1" applyAlignment="1">
      <alignment horizontal="left" indent="5"/>
    </xf>
    <xf numFmtId="0" fontId="0" fillId="0" borderId="134" xfId="0" applyBorder="1"/>
    <xf numFmtId="0" fontId="0" fillId="0" borderId="63" xfId="0" applyBorder="1" applyAlignment="1">
      <alignment horizontal="left" indent="5"/>
    </xf>
    <xf numFmtId="0" fontId="0" fillId="0" borderId="134" xfId="0" applyBorder="1" applyAlignment="1">
      <alignment horizontal="left" indent="5"/>
    </xf>
    <xf numFmtId="0" fontId="0" fillId="0" borderId="134" xfId="0" quotePrefix="1" applyBorder="1" applyAlignment="1">
      <alignment horizontal="left" indent="5"/>
    </xf>
    <xf numFmtId="0" fontId="16" fillId="0" borderId="134" xfId="1" applyBorder="1" applyAlignment="1" applyProtection="1">
      <alignment horizontal="left" indent="5"/>
    </xf>
    <xf numFmtId="0" fontId="0" fillId="0" borderId="135" xfId="0" applyBorder="1" applyAlignment="1">
      <alignment horizontal="left" indent="5"/>
    </xf>
    <xf numFmtId="0" fontId="0" fillId="0" borderId="95" xfId="0" applyBorder="1" applyAlignment="1">
      <alignment horizontal="center" vertical="center"/>
    </xf>
    <xf numFmtId="0" fontId="0" fillId="0" borderId="136" xfId="0" applyBorder="1"/>
    <xf numFmtId="0" fontId="3" fillId="17" borderId="63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17" borderId="134" xfId="0" applyFont="1" applyFill="1" applyBorder="1" applyAlignment="1">
      <alignment horizontal="center"/>
    </xf>
    <xf numFmtId="0" fontId="30" fillId="17" borderId="63" xfId="0" applyFont="1" applyFill="1" applyBorder="1" applyAlignment="1">
      <alignment horizontal="left" indent="5"/>
    </xf>
    <xf numFmtId="0" fontId="0" fillId="17" borderId="0" xfId="0" applyFill="1" applyAlignment="1">
      <alignment horizontal="center" vertical="center"/>
    </xf>
    <xf numFmtId="0" fontId="0" fillId="17" borderId="134" xfId="0" applyFill="1" applyBorder="1"/>
    <xf numFmtId="0" fontId="0" fillId="17" borderId="63" xfId="0" applyFill="1" applyBorder="1" applyAlignment="1">
      <alignment horizontal="left" indent="5"/>
    </xf>
    <xf numFmtId="0" fontId="0" fillId="17" borderId="134" xfId="0" applyFill="1" applyBorder="1" applyAlignment="1">
      <alignment horizontal="left" indent="5"/>
    </xf>
    <xf numFmtId="0" fontId="0" fillId="17" borderId="134" xfId="0" quotePrefix="1" applyFill="1" applyBorder="1" applyAlignment="1">
      <alignment horizontal="left" indent="5"/>
    </xf>
    <xf numFmtId="0" fontId="16" fillId="17" borderId="134" xfId="1" applyFill="1" applyBorder="1" applyAlignment="1" applyProtection="1">
      <alignment horizontal="left" indent="5"/>
    </xf>
    <xf numFmtId="0" fontId="0" fillId="28" borderId="0" xfId="0" applyFill="1"/>
    <xf numFmtId="0" fontId="30" fillId="28" borderId="0" xfId="0" applyFont="1" applyFill="1" applyAlignment="1">
      <alignment horizontal="left" indent="5"/>
    </xf>
    <xf numFmtId="0" fontId="0" fillId="28" borderId="0" xfId="0" applyFill="1" applyAlignment="1">
      <alignment horizontal="center" vertical="center"/>
    </xf>
    <xf numFmtId="0" fontId="0" fillId="28" borderId="0" xfId="0" applyFill="1" applyAlignment="1">
      <alignment horizontal="left" indent="5"/>
    </xf>
    <xf numFmtId="0" fontId="16" fillId="28" borderId="0" xfId="1" applyFill="1" applyAlignment="1" applyProtection="1">
      <alignment horizontal="left" indent="5"/>
    </xf>
    <xf numFmtId="0" fontId="0" fillId="28" borderId="0" xfId="0" quotePrefix="1" applyFill="1" applyAlignment="1">
      <alignment horizontal="left" indent="5"/>
    </xf>
    <xf numFmtId="0" fontId="0" fillId="15" borderId="0" xfId="0" applyFill="1"/>
    <xf numFmtId="0" fontId="3" fillId="15" borderId="0" xfId="0" applyFont="1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left" indent="5"/>
    </xf>
    <xf numFmtId="0" fontId="0" fillId="15" borderId="0" xfId="0" quotePrefix="1" applyFill="1" applyAlignment="1">
      <alignment horizontal="left" indent="5"/>
    </xf>
    <xf numFmtId="0" fontId="32" fillId="15" borderId="0" xfId="0" applyFont="1" applyFill="1" applyAlignment="1">
      <alignment horizontal="left" indent="5"/>
    </xf>
    <xf numFmtId="0" fontId="16" fillId="15" borderId="0" xfId="1" applyFill="1" applyAlignment="1" applyProtection="1">
      <alignment horizontal="left" indent="5"/>
    </xf>
    <xf numFmtId="0" fontId="33" fillId="15" borderId="0" xfId="0" applyFont="1" applyFill="1" applyAlignment="1">
      <alignment horizontal="left" indent="5"/>
    </xf>
    <xf numFmtId="0" fontId="34" fillId="15" borderId="0" xfId="0" applyFont="1" applyFill="1" applyAlignment="1">
      <alignment horizontal="left" indent="5"/>
    </xf>
    <xf numFmtId="0" fontId="33" fillId="15" borderId="0" xfId="0" quotePrefix="1" applyFont="1" applyFill="1" applyAlignment="1">
      <alignment horizontal="left" indent="5"/>
    </xf>
    <xf numFmtId="0" fontId="0" fillId="22" borderId="0" xfId="0" applyFill="1"/>
    <xf numFmtId="0" fontId="3" fillId="22" borderId="0" xfId="0" applyFont="1" applyFill="1" applyAlignment="1">
      <alignment horizontal="center"/>
    </xf>
    <xf numFmtId="0" fontId="30" fillId="22" borderId="0" xfId="0" applyFont="1" applyFill="1" applyAlignment="1">
      <alignment horizontal="left" indent="5"/>
    </xf>
    <xf numFmtId="0" fontId="0" fillId="22" borderId="0" xfId="0" applyFill="1" applyAlignment="1">
      <alignment horizontal="center" vertical="center"/>
    </xf>
    <xf numFmtId="0" fontId="0" fillId="22" borderId="0" xfId="0" applyFill="1" applyAlignment="1">
      <alignment horizontal="left" indent="5"/>
    </xf>
    <xf numFmtId="0" fontId="0" fillId="22" borderId="0" xfId="0" quotePrefix="1" applyFill="1" applyAlignment="1">
      <alignment horizontal="left" indent="5"/>
    </xf>
    <xf numFmtId="0" fontId="16" fillId="22" borderId="0" xfId="1" applyFill="1" applyAlignment="1" applyProtection="1">
      <alignment horizontal="left" indent="5"/>
    </xf>
    <xf numFmtId="0" fontId="30" fillId="15" borderId="4" xfId="0" applyFont="1" applyFill="1" applyBorder="1" applyAlignment="1">
      <alignment horizontal="left" indent="5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/>
    <xf numFmtId="0" fontId="0" fillId="15" borderId="22" xfId="0" applyFill="1" applyBorder="1" applyAlignment="1">
      <alignment horizontal="left" indent="5"/>
    </xf>
    <xf numFmtId="0" fontId="0" fillId="15" borderId="53" xfId="0" applyFill="1" applyBorder="1" applyAlignment="1">
      <alignment horizontal="left" indent="5"/>
    </xf>
    <xf numFmtId="0" fontId="0" fillId="15" borderId="53" xfId="0" applyFill="1" applyBorder="1"/>
    <xf numFmtId="0" fontId="0" fillId="15" borderId="27" xfId="0" applyFill="1" applyBorder="1" applyAlignment="1">
      <alignment horizontal="left" indent="5"/>
    </xf>
    <xf numFmtId="0" fontId="0" fillId="15" borderId="24" xfId="0" applyFill="1" applyBorder="1" applyAlignment="1">
      <alignment horizontal="center" vertical="center"/>
    </xf>
    <xf numFmtId="0" fontId="0" fillId="15" borderId="54" xfId="0" applyFill="1" applyBorder="1" applyAlignment="1">
      <alignment horizontal="left" indent="5"/>
    </xf>
    <xf numFmtId="0" fontId="0" fillId="15" borderId="53" xfId="0" quotePrefix="1" applyFill="1" applyBorder="1" applyAlignment="1">
      <alignment horizontal="left" indent="5"/>
    </xf>
    <xf numFmtId="165" fontId="9" fillId="0" borderId="31" xfId="0" applyNumberFormat="1" applyFont="1" applyBorder="1" applyAlignment="1" applyProtection="1">
      <alignment horizontal="center" vertical="center"/>
      <protection locked="0"/>
    </xf>
    <xf numFmtId="165" fontId="0" fillId="0" borderId="19" xfId="0" applyNumberFormat="1" applyBorder="1"/>
    <xf numFmtId="165" fontId="7" fillId="24" borderId="31" xfId="0" applyNumberFormat="1" applyFont="1" applyFill="1" applyBorder="1" applyAlignment="1" applyProtection="1">
      <alignment vertical="center"/>
      <protection locked="0"/>
    </xf>
    <xf numFmtId="165" fontId="0" fillId="0" borderId="137" xfId="0" applyNumberFormat="1" applyBorder="1"/>
    <xf numFmtId="0" fontId="1" fillId="5" borderId="0" xfId="0" applyFont="1" applyFill="1" applyProtection="1">
      <protection locked="0"/>
    </xf>
    <xf numFmtId="0" fontId="1" fillId="2" borderId="26" xfId="0" applyFont="1" applyFill="1" applyBorder="1"/>
    <xf numFmtId="165" fontId="1" fillId="2" borderId="21" xfId="0" applyNumberFormat="1" applyFont="1" applyFill="1" applyBorder="1"/>
    <xf numFmtId="0" fontId="1" fillId="2" borderId="42" xfId="0" applyFont="1" applyFill="1" applyBorder="1"/>
    <xf numFmtId="165" fontId="1" fillId="2" borderId="19" xfId="0" applyNumberFormat="1" applyFont="1" applyFill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5" fontId="1" fillId="0" borderId="32" xfId="0" applyNumberFormat="1" applyFont="1" applyBorder="1" applyAlignment="1" applyProtection="1">
      <alignment vertical="center"/>
      <protection locked="0"/>
    </xf>
    <xf numFmtId="165" fontId="11" fillId="5" borderId="32" xfId="0" applyNumberFormat="1" applyFont="1" applyFill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center"/>
    </xf>
    <xf numFmtId="165" fontId="1" fillId="5" borderId="32" xfId="0" applyNumberFormat="1" applyFont="1" applyFill="1" applyBorder="1" applyAlignment="1">
      <alignment vertical="center"/>
    </xf>
    <xf numFmtId="165" fontId="1" fillId="0" borderId="39" xfId="0" applyNumberFormat="1" applyFont="1" applyBorder="1" applyAlignment="1">
      <alignment vertical="center"/>
    </xf>
    <xf numFmtId="0" fontId="1" fillId="0" borderId="28" xfId="0" applyFont="1" applyBorder="1"/>
    <xf numFmtId="165" fontId="1" fillId="0" borderId="37" xfId="0" applyNumberFormat="1" applyFont="1" applyBorder="1" applyAlignment="1">
      <alignment vertical="center"/>
    </xf>
    <xf numFmtId="165" fontId="1" fillId="0" borderId="31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65" fontId="1" fillId="5" borderId="33" xfId="0" applyNumberFormat="1" applyFont="1" applyFill="1" applyBorder="1" applyAlignment="1">
      <alignment vertical="center"/>
    </xf>
    <xf numFmtId="165" fontId="0" fillId="0" borderId="31" xfId="0" applyNumberFormat="1" applyBorder="1"/>
    <xf numFmtId="165" fontId="0" fillId="0" borderId="39" xfId="0" applyNumberFormat="1" applyBorder="1"/>
    <xf numFmtId="165" fontId="1" fillId="0" borderId="44" xfId="0" applyNumberFormat="1" applyFont="1" applyBorder="1" applyAlignment="1">
      <alignment horizontal="center" vertical="center"/>
    </xf>
    <xf numFmtId="165" fontId="0" fillId="5" borderId="22" xfId="0" applyNumberFormat="1" applyFill="1" applyBorder="1"/>
    <xf numFmtId="0" fontId="1" fillId="0" borderId="0" xfId="0" applyFont="1" applyAlignment="1">
      <alignment horizontal="center"/>
    </xf>
    <xf numFmtId="0" fontId="1" fillId="4" borderId="0" xfId="0" applyFont="1" applyFill="1"/>
    <xf numFmtId="165" fontId="0" fillId="4" borderId="22" xfId="0" applyNumberFormat="1" applyFill="1" applyBorder="1"/>
    <xf numFmtId="0" fontId="0" fillId="0" borderId="28" xfId="0" applyBorder="1" applyAlignment="1">
      <alignment horizontal="center"/>
    </xf>
    <xf numFmtId="165" fontId="0" fillId="5" borderId="28" xfId="0" applyNumberFormat="1" applyFill="1" applyBorder="1"/>
    <xf numFmtId="0" fontId="1" fillId="0" borderId="27" xfId="0" applyFont="1" applyBorder="1" applyAlignment="1">
      <alignment horizontal="center"/>
    </xf>
    <xf numFmtId="165" fontId="1" fillId="5" borderId="27" xfId="0" applyNumberFormat="1" applyFont="1" applyFill="1" applyBorder="1"/>
    <xf numFmtId="0" fontId="0" fillId="2" borderId="139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140" xfId="0" applyFill="1" applyBorder="1" applyAlignment="1">
      <alignment horizontal="center" vertical="center"/>
    </xf>
    <xf numFmtId="0" fontId="0" fillId="22" borderId="138" xfId="0" applyFill="1" applyBorder="1" applyAlignment="1">
      <alignment horizontal="center" vertical="center"/>
    </xf>
    <xf numFmtId="0" fontId="0" fillId="22" borderId="52" xfId="0" applyFill="1" applyBorder="1" applyAlignment="1">
      <alignment horizontal="center" vertical="center"/>
    </xf>
    <xf numFmtId="15" fontId="0" fillId="22" borderId="55" xfId="0" applyNumberFormat="1" applyFill="1" applyBorder="1" applyAlignment="1">
      <alignment horizontal="center" vertical="center"/>
    </xf>
    <xf numFmtId="0" fontId="0" fillId="22" borderId="129" xfId="0" applyFill="1" applyBorder="1" applyAlignment="1">
      <alignment horizontal="center" vertical="center"/>
    </xf>
    <xf numFmtId="0" fontId="0" fillId="22" borderId="50" xfId="0" applyFill="1" applyBorder="1" applyAlignment="1">
      <alignment horizontal="center" vertical="center"/>
    </xf>
    <xf numFmtId="0" fontId="0" fillId="22" borderId="137" xfId="0" applyFill="1" applyBorder="1" applyAlignment="1">
      <alignment horizontal="center" vertical="center"/>
    </xf>
    <xf numFmtId="0" fontId="0" fillId="22" borderId="55" xfId="0" applyFill="1" applyBorder="1" applyAlignment="1">
      <alignment horizontal="center" vertical="center"/>
    </xf>
    <xf numFmtId="0" fontId="0" fillId="22" borderId="140" xfId="0" applyFill="1" applyBorder="1" applyAlignment="1">
      <alignment horizontal="center" vertical="center"/>
    </xf>
    <xf numFmtId="0" fontId="0" fillId="22" borderId="144" xfId="0" applyFill="1" applyBorder="1" applyAlignment="1">
      <alignment horizontal="center" vertical="center"/>
    </xf>
    <xf numFmtId="0" fontId="0" fillId="3" borderId="138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15" fontId="0" fillId="3" borderId="55" xfId="0" applyNumberFormat="1" applyFill="1" applyBorder="1" applyAlignment="1">
      <alignment horizontal="center" vertical="center"/>
    </xf>
    <xf numFmtId="0" fontId="0" fillId="3" borderId="12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137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40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16" fillId="28" borderId="0" xfId="1" applyFill="1" applyAlignment="1" applyProtection="1"/>
    <xf numFmtId="0" fontId="16" fillId="17" borderId="134" xfId="1" applyFill="1" applyBorder="1" applyAlignment="1" applyProtection="1"/>
    <xf numFmtId="0" fontId="0" fillId="22" borderId="0" xfId="0" applyFill="1" applyAlignment="1">
      <alignment horizontal="left" vertical="top"/>
    </xf>
    <xf numFmtId="0" fontId="0" fillId="22" borderId="0" xfId="0" applyFill="1" applyAlignment="1">
      <alignment horizontal="left"/>
    </xf>
    <xf numFmtId="165" fontId="5" fillId="0" borderId="20" xfId="0" applyNumberFormat="1" applyFont="1" applyBorder="1"/>
    <xf numFmtId="165" fontId="5" fillId="0" borderId="137" xfId="0" applyNumberFormat="1" applyFont="1" applyBorder="1"/>
    <xf numFmtId="0" fontId="0" fillId="6" borderId="30" xfId="0" applyFill="1" applyBorder="1"/>
    <xf numFmtId="0" fontId="0" fillId="6" borderId="25" xfId="0" applyFill="1" applyBorder="1"/>
    <xf numFmtId="165" fontId="9" fillId="6" borderId="39" xfId="0" applyNumberFormat="1" applyFont="1" applyFill="1" applyBorder="1" applyProtection="1">
      <protection locked="0"/>
    </xf>
    <xf numFmtId="165" fontId="9" fillId="6" borderId="32" xfId="0" applyNumberFormat="1" applyFont="1" applyFill="1" applyBorder="1" applyProtection="1">
      <protection locked="0"/>
    </xf>
    <xf numFmtId="165" fontId="11" fillId="2" borderId="32" xfId="0" applyNumberFormat="1" applyFont="1" applyFill="1" applyBorder="1" applyAlignment="1" applyProtection="1">
      <alignment vertical="center"/>
      <protection locked="0"/>
    </xf>
    <xf numFmtId="0" fontId="5" fillId="2" borderId="0" xfId="0" applyFont="1" applyFill="1" applyProtection="1">
      <protection locked="0"/>
    </xf>
    <xf numFmtId="165" fontId="11" fillId="2" borderId="32" xfId="0" applyNumberFormat="1" applyFont="1" applyFill="1" applyBorder="1" applyAlignment="1" applyProtection="1">
      <alignment horizontal="left" vertical="center"/>
      <protection locked="0"/>
    </xf>
    <xf numFmtId="0" fontId="1" fillId="0" borderId="54" xfId="0" applyFont="1" applyBorder="1" applyAlignment="1">
      <alignment horizontal="center" vertical="center"/>
    </xf>
    <xf numFmtId="165" fontId="0" fillId="0" borderId="46" xfId="0" applyNumberFormat="1" applyBorder="1"/>
    <xf numFmtId="0" fontId="0" fillId="0" borderId="0" xfId="0" applyAlignment="1">
      <alignment horizontal="left"/>
    </xf>
    <xf numFmtId="0" fontId="0" fillId="0" borderId="142" xfId="0" applyBorder="1"/>
    <xf numFmtId="165" fontId="1" fillId="2" borderId="11" xfId="0" applyNumberFormat="1" applyFont="1" applyFill="1" applyBorder="1"/>
    <xf numFmtId="165" fontId="9" fillId="0" borderId="20" xfId="0" applyNumberFormat="1" applyFont="1" applyBorder="1"/>
    <xf numFmtId="165" fontId="5" fillId="0" borderId="19" xfId="0" applyNumberFormat="1" applyFont="1" applyBorder="1"/>
    <xf numFmtId="165" fontId="9" fillId="0" borderId="21" xfId="0" applyNumberFormat="1" applyFont="1" applyBorder="1"/>
    <xf numFmtId="0" fontId="9" fillId="0" borderId="30" xfId="0" applyFont="1" applyBorder="1"/>
    <xf numFmtId="0" fontId="0" fillId="0" borderId="28" xfId="0" applyBorder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84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29" fillId="8" borderId="0" xfId="0" applyNumberFormat="1" applyFont="1" applyFill="1" applyAlignment="1">
      <alignment vertical="center"/>
    </xf>
    <xf numFmtId="165" fontId="29" fillId="8" borderId="0" xfId="0" applyNumberFormat="1" applyFont="1" applyFill="1" applyAlignment="1">
      <alignment horizontal="center" vertical="center"/>
    </xf>
    <xf numFmtId="0" fontId="0" fillId="29" borderId="0" xfId="0" applyFill="1"/>
    <xf numFmtId="0" fontId="1" fillId="2" borderId="61" xfId="0" applyFont="1" applyFill="1" applyBorder="1" applyAlignment="1">
      <alignment horizontal="left" vertical="center"/>
    </xf>
    <xf numFmtId="165" fontId="0" fillId="2" borderId="139" xfId="0" applyNumberFormat="1" applyFill="1" applyBorder="1" applyAlignment="1">
      <alignment horizontal="center" vertical="center"/>
    </xf>
    <xf numFmtId="0" fontId="0" fillId="2" borderId="139" xfId="0" quotePrefix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0" fillId="21" borderId="33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41" xfId="0" applyFill="1" applyBorder="1" applyAlignment="1">
      <alignment horizontal="center" vertical="center"/>
    </xf>
    <xf numFmtId="0" fontId="0" fillId="21" borderId="53" xfId="0" applyFill="1" applyBorder="1" applyAlignment="1">
      <alignment horizontal="center" vertical="center"/>
    </xf>
    <xf numFmtId="0" fontId="0" fillId="21" borderId="41" xfId="0" quotePrefix="1" applyFill="1" applyBorder="1" applyAlignment="1">
      <alignment horizontal="center" vertical="center"/>
    </xf>
    <xf numFmtId="15" fontId="0" fillId="21" borderId="41" xfId="0" applyNumberFormat="1" applyFill="1" applyBorder="1" applyAlignment="1">
      <alignment horizontal="center" vertical="center"/>
    </xf>
    <xf numFmtId="0" fontId="0" fillId="21" borderId="33" xfId="0" quotePrefix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5" fontId="0" fillId="2" borderId="139" xfId="0" applyNumberFormat="1" applyFill="1" applyBorder="1" applyAlignment="1">
      <alignment horizontal="center" vertical="center"/>
    </xf>
    <xf numFmtId="0" fontId="0" fillId="30" borderId="139" xfId="0" applyFill="1" applyBorder="1" applyAlignment="1">
      <alignment horizontal="center" vertical="center"/>
    </xf>
    <xf numFmtId="0" fontId="0" fillId="30" borderId="41" xfId="0" applyFill="1" applyBorder="1" applyAlignment="1">
      <alignment horizontal="center" vertical="center"/>
    </xf>
    <xf numFmtId="0" fontId="0" fillId="30" borderId="33" xfId="0" applyFill="1" applyBorder="1" applyAlignment="1">
      <alignment horizontal="center" vertical="center"/>
    </xf>
    <xf numFmtId="165" fontId="0" fillId="18" borderId="32" xfId="0" applyNumberFormat="1" applyFill="1" applyBorder="1" applyAlignment="1">
      <alignment vertical="center"/>
    </xf>
    <xf numFmtId="165" fontId="0" fillId="18" borderId="32" xfId="0" applyNumberForma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0" fillId="31" borderId="20" xfId="0" applyNumberFormat="1" applyFill="1" applyBorder="1"/>
    <xf numFmtId="165" fontId="0" fillId="20" borderId="129" xfId="0" applyNumberFormat="1" applyFill="1" applyBorder="1"/>
    <xf numFmtId="0" fontId="0" fillId="20" borderId="43" xfId="0" applyFill="1" applyBorder="1"/>
    <xf numFmtId="0" fontId="0" fillId="20" borderId="25" xfId="0" applyFill="1" applyBorder="1"/>
    <xf numFmtId="165" fontId="0" fillId="20" borderId="20" xfId="0" applyNumberFormat="1" applyFill="1" applyBorder="1"/>
    <xf numFmtId="165" fontId="9" fillId="0" borderId="39" xfId="0" applyNumberFormat="1" applyFont="1" applyFill="1" applyBorder="1" applyProtection="1">
      <protection locked="0"/>
    </xf>
    <xf numFmtId="165" fontId="9" fillId="0" borderId="32" xfId="0" applyNumberFormat="1" applyFont="1" applyFill="1" applyBorder="1" applyProtection="1">
      <protection locked="0"/>
    </xf>
    <xf numFmtId="165" fontId="0" fillId="0" borderId="32" xfId="0" applyNumberFormat="1" applyFill="1" applyBorder="1" applyAlignment="1">
      <alignment vertical="center"/>
    </xf>
    <xf numFmtId="165" fontId="0" fillId="0" borderId="32" xfId="0" applyNumberFormat="1" applyFill="1" applyBorder="1" applyAlignment="1" applyProtection="1">
      <alignment vertical="center"/>
      <protection locked="0"/>
    </xf>
    <xf numFmtId="0" fontId="0" fillId="8" borderId="11" xfId="0" applyFill="1" applyBorder="1" applyAlignment="1">
      <alignment horizontal="left"/>
    </xf>
    <xf numFmtId="0" fontId="25" fillId="0" borderId="0" xfId="0" applyFont="1" applyAlignment="1">
      <alignment horizontal="center"/>
    </xf>
    <xf numFmtId="0" fontId="0" fillId="20" borderId="30" xfId="0" applyFill="1" applyBorder="1"/>
    <xf numFmtId="165" fontId="0" fillId="20" borderId="137" xfId="0" applyNumberFormat="1" applyFill="1" applyBorder="1"/>
    <xf numFmtId="165" fontId="9" fillId="20" borderId="32" xfId="0" applyNumberFormat="1" applyFont="1" applyFill="1" applyBorder="1" applyProtection="1">
      <protection locked="0"/>
    </xf>
    <xf numFmtId="165" fontId="9" fillId="20" borderId="39" xfId="0" applyNumberFormat="1" applyFont="1" applyFill="1" applyBorder="1" applyProtection="1">
      <protection locked="0"/>
    </xf>
    <xf numFmtId="0" fontId="0" fillId="0" borderId="32" xfId="0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/>
    <xf numFmtId="0" fontId="0" fillId="2" borderId="25" xfId="0" applyFill="1" applyBorder="1"/>
    <xf numFmtId="0" fontId="0" fillId="2" borderId="30" xfId="0" applyFill="1" applyBorder="1"/>
    <xf numFmtId="165" fontId="0" fillId="2" borderId="137" xfId="0" applyNumberFormat="1" applyFill="1" applyBorder="1"/>
    <xf numFmtId="0" fontId="0" fillId="0" borderId="0" xfId="0" applyAlignment="1">
      <alignment horizontal="center" vertical="center"/>
    </xf>
    <xf numFmtId="0" fontId="0" fillId="0" borderId="111" xfId="0" applyBorder="1"/>
    <xf numFmtId="0" fontId="0" fillId="0" borderId="115" xfId="0" applyBorder="1" applyAlignment="1">
      <alignment horizontal="center" vertical="center"/>
    </xf>
    <xf numFmtId="0" fontId="0" fillId="0" borderId="59" xfId="0" applyBorder="1" applyAlignment="1"/>
    <xf numFmtId="0" fontId="1" fillId="0" borderId="22" xfId="0" applyFont="1" applyFill="1" applyBorder="1" applyAlignment="1">
      <alignment horizontal="center"/>
    </xf>
    <xf numFmtId="0" fontId="1" fillId="0" borderId="0" xfId="0" applyFont="1" applyFill="1" applyBorder="1"/>
    <xf numFmtId="165" fontId="1" fillId="0" borderId="41" xfId="0" applyNumberFormat="1" applyFont="1" applyFill="1" applyBorder="1" applyAlignment="1">
      <alignment vertical="center"/>
    </xf>
    <xf numFmtId="0" fontId="1" fillId="0" borderId="0" xfId="0" applyFont="1" applyFill="1" applyProtection="1">
      <protection locked="0"/>
    </xf>
    <xf numFmtId="0" fontId="1" fillId="0" borderId="28" xfId="0" applyFont="1" applyFill="1" applyBorder="1"/>
    <xf numFmtId="0" fontId="1" fillId="0" borderId="29" xfId="0" applyFont="1" applyFill="1" applyBorder="1"/>
    <xf numFmtId="165" fontId="1" fillId="0" borderId="37" xfId="0" applyNumberFormat="1" applyFont="1" applyFill="1" applyBorder="1" applyAlignment="1">
      <alignment vertical="center"/>
    </xf>
    <xf numFmtId="0" fontId="1" fillId="0" borderId="31" xfId="0" applyFont="1" applyFill="1" applyBorder="1"/>
    <xf numFmtId="165" fontId="1" fillId="0" borderId="31" xfId="0" applyNumberFormat="1" applyFont="1" applyFill="1" applyBorder="1" applyAlignment="1">
      <alignment vertical="center"/>
    </xf>
    <xf numFmtId="0" fontId="1" fillId="0" borderId="33" xfId="0" applyFont="1" applyFill="1" applyBorder="1" applyAlignment="1">
      <alignment horizontal="center"/>
    </xf>
    <xf numFmtId="0" fontId="1" fillId="0" borderId="33" xfId="0" applyFont="1" applyFill="1" applyBorder="1"/>
    <xf numFmtId="0" fontId="1" fillId="0" borderId="0" xfId="0" applyFont="1" applyFill="1" applyAlignment="1">
      <alignment horizontal="center"/>
    </xf>
    <xf numFmtId="165" fontId="1" fillId="0" borderId="22" xfId="0" applyNumberFormat="1" applyFont="1" applyFill="1" applyBorder="1"/>
    <xf numFmtId="0" fontId="1" fillId="0" borderId="0" xfId="0" applyFont="1" applyFill="1"/>
    <xf numFmtId="165" fontId="1" fillId="0" borderId="83" xfId="0" applyNumberFormat="1" applyFont="1" applyFill="1" applyBorder="1"/>
    <xf numFmtId="0" fontId="1" fillId="0" borderId="84" xfId="0" applyFont="1" applyFill="1" applyBorder="1" applyAlignment="1">
      <alignment horizontal="center"/>
    </xf>
    <xf numFmtId="165" fontId="1" fillId="5" borderId="84" xfId="0" applyNumberFormat="1" applyFont="1" applyFill="1" applyBorder="1"/>
    <xf numFmtId="0" fontId="0" fillId="0" borderId="31" xfId="0" applyBorder="1"/>
    <xf numFmtId="0" fontId="1" fillId="0" borderId="33" xfId="0" applyFont="1" applyBorder="1" applyAlignment="1">
      <alignment horizontal="center"/>
    </xf>
    <xf numFmtId="0" fontId="1" fillId="0" borderId="31" xfId="0" applyFont="1" applyFill="1" applyBorder="1" applyAlignment="1">
      <alignment horizontal="left"/>
    </xf>
    <xf numFmtId="0" fontId="1" fillId="0" borderId="39" xfId="0" applyFont="1" applyFill="1" applyBorder="1" applyAlignment="1">
      <alignment horizontal="center"/>
    </xf>
    <xf numFmtId="0" fontId="1" fillId="0" borderId="39" xfId="0" applyFont="1" applyFill="1" applyBorder="1"/>
    <xf numFmtId="165" fontId="1" fillId="5" borderId="39" xfId="0" applyNumberFormat="1" applyFont="1" applyFill="1" applyBorder="1" applyAlignment="1">
      <alignment vertical="center"/>
    </xf>
    <xf numFmtId="0" fontId="0" fillId="0" borderId="127" xfId="0" applyBorder="1"/>
    <xf numFmtId="0" fontId="0" fillId="0" borderId="116" xfId="0" applyBorder="1" applyAlignment="1">
      <alignment horizontal="center" vertical="center"/>
    </xf>
    <xf numFmtId="165" fontId="0" fillId="0" borderId="37" xfId="0" applyNumberFormat="1" applyBorder="1"/>
    <xf numFmtId="165" fontId="0" fillId="0" borderId="145" xfId="0" applyNumberFormat="1" applyBorder="1"/>
    <xf numFmtId="165" fontId="0" fillId="0" borderId="107" xfId="0" applyNumberFormat="1" applyBorder="1" applyAlignment="1"/>
    <xf numFmtId="165" fontId="0" fillId="0" borderId="108" xfId="0" applyNumberFormat="1" applyBorder="1" applyAlignment="1"/>
    <xf numFmtId="165" fontId="1" fillId="0" borderId="145" xfId="0" applyNumberFormat="1" applyFont="1" applyBorder="1"/>
    <xf numFmtId="165" fontId="1" fillId="0" borderId="128" xfId="0" applyNumberFormat="1" applyFont="1" applyBorder="1" applyAlignment="1"/>
    <xf numFmtId="165" fontId="0" fillId="0" borderId="101" xfId="0" applyNumberFormat="1" applyBorder="1"/>
    <xf numFmtId="165" fontId="1" fillId="0" borderId="149" xfId="0" applyNumberFormat="1" applyFont="1" applyBorder="1"/>
    <xf numFmtId="0" fontId="0" fillId="0" borderId="32" xfId="0" applyFont="1" applyFill="1" applyBorder="1" applyAlignment="1">
      <alignment horizontal="left"/>
    </xf>
    <xf numFmtId="0" fontId="0" fillId="0" borderId="32" xfId="0" applyFont="1" applyFill="1" applyBorder="1"/>
    <xf numFmtId="165" fontId="0" fillId="0" borderId="32" xfId="0" applyNumberFormat="1" applyFont="1" applyFill="1" applyBorder="1" applyAlignment="1">
      <alignment vertical="center"/>
    </xf>
    <xf numFmtId="0" fontId="0" fillId="0" borderId="0" xfId="0" applyFont="1" applyFill="1" applyProtection="1">
      <protection locked="0"/>
    </xf>
    <xf numFmtId="0" fontId="0" fillId="0" borderId="39" xfId="0" applyFont="1" applyFill="1" applyBorder="1" applyAlignment="1">
      <alignment horizontal="left"/>
    </xf>
    <xf numFmtId="0" fontId="0" fillId="0" borderId="39" xfId="0" applyFont="1" applyFill="1" applyBorder="1"/>
    <xf numFmtId="165" fontId="0" fillId="0" borderId="39" xfId="0" applyNumberFormat="1" applyFont="1" applyFill="1" applyBorder="1" applyAlignment="1">
      <alignment vertical="center"/>
    </xf>
    <xf numFmtId="165" fontId="0" fillId="0" borderId="22" xfId="0" applyNumberFormat="1" applyFont="1" applyFill="1" applyBorder="1"/>
    <xf numFmtId="0" fontId="0" fillId="0" borderId="0" xfId="0" applyFont="1" applyFill="1"/>
    <xf numFmtId="0" fontId="1" fillId="0" borderId="83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165" fontId="1" fillId="4" borderId="22" xfId="0" applyNumberFormat="1" applyFont="1" applyFill="1" applyBorder="1"/>
    <xf numFmtId="0" fontId="0" fillId="0" borderId="0" xfId="0" applyFill="1" applyAlignment="1">
      <alignment horizontal="left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165" fontId="1" fillId="5" borderId="32" xfId="0" applyNumberFormat="1" applyFont="1" applyFill="1" applyBorder="1"/>
    <xf numFmtId="165" fontId="1" fillId="5" borderId="33" xfId="0" applyNumberFormat="1" applyFont="1" applyFill="1" applyBorder="1"/>
    <xf numFmtId="0" fontId="0" fillId="8" borderId="11" xfId="0" applyFill="1" applyBorder="1" applyAlignment="1">
      <alignment horizontal="left"/>
    </xf>
    <xf numFmtId="0" fontId="25" fillId="0" borderId="0" xfId="0" applyFont="1" applyAlignment="1">
      <alignment horizontal="center"/>
    </xf>
    <xf numFmtId="165" fontId="9" fillId="13" borderId="39" xfId="0" applyNumberFormat="1" applyFont="1" applyFill="1" applyBorder="1"/>
    <xf numFmtId="0" fontId="0" fillId="0" borderId="30" xfId="0" applyFill="1" applyBorder="1"/>
    <xf numFmtId="165" fontId="0" fillId="0" borderId="137" xfId="0" applyNumberFormat="1" applyFill="1" applyBorder="1"/>
    <xf numFmtId="165" fontId="1" fillId="0" borderId="32" xfId="0" applyNumberFormat="1" applyFont="1" applyFill="1" applyBorder="1" applyAlignment="1" applyProtection="1">
      <alignment vertical="center"/>
      <protection locked="0"/>
    </xf>
    <xf numFmtId="0" fontId="0" fillId="0" borderId="121" xfId="0" applyFill="1" applyBorder="1" applyAlignment="1">
      <alignment horizontal="center"/>
    </xf>
    <xf numFmtId="0" fontId="9" fillId="0" borderId="121" xfId="0" applyFont="1" applyFill="1" applyBorder="1" applyAlignment="1">
      <alignment horizontal="center"/>
    </xf>
    <xf numFmtId="0" fontId="0" fillId="0" borderId="121" xfId="0" applyFill="1" applyBorder="1" applyAlignment="1">
      <alignment horizontal="center" vertical="center"/>
    </xf>
    <xf numFmtId="0" fontId="0" fillId="0" borderId="110" xfId="0" applyFill="1" applyBorder="1"/>
    <xf numFmtId="0" fontId="0" fillId="8" borderId="11" xfId="0" applyFill="1" applyBorder="1" applyAlignment="1">
      <alignment horizontal="left"/>
    </xf>
    <xf numFmtId="0" fontId="25" fillId="0" borderId="0" xfId="0" applyFont="1" applyAlignment="1">
      <alignment horizontal="center"/>
    </xf>
    <xf numFmtId="0" fontId="0" fillId="0" borderId="11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165" fontId="1" fillId="13" borderId="32" xfId="0" applyNumberFormat="1" applyFont="1" applyFill="1" applyBorder="1" applyAlignment="1">
      <alignment vertical="center"/>
    </xf>
    <xf numFmtId="165" fontId="11" fillId="13" borderId="32" xfId="0" applyNumberFormat="1" applyFont="1" applyFill="1" applyBorder="1" applyAlignment="1" applyProtection="1">
      <alignment vertical="center"/>
      <protection locked="0"/>
    </xf>
    <xf numFmtId="165" fontId="1" fillId="0" borderId="32" xfId="0" applyNumberFormat="1" applyFont="1" applyFill="1" applyBorder="1" applyAlignment="1">
      <alignment vertical="center"/>
    </xf>
    <xf numFmtId="0" fontId="11" fillId="13" borderId="2" xfId="0" applyFont="1" applyFill="1" applyBorder="1"/>
    <xf numFmtId="165" fontId="11" fillId="13" borderId="31" xfId="0" applyNumberFormat="1" applyFont="1" applyFill="1" applyBorder="1" applyAlignment="1" applyProtection="1">
      <alignment vertical="center"/>
      <protection locked="0"/>
    </xf>
    <xf numFmtId="0" fontId="0" fillId="12" borderId="100" xfId="0" applyFill="1" applyBorder="1"/>
    <xf numFmtId="0" fontId="0" fillId="12" borderId="32" xfId="0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0" fillId="30" borderId="11" xfId="0" applyFill="1" applyBorder="1"/>
    <xf numFmtId="0" fontId="0" fillId="30" borderId="11" xfId="0" applyFill="1" applyBorder="1" applyAlignment="1">
      <alignment horizontal="left"/>
    </xf>
    <xf numFmtId="0" fontId="8" fillId="30" borderId="61" xfId="0" applyFont="1" applyFill="1" applyBorder="1"/>
    <xf numFmtId="0" fontId="5" fillId="30" borderId="61" xfId="0" applyFont="1" applyFill="1" applyBorder="1"/>
    <xf numFmtId="0" fontId="1" fillId="30" borderId="61" xfId="0" applyFont="1" applyFill="1" applyBorder="1" applyAlignment="1">
      <alignment horizontal="right" vertical="center"/>
    </xf>
    <xf numFmtId="0" fontId="0" fillId="30" borderId="61" xfId="0" applyFill="1" applyBorder="1" applyAlignment="1">
      <alignment horizontal="right" vertical="center"/>
    </xf>
    <xf numFmtId="0" fontId="1" fillId="30" borderId="61" xfId="0" applyFont="1" applyFill="1" applyBorder="1" applyAlignment="1">
      <alignment horizontal="left" vertical="center"/>
    </xf>
    <xf numFmtId="0" fontId="11" fillId="30" borderId="1" xfId="0" applyFont="1" applyFill="1" applyBorder="1" applyAlignment="1">
      <alignment horizontal="center"/>
    </xf>
    <xf numFmtId="0" fontId="11" fillId="30" borderId="11" xfId="0" applyFont="1" applyFill="1" applyBorder="1" applyAlignment="1">
      <alignment horizontal="center"/>
    </xf>
    <xf numFmtId="0" fontId="11" fillId="30" borderId="8" xfId="0" applyFont="1" applyFill="1" applyBorder="1" applyAlignment="1">
      <alignment horizontal="center"/>
    </xf>
    <xf numFmtId="0" fontId="0" fillId="30" borderId="11" xfId="0" applyFont="1" applyFill="1" applyBorder="1" applyAlignment="1">
      <alignment horizontal="left"/>
    </xf>
    <xf numFmtId="0" fontId="1" fillId="30" borderId="11" xfId="0" applyFont="1" applyFill="1" applyBorder="1" applyAlignment="1">
      <alignment horizontal="center"/>
    </xf>
    <xf numFmtId="0" fontId="9" fillId="30" borderId="11" xfId="0" applyFont="1" applyFill="1" applyBorder="1" applyAlignment="1">
      <alignment horizontal="center" vertical="center"/>
    </xf>
    <xf numFmtId="0" fontId="11" fillId="30" borderId="11" xfId="0" applyFont="1" applyFill="1" applyBorder="1" applyAlignment="1">
      <alignment horizontal="center" vertical="center"/>
    </xf>
    <xf numFmtId="0" fontId="1" fillId="30" borderId="11" xfId="0" applyFont="1" applyFill="1" applyBorder="1" applyAlignment="1">
      <alignment horizontal="center" vertical="center"/>
    </xf>
    <xf numFmtId="0" fontId="1" fillId="30" borderId="11" xfId="0" applyFont="1" applyFill="1" applyBorder="1" applyAlignment="1">
      <alignment horizontal="left" vertical="center"/>
    </xf>
    <xf numFmtId="0" fontId="1" fillId="0" borderId="12" xfId="0" applyFont="1" applyFill="1" applyBorder="1"/>
    <xf numFmtId="0" fontId="0" fillId="0" borderId="0" xfId="0" applyFill="1" applyProtection="1">
      <protection locked="0"/>
    </xf>
    <xf numFmtId="0" fontId="0" fillId="8" borderId="0" xfId="0" applyFill="1" applyAlignment="1">
      <alignment horizontal="center" vertical="center"/>
    </xf>
    <xf numFmtId="0" fontId="9" fillId="26" borderId="32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left"/>
    </xf>
    <xf numFmtId="0" fontId="25" fillId="0" borderId="0" xfId="0" applyFont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25" xfId="0" applyFill="1" applyBorder="1"/>
    <xf numFmtId="0" fontId="0" fillId="0" borderId="38" xfId="0" applyFill="1" applyBorder="1"/>
    <xf numFmtId="0" fontId="0" fillId="0" borderId="12" xfId="0" applyFill="1" applyBorder="1"/>
    <xf numFmtId="0" fontId="0" fillId="0" borderId="39" xfId="0" applyFill="1" applyBorder="1" applyAlignment="1">
      <alignment horizontal="center" vertical="center"/>
    </xf>
    <xf numFmtId="0" fontId="0" fillId="0" borderId="117" xfId="0" applyFill="1" applyBorder="1"/>
    <xf numFmtId="0" fontId="0" fillId="0" borderId="100" xfId="0" applyFill="1" applyBorder="1"/>
    <xf numFmtId="0" fontId="0" fillId="0" borderId="127" xfId="0" applyFill="1" applyBorder="1"/>
    <xf numFmtId="0" fontId="0" fillId="0" borderId="0" xfId="0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13" borderId="150" xfId="0" applyFill="1" applyBorder="1" applyAlignment="1">
      <alignment horizontal="center" vertical="center"/>
    </xf>
    <xf numFmtId="165" fontId="0" fillId="0" borderId="82" xfId="0" applyNumberFormat="1" applyBorder="1" applyProtection="1">
      <protection locked="0"/>
    </xf>
    <xf numFmtId="0" fontId="0" fillId="13" borderId="153" xfId="0" applyFill="1" applyBorder="1" applyAlignment="1">
      <alignment horizontal="center" vertical="center"/>
    </xf>
    <xf numFmtId="0" fontId="0" fillId="13" borderId="140" xfId="0" applyFill="1" applyBorder="1" applyAlignment="1">
      <alignment horizontal="center" vertical="center"/>
    </xf>
    <xf numFmtId="0" fontId="0" fillId="0" borderId="55" xfId="0" applyBorder="1" applyProtection="1">
      <protection locked="0"/>
    </xf>
    <xf numFmtId="0" fontId="0" fillId="13" borderId="56" xfId="0" applyFill="1" applyBorder="1" applyAlignment="1" applyProtection="1">
      <alignment horizontal="center" vertical="center"/>
      <protection locked="0"/>
    </xf>
    <xf numFmtId="165" fontId="0" fillId="13" borderId="121" xfId="0" applyNumberFormat="1" applyFill="1" applyBorder="1"/>
    <xf numFmtId="165" fontId="0" fillId="0" borderId="91" xfId="0" applyNumberFormat="1" applyFill="1" applyBorder="1" applyProtection="1">
      <protection locked="0"/>
    </xf>
    <xf numFmtId="165" fontId="0" fillId="0" borderId="16" xfId="0" applyNumberFormat="1" applyFill="1" applyBorder="1" applyProtection="1">
      <protection locked="0"/>
    </xf>
    <xf numFmtId="165" fontId="0" fillId="0" borderId="34" xfId="0" applyNumberFormat="1" applyFill="1" applyBorder="1" applyProtection="1">
      <protection locked="0"/>
    </xf>
    <xf numFmtId="165" fontId="0" fillId="13" borderId="92" xfId="0" applyNumberFormat="1" applyFill="1" applyBorder="1"/>
    <xf numFmtId="0" fontId="0" fillId="13" borderId="71" xfId="0" applyFill="1" applyBorder="1" applyProtection="1">
      <protection locked="0"/>
    </xf>
    <xf numFmtId="165" fontId="0" fillId="0" borderId="77" xfId="0" applyNumberFormat="1" applyFill="1" applyBorder="1" applyProtection="1">
      <protection locked="0"/>
    </xf>
    <xf numFmtId="165" fontId="0" fillId="0" borderId="50" xfId="0" applyNumberFormat="1" applyFill="1" applyBorder="1" applyProtection="1">
      <protection locked="0"/>
    </xf>
    <xf numFmtId="165" fontId="0" fillId="0" borderId="51" xfId="0" applyNumberFormat="1" applyFill="1" applyBorder="1" applyProtection="1">
      <protection locked="0"/>
    </xf>
    <xf numFmtId="0" fontId="0" fillId="13" borderId="125" xfId="0" applyFill="1" applyBorder="1" applyProtection="1">
      <protection locked="0"/>
    </xf>
    <xf numFmtId="165" fontId="0" fillId="13" borderId="90" xfId="0" applyNumberFormat="1" applyFill="1" applyBorder="1"/>
    <xf numFmtId="165" fontId="0" fillId="13" borderId="104" xfId="0" applyNumberFormat="1" applyFill="1" applyBorder="1"/>
    <xf numFmtId="165" fontId="0" fillId="13" borderId="128" xfId="0" applyNumberFormat="1" applyFill="1" applyBorder="1"/>
    <xf numFmtId="165" fontId="0" fillId="13" borderId="155" xfId="0" applyNumberFormat="1" applyFill="1" applyBorder="1"/>
    <xf numFmtId="0" fontId="0" fillId="0" borderId="55" xfId="0" applyFill="1" applyBorder="1" applyProtection="1">
      <protection locked="0"/>
    </xf>
    <xf numFmtId="0" fontId="0" fillId="0" borderId="50" xfId="0" applyFill="1" applyBorder="1" applyProtection="1">
      <protection locked="0"/>
    </xf>
    <xf numFmtId="165" fontId="0" fillId="13" borderId="156" xfId="0" applyNumberFormat="1" applyFill="1" applyBorder="1" applyProtection="1">
      <protection locked="0"/>
    </xf>
    <xf numFmtId="0" fontId="0" fillId="13" borderId="157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44" xfId="0" applyFill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165" fontId="0" fillId="13" borderId="120" xfId="0" applyNumberFormat="1" applyFill="1" applyBorder="1"/>
    <xf numFmtId="0" fontId="0" fillId="0" borderId="34" xfId="0" applyBorder="1" applyProtection="1">
      <protection locked="0"/>
    </xf>
    <xf numFmtId="0" fontId="0" fillId="13" borderId="99" xfId="0" applyFill="1" applyBorder="1" applyProtection="1">
      <protection locked="0"/>
    </xf>
    <xf numFmtId="0" fontId="0" fillId="13" borderId="102" xfId="0" applyFill="1" applyBorder="1" applyProtection="1">
      <protection locked="0"/>
    </xf>
    <xf numFmtId="165" fontId="0" fillId="0" borderId="88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65" fontId="0" fillId="0" borderId="36" xfId="0" applyNumberFormat="1" applyBorder="1" applyProtection="1">
      <protection locked="0"/>
    </xf>
    <xf numFmtId="0" fontId="0" fillId="13" borderId="23" xfId="0" applyFill="1" applyBorder="1" applyProtection="1">
      <protection locked="0"/>
    </xf>
    <xf numFmtId="165" fontId="0" fillId="13" borderId="160" xfId="0" applyNumberFormat="1" applyFill="1" applyBorder="1"/>
    <xf numFmtId="0" fontId="0" fillId="13" borderId="150" xfId="0" applyFill="1" applyBorder="1" applyAlignment="1" applyProtection="1">
      <alignment horizontal="center" vertical="center"/>
      <protection locked="0"/>
    </xf>
    <xf numFmtId="0" fontId="0" fillId="0" borderId="82" xfId="0" applyBorder="1" applyProtection="1">
      <protection locked="0"/>
    </xf>
    <xf numFmtId="0" fontId="0" fillId="0" borderId="35" xfId="0" applyBorder="1" applyProtection="1">
      <protection locked="0"/>
    </xf>
    <xf numFmtId="0" fontId="0" fillId="13" borderId="37" xfId="0" applyFill="1" applyBorder="1" applyProtection="1">
      <protection locked="0"/>
    </xf>
    <xf numFmtId="0" fontId="0" fillId="13" borderId="32" xfId="0" applyFill="1" applyBorder="1" applyProtection="1">
      <protection locked="0"/>
    </xf>
    <xf numFmtId="165" fontId="0" fillId="13" borderId="68" xfId="0" applyNumberFormat="1" applyFill="1" applyBorder="1"/>
    <xf numFmtId="0" fontId="0" fillId="0" borderId="0" xfId="0" applyAlignment="1" applyProtection="1">
      <protection locked="0"/>
    </xf>
    <xf numFmtId="0" fontId="0" fillId="0" borderId="61" xfId="0" applyBorder="1" applyProtection="1">
      <protection locked="0"/>
    </xf>
    <xf numFmtId="0" fontId="0" fillId="13" borderId="114" xfId="0" applyFont="1" applyFill="1" applyBorder="1" applyProtection="1">
      <protection locked="0"/>
    </xf>
    <xf numFmtId="0" fontId="0" fillId="0" borderId="154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50" xfId="0" applyBorder="1" applyProtection="1">
      <protection locked="0"/>
    </xf>
    <xf numFmtId="0" fontId="0" fillId="0" borderId="137" xfId="0" applyBorder="1" applyProtection="1">
      <protection locked="0"/>
    </xf>
    <xf numFmtId="0" fontId="0" fillId="0" borderId="39" xfId="0" applyBorder="1" applyProtection="1">
      <protection locked="0"/>
    </xf>
    <xf numFmtId="0" fontId="0" fillId="13" borderId="163" xfId="0" applyFont="1" applyFill="1" applyBorder="1" applyProtection="1">
      <protection locked="0"/>
    </xf>
    <xf numFmtId="0" fontId="0" fillId="13" borderId="108" xfId="0" applyFont="1" applyFill="1" applyBorder="1" applyProtection="1">
      <protection locked="0"/>
    </xf>
    <xf numFmtId="0" fontId="1" fillId="13" borderId="154" xfId="0" applyFont="1" applyFill="1" applyBorder="1" applyAlignment="1" applyProtection="1">
      <alignment horizontal="center" vertical="center"/>
      <protection locked="0"/>
    </xf>
    <xf numFmtId="0" fontId="1" fillId="13" borderId="39" xfId="0" applyFont="1" applyFill="1" applyBorder="1" applyAlignment="1" applyProtection="1">
      <alignment horizontal="center" vertical="center"/>
      <protection locked="0"/>
    </xf>
    <xf numFmtId="0" fontId="0" fillId="13" borderId="163" xfId="0" applyFill="1" applyBorder="1" applyAlignment="1" applyProtection="1">
      <alignment horizontal="center" vertical="center"/>
      <protection locked="0"/>
    </xf>
    <xf numFmtId="0" fontId="0" fillId="0" borderId="64" xfId="0" applyBorder="1" applyProtection="1">
      <protection locked="0"/>
    </xf>
    <xf numFmtId="0" fontId="0" fillId="0" borderId="42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31" xfId="0" applyBorder="1" applyProtection="1">
      <protection locked="0"/>
    </xf>
    <xf numFmtId="0" fontId="0" fillId="13" borderId="159" xfId="0" applyFont="1" applyFill="1" applyBorder="1" applyProtection="1">
      <protection locked="0"/>
    </xf>
    <xf numFmtId="0" fontId="0" fillId="0" borderId="70" xfId="0" applyBorder="1" applyProtection="1">
      <protection locked="0"/>
    </xf>
    <xf numFmtId="165" fontId="0" fillId="0" borderId="15" xfId="0" applyNumberFormat="1" applyFill="1" applyBorder="1" applyAlignment="1" applyProtection="1">
      <alignment vertical="center"/>
      <protection locked="0"/>
    </xf>
    <xf numFmtId="165" fontId="1" fillId="0" borderId="15" xfId="0" applyNumberFormat="1" applyFont="1" applyFill="1" applyBorder="1" applyAlignment="1">
      <alignment vertical="center"/>
    </xf>
    <xf numFmtId="165" fontId="0" fillId="0" borderId="42" xfId="0" applyNumberFormat="1" applyBorder="1" applyProtection="1">
      <protection locked="0"/>
    </xf>
    <xf numFmtId="165" fontId="9" fillId="0" borderId="25" xfId="0" applyNumberFormat="1" applyFont="1" applyFill="1" applyBorder="1" applyProtection="1">
      <protection locked="0"/>
    </xf>
    <xf numFmtId="165" fontId="9" fillId="0" borderId="15" xfId="0" applyNumberFormat="1" applyFont="1" applyFill="1" applyBorder="1" applyProtection="1">
      <protection locked="0"/>
    </xf>
    <xf numFmtId="165" fontId="0" fillId="0" borderId="15" xfId="0" applyNumberFormat="1" applyFill="1" applyBorder="1" applyProtection="1">
      <protection locked="0"/>
    </xf>
    <xf numFmtId="165" fontId="0" fillId="0" borderId="20" xfId="0" applyNumberFormat="1" applyFill="1" applyBorder="1" applyProtection="1">
      <protection locked="0"/>
    </xf>
    <xf numFmtId="165" fontId="0" fillId="0" borderId="25" xfId="0" applyNumberFormat="1" applyFill="1" applyBorder="1" applyProtection="1">
      <protection locked="0"/>
    </xf>
    <xf numFmtId="165" fontId="0" fillId="0" borderId="15" xfId="0" applyNumberFormat="1" applyFill="1" applyBorder="1" applyAlignment="1" applyProtection="1">
      <alignment horizontal="center" vertical="center"/>
      <protection locked="0"/>
    </xf>
    <xf numFmtId="165" fontId="0" fillId="0" borderId="25" xfId="0" applyNumberFormat="1" applyFill="1" applyBorder="1" applyAlignment="1">
      <alignment vertical="center"/>
    </xf>
    <xf numFmtId="165" fontId="0" fillId="0" borderId="15" xfId="0" applyNumberFormat="1" applyFill="1" applyBorder="1" applyAlignment="1">
      <alignment vertical="center"/>
    </xf>
    <xf numFmtId="165" fontId="0" fillId="0" borderId="20" xfId="0" applyNumberFormat="1" applyFill="1" applyBorder="1" applyAlignment="1">
      <alignment vertical="center"/>
    </xf>
    <xf numFmtId="165" fontId="0" fillId="0" borderId="25" xfId="0" applyNumberFormat="1" applyFill="1" applyBorder="1" applyAlignment="1" applyProtection="1">
      <alignment vertical="center"/>
      <protection locked="0"/>
    </xf>
    <xf numFmtId="165" fontId="1" fillId="0" borderId="20" xfId="0" applyNumberFormat="1" applyFont="1" applyFill="1" applyBorder="1"/>
    <xf numFmtId="165" fontId="1" fillId="0" borderId="25" xfId="0" applyNumberFormat="1" applyFont="1" applyFill="1" applyBorder="1" applyAlignment="1">
      <alignment vertical="center"/>
    </xf>
    <xf numFmtId="165" fontId="0" fillId="0" borderId="19" xfId="0" applyNumberFormat="1" applyBorder="1" applyProtection="1">
      <protection locked="0"/>
    </xf>
    <xf numFmtId="165" fontId="9" fillId="0" borderId="25" xfId="0" applyNumberFormat="1" applyFont="1" applyFill="1" applyBorder="1" applyAlignment="1"/>
    <xf numFmtId="165" fontId="9" fillId="0" borderId="15" xfId="0" applyNumberFormat="1" applyFont="1" applyFill="1" applyBorder="1" applyAlignment="1"/>
    <xf numFmtId="165" fontId="9" fillId="0" borderId="20" xfId="0" applyNumberFormat="1" applyFont="1" applyFill="1" applyBorder="1" applyAlignment="1"/>
    <xf numFmtId="165" fontId="1" fillId="0" borderId="25" xfId="0" applyNumberFormat="1" applyFont="1" applyBorder="1" applyAlignment="1">
      <alignment vertical="center"/>
    </xf>
    <xf numFmtId="165" fontId="1" fillId="0" borderId="15" xfId="0" applyNumberFormat="1" applyFont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0" fillId="13" borderId="61" xfId="0" applyFont="1" applyFill="1" applyBorder="1" applyAlignment="1">
      <alignment vertical="center"/>
    </xf>
    <xf numFmtId="164" fontId="0" fillId="13" borderId="61" xfId="0" applyNumberFormat="1" applyFont="1" applyFill="1" applyBorder="1" applyAlignment="1">
      <alignment vertical="center"/>
    </xf>
    <xf numFmtId="0" fontId="9" fillId="13" borderId="11" xfId="0" applyFont="1" applyFill="1" applyBorder="1" applyAlignment="1">
      <alignment vertical="center"/>
    </xf>
    <xf numFmtId="0" fontId="9" fillId="13" borderId="111" xfId="0" applyFont="1" applyFill="1" applyBorder="1" applyAlignment="1">
      <alignment vertical="center"/>
    </xf>
    <xf numFmtId="0" fontId="9" fillId="13" borderId="100" xfId="0" applyFont="1" applyFill="1" applyBorder="1" applyAlignment="1">
      <alignment vertical="center"/>
    </xf>
    <xf numFmtId="0" fontId="0" fillId="13" borderId="112" xfId="0" applyFont="1" applyFill="1" applyBorder="1" applyAlignment="1">
      <alignment vertical="center"/>
    </xf>
    <xf numFmtId="0" fontId="0" fillId="13" borderId="61" xfId="0" applyFont="1" applyFill="1" applyBorder="1" applyAlignment="1" applyProtection="1">
      <alignment vertical="center"/>
      <protection locked="0"/>
    </xf>
    <xf numFmtId="0" fontId="0" fillId="13" borderId="48" xfId="0" applyFill="1" applyBorder="1" applyAlignment="1" applyProtection="1">
      <alignment horizontal="center" vertical="center"/>
      <protection locked="0"/>
    </xf>
    <xf numFmtId="0" fontId="0" fillId="13" borderId="85" xfId="0" applyFill="1" applyBorder="1" applyAlignment="1" applyProtection="1">
      <alignment horizontal="center" vertical="center"/>
      <protection locked="0"/>
    </xf>
    <xf numFmtId="165" fontId="0" fillId="13" borderId="1" xfId="0" applyNumberFormat="1" applyFont="1" applyFill="1" applyBorder="1" applyAlignment="1" applyProtection="1">
      <alignment vertical="center"/>
      <protection locked="0"/>
    </xf>
    <xf numFmtId="165" fontId="0" fillId="13" borderId="11" xfId="0" applyNumberFormat="1" applyFill="1" applyBorder="1" applyAlignment="1" applyProtection="1">
      <alignment vertical="center"/>
      <protection locked="0"/>
    </xf>
    <xf numFmtId="0" fontId="0" fillId="13" borderId="11" xfId="0" applyFont="1" applyFill="1" applyBorder="1" applyAlignment="1" applyProtection="1">
      <alignment vertical="center"/>
      <protection locked="0"/>
    </xf>
    <xf numFmtId="165" fontId="0" fillId="13" borderId="105" xfId="0" applyNumberFormat="1" applyFill="1" applyBorder="1" applyProtection="1">
      <protection locked="0"/>
    </xf>
    <xf numFmtId="165" fontId="0" fillId="13" borderId="31" xfId="0" applyNumberFormat="1" applyFill="1" applyBorder="1" applyProtection="1">
      <protection locked="0"/>
    </xf>
    <xf numFmtId="165" fontId="0" fillId="13" borderId="32" xfId="0" applyNumberFormat="1" applyFill="1" applyBorder="1" applyProtection="1">
      <protection locked="0"/>
    </xf>
    <xf numFmtId="165" fontId="0" fillId="13" borderId="33" xfId="0" applyNumberFormat="1" applyFill="1" applyBorder="1" applyProtection="1">
      <protection locked="0"/>
    </xf>
    <xf numFmtId="165" fontId="9" fillId="10" borderId="25" xfId="0" applyNumberFormat="1" applyFont="1" applyFill="1" applyBorder="1" applyAlignment="1"/>
    <xf numFmtId="165" fontId="9" fillId="10" borderId="15" xfId="0" applyNumberFormat="1" applyFont="1" applyFill="1" applyBorder="1" applyAlignment="1"/>
    <xf numFmtId="165" fontId="9" fillId="10" borderId="20" xfId="0" applyNumberFormat="1" applyFont="1" applyFill="1" applyBorder="1" applyAlignment="1"/>
    <xf numFmtId="165" fontId="9" fillId="10" borderId="43" xfId="0" applyNumberFormat="1" applyFont="1" applyFill="1" applyBorder="1" applyProtection="1">
      <protection locked="0"/>
    </xf>
    <xf numFmtId="165" fontId="9" fillId="10" borderId="55" xfId="0" applyNumberFormat="1" applyFont="1" applyFill="1" applyBorder="1" applyProtection="1">
      <protection locked="0"/>
    </xf>
    <xf numFmtId="165" fontId="0" fillId="10" borderId="55" xfId="0" applyNumberFormat="1" applyFill="1" applyBorder="1" applyProtection="1">
      <protection locked="0"/>
    </xf>
    <xf numFmtId="165" fontId="0" fillId="10" borderId="129" xfId="0" applyNumberFormat="1" applyFill="1" applyBorder="1" applyProtection="1">
      <protection locked="0"/>
    </xf>
    <xf numFmtId="165" fontId="0" fillId="10" borderId="30" xfId="0" applyNumberFormat="1" applyFill="1" applyBorder="1" applyProtection="1">
      <protection locked="0"/>
    </xf>
    <xf numFmtId="165" fontId="0" fillId="10" borderId="50" xfId="0" applyNumberFormat="1" applyFill="1" applyBorder="1" applyProtection="1">
      <protection locked="0"/>
    </xf>
    <xf numFmtId="165" fontId="0" fillId="10" borderId="137" xfId="0" applyNumberFormat="1" applyFill="1" applyBorder="1" applyProtection="1">
      <protection locked="0"/>
    </xf>
    <xf numFmtId="165" fontId="0" fillId="10" borderId="43" xfId="0" applyNumberFormat="1" applyFill="1" applyBorder="1" applyProtection="1">
      <protection locked="0"/>
    </xf>
    <xf numFmtId="165" fontId="0" fillId="10" borderId="26" xfId="0" applyNumberFormat="1" applyFill="1" applyBorder="1" applyProtection="1">
      <protection locked="0"/>
    </xf>
    <xf numFmtId="165" fontId="0" fillId="10" borderId="14" xfId="0" applyNumberFormat="1" applyFill="1" applyBorder="1" applyProtection="1">
      <protection locked="0"/>
    </xf>
    <xf numFmtId="165" fontId="0" fillId="10" borderId="21" xfId="0" applyNumberFormat="1" applyFill="1" applyBorder="1" applyProtection="1">
      <protection locked="0"/>
    </xf>
    <xf numFmtId="0" fontId="0" fillId="10" borderId="119" xfId="0" applyFill="1" applyBorder="1" applyProtection="1">
      <protection locked="0"/>
    </xf>
    <xf numFmtId="0" fontId="0" fillId="10" borderId="61" xfId="0" applyFill="1" applyBorder="1" applyProtection="1">
      <protection locked="0"/>
    </xf>
    <xf numFmtId="0" fontId="0" fillId="10" borderId="62" xfId="0" applyFill="1" applyBorder="1" applyProtection="1">
      <protection locked="0"/>
    </xf>
    <xf numFmtId="0" fontId="0" fillId="0" borderId="77" xfId="0" applyBorder="1" applyProtection="1">
      <protection locked="0"/>
    </xf>
    <xf numFmtId="0" fontId="0" fillId="0" borderId="51" xfId="0" applyBorder="1" applyProtection="1">
      <protection locked="0"/>
    </xf>
    <xf numFmtId="0" fontId="0" fillId="23" borderId="88" xfId="0" applyFill="1" applyBorder="1" applyAlignment="1" applyProtection="1">
      <alignment horizontal="center" vertical="center"/>
      <protection locked="0"/>
    </xf>
    <xf numFmtId="0" fontId="0" fillId="23" borderId="36" xfId="0" applyFill="1" applyBorder="1" applyAlignment="1" applyProtection="1">
      <alignment horizontal="center" vertical="center"/>
      <protection locked="0"/>
    </xf>
    <xf numFmtId="0" fontId="0" fillId="23" borderId="102" xfId="0" applyFill="1" applyBorder="1" applyAlignment="1" applyProtection="1">
      <alignment horizontal="center" vertical="center"/>
      <protection locked="0"/>
    </xf>
    <xf numFmtId="0" fontId="0" fillId="23" borderId="145" xfId="0" applyFill="1" applyBorder="1" applyProtection="1">
      <protection locked="0"/>
    </xf>
    <xf numFmtId="0" fontId="0" fillId="23" borderId="102" xfId="0" applyFill="1" applyBorder="1" applyProtection="1">
      <protection locked="0"/>
    </xf>
    <xf numFmtId="0" fontId="0" fillId="23" borderId="105" xfId="0" applyFill="1" applyBorder="1" applyProtection="1">
      <protection locked="0"/>
    </xf>
    <xf numFmtId="0" fontId="0" fillId="23" borderId="160" xfId="0" applyFill="1" applyBorder="1" applyProtection="1">
      <protection locked="0"/>
    </xf>
    <xf numFmtId="0" fontId="0" fillId="23" borderId="165" xfId="0" applyFill="1" applyBorder="1" applyProtection="1">
      <protection locked="0"/>
    </xf>
    <xf numFmtId="165" fontId="21" fillId="13" borderId="32" xfId="0" applyNumberFormat="1" applyFont="1" applyFill="1" applyBorder="1" applyAlignment="1" applyProtection="1">
      <alignment vertical="center"/>
      <protection locked="0"/>
    </xf>
    <xf numFmtId="0" fontId="26" fillId="13" borderId="11" xfId="0" applyFont="1" applyFill="1" applyBorder="1" applyAlignment="1">
      <alignment horizontal="left" vertical="center"/>
    </xf>
    <xf numFmtId="0" fontId="9" fillId="30" borderId="11" xfId="0" applyFont="1" applyFill="1" applyBorder="1" applyAlignment="1">
      <alignment horizontal="left" vertical="center"/>
    </xf>
    <xf numFmtId="0" fontId="0" fillId="30" borderId="11" xfId="0" applyFont="1" applyFill="1" applyBorder="1" applyAlignment="1">
      <alignment horizontal="left" vertical="center"/>
    </xf>
    <xf numFmtId="0" fontId="0" fillId="13" borderId="11" xfId="0" applyFont="1" applyFill="1" applyBorder="1" applyAlignment="1">
      <alignment horizontal="left" vertical="center"/>
    </xf>
    <xf numFmtId="0" fontId="1" fillId="0" borderId="119" xfId="0" applyFont="1" applyFill="1" applyBorder="1"/>
    <xf numFmtId="165" fontId="1" fillId="0" borderId="28" xfId="0" applyNumberFormat="1" applyFont="1" applyFill="1" applyBorder="1"/>
    <xf numFmtId="0" fontId="3" fillId="0" borderId="63" xfId="0" applyFont="1" applyFill="1" applyBorder="1" applyAlignment="1">
      <alignment horizontal="center" vertical="center"/>
    </xf>
    <xf numFmtId="0" fontId="3" fillId="13" borderId="61" xfId="0" applyFont="1" applyFill="1" applyBorder="1" applyAlignment="1">
      <alignment horizontal="center" vertical="center"/>
    </xf>
    <xf numFmtId="165" fontId="1" fillId="13" borderId="22" xfId="0" applyNumberFormat="1" applyFont="1" applyFill="1" applyBorder="1"/>
    <xf numFmtId="0" fontId="1" fillId="13" borderId="22" xfId="0" applyFont="1" applyFill="1" applyBorder="1" applyAlignment="1">
      <alignment horizontal="center"/>
    </xf>
    <xf numFmtId="0" fontId="0" fillId="26" borderId="32" xfId="0" applyFill="1" applyBorder="1" applyAlignment="1">
      <alignment horizontal="center" vertical="center"/>
    </xf>
    <xf numFmtId="0" fontId="10" fillId="16" borderId="1" xfId="0" applyFont="1" applyFill="1" applyBorder="1" applyAlignment="1" applyProtection="1">
      <alignment horizontal="center" vertical="center" wrapText="1"/>
      <protection locked="0"/>
    </xf>
    <xf numFmtId="0" fontId="10" fillId="16" borderId="2" xfId="0" applyFont="1" applyFill="1" applyBorder="1" applyAlignment="1" applyProtection="1">
      <alignment horizontal="center" vertical="center" wrapText="1"/>
      <protection locked="0"/>
    </xf>
    <xf numFmtId="0" fontId="10" fillId="16" borderId="3" xfId="0" applyFont="1" applyFill="1" applyBorder="1" applyAlignment="1" applyProtection="1">
      <alignment horizontal="center" vertical="center" wrapText="1"/>
      <protection locked="0"/>
    </xf>
    <xf numFmtId="0" fontId="1" fillId="16" borderId="0" xfId="0" applyFont="1" applyFill="1" applyAlignment="1" applyProtection="1">
      <alignment horizontal="center"/>
      <protection locked="0"/>
    </xf>
    <xf numFmtId="0" fontId="1" fillId="8" borderId="0" xfId="0" applyFont="1" applyFill="1" applyAlignment="1" applyProtection="1">
      <alignment horizontal="center"/>
      <protection locked="0"/>
    </xf>
    <xf numFmtId="0" fontId="10" fillId="8" borderId="1" xfId="0" applyFont="1" applyFill="1" applyBorder="1" applyAlignment="1" applyProtection="1">
      <alignment horizontal="center" vertical="center" wrapText="1"/>
      <protection locked="0"/>
    </xf>
    <xf numFmtId="0" fontId="10" fillId="8" borderId="2" xfId="0" applyFont="1" applyFill="1" applyBorder="1" applyAlignment="1" applyProtection="1">
      <alignment horizontal="center" vertical="center" wrapText="1"/>
      <protection locked="0"/>
    </xf>
    <xf numFmtId="0" fontId="10" fillId="8" borderId="3" xfId="0" applyFont="1" applyFill="1" applyBorder="1" applyAlignment="1" applyProtection="1">
      <alignment horizontal="center" vertical="center" wrapText="1"/>
      <protection locked="0"/>
    </xf>
    <xf numFmtId="0" fontId="1" fillId="17" borderId="0" xfId="0" applyFont="1" applyFill="1" applyAlignment="1" applyProtection="1">
      <alignment horizontal="center"/>
      <protection locked="0"/>
    </xf>
    <xf numFmtId="0" fontId="10" fillId="17" borderId="1" xfId="0" applyFont="1" applyFill="1" applyBorder="1" applyAlignment="1" applyProtection="1">
      <alignment horizontal="center" vertical="center" wrapText="1"/>
      <protection locked="0"/>
    </xf>
    <xf numFmtId="0" fontId="10" fillId="17" borderId="2" xfId="0" applyFont="1" applyFill="1" applyBorder="1" applyAlignment="1" applyProtection="1">
      <alignment horizontal="center" vertical="center" wrapText="1"/>
      <protection locked="0"/>
    </xf>
    <xf numFmtId="0" fontId="10" fillId="17" borderId="3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0" fontId="10" fillId="7" borderId="2" xfId="0" applyFont="1" applyFill="1" applyBorder="1" applyAlignment="1" applyProtection="1">
      <alignment horizontal="center" vertical="center" wrapText="1"/>
      <protection locked="0"/>
    </xf>
    <xf numFmtId="0" fontId="10" fillId="7" borderId="3" xfId="0" applyFont="1" applyFill="1" applyBorder="1" applyAlignment="1" applyProtection="1">
      <alignment horizontal="center" vertical="center" wrapText="1"/>
      <protection locked="0"/>
    </xf>
    <xf numFmtId="0" fontId="10" fillId="21" borderId="1" xfId="0" applyFont="1" applyFill="1" applyBorder="1" applyAlignment="1" applyProtection="1">
      <alignment horizontal="center" vertical="center" wrapText="1"/>
      <protection locked="0"/>
    </xf>
    <xf numFmtId="0" fontId="10" fillId="21" borderId="2" xfId="0" applyFont="1" applyFill="1" applyBorder="1" applyAlignment="1" applyProtection="1">
      <alignment horizontal="center" vertical="center" wrapText="1"/>
      <protection locked="0"/>
    </xf>
    <xf numFmtId="0" fontId="10" fillId="21" borderId="3" xfId="0" applyFont="1" applyFill="1" applyBorder="1" applyAlignment="1" applyProtection="1">
      <alignment horizontal="center" vertical="center" wrapText="1"/>
      <protection locked="0"/>
    </xf>
    <xf numFmtId="0" fontId="1" fillId="21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1" fillId="7" borderId="0" xfId="0" applyFont="1" applyFill="1" applyAlignment="1" applyProtection="1">
      <alignment horizontal="center"/>
      <protection locked="0"/>
    </xf>
    <xf numFmtId="0" fontId="1" fillId="0" borderId="122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165" fontId="1" fillId="2" borderId="107" xfId="0" applyNumberFormat="1" applyFont="1" applyFill="1" applyBorder="1" applyAlignment="1">
      <alignment horizontal="center" vertical="center"/>
    </xf>
    <xf numFmtId="165" fontId="1" fillId="2" borderId="108" xfId="0" applyNumberFormat="1" applyFont="1" applyFill="1" applyBorder="1" applyAlignment="1">
      <alignment horizontal="center" vertical="center"/>
    </xf>
    <xf numFmtId="0" fontId="1" fillId="6" borderId="0" xfId="0" applyFont="1" applyFill="1" applyAlignment="1" applyProtection="1">
      <alignment horizontal="center"/>
      <protection locked="0"/>
    </xf>
    <xf numFmtId="0" fontId="11" fillId="9" borderId="0" xfId="0" applyFont="1" applyFill="1" applyAlignment="1" applyProtection="1">
      <alignment horizontal="center"/>
      <protection locked="0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0" fillId="21" borderId="2" xfId="0" applyFont="1" applyFill="1" applyBorder="1" applyAlignment="1">
      <alignment horizontal="center" vertical="center" wrapText="1"/>
    </xf>
    <xf numFmtId="0" fontId="10" fillId="21" borderId="3" xfId="0" applyFont="1" applyFill="1" applyBorder="1" applyAlignment="1">
      <alignment horizontal="center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24" fillId="12" borderId="12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24" fillId="18" borderId="12" xfId="0" applyFont="1" applyFill="1" applyBorder="1" applyAlignment="1">
      <alignment horizontal="center" vertical="center" wrapText="1"/>
    </xf>
    <xf numFmtId="0" fontId="24" fillId="18" borderId="13" xfId="0" applyFont="1" applyFill="1" applyBorder="1" applyAlignment="1">
      <alignment horizontal="center" vertical="center" wrapText="1"/>
    </xf>
    <xf numFmtId="0" fontId="24" fillId="19" borderId="11" xfId="0" applyFont="1" applyFill="1" applyBorder="1" applyAlignment="1">
      <alignment horizontal="center" vertical="center" wrapText="1"/>
    </xf>
    <xf numFmtId="0" fontId="24" fillId="19" borderId="12" xfId="0" applyFont="1" applyFill="1" applyBorder="1" applyAlignment="1">
      <alignment horizontal="center" vertical="center" wrapText="1"/>
    </xf>
    <xf numFmtId="0" fontId="24" fillId="19" borderId="13" xfId="0" applyFont="1" applyFill="1" applyBorder="1" applyAlignment="1">
      <alignment horizontal="center" vertical="center" wrapText="1"/>
    </xf>
    <xf numFmtId="0" fontId="1" fillId="4" borderId="0" xfId="0" applyFont="1" applyFill="1" applyAlignment="1" applyProtection="1">
      <alignment horizontal="center"/>
      <protection locked="0"/>
    </xf>
    <xf numFmtId="0" fontId="1" fillId="12" borderId="0" xfId="0" applyFont="1" applyFill="1" applyAlignment="1" applyProtection="1">
      <alignment horizontal="center"/>
      <protection locked="0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1" fillId="18" borderId="0" xfId="0" applyFont="1" applyFill="1" applyAlignment="1" applyProtection="1">
      <alignment horizontal="center"/>
      <protection locked="0"/>
    </xf>
    <xf numFmtId="0" fontId="1" fillId="19" borderId="0" xfId="0" applyFont="1" applyFill="1" applyAlignment="1" applyProtection="1">
      <alignment horizontal="center"/>
      <protection locked="0"/>
    </xf>
    <xf numFmtId="0" fontId="1" fillId="11" borderId="0" xfId="0" applyFont="1" applyFill="1" applyAlignment="1" applyProtection="1">
      <alignment horizontal="center"/>
      <protection locked="0"/>
    </xf>
    <xf numFmtId="0" fontId="1" fillId="10" borderId="0" xfId="0" applyFont="1" applyFill="1" applyAlignment="1" applyProtection="1">
      <alignment horizontal="center"/>
      <protection locked="0"/>
    </xf>
    <xf numFmtId="165" fontId="2" fillId="18" borderId="128" xfId="0" applyNumberFormat="1" applyFont="1" applyFill="1" applyBorder="1" applyAlignment="1">
      <alignment horizontal="right" vertical="center"/>
    </xf>
    <xf numFmtId="165" fontId="2" fillId="18" borderId="107" xfId="0" applyNumberFormat="1" applyFont="1" applyFill="1" applyBorder="1" applyAlignment="1">
      <alignment horizontal="right" vertical="center"/>
    </xf>
    <xf numFmtId="165" fontId="2" fillId="18" borderId="108" xfId="0" applyNumberFormat="1" applyFont="1" applyFill="1" applyBorder="1" applyAlignment="1">
      <alignment horizontal="right" vertical="center"/>
    </xf>
    <xf numFmtId="0" fontId="1" fillId="6" borderId="53" xfId="0" applyFont="1" applyFill="1" applyBorder="1" applyAlignment="1" applyProtection="1">
      <alignment horizontal="center"/>
      <protection locked="0"/>
    </xf>
    <xf numFmtId="0" fontId="25" fillId="2" borderId="22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0" fillId="8" borderId="11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25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0" xfId="0" applyFill="1" applyBorder="1" applyAlignment="1">
      <alignment horizontal="center" vertical="center"/>
    </xf>
    <xf numFmtId="0" fontId="0" fillId="2" borderId="131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3" fillId="0" borderId="51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81" xfId="0" applyFont="1" applyBorder="1" applyAlignment="1">
      <alignment horizontal="center" vertical="center" wrapText="1"/>
    </xf>
    <xf numFmtId="0" fontId="23" fillId="0" borderId="82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0" fillId="0" borderId="27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1" fillId="14" borderId="0" xfId="0" applyFont="1" applyFill="1" applyAlignment="1" applyProtection="1">
      <alignment horizontal="center"/>
      <protection locked="0"/>
    </xf>
    <xf numFmtId="0" fontId="10" fillId="14" borderId="42" xfId="0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0" fillId="23" borderId="57" xfId="0" applyFill="1" applyBorder="1" applyAlignment="1" applyProtection="1">
      <alignment horizontal="center"/>
      <protection locked="0"/>
    </xf>
    <xf numFmtId="0" fontId="0" fillId="23" borderId="86" xfId="0" applyFill="1" applyBorder="1" applyAlignment="1" applyProtection="1">
      <alignment horizontal="center"/>
      <protection locked="0"/>
    </xf>
    <xf numFmtId="0" fontId="0" fillId="23" borderId="87" xfId="0" applyFill="1" applyBorder="1" applyAlignment="1" applyProtection="1">
      <alignment horizontal="center"/>
      <protection locked="0"/>
    </xf>
    <xf numFmtId="0" fontId="0" fillId="23" borderId="61" xfId="0" applyFill="1" applyBorder="1" applyAlignment="1" applyProtection="1">
      <alignment horizontal="center"/>
      <protection locked="0"/>
    </xf>
    <xf numFmtId="0" fontId="0" fillId="23" borderId="12" xfId="0" applyFill="1" applyBorder="1" applyAlignment="1" applyProtection="1">
      <alignment horizontal="center"/>
      <protection locked="0"/>
    </xf>
    <xf numFmtId="0" fontId="0" fillId="23" borderId="114" xfId="0" applyFill="1" applyBorder="1" applyAlignment="1" applyProtection="1">
      <alignment horizontal="center"/>
      <protection locked="0"/>
    </xf>
    <xf numFmtId="0" fontId="1" fillId="15" borderId="0" xfId="0" applyFont="1" applyFill="1" applyAlignment="1" applyProtection="1">
      <alignment horizontal="center"/>
      <protection locked="0"/>
    </xf>
    <xf numFmtId="165" fontId="0" fillId="4" borderId="106" xfId="0" applyNumberFormat="1" applyFill="1" applyBorder="1" applyAlignment="1">
      <alignment horizontal="center" vertical="center"/>
    </xf>
    <xf numFmtId="165" fontId="0" fillId="4" borderId="107" xfId="0" applyNumberFormat="1" applyFill="1" applyBorder="1" applyAlignment="1">
      <alignment horizontal="center" vertical="center"/>
    </xf>
    <xf numFmtId="165" fontId="0" fillId="4" borderId="108" xfId="0" applyNumberFormat="1" applyFill="1" applyBorder="1" applyAlignment="1">
      <alignment horizontal="center" vertical="center"/>
    </xf>
    <xf numFmtId="0" fontId="0" fillId="23" borderId="57" xfId="0" applyFill="1" applyBorder="1" applyAlignment="1">
      <alignment horizontal="center"/>
    </xf>
    <xf numFmtId="0" fontId="0" fillId="23" borderId="86" xfId="0" applyFill="1" applyBorder="1" applyAlignment="1">
      <alignment horizontal="center"/>
    </xf>
    <xf numFmtId="0" fontId="0" fillId="23" borderId="87" xfId="0" applyFill="1" applyBorder="1" applyAlignment="1">
      <alignment horizontal="center"/>
    </xf>
    <xf numFmtId="0" fontId="0" fillId="23" borderId="61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3" borderId="114" xfId="0" applyFill="1" applyBorder="1" applyAlignment="1">
      <alignment horizontal="center"/>
    </xf>
    <xf numFmtId="0" fontId="0" fillId="23" borderId="96" xfId="0" applyFill="1" applyBorder="1" applyAlignment="1">
      <alignment horizontal="center"/>
    </xf>
    <xf numFmtId="0" fontId="0" fillId="23" borderId="97" xfId="0" applyFill="1" applyBorder="1" applyAlignment="1">
      <alignment horizontal="center"/>
    </xf>
    <xf numFmtId="0" fontId="0" fillId="23" borderId="98" xfId="0" applyFill="1" applyBorder="1" applyAlignment="1">
      <alignment horizontal="center"/>
    </xf>
    <xf numFmtId="0" fontId="0" fillId="23" borderId="109" xfId="0" applyFill="1" applyBorder="1" applyAlignment="1">
      <alignment horizontal="center" vertical="center"/>
    </xf>
    <xf numFmtId="0" fontId="0" fillId="23" borderId="110" xfId="0" applyFill="1" applyBorder="1" applyAlignment="1">
      <alignment horizontal="center" vertical="center"/>
    </xf>
    <xf numFmtId="0" fontId="0" fillId="23" borderId="111" xfId="0" applyFill="1" applyBorder="1" applyAlignment="1">
      <alignment horizontal="center" vertical="center"/>
    </xf>
    <xf numFmtId="0" fontId="1" fillId="13" borderId="151" xfId="0" applyFont="1" applyFill="1" applyBorder="1" applyAlignment="1">
      <alignment horizontal="center" vertical="center"/>
    </xf>
    <xf numFmtId="0" fontId="1" fillId="13" borderId="147" xfId="0" applyFont="1" applyFill="1" applyBorder="1" applyAlignment="1">
      <alignment horizontal="center" vertical="center"/>
    </xf>
    <xf numFmtId="0" fontId="1" fillId="13" borderId="132" xfId="0" applyFont="1" applyFill="1" applyBorder="1" applyAlignment="1">
      <alignment horizontal="center" vertical="center"/>
    </xf>
    <xf numFmtId="0" fontId="1" fillId="13" borderId="65" xfId="0" applyFont="1" applyFill="1" applyBorder="1" applyAlignment="1">
      <alignment horizontal="center" vertical="center"/>
    </xf>
    <xf numFmtId="0" fontId="1" fillId="13" borderId="152" xfId="0" applyFont="1" applyFill="1" applyBorder="1" applyAlignment="1">
      <alignment horizontal="center" vertical="center"/>
    </xf>
    <xf numFmtId="0" fontId="1" fillId="13" borderId="69" xfId="0" applyFont="1" applyFill="1" applyBorder="1" applyAlignment="1" applyProtection="1">
      <alignment horizontal="center" vertical="center"/>
      <protection locked="0"/>
    </xf>
    <xf numFmtId="0" fontId="1" fillId="13" borderId="158" xfId="0" applyFont="1" applyFill="1" applyBorder="1" applyAlignment="1" applyProtection="1">
      <alignment horizontal="center" vertical="center"/>
      <protection locked="0"/>
    </xf>
    <xf numFmtId="0" fontId="1" fillId="13" borderId="83" xfId="0" applyFont="1" applyFill="1" applyBorder="1" applyAlignment="1" applyProtection="1">
      <alignment horizontal="center" vertical="center"/>
      <protection locked="0"/>
    </xf>
    <xf numFmtId="0" fontId="1" fillId="13" borderId="84" xfId="0" applyFont="1" applyFill="1" applyBorder="1" applyAlignment="1" applyProtection="1">
      <alignment horizontal="center" vertical="center"/>
      <protection locked="0"/>
    </xf>
    <xf numFmtId="0" fontId="1" fillId="13" borderId="151" xfId="0" applyFont="1" applyFill="1" applyBorder="1" applyAlignment="1">
      <alignment horizontal="center"/>
    </xf>
    <xf numFmtId="0" fontId="1" fillId="13" borderId="147" xfId="0" applyFont="1" applyFill="1" applyBorder="1" applyAlignment="1">
      <alignment horizontal="center"/>
    </xf>
    <xf numFmtId="0" fontId="0" fillId="13" borderId="161" xfId="0" applyFill="1" applyBorder="1" applyAlignment="1" applyProtection="1">
      <alignment horizontal="center" vertical="center"/>
      <protection locked="0"/>
    </xf>
    <xf numFmtId="0" fontId="0" fillId="13" borderId="162" xfId="0" applyFill="1" applyBorder="1" applyAlignment="1" applyProtection="1">
      <alignment horizontal="center" vertical="center"/>
      <protection locked="0"/>
    </xf>
    <xf numFmtId="0" fontId="0" fillId="13" borderId="151" xfId="0" applyFill="1" applyBorder="1" applyAlignment="1" applyProtection="1">
      <alignment horizontal="center"/>
      <protection locked="0"/>
    </xf>
    <xf numFmtId="0" fontId="0" fillId="13" borderId="147" xfId="0" applyFill="1" applyBorder="1" applyAlignment="1" applyProtection="1">
      <alignment horizontal="center"/>
      <protection locked="0"/>
    </xf>
    <xf numFmtId="0" fontId="0" fillId="13" borderId="148" xfId="0" applyFill="1" applyBorder="1" applyAlignment="1" applyProtection="1">
      <alignment horizontal="center"/>
      <protection locked="0"/>
    </xf>
    <xf numFmtId="165" fontId="19" fillId="5" borderId="0" xfId="0" applyNumberFormat="1" applyFont="1" applyFill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0" fillId="23" borderId="112" xfId="0" applyFill="1" applyBorder="1" applyAlignment="1">
      <alignment horizontal="center" vertical="center"/>
    </xf>
    <xf numFmtId="0" fontId="0" fillId="23" borderId="113" xfId="0" applyFill="1" applyBorder="1" applyAlignment="1">
      <alignment horizontal="center" vertical="center"/>
    </xf>
    <xf numFmtId="165" fontId="0" fillId="4" borderId="78" xfId="0" applyNumberFormat="1" applyFill="1" applyBorder="1" applyAlignment="1">
      <alignment horizontal="center"/>
    </xf>
    <xf numFmtId="165" fontId="0" fillId="4" borderId="85" xfId="0" applyNumberFormat="1" applyFill="1" applyBorder="1" applyAlignment="1">
      <alignment horizontal="center"/>
    </xf>
    <xf numFmtId="0" fontId="1" fillId="13" borderId="57" xfId="0" applyFont="1" applyFill="1" applyBorder="1" applyAlignment="1" applyProtection="1">
      <alignment horizontal="center"/>
      <protection locked="0"/>
    </xf>
    <xf numFmtId="0" fontId="1" fillId="13" borderId="86" xfId="0" applyFont="1" applyFill="1" applyBorder="1" applyAlignment="1" applyProtection="1">
      <alignment horizontal="center"/>
      <protection locked="0"/>
    </xf>
    <xf numFmtId="0" fontId="1" fillId="13" borderId="87" xfId="0" applyFont="1" applyFill="1" applyBorder="1" applyAlignment="1" applyProtection="1">
      <alignment horizontal="center"/>
      <protection locked="0"/>
    </xf>
    <xf numFmtId="0" fontId="1" fillId="13" borderId="7" xfId="0" applyFont="1" applyFill="1" applyBorder="1" applyAlignment="1" applyProtection="1">
      <alignment horizontal="center" vertical="center"/>
      <protection locked="0"/>
    </xf>
    <xf numFmtId="0" fontId="1" fillId="13" borderId="38" xfId="0" applyFont="1" applyFill="1" applyBorder="1" applyAlignment="1" applyProtection="1">
      <alignment horizontal="center" vertical="center"/>
      <protection locked="0"/>
    </xf>
    <xf numFmtId="0" fontId="1" fillId="13" borderId="47" xfId="0" applyFont="1" applyFill="1" applyBorder="1" applyAlignment="1" applyProtection="1">
      <alignment horizontal="center" vertical="center"/>
      <protection locked="0"/>
    </xf>
    <xf numFmtId="0" fontId="1" fillId="13" borderId="106" xfId="0" applyFont="1" applyFill="1" applyBorder="1" applyAlignment="1" applyProtection="1">
      <alignment horizontal="center"/>
      <protection locked="0"/>
    </xf>
    <xf numFmtId="0" fontId="1" fillId="13" borderId="107" xfId="0" applyFont="1" applyFill="1" applyBorder="1" applyAlignment="1" applyProtection="1">
      <alignment horizontal="center"/>
      <protection locked="0"/>
    </xf>
    <xf numFmtId="0" fontId="1" fillId="13" borderId="164" xfId="0" applyFont="1" applyFill="1" applyBorder="1" applyAlignment="1" applyProtection="1">
      <alignment horizontal="center"/>
      <protection locked="0"/>
    </xf>
    <xf numFmtId="0" fontId="0" fillId="13" borderId="106" xfId="0" applyFill="1" applyBorder="1" applyAlignment="1" applyProtection="1">
      <alignment horizontal="center"/>
      <protection locked="0"/>
    </xf>
    <xf numFmtId="0" fontId="0" fillId="13" borderId="107" xfId="0" applyFill="1" applyBorder="1" applyAlignment="1" applyProtection="1">
      <alignment horizontal="center"/>
      <protection locked="0"/>
    </xf>
    <xf numFmtId="0" fontId="0" fillId="13" borderId="164" xfId="0" applyFill="1" applyBorder="1" applyAlignment="1" applyProtection="1">
      <alignment horizontal="center"/>
      <protection locked="0"/>
    </xf>
    <xf numFmtId="0" fontId="0" fillId="13" borderId="130" xfId="0" applyFill="1" applyBorder="1" applyAlignment="1" applyProtection="1">
      <alignment horizontal="center" vertical="center"/>
      <protection locked="0"/>
    </xf>
    <xf numFmtId="0" fontId="0" fillId="13" borderId="56" xfId="0" applyFill="1" applyBorder="1" applyAlignment="1" applyProtection="1">
      <alignment horizontal="center" vertical="center"/>
      <protection locked="0"/>
    </xf>
    <xf numFmtId="0" fontId="0" fillId="13" borderId="131" xfId="0" applyFill="1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15" borderId="42" xfId="0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165" fontId="1" fillId="0" borderId="48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85" xfId="0" applyNumberFormat="1" applyFont="1" applyBorder="1" applyAlignment="1">
      <alignment horizontal="center" vertical="center"/>
    </xf>
    <xf numFmtId="0" fontId="0" fillId="0" borderId="146" xfId="0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0" fillId="0" borderId="148" xfId="0" applyBorder="1" applyAlignment="1">
      <alignment horizontal="center" vertical="center"/>
    </xf>
    <xf numFmtId="0" fontId="0" fillId="0" borderId="0" xfId="0" applyAlignment="1">
      <alignment horizontal="center"/>
    </xf>
    <xf numFmtId="165" fontId="22" fillId="24" borderId="0" xfId="0" applyNumberFormat="1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5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5" fontId="2" fillId="25" borderId="0" xfId="0" applyNumberFormat="1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165" fontId="2" fillId="24" borderId="0" xfId="0" applyNumberFormat="1" applyFont="1" applyFill="1" applyAlignment="1">
      <alignment horizontal="center"/>
    </xf>
    <xf numFmtId="0" fontId="1" fillId="25" borderId="0" xfId="0" applyFont="1" applyFill="1" applyAlignment="1">
      <alignment horizontal="center" vertical="center"/>
    </xf>
    <xf numFmtId="165" fontId="27" fillId="25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7" fontId="6" fillId="10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5" fontId="1" fillId="8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165" fontId="1" fillId="1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117" xfId="0" applyFont="1" applyFill="1" applyBorder="1" applyAlignment="1">
      <alignment horizontal="center" vertical="center"/>
    </xf>
    <xf numFmtId="0" fontId="1" fillId="3" borderId="127" xfId="0" applyFont="1" applyFill="1" applyBorder="1" applyAlignment="1">
      <alignment horizontal="center" vertical="center"/>
    </xf>
    <xf numFmtId="0" fontId="1" fillId="3" borderId="118" xfId="0" applyFont="1" applyFill="1" applyBorder="1" applyAlignment="1">
      <alignment horizontal="center" vertical="center"/>
    </xf>
    <xf numFmtId="0" fontId="1" fillId="3" borderId="121" xfId="0" applyFont="1" applyFill="1" applyBorder="1" applyAlignment="1">
      <alignment horizontal="center" vertical="center"/>
    </xf>
    <xf numFmtId="0" fontId="1" fillId="29" borderId="0" xfId="0" applyFont="1" applyFill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8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17" borderId="132" xfId="0" applyFont="1" applyFill="1" applyBorder="1" applyAlignment="1">
      <alignment horizontal="center"/>
    </xf>
    <xf numFmtId="0" fontId="3" fillId="17" borderId="65" xfId="0" applyFont="1" applyFill="1" applyBorder="1" applyAlignment="1">
      <alignment horizontal="center"/>
    </xf>
    <xf numFmtId="0" fontId="3" fillId="17" borderId="133" xfId="0" applyFont="1" applyFill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134" xfId="0" applyFont="1" applyBorder="1" applyAlignment="1">
      <alignment horizontal="center"/>
    </xf>
    <xf numFmtId="165" fontId="0" fillId="3" borderId="50" xfId="0" applyNumberFormat="1" applyFill="1" applyBorder="1" applyAlignment="1">
      <alignment horizontal="center" vertical="center"/>
    </xf>
    <xf numFmtId="165" fontId="0" fillId="3" borderId="140" xfId="0" applyNumberFormat="1" applyFill="1" applyBorder="1" applyAlignment="1">
      <alignment horizontal="center" vertical="center"/>
    </xf>
    <xf numFmtId="165" fontId="0" fillId="3" borderId="55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left" vertical="center"/>
    </xf>
    <xf numFmtId="0" fontId="0" fillId="3" borderId="43" xfId="0" applyFill="1" applyBorder="1" applyAlignment="1">
      <alignment horizontal="left" vertical="center"/>
    </xf>
    <xf numFmtId="0" fontId="0" fillId="30" borderId="50" xfId="0" applyFill="1" applyBorder="1" applyAlignment="1">
      <alignment horizontal="center" vertical="center"/>
    </xf>
    <xf numFmtId="0" fontId="0" fillId="30" borderId="55" xfId="0" applyFill="1" applyBorder="1" applyAlignment="1">
      <alignment horizontal="center" vertical="center"/>
    </xf>
    <xf numFmtId="0" fontId="0" fillId="3" borderId="50" xfId="0" quotePrefix="1" applyFill="1" applyBorder="1" applyAlignment="1">
      <alignment horizontal="center" vertical="center"/>
    </xf>
    <xf numFmtId="0" fontId="0" fillId="3" borderId="55" xfId="0" quotePrefix="1" applyFill="1" applyBorder="1" applyAlignment="1">
      <alignment horizontal="center" vertical="center"/>
    </xf>
    <xf numFmtId="15" fontId="0" fillId="3" borderId="50" xfId="0" applyNumberFormat="1" applyFill="1" applyBorder="1" applyAlignment="1">
      <alignment horizontal="center" vertical="center"/>
    </xf>
    <xf numFmtId="15" fontId="0" fillId="3" borderId="55" xfId="0" applyNumberFormat="1" applyFill="1" applyBorder="1" applyAlignment="1">
      <alignment horizontal="center" vertical="center"/>
    </xf>
    <xf numFmtId="0" fontId="0" fillId="3" borderId="138" xfId="0" applyFill="1" applyBorder="1" applyAlignment="1">
      <alignment horizontal="center" vertical="center"/>
    </xf>
    <xf numFmtId="0" fontId="0" fillId="3" borderId="13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141" xfId="0" applyFill="1" applyBorder="1" applyAlignment="1">
      <alignment horizontal="left" vertical="center"/>
    </xf>
    <xf numFmtId="0" fontId="0" fillId="30" borderId="138" xfId="0" applyFill="1" applyBorder="1" applyAlignment="1">
      <alignment horizontal="center" vertical="center"/>
    </xf>
    <xf numFmtId="0" fontId="0" fillId="3" borderId="138" xfId="0" quotePrefix="1" applyFill="1" applyBorder="1" applyAlignment="1">
      <alignment horizontal="center" vertical="center"/>
    </xf>
    <xf numFmtId="15" fontId="0" fillId="3" borderId="138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165" fontId="0" fillId="3" borderId="138" xfId="0" applyNumberFormat="1" applyFill="1" applyBorder="1" applyAlignment="1">
      <alignment horizontal="center" vertical="center"/>
    </xf>
    <xf numFmtId="0" fontId="1" fillId="3" borderId="83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84" xfId="0" applyFont="1" applyFill="1" applyBorder="1" applyAlignment="1">
      <alignment horizontal="center" vertical="center"/>
    </xf>
    <xf numFmtId="0" fontId="0" fillId="3" borderId="141" xfId="0" applyFill="1" applyBorder="1" applyAlignment="1">
      <alignment horizontal="center"/>
    </xf>
    <xf numFmtId="0" fontId="0" fillId="3" borderId="142" xfId="0" applyFill="1" applyBorder="1" applyAlignment="1">
      <alignment horizontal="center"/>
    </xf>
    <xf numFmtId="0" fontId="0" fillId="3" borderId="143" xfId="0" applyFill="1" applyBorder="1" applyAlignment="1">
      <alignment horizontal="left" vertical="center"/>
    </xf>
    <xf numFmtId="0" fontId="0" fillId="3" borderId="140" xfId="0" applyFill="1" applyBorder="1" applyAlignment="1">
      <alignment horizontal="center" vertical="center"/>
    </xf>
    <xf numFmtId="165" fontId="0" fillId="22" borderId="50" xfId="0" applyNumberFormat="1" applyFill="1" applyBorder="1" applyAlignment="1">
      <alignment horizontal="center" vertical="center"/>
    </xf>
    <xf numFmtId="165" fontId="0" fillId="22" borderId="140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138" xfId="0" applyFill="1" applyBorder="1" applyAlignment="1">
      <alignment horizontal="center" vertical="center"/>
    </xf>
    <xf numFmtId="0" fontId="0" fillId="2" borderId="139" xfId="0" applyFill="1" applyBorder="1" applyAlignment="1">
      <alignment horizontal="center" vertical="center"/>
    </xf>
    <xf numFmtId="0" fontId="0" fillId="2" borderId="140" xfId="0" applyFill="1" applyBorder="1" applyAlignment="1">
      <alignment horizontal="center" vertical="center"/>
    </xf>
    <xf numFmtId="0" fontId="0" fillId="22" borderId="141" xfId="0" applyFill="1" applyBorder="1" applyAlignment="1">
      <alignment horizontal="center"/>
    </xf>
    <xf numFmtId="0" fontId="0" fillId="22" borderId="142" xfId="0" applyFill="1" applyBorder="1" applyAlignment="1">
      <alignment horizontal="center"/>
    </xf>
    <xf numFmtId="0" fontId="0" fillId="22" borderId="138" xfId="0" applyFill="1" applyBorder="1" applyAlignment="1">
      <alignment horizontal="center" vertical="center"/>
    </xf>
    <xf numFmtId="0" fontId="0" fillId="22" borderId="139" xfId="0" applyFill="1" applyBorder="1" applyAlignment="1">
      <alignment horizontal="center" vertical="center"/>
    </xf>
    <xf numFmtId="165" fontId="0" fillId="22" borderId="55" xfId="0" applyNumberFormat="1" applyFill="1" applyBorder="1" applyAlignment="1">
      <alignment horizontal="center" vertical="center"/>
    </xf>
    <xf numFmtId="0" fontId="0" fillId="22" borderId="30" xfId="0" applyFill="1" applyBorder="1" applyAlignment="1">
      <alignment horizontal="left" vertical="center"/>
    </xf>
    <xf numFmtId="0" fontId="0" fillId="22" borderId="43" xfId="0" applyFill="1" applyBorder="1" applyAlignment="1">
      <alignment horizontal="left" vertical="center"/>
    </xf>
    <xf numFmtId="0" fontId="0" fillId="22" borderId="50" xfId="0" quotePrefix="1" applyFill="1" applyBorder="1" applyAlignment="1">
      <alignment horizontal="center" vertical="center"/>
    </xf>
    <xf numFmtId="0" fontId="0" fillId="22" borderId="55" xfId="0" quotePrefix="1" applyFill="1" applyBorder="1" applyAlignment="1">
      <alignment horizontal="center" vertical="center"/>
    </xf>
    <xf numFmtId="15" fontId="0" fillId="22" borderId="50" xfId="0" applyNumberFormat="1" applyFill="1" applyBorder="1" applyAlignment="1">
      <alignment horizontal="center" vertical="center"/>
    </xf>
    <xf numFmtId="15" fontId="0" fillId="22" borderId="55" xfId="0" applyNumberFormat="1" applyFill="1" applyBorder="1" applyAlignment="1">
      <alignment horizontal="center" vertical="center"/>
    </xf>
    <xf numFmtId="0" fontId="0" fillId="22" borderId="16" xfId="0" applyFill="1" applyBorder="1" applyAlignment="1">
      <alignment horizontal="center" vertical="center"/>
    </xf>
    <xf numFmtId="0" fontId="0" fillId="22" borderId="141" xfId="0" applyFill="1" applyBorder="1" applyAlignment="1">
      <alignment horizontal="left" vertical="center"/>
    </xf>
    <xf numFmtId="0" fontId="0" fillId="22" borderId="138" xfId="0" quotePrefix="1" applyFill="1" applyBorder="1" applyAlignment="1">
      <alignment horizontal="center" vertical="center"/>
    </xf>
    <xf numFmtId="15" fontId="0" fillId="22" borderId="138" xfId="0" applyNumberFormat="1" applyFill="1" applyBorder="1" applyAlignment="1">
      <alignment horizontal="center" vertical="center"/>
    </xf>
    <xf numFmtId="0" fontId="0" fillId="22" borderId="55" xfId="0" applyFill="1" applyBorder="1" applyAlignment="1">
      <alignment horizontal="center" vertical="center"/>
    </xf>
    <xf numFmtId="165" fontId="0" fillId="22" borderId="138" xfId="0" applyNumberFormat="1" applyFill="1" applyBorder="1" applyAlignment="1">
      <alignment horizontal="center" vertical="center"/>
    </xf>
    <xf numFmtId="0" fontId="0" fillId="22" borderId="50" xfId="0" applyFill="1" applyBorder="1" applyAlignment="1">
      <alignment horizontal="center" vertical="center"/>
    </xf>
    <xf numFmtId="0" fontId="0" fillId="22" borderId="83" xfId="0" applyFill="1" applyBorder="1" applyAlignment="1">
      <alignment horizontal="center" vertical="center"/>
    </xf>
    <xf numFmtId="0" fontId="0" fillId="22" borderId="41" xfId="0" applyFill="1" applyBorder="1" applyAlignment="1">
      <alignment horizontal="center" vertical="center"/>
    </xf>
    <xf numFmtId="0" fontId="0" fillId="22" borderId="84" xfId="0" applyFill="1" applyBorder="1" applyAlignment="1">
      <alignment horizontal="center" vertical="center"/>
    </xf>
    <xf numFmtId="0" fontId="0" fillId="22" borderId="143" xfId="0" applyFill="1" applyBorder="1" applyAlignment="1">
      <alignment horizontal="left" vertical="center"/>
    </xf>
    <xf numFmtId="0" fontId="0" fillId="22" borderId="140" xfId="0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139" xfId="0" quotePrefix="1" applyFill="1" applyBorder="1" applyAlignment="1">
      <alignment horizontal="center" vertical="center"/>
    </xf>
    <xf numFmtId="0" fontId="0" fillId="2" borderId="55" xfId="0" quotePrefix="1" applyFill="1" applyBorder="1" applyAlignment="1">
      <alignment horizontal="center" vertical="center"/>
    </xf>
    <xf numFmtId="0" fontId="0" fillId="2" borderId="50" xfId="0" quotePrefix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8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165" fontId="0" fillId="2" borderId="50" xfId="0" applyNumberFormat="1" applyFill="1" applyBorder="1" applyAlignment="1">
      <alignment horizontal="center" vertical="center"/>
    </xf>
    <xf numFmtId="165" fontId="0" fillId="2" borderId="140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5" fontId="0" fillId="2" borderId="50" xfId="0" applyNumberFormat="1" applyFill="1" applyBorder="1" applyAlignment="1">
      <alignment horizontal="center" vertical="center"/>
    </xf>
    <xf numFmtId="15" fontId="0" fillId="2" borderId="55" xfId="0" applyNumberFormat="1" applyFill="1" applyBorder="1" applyAlignment="1">
      <alignment horizontal="center" vertical="center"/>
    </xf>
    <xf numFmtId="165" fontId="0" fillId="2" borderId="139" xfId="0" applyNumberFormat="1" applyFill="1" applyBorder="1" applyAlignment="1">
      <alignment horizontal="center" vertical="center"/>
    </xf>
    <xf numFmtId="165" fontId="0" fillId="2" borderId="55" xfId="0" applyNumberFormat="1" applyFill="1" applyBorder="1" applyAlignment="1">
      <alignment horizontal="center" vertical="center"/>
    </xf>
    <xf numFmtId="0" fontId="1" fillId="21" borderId="83" xfId="0" applyFont="1" applyFill="1" applyBorder="1" applyAlignment="1">
      <alignment horizontal="center" vertical="center"/>
    </xf>
    <xf numFmtId="0" fontId="1" fillId="21" borderId="41" xfId="0" applyFont="1" applyFill="1" applyBorder="1" applyAlignment="1">
      <alignment horizontal="center" vertical="center"/>
    </xf>
    <xf numFmtId="0" fontId="1" fillId="21" borderId="84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83" xfId="0" applyFill="1" applyBorder="1" applyAlignment="1">
      <alignment horizontal="center" vertical="center"/>
    </xf>
    <xf numFmtId="0" fontId="0" fillId="21" borderId="8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B7D9B"/>
      <color rgb="FFFFFF00"/>
      <color rgb="FFFF99FF"/>
      <color rgb="FFCEDDF6"/>
      <color rgb="FFFFFFCC"/>
      <color rgb="FFFED2F1"/>
      <color rgb="FFFD7BD8"/>
      <color rgb="FFBD4A47"/>
      <color rgb="FFED018D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seftianusr03@gmail.com" TargetMode="External"/><Relationship Id="rId3" Type="http://schemas.openxmlformats.org/officeDocument/2006/relationships/hyperlink" Target="mailto:aldopusyomansiusbura@gmail.com" TargetMode="External"/><Relationship Id="rId7" Type="http://schemas.openxmlformats.org/officeDocument/2006/relationships/hyperlink" Target="mailto:seftianusr03@gmail.com" TargetMode="External"/><Relationship Id="rId2" Type="http://schemas.openxmlformats.org/officeDocument/2006/relationships/hyperlink" Target="mailto:elreisunroy@gmail.com" TargetMode="External"/><Relationship Id="rId1" Type="http://schemas.openxmlformats.org/officeDocument/2006/relationships/hyperlink" Target="mailto:seftianusr03@gmail.com" TargetMode="External"/><Relationship Id="rId6" Type="http://schemas.openxmlformats.org/officeDocument/2006/relationships/hyperlink" Target="mailto:seftianusr03@gmail.com" TargetMode="External"/><Relationship Id="rId11" Type="http://schemas.openxmlformats.org/officeDocument/2006/relationships/printerSettings" Target="../printerSettings/printerSettings15.bin"/><Relationship Id="rId5" Type="http://schemas.openxmlformats.org/officeDocument/2006/relationships/hyperlink" Target="mailto:seftianusr03@gmail.com" TargetMode="External"/><Relationship Id="rId10" Type="http://schemas.openxmlformats.org/officeDocument/2006/relationships/hyperlink" Target="mailto:seftianusr03@gmail.com" TargetMode="External"/><Relationship Id="rId4" Type="http://schemas.openxmlformats.org/officeDocument/2006/relationships/hyperlink" Target="mailto:seftianusr03@gmail.com" TargetMode="External"/><Relationship Id="rId9" Type="http://schemas.openxmlformats.org/officeDocument/2006/relationships/hyperlink" Target="mailto:baomekotjaya1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97"/>
  <sheetViews>
    <sheetView topLeftCell="AY9" zoomScale="80" zoomScaleNormal="80" workbookViewId="0">
      <selection activeCell="W18" sqref="W18"/>
    </sheetView>
  </sheetViews>
  <sheetFormatPr defaultColWidth="8.88671875" defaultRowHeight="14.4"/>
  <cols>
    <col min="1" max="1" width="1.5546875" style="263" customWidth="1"/>
    <col min="2" max="2" width="14.33203125" style="357" customWidth="1"/>
    <col min="3" max="3" width="13.33203125" style="357" customWidth="1"/>
    <col min="4" max="4" width="12" style="357" customWidth="1"/>
    <col min="5" max="5" width="14.44140625" style="357" customWidth="1"/>
    <col min="6" max="6" width="15.44140625" style="357" customWidth="1"/>
    <col min="7" max="7" width="1.109375" style="263" customWidth="1"/>
    <col min="8" max="8" width="1.44140625" style="264" customWidth="1"/>
    <col min="9" max="9" width="13.44140625" style="358" customWidth="1"/>
    <col min="10" max="10" width="14.109375" style="358" customWidth="1"/>
    <col min="11" max="12" width="14.33203125" style="358" customWidth="1"/>
    <col min="13" max="13" width="13.33203125" style="358" customWidth="1"/>
    <col min="14" max="14" width="1.109375" style="263" customWidth="1"/>
    <col min="15" max="15" width="15.109375" style="359" customWidth="1"/>
    <col min="16" max="16" width="14.109375" style="359" customWidth="1"/>
    <col min="17" max="17" width="14.6640625" style="359" customWidth="1"/>
    <col min="18" max="19" width="13.88671875" style="359" customWidth="1"/>
    <col min="20" max="21" width="13" style="359" customWidth="1"/>
    <col min="22" max="22" width="15.33203125" style="359" customWidth="1"/>
    <col min="23" max="23" width="14.5546875" style="359" customWidth="1"/>
    <col min="24" max="24" width="1.5546875" style="263" customWidth="1"/>
    <col min="25" max="25" width="1.5546875" style="265" customWidth="1"/>
    <col min="26" max="26" width="13.44140625" style="266" customWidth="1"/>
    <col min="27" max="27" width="14.109375" style="266" customWidth="1"/>
    <col min="28" max="29" width="14.33203125" style="266" customWidth="1"/>
    <col min="30" max="30" width="13.33203125" style="266" customWidth="1"/>
    <col min="31" max="31" width="1.6640625" style="265" customWidth="1"/>
    <col min="32" max="32" width="13.44140625" style="358" customWidth="1"/>
    <col min="33" max="33" width="14.109375" style="358" customWidth="1"/>
    <col min="34" max="35" width="14.33203125" style="358" customWidth="1"/>
    <col min="36" max="36" width="13.33203125" style="358" customWidth="1"/>
    <col min="37" max="37" width="0.6640625" style="265" customWidth="1"/>
    <col min="38" max="38" width="1" style="265" customWidth="1"/>
    <col min="39" max="39" width="0.88671875" style="265" customWidth="1"/>
    <col min="40" max="41" width="13" style="363" customWidth="1"/>
    <col min="42" max="42" width="12.5546875" style="363" customWidth="1"/>
    <col min="43" max="44" width="13.44140625" style="363" customWidth="1"/>
    <col min="45" max="45" width="15.6640625" style="363" customWidth="1"/>
    <col min="46" max="46" width="0.88671875" style="263" customWidth="1"/>
    <col min="47" max="47" width="12" style="365" customWidth="1"/>
    <col min="48" max="52" width="11" style="365" customWidth="1"/>
    <col min="53" max="53" width="11.33203125" style="365" customWidth="1"/>
    <col min="54" max="54" width="13.6640625" style="365" customWidth="1"/>
    <col min="55" max="55" width="16.33203125" style="365" customWidth="1"/>
    <col min="56" max="56" width="8.88671875" style="263"/>
    <col min="57" max="57" width="28.88671875" style="263" customWidth="1"/>
    <col min="58" max="58" width="24.109375" style="263" customWidth="1"/>
    <col min="59" max="59" width="18.44140625" style="263" customWidth="1"/>
    <col min="60" max="60" width="20.6640625" style="263" customWidth="1"/>
    <col min="61" max="61" width="18.109375" style="263" customWidth="1"/>
    <col min="62" max="16384" width="8.88671875" style="263"/>
  </cols>
  <sheetData>
    <row r="1" spans="1:59">
      <c r="B1" s="263"/>
      <c r="C1" s="263"/>
      <c r="D1" s="263"/>
      <c r="E1" s="263"/>
      <c r="F1" s="263"/>
      <c r="I1" s="263"/>
      <c r="J1" s="263"/>
      <c r="K1" s="263"/>
      <c r="L1" s="263"/>
      <c r="M1" s="263"/>
      <c r="O1" s="263"/>
      <c r="P1" s="263"/>
      <c r="Q1" s="263"/>
      <c r="R1" s="263"/>
      <c r="S1" s="263"/>
      <c r="T1" s="263"/>
      <c r="U1" s="263"/>
      <c r="V1" s="263"/>
      <c r="W1" s="263"/>
      <c r="AF1" s="263"/>
      <c r="AG1" s="263"/>
      <c r="AH1" s="263"/>
      <c r="AI1" s="263"/>
      <c r="AJ1" s="263"/>
      <c r="AN1" s="263"/>
      <c r="AO1" s="263"/>
      <c r="AP1" s="263"/>
      <c r="AQ1" s="263"/>
      <c r="AR1" s="263"/>
      <c r="AS1" s="263"/>
      <c r="AU1" s="263"/>
      <c r="AV1" s="263"/>
      <c r="AW1" s="263"/>
      <c r="AX1" s="263"/>
      <c r="AY1" s="263"/>
      <c r="AZ1" s="263"/>
      <c r="BA1" s="263"/>
      <c r="BB1" s="263"/>
      <c r="BC1" s="263"/>
    </row>
    <row r="2" spans="1:59" s="267" customFormat="1" ht="15" thickBot="1">
      <c r="B2" s="268"/>
      <c r="C2" s="268"/>
      <c r="D2" s="268"/>
      <c r="E2" s="268"/>
      <c r="F2" s="268"/>
      <c r="H2" s="269"/>
      <c r="I2" s="268"/>
      <c r="J2" s="268"/>
      <c r="K2" s="268"/>
      <c r="L2" s="268"/>
      <c r="M2" s="268"/>
      <c r="Y2" s="270"/>
      <c r="Z2" s="271"/>
      <c r="AA2" s="271"/>
      <c r="AB2" s="271"/>
      <c r="AC2" s="271"/>
      <c r="AD2" s="271"/>
      <c r="AE2" s="270"/>
      <c r="AF2" s="268"/>
      <c r="AG2" s="268"/>
      <c r="AH2" s="268"/>
      <c r="AI2" s="268"/>
      <c r="AJ2" s="268"/>
      <c r="AK2" s="270"/>
      <c r="AL2" s="270"/>
      <c r="AM2" s="270"/>
      <c r="AN2" s="268"/>
      <c r="AO2" s="268"/>
      <c r="AP2" s="268"/>
      <c r="AQ2" s="268"/>
      <c r="AR2" s="268"/>
      <c r="AS2" s="268"/>
      <c r="AU2" s="268"/>
      <c r="AV2" s="268"/>
      <c r="AW2" s="268"/>
      <c r="AX2" s="268"/>
      <c r="AY2" s="268"/>
      <c r="AZ2" s="268"/>
      <c r="BA2" s="268"/>
      <c r="BB2" s="268"/>
      <c r="BC2" s="268"/>
    </row>
    <row r="3" spans="1:59" s="274" customFormat="1" ht="47.4" customHeight="1">
      <c r="A3" s="272"/>
      <c r="B3" s="1346" t="s">
        <v>175</v>
      </c>
      <c r="C3" s="1347"/>
      <c r="D3" s="1347"/>
      <c r="E3" s="1347"/>
      <c r="F3" s="1348"/>
      <c r="G3" s="272"/>
      <c r="H3" s="273"/>
      <c r="I3" s="1334" t="s">
        <v>72</v>
      </c>
      <c r="J3" s="1335"/>
      <c r="K3" s="1335"/>
      <c r="L3" s="1335"/>
      <c r="M3" s="1336"/>
      <c r="N3" s="272"/>
      <c r="O3" s="1349" t="s">
        <v>170</v>
      </c>
      <c r="P3" s="1350"/>
      <c r="Q3" s="1350"/>
      <c r="R3" s="1350"/>
      <c r="S3" s="1350"/>
      <c r="T3" s="1350"/>
      <c r="U3" s="1350"/>
      <c r="V3" s="1350"/>
      <c r="W3" s="1351"/>
      <c r="Y3" s="275"/>
      <c r="Z3" s="1352" t="s">
        <v>171</v>
      </c>
      <c r="AA3" s="1353"/>
      <c r="AB3" s="1353"/>
      <c r="AC3" s="1353"/>
      <c r="AD3" s="1354"/>
      <c r="AE3" s="275"/>
      <c r="AF3" s="1334" t="s">
        <v>348</v>
      </c>
      <c r="AG3" s="1335"/>
      <c r="AH3" s="1335"/>
      <c r="AI3" s="1335"/>
      <c r="AJ3" s="1336"/>
      <c r="AK3" s="275"/>
      <c r="AL3" s="275"/>
      <c r="AM3" s="276"/>
      <c r="AN3" s="1339" t="s">
        <v>335</v>
      </c>
      <c r="AO3" s="1340"/>
      <c r="AP3" s="1340"/>
      <c r="AQ3" s="1340"/>
      <c r="AR3" s="1340"/>
      <c r="AS3" s="1341"/>
      <c r="AU3" s="1343" t="s">
        <v>340</v>
      </c>
      <c r="AV3" s="1344"/>
      <c r="AW3" s="1344"/>
      <c r="AX3" s="1344"/>
      <c r="AY3" s="1344"/>
      <c r="AZ3" s="1344"/>
      <c r="BA3" s="1344"/>
      <c r="BB3" s="1344"/>
      <c r="BC3" s="1345"/>
    </row>
    <row r="4" spans="1:59" s="290" customFormat="1" ht="29.4" customHeight="1" thickBot="1">
      <c r="A4" s="277"/>
      <c r="B4" s="278" t="s">
        <v>30</v>
      </c>
      <c r="C4" s="279" t="s">
        <v>77</v>
      </c>
      <c r="D4" s="279" t="s">
        <v>32</v>
      </c>
      <c r="E4" s="279" t="s">
        <v>29</v>
      </c>
      <c r="F4" s="280" t="s">
        <v>20</v>
      </c>
      <c r="G4" s="277"/>
      <c r="H4" s="277"/>
      <c r="I4" s="281" t="s">
        <v>79</v>
      </c>
      <c r="J4" s="282" t="s">
        <v>28</v>
      </c>
      <c r="K4" s="282" t="s">
        <v>29</v>
      </c>
      <c r="L4" s="283" t="s">
        <v>78</v>
      </c>
      <c r="M4" s="283" t="s">
        <v>20</v>
      </c>
      <c r="N4" s="277"/>
      <c r="O4" s="284" t="s">
        <v>30</v>
      </c>
      <c r="P4" s="284" t="s">
        <v>75</v>
      </c>
      <c r="Q4" s="285" t="s">
        <v>39</v>
      </c>
      <c r="R4" s="286" t="s">
        <v>37</v>
      </c>
      <c r="S4" s="286" t="s">
        <v>27</v>
      </c>
      <c r="T4" s="286" t="s">
        <v>86</v>
      </c>
      <c r="U4" s="287" t="s">
        <v>38</v>
      </c>
      <c r="V4" s="288" t="s">
        <v>29</v>
      </c>
      <c r="W4" s="289" t="s">
        <v>20</v>
      </c>
      <c r="Y4" s="291"/>
      <c r="Z4" s="292" t="s">
        <v>79</v>
      </c>
      <c r="AA4" s="293" t="s">
        <v>28</v>
      </c>
      <c r="AB4" s="293" t="s">
        <v>29</v>
      </c>
      <c r="AC4" s="294" t="s">
        <v>78</v>
      </c>
      <c r="AD4" s="294" t="s">
        <v>20</v>
      </c>
      <c r="AE4" s="291"/>
      <c r="AF4" s="281" t="s">
        <v>79</v>
      </c>
      <c r="AG4" s="282" t="s">
        <v>28</v>
      </c>
      <c r="AH4" s="282" t="s">
        <v>29</v>
      </c>
      <c r="AI4" s="283" t="s">
        <v>78</v>
      </c>
      <c r="AJ4" s="283" t="s">
        <v>20</v>
      </c>
      <c r="AK4" s="291"/>
      <c r="AL4" s="291"/>
      <c r="AM4" s="291"/>
      <c r="AN4" s="295" t="s">
        <v>30</v>
      </c>
      <c r="AO4" s="296" t="s">
        <v>34</v>
      </c>
      <c r="AP4" s="296" t="s">
        <v>36</v>
      </c>
      <c r="AQ4" s="296" t="s">
        <v>29</v>
      </c>
      <c r="AR4" s="297" t="s">
        <v>80</v>
      </c>
      <c r="AS4" s="298" t="s">
        <v>20</v>
      </c>
      <c r="AU4" s="299" t="s">
        <v>30</v>
      </c>
      <c r="AV4" s="300" t="s">
        <v>75</v>
      </c>
      <c r="AW4" s="300" t="s">
        <v>39</v>
      </c>
      <c r="AX4" s="300" t="s">
        <v>37</v>
      </c>
      <c r="AY4" s="300" t="s">
        <v>27</v>
      </c>
      <c r="AZ4" s="300" t="s">
        <v>164</v>
      </c>
      <c r="BA4" s="300" t="s">
        <v>38</v>
      </c>
      <c r="BB4" s="300" t="s">
        <v>29</v>
      </c>
      <c r="BC4" s="301" t="s">
        <v>20</v>
      </c>
      <c r="BE4" s="1356" t="s">
        <v>181</v>
      </c>
      <c r="BF4" s="1356"/>
      <c r="BG4" s="1356"/>
    </row>
    <row r="5" spans="1:59" s="267" customFormat="1">
      <c r="B5" s="302"/>
      <c r="C5" s="303"/>
      <c r="D5" s="303"/>
      <c r="E5" s="303">
        <f>'TABEL INPUT'!C4</f>
        <v>337945</v>
      </c>
      <c r="F5" s="304"/>
      <c r="H5" s="305"/>
      <c r="I5" s="306"/>
      <c r="J5" s="307"/>
      <c r="K5" s="307">
        <f>'TABEL INPUT'!C7</f>
        <v>941317</v>
      </c>
      <c r="L5" s="308"/>
      <c r="M5" s="376">
        <f>L5-J5</f>
        <v>0</v>
      </c>
      <c r="O5" s="309"/>
      <c r="P5" s="310"/>
      <c r="Q5" s="310"/>
      <c r="R5" s="311"/>
      <c r="S5" s="311"/>
      <c r="T5" s="311"/>
      <c r="U5" s="311"/>
      <c r="V5" s="311">
        <f>'TABEL INPUT'!C5</f>
        <v>14081391</v>
      </c>
      <c r="W5" s="312"/>
      <c r="Y5" s="313"/>
      <c r="Z5" s="314"/>
      <c r="AA5" s="315"/>
      <c r="AB5" s="315">
        <f>'TABEL INPUT'!C9</f>
        <v>638</v>
      </c>
      <c r="AC5" s="316"/>
      <c r="AD5" s="382">
        <f>AC5-AA5</f>
        <v>0</v>
      </c>
      <c r="AE5" s="313"/>
      <c r="AF5" s="306"/>
      <c r="AG5" s="307"/>
      <c r="AH5" s="307">
        <f>'TABEL INPUT'!C10</f>
        <v>320270</v>
      </c>
      <c r="AI5" s="308"/>
      <c r="AJ5" s="376">
        <f>AI5-AG5</f>
        <v>0</v>
      </c>
      <c r="AK5" s="313"/>
      <c r="AL5" s="313"/>
      <c r="AM5" s="313"/>
      <c r="AN5" s="317"/>
      <c r="AO5" s="318"/>
      <c r="AP5" s="318"/>
      <c r="AQ5" s="318">
        <f>'TABEL INPUT'!C8</f>
        <v>199895</v>
      </c>
      <c r="AR5" s="319"/>
      <c r="AS5" s="388">
        <f>AR5-AO5</f>
        <v>0</v>
      </c>
      <c r="AU5" s="321"/>
      <c r="AV5" s="322"/>
      <c r="AW5" s="322"/>
      <c r="AX5" s="322"/>
      <c r="AY5" s="322"/>
      <c r="AZ5" s="322"/>
      <c r="BA5" s="322"/>
      <c r="BB5" s="322">
        <v>0</v>
      </c>
      <c r="BC5" s="323"/>
      <c r="BE5" s="324" t="s">
        <v>29</v>
      </c>
      <c r="BF5" s="325">
        <f>E5+K5+V5+AB5+AH5+AQ5+BB5</f>
        <v>15881456</v>
      </c>
      <c r="BG5" s="325">
        <f>BF5+BF6+BF7</f>
        <v>40881456</v>
      </c>
    </row>
    <row r="6" spans="1:59">
      <c r="B6" s="326"/>
      <c r="C6" s="327"/>
      <c r="D6" s="327"/>
      <c r="E6" s="371">
        <f>E5+B6-D6</f>
        <v>337945</v>
      </c>
      <c r="F6" s="372">
        <f>C6-D6</f>
        <v>0</v>
      </c>
      <c r="H6" s="328"/>
      <c r="I6" s="329"/>
      <c r="J6" s="330"/>
      <c r="K6" s="375">
        <f t="shared" ref="K6:K70" si="0">K5+I6-J6</f>
        <v>941317</v>
      </c>
      <c r="L6" s="331"/>
      <c r="M6" s="377">
        <f t="shared" ref="M6:M22" si="1">L6-J6</f>
        <v>0</v>
      </c>
      <c r="O6" s="332"/>
      <c r="P6" s="333"/>
      <c r="Q6" s="333"/>
      <c r="R6" s="334"/>
      <c r="S6" s="334"/>
      <c r="T6" s="334"/>
      <c r="U6" s="334"/>
      <c r="V6" s="379">
        <f>V5+O6+P6-Q6-R6-S6-T6+U6</f>
        <v>14081391</v>
      </c>
      <c r="W6" s="335">
        <f>'TABEL INPUT'!C32</f>
        <v>0</v>
      </c>
      <c r="Y6" s="336"/>
      <c r="Z6" s="337"/>
      <c r="AA6" s="338"/>
      <c r="AB6" s="383">
        <f>AB5+Z6-AA6</f>
        <v>638</v>
      </c>
      <c r="AC6" s="339"/>
      <c r="AD6" s="384">
        <f t="shared" ref="AD6:AD12" si="2">AC6-AA6</f>
        <v>0</v>
      </c>
      <c r="AE6" s="336"/>
      <c r="AF6" s="329"/>
      <c r="AG6" s="330"/>
      <c r="AH6" s="375">
        <f>AH5+AF6-AG6</f>
        <v>320270</v>
      </c>
      <c r="AI6" s="331"/>
      <c r="AJ6" s="377">
        <f t="shared" ref="AJ6:AJ12" si="3">AI6-AG6</f>
        <v>0</v>
      </c>
      <c r="AK6" s="336"/>
      <c r="AL6" s="336"/>
      <c r="AM6" s="336"/>
      <c r="AN6" s="340"/>
      <c r="AO6" s="341"/>
      <c r="AP6" s="341"/>
      <c r="AQ6" s="386">
        <f>AQ5+AN6-AO6+AP6</f>
        <v>199895</v>
      </c>
      <c r="AR6" s="342"/>
      <c r="AS6" s="389">
        <f t="shared" ref="AS6:AS69" si="4">AR6-AO6</f>
        <v>0</v>
      </c>
      <c r="AU6" s="343"/>
      <c r="AV6" s="344"/>
      <c r="AW6" s="344"/>
      <c r="AX6" s="344"/>
      <c r="AY6" s="344"/>
      <c r="AZ6" s="344"/>
      <c r="BA6" s="344"/>
      <c r="BB6" s="390">
        <f>BB5+AU6+AV6-AW6-AX6-AY6-AZ6+BA6</f>
        <v>0</v>
      </c>
      <c r="BC6" s="345">
        <v>0</v>
      </c>
      <c r="BE6" s="263" t="s">
        <v>185</v>
      </c>
      <c r="BF6" s="346">
        <v>25000000</v>
      </c>
    </row>
    <row r="7" spans="1:59">
      <c r="B7" s="326"/>
      <c r="C7" s="327"/>
      <c r="D7" s="327"/>
      <c r="E7" s="371">
        <f t="shared" ref="E7:E70" si="5">E6+B7-D7</f>
        <v>337945</v>
      </c>
      <c r="F7" s="372">
        <f t="shared" ref="F7:F70" si="6">C7-D7</f>
        <v>0</v>
      </c>
      <c r="H7" s="328"/>
      <c r="I7" s="329"/>
      <c r="J7" s="330"/>
      <c r="K7" s="375">
        <f t="shared" si="0"/>
        <v>941317</v>
      </c>
      <c r="L7" s="331"/>
      <c r="M7" s="377">
        <f t="shared" si="1"/>
        <v>0</v>
      </c>
      <c r="O7" s="332"/>
      <c r="P7" s="333"/>
      <c r="Q7" s="333"/>
      <c r="R7" s="334"/>
      <c r="S7" s="334"/>
      <c r="T7" s="334"/>
      <c r="U7" s="334"/>
      <c r="V7" s="379">
        <f>V6+O7+P7-Q7-R7-S7-T7+U7</f>
        <v>14081391</v>
      </c>
      <c r="W7" s="335">
        <f>'TABEL INPUT'!C33</f>
        <v>0</v>
      </c>
      <c r="Y7" s="336"/>
      <c r="Z7" s="337"/>
      <c r="AA7" s="338"/>
      <c r="AB7" s="383">
        <f t="shared" ref="AB7:AB70" si="7">AB6+Z7-AA7</f>
        <v>638</v>
      </c>
      <c r="AC7" s="339"/>
      <c r="AD7" s="384">
        <f t="shared" si="2"/>
        <v>0</v>
      </c>
      <c r="AE7" s="336"/>
      <c r="AF7" s="329"/>
      <c r="AG7" s="330"/>
      <c r="AH7" s="375">
        <f t="shared" ref="AH7:AH70" si="8">AH6+AF7-AG7</f>
        <v>320270</v>
      </c>
      <c r="AI7" s="331"/>
      <c r="AJ7" s="377">
        <f t="shared" si="3"/>
        <v>0</v>
      </c>
      <c r="AK7" s="336"/>
      <c r="AL7" s="336"/>
      <c r="AM7" s="336"/>
      <c r="AN7" s="340"/>
      <c r="AO7" s="341"/>
      <c r="AP7" s="341"/>
      <c r="AQ7" s="386">
        <f>AQ6+AN7-AO7+AP7</f>
        <v>199895</v>
      </c>
      <c r="AR7" s="342"/>
      <c r="AS7" s="389">
        <f t="shared" si="4"/>
        <v>0</v>
      </c>
      <c r="AU7" s="343"/>
      <c r="AV7" s="344"/>
      <c r="AW7" s="344"/>
      <c r="AX7" s="344"/>
      <c r="AY7" s="344"/>
      <c r="AZ7" s="344"/>
      <c r="BA7" s="344"/>
      <c r="BB7" s="390">
        <f t="shared" ref="BB7:BB70" si="9">BB6+AU7+AV7-AW7-AX7-AY7-AZ7+BA7</f>
        <v>0</v>
      </c>
      <c r="BC7" s="345">
        <v>0</v>
      </c>
      <c r="BE7" s="263" t="s">
        <v>10</v>
      </c>
      <c r="BF7" s="346"/>
    </row>
    <row r="8" spans="1:59">
      <c r="B8" s="326"/>
      <c r="C8" s="327"/>
      <c r="D8" s="327"/>
      <c r="E8" s="371">
        <f t="shared" si="5"/>
        <v>337945</v>
      </c>
      <c r="F8" s="372">
        <f t="shared" si="6"/>
        <v>0</v>
      </c>
      <c r="H8" s="328"/>
      <c r="I8" s="329"/>
      <c r="J8" s="330"/>
      <c r="K8" s="375">
        <f t="shared" si="0"/>
        <v>941317</v>
      </c>
      <c r="L8" s="331"/>
      <c r="M8" s="377">
        <f t="shared" si="1"/>
        <v>0</v>
      </c>
      <c r="O8" s="332"/>
      <c r="P8" s="333"/>
      <c r="Q8" s="333"/>
      <c r="R8" s="334"/>
      <c r="S8" s="334"/>
      <c r="T8" s="334"/>
      <c r="U8" s="334"/>
      <c r="V8" s="379">
        <f>V7+O8+P8-Q8-R8-S8-T8+U8</f>
        <v>14081391</v>
      </c>
      <c r="W8" s="335">
        <f>'TABEL INPUT'!C34</f>
        <v>0</v>
      </c>
      <c r="Y8" s="336"/>
      <c r="Z8" s="337"/>
      <c r="AA8" s="338"/>
      <c r="AB8" s="383">
        <f t="shared" si="7"/>
        <v>638</v>
      </c>
      <c r="AC8" s="339"/>
      <c r="AD8" s="384">
        <f t="shared" si="2"/>
        <v>0</v>
      </c>
      <c r="AE8" s="336"/>
      <c r="AF8" s="329"/>
      <c r="AG8" s="330"/>
      <c r="AH8" s="375">
        <f t="shared" si="8"/>
        <v>320270</v>
      </c>
      <c r="AI8" s="331"/>
      <c r="AJ8" s="377">
        <f t="shared" si="3"/>
        <v>0</v>
      </c>
      <c r="AK8" s="336"/>
      <c r="AL8" s="336"/>
      <c r="AM8" s="336"/>
      <c r="AN8" s="340"/>
      <c r="AO8" s="341"/>
      <c r="AP8" s="341"/>
      <c r="AQ8" s="386">
        <f t="shared" ref="AQ8:AQ71" si="10">AQ7+AN8-AO8+AP8</f>
        <v>199895</v>
      </c>
      <c r="AR8" s="342"/>
      <c r="AS8" s="389">
        <f t="shared" si="4"/>
        <v>0</v>
      </c>
      <c r="AU8" s="343"/>
      <c r="AV8" s="344"/>
      <c r="AW8" s="344"/>
      <c r="AX8" s="344"/>
      <c r="AY8" s="344"/>
      <c r="AZ8" s="344"/>
      <c r="BA8" s="344"/>
      <c r="BB8" s="390">
        <f t="shared" si="9"/>
        <v>0</v>
      </c>
      <c r="BC8" s="345">
        <v>0</v>
      </c>
      <c r="BE8" s="263" t="s">
        <v>11</v>
      </c>
      <c r="BF8" s="346"/>
    </row>
    <row r="9" spans="1:59">
      <c r="B9" s="326"/>
      <c r="C9" s="327"/>
      <c r="D9" s="327"/>
      <c r="E9" s="371">
        <f t="shared" si="5"/>
        <v>337945</v>
      </c>
      <c r="F9" s="372">
        <f t="shared" si="6"/>
        <v>0</v>
      </c>
      <c r="H9" s="328"/>
      <c r="I9" s="329"/>
      <c r="J9" s="330"/>
      <c r="K9" s="375">
        <f t="shared" si="0"/>
        <v>941317</v>
      </c>
      <c r="L9" s="331"/>
      <c r="M9" s="377">
        <f t="shared" si="1"/>
        <v>0</v>
      </c>
      <c r="O9" s="332"/>
      <c r="P9" s="333"/>
      <c r="Q9" s="333"/>
      <c r="R9" s="334"/>
      <c r="S9" s="334"/>
      <c r="T9" s="334"/>
      <c r="U9" s="334"/>
      <c r="V9" s="379">
        <f>V8+O9+P9-Q9-R9-S9-T9+U9</f>
        <v>14081391</v>
      </c>
      <c r="W9" s="335">
        <f>'TABEL INPUT'!C35</f>
        <v>0</v>
      </c>
      <c r="Y9" s="336"/>
      <c r="Z9" s="337"/>
      <c r="AA9" s="338"/>
      <c r="AB9" s="383">
        <f t="shared" si="7"/>
        <v>638</v>
      </c>
      <c r="AC9" s="339"/>
      <c r="AD9" s="384">
        <f t="shared" si="2"/>
        <v>0</v>
      </c>
      <c r="AE9" s="336"/>
      <c r="AF9" s="329"/>
      <c r="AG9" s="330"/>
      <c r="AH9" s="375">
        <f t="shared" si="8"/>
        <v>320270</v>
      </c>
      <c r="AI9" s="331"/>
      <c r="AJ9" s="377">
        <f t="shared" si="3"/>
        <v>0</v>
      </c>
      <c r="AK9" s="336"/>
      <c r="AL9" s="336"/>
      <c r="AM9" s="336">
        <v>0</v>
      </c>
      <c r="AN9" s="340"/>
      <c r="AO9" s="341"/>
      <c r="AP9" s="341"/>
      <c r="AQ9" s="386">
        <f t="shared" si="10"/>
        <v>199895</v>
      </c>
      <c r="AR9" s="342"/>
      <c r="AS9" s="389">
        <f t="shared" si="4"/>
        <v>0</v>
      </c>
      <c r="AU9" s="343"/>
      <c r="AV9" s="344"/>
      <c r="AW9" s="344"/>
      <c r="AX9" s="344"/>
      <c r="AY9" s="344"/>
      <c r="AZ9" s="344"/>
      <c r="BA9" s="344"/>
      <c r="BB9" s="390">
        <f t="shared" si="9"/>
        <v>0</v>
      </c>
      <c r="BC9" s="345">
        <v>0</v>
      </c>
      <c r="BE9" s="263" t="s">
        <v>21</v>
      </c>
      <c r="BF9" s="346"/>
    </row>
    <row r="10" spans="1:59">
      <c r="B10" s="326"/>
      <c r="C10" s="327"/>
      <c r="D10" s="327"/>
      <c r="E10" s="371">
        <f t="shared" si="5"/>
        <v>337945</v>
      </c>
      <c r="F10" s="372">
        <f t="shared" si="6"/>
        <v>0</v>
      </c>
      <c r="H10" s="328"/>
      <c r="I10" s="329"/>
      <c r="J10" s="330"/>
      <c r="K10" s="375">
        <f t="shared" si="0"/>
        <v>941317</v>
      </c>
      <c r="L10" s="331"/>
      <c r="M10" s="377">
        <f t="shared" si="1"/>
        <v>0</v>
      </c>
      <c r="O10" s="332"/>
      <c r="P10" s="333"/>
      <c r="Q10" s="333"/>
      <c r="R10" s="334"/>
      <c r="S10" s="334"/>
      <c r="T10" s="334"/>
      <c r="U10" s="334"/>
      <c r="V10" s="379">
        <f t="shared" ref="V10:V58" si="11">V9+O10+P10-Q10-R10-S10-T10+U10</f>
        <v>14081391</v>
      </c>
      <c r="W10" s="335">
        <f>'TABEL INPUT'!C36</f>
        <v>0</v>
      </c>
      <c r="Y10" s="336"/>
      <c r="Z10" s="337"/>
      <c r="AA10" s="338"/>
      <c r="AB10" s="383">
        <f t="shared" si="7"/>
        <v>638</v>
      </c>
      <c r="AC10" s="339"/>
      <c r="AD10" s="384">
        <f t="shared" si="2"/>
        <v>0</v>
      </c>
      <c r="AE10" s="336"/>
      <c r="AF10" s="329"/>
      <c r="AG10" s="330"/>
      <c r="AH10" s="375">
        <f t="shared" si="8"/>
        <v>320270</v>
      </c>
      <c r="AI10" s="331"/>
      <c r="AJ10" s="377">
        <f t="shared" si="3"/>
        <v>0</v>
      </c>
      <c r="AK10" s="336"/>
      <c r="AL10" s="336"/>
      <c r="AM10" s="336"/>
      <c r="AN10" s="340"/>
      <c r="AO10" s="341"/>
      <c r="AP10" s="341"/>
      <c r="AQ10" s="386">
        <f t="shared" si="10"/>
        <v>199895</v>
      </c>
      <c r="AR10" s="342"/>
      <c r="AS10" s="389">
        <f t="shared" si="4"/>
        <v>0</v>
      </c>
      <c r="AU10" s="343"/>
      <c r="AV10" s="344"/>
      <c r="AW10" s="344"/>
      <c r="AX10" s="344"/>
      <c r="AY10" s="344"/>
      <c r="AZ10" s="344"/>
      <c r="BA10" s="344"/>
      <c r="BB10" s="390">
        <f t="shared" si="9"/>
        <v>0</v>
      </c>
      <c r="BC10" s="345">
        <v>0</v>
      </c>
    </row>
    <row r="11" spans="1:59">
      <c r="B11" s="326"/>
      <c r="C11" s="327"/>
      <c r="D11" s="327"/>
      <c r="E11" s="371">
        <f t="shared" si="5"/>
        <v>337945</v>
      </c>
      <c r="F11" s="372">
        <f t="shared" si="6"/>
        <v>0</v>
      </c>
      <c r="H11" s="328"/>
      <c r="I11" s="329"/>
      <c r="J11" s="330"/>
      <c r="K11" s="375">
        <f t="shared" si="0"/>
        <v>941317</v>
      </c>
      <c r="L11" s="331"/>
      <c r="M11" s="377">
        <f t="shared" si="1"/>
        <v>0</v>
      </c>
      <c r="O11" s="332"/>
      <c r="P11" s="333"/>
      <c r="Q11" s="333"/>
      <c r="R11" s="334"/>
      <c r="S11" s="334"/>
      <c r="T11" s="334"/>
      <c r="U11" s="334"/>
      <c r="V11" s="379">
        <f t="shared" si="11"/>
        <v>14081391</v>
      </c>
      <c r="W11" s="335">
        <f>'TABEL INPUT'!C37</f>
        <v>0</v>
      </c>
      <c r="Y11" s="336"/>
      <c r="Z11" s="337"/>
      <c r="AA11" s="338"/>
      <c r="AB11" s="383">
        <f t="shared" si="7"/>
        <v>638</v>
      </c>
      <c r="AC11" s="339"/>
      <c r="AD11" s="384">
        <f t="shared" si="2"/>
        <v>0</v>
      </c>
      <c r="AE11" s="336"/>
      <c r="AF11" s="329"/>
      <c r="AG11" s="330"/>
      <c r="AH11" s="375">
        <f t="shared" si="8"/>
        <v>320270</v>
      </c>
      <c r="AI11" s="331"/>
      <c r="AJ11" s="377">
        <f t="shared" si="3"/>
        <v>0</v>
      </c>
      <c r="AK11" s="336"/>
      <c r="AL11" s="336"/>
      <c r="AM11" s="336"/>
      <c r="AN11" s="340"/>
      <c r="AO11" s="341"/>
      <c r="AP11" s="341"/>
      <c r="AQ11" s="386">
        <f t="shared" si="10"/>
        <v>199895</v>
      </c>
      <c r="AR11" s="342"/>
      <c r="AS11" s="389">
        <f t="shared" si="4"/>
        <v>0</v>
      </c>
      <c r="AU11" s="343"/>
      <c r="AV11" s="344"/>
      <c r="AW11" s="344"/>
      <c r="AX11" s="344"/>
      <c r="AY11" s="344"/>
      <c r="AZ11" s="344"/>
      <c r="BA11" s="344"/>
      <c r="BB11" s="390">
        <f t="shared" si="9"/>
        <v>0</v>
      </c>
      <c r="BC11" s="345">
        <v>0</v>
      </c>
    </row>
    <row r="12" spans="1:59">
      <c r="B12" s="326"/>
      <c r="C12" s="327"/>
      <c r="D12" s="327"/>
      <c r="E12" s="371">
        <f t="shared" si="5"/>
        <v>337945</v>
      </c>
      <c r="F12" s="372">
        <f t="shared" si="6"/>
        <v>0</v>
      </c>
      <c r="H12" s="328"/>
      <c r="I12" s="329"/>
      <c r="J12" s="330"/>
      <c r="K12" s="375">
        <f t="shared" si="0"/>
        <v>941317</v>
      </c>
      <c r="L12" s="331"/>
      <c r="M12" s="377">
        <f t="shared" si="1"/>
        <v>0</v>
      </c>
      <c r="O12" s="332"/>
      <c r="P12" s="333"/>
      <c r="Q12" s="333"/>
      <c r="R12" s="334"/>
      <c r="S12" s="334"/>
      <c r="T12" s="334"/>
      <c r="U12" s="334"/>
      <c r="V12" s="379">
        <f t="shared" si="11"/>
        <v>14081391</v>
      </c>
      <c r="W12" s="335">
        <f>'TABEL INPUT'!C38</f>
        <v>0</v>
      </c>
      <c r="Y12" s="336"/>
      <c r="Z12" s="337"/>
      <c r="AA12" s="338"/>
      <c r="AB12" s="383">
        <f t="shared" si="7"/>
        <v>638</v>
      </c>
      <c r="AC12" s="339"/>
      <c r="AD12" s="384">
        <f t="shared" si="2"/>
        <v>0</v>
      </c>
      <c r="AE12" s="336"/>
      <c r="AF12" s="329"/>
      <c r="AG12" s="330"/>
      <c r="AH12" s="375">
        <f t="shared" si="8"/>
        <v>320270</v>
      </c>
      <c r="AI12" s="331"/>
      <c r="AJ12" s="377">
        <f t="shared" si="3"/>
        <v>0</v>
      </c>
      <c r="AK12" s="336"/>
      <c r="AL12" s="336"/>
      <c r="AM12" s="336"/>
      <c r="AN12" s="340"/>
      <c r="AO12" s="341"/>
      <c r="AP12" s="341"/>
      <c r="AQ12" s="386">
        <f t="shared" si="10"/>
        <v>199895</v>
      </c>
      <c r="AR12" s="342"/>
      <c r="AS12" s="389">
        <f t="shared" si="4"/>
        <v>0</v>
      </c>
      <c r="AU12" s="343"/>
      <c r="AV12" s="344"/>
      <c r="AW12" s="344"/>
      <c r="AX12" s="344"/>
      <c r="AY12" s="344"/>
      <c r="AZ12" s="344"/>
      <c r="BA12" s="344"/>
      <c r="BB12" s="390">
        <f t="shared" si="9"/>
        <v>0</v>
      </c>
      <c r="BC12" s="345">
        <v>0</v>
      </c>
    </row>
    <row r="13" spans="1:59">
      <c r="B13" s="326"/>
      <c r="C13" s="327"/>
      <c r="D13" s="327"/>
      <c r="E13" s="371">
        <f t="shared" si="5"/>
        <v>337945</v>
      </c>
      <c r="F13" s="372">
        <f t="shared" si="6"/>
        <v>0</v>
      </c>
      <c r="H13" s="328"/>
      <c r="I13" s="329"/>
      <c r="J13" s="330"/>
      <c r="K13" s="375">
        <f t="shared" si="0"/>
        <v>941317</v>
      </c>
      <c r="L13" s="331"/>
      <c r="M13" s="377">
        <f>L13-J13</f>
        <v>0</v>
      </c>
      <c r="O13" s="332"/>
      <c r="P13" s="333"/>
      <c r="Q13" s="333"/>
      <c r="R13" s="334"/>
      <c r="S13" s="334"/>
      <c r="T13" s="334"/>
      <c r="U13" s="334"/>
      <c r="V13" s="379">
        <f t="shared" si="11"/>
        <v>14081391</v>
      </c>
      <c r="W13" s="335"/>
      <c r="Y13" s="336"/>
      <c r="Z13" s="337"/>
      <c r="AA13" s="338"/>
      <c r="AB13" s="383">
        <f t="shared" si="7"/>
        <v>638</v>
      </c>
      <c r="AC13" s="339"/>
      <c r="AD13" s="384">
        <f>AC13-AA13</f>
        <v>0</v>
      </c>
      <c r="AE13" s="336"/>
      <c r="AF13" s="329"/>
      <c r="AG13" s="330"/>
      <c r="AH13" s="375">
        <f t="shared" si="8"/>
        <v>320270</v>
      </c>
      <c r="AI13" s="331"/>
      <c r="AJ13" s="377">
        <f>AI13-AG13</f>
        <v>0</v>
      </c>
      <c r="AK13" s="336"/>
      <c r="AL13" s="336"/>
      <c r="AM13" s="336"/>
      <c r="AN13" s="340"/>
      <c r="AO13" s="341"/>
      <c r="AP13" s="341"/>
      <c r="AQ13" s="386">
        <f t="shared" si="10"/>
        <v>199895</v>
      </c>
      <c r="AR13" s="342"/>
      <c r="AS13" s="389">
        <f t="shared" si="4"/>
        <v>0</v>
      </c>
      <c r="AU13" s="343"/>
      <c r="AV13" s="344"/>
      <c r="AW13" s="344"/>
      <c r="AX13" s="344"/>
      <c r="AY13" s="344"/>
      <c r="AZ13" s="344"/>
      <c r="BA13" s="344"/>
      <c r="BB13" s="390">
        <f t="shared" si="9"/>
        <v>0</v>
      </c>
      <c r="BC13" s="345">
        <v>0</v>
      </c>
      <c r="BE13" s="1357" t="s">
        <v>182</v>
      </c>
      <c r="BF13" s="1357"/>
      <c r="BG13" s="1357"/>
    </row>
    <row r="14" spans="1:59">
      <c r="B14" s="326"/>
      <c r="C14" s="327"/>
      <c r="D14" s="327"/>
      <c r="E14" s="371">
        <f t="shared" si="5"/>
        <v>337945</v>
      </c>
      <c r="F14" s="372">
        <f t="shared" si="6"/>
        <v>0</v>
      </c>
      <c r="H14" s="328"/>
      <c r="I14" s="329"/>
      <c r="J14" s="330"/>
      <c r="K14" s="375">
        <f t="shared" si="0"/>
        <v>941317</v>
      </c>
      <c r="L14" s="331"/>
      <c r="M14" s="377">
        <f t="shared" si="1"/>
        <v>0</v>
      </c>
      <c r="O14" s="332"/>
      <c r="P14" s="333"/>
      <c r="Q14" s="333"/>
      <c r="R14" s="334"/>
      <c r="S14" s="334"/>
      <c r="T14" s="334"/>
      <c r="U14" s="334"/>
      <c r="V14" s="379">
        <f t="shared" si="11"/>
        <v>14081391</v>
      </c>
      <c r="W14" s="335"/>
      <c r="Y14" s="336"/>
      <c r="Z14" s="337"/>
      <c r="AA14" s="338"/>
      <c r="AB14" s="383">
        <f t="shared" si="7"/>
        <v>638</v>
      </c>
      <c r="AC14" s="339"/>
      <c r="AD14" s="384">
        <f t="shared" ref="AD14:AD77" si="12">AC14-AA14</f>
        <v>0</v>
      </c>
      <c r="AE14" s="336"/>
      <c r="AF14" s="329"/>
      <c r="AG14" s="330"/>
      <c r="AH14" s="375">
        <f t="shared" si="8"/>
        <v>320270</v>
      </c>
      <c r="AI14" s="331"/>
      <c r="AJ14" s="377">
        <f t="shared" ref="AJ14:AJ77" si="13">AI14-AG14</f>
        <v>0</v>
      </c>
      <c r="AK14" s="336"/>
      <c r="AL14" s="336"/>
      <c r="AM14" s="336"/>
      <c r="AN14" s="340"/>
      <c r="AO14" s="341"/>
      <c r="AP14" s="341"/>
      <c r="AQ14" s="386">
        <f t="shared" si="10"/>
        <v>199895</v>
      </c>
      <c r="AR14" s="342"/>
      <c r="AS14" s="389">
        <f t="shared" si="4"/>
        <v>0</v>
      </c>
      <c r="AU14" s="343"/>
      <c r="AV14" s="344"/>
      <c r="AW14" s="344"/>
      <c r="AX14" s="344"/>
      <c r="AY14" s="344"/>
      <c r="AZ14" s="344"/>
      <c r="BA14" s="344"/>
      <c r="BB14" s="390">
        <f t="shared" si="9"/>
        <v>0</v>
      </c>
      <c r="BC14" s="345">
        <v>0</v>
      </c>
      <c r="BE14" s="263" t="s">
        <v>29</v>
      </c>
      <c r="BF14" s="347">
        <f>E190+K190+V190+AB190+AH190+AQ190+BB190</f>
        <v>15881456</v>
      </c>
      <c r="BG14" s="347">
        <f>BF14+BF15+BF16</f>
        <v>15881456</v>
      </c>
    </row>
    <row r="15" spans="1:59">
      <c r="B15" s="326"/>
      <c r="C15" s="327"/>
      <c r="D15" s="327"/>
      <c r="E15" s="371">
        <f t="shared" si="5"/>
        <v>337945</v>
      </c>
      <c r="F15" s="372">
        <f t="shared" si="6"/>
        <v>0</v>
      </c>
      <c r="H15" s="328"/>
      <c r="I15" s="329"/>
      <c r="J15" s="348"/>
      <c r="K15" s="375">
        <f t="shared" si="0"/>
        <v>941317</v>
      </c>
      <c r="L15" s="331"/>
      <c r="M15" s="377">
        <f t="shared" si="1"/>
        <v>0</v>
      </c>
      <c r="O15" s="332"/>
      <c r="P15" s="333"/>
      <c r="Q15" s="333"/>
      <c r="R15" s="334"/>
      <c r="S15" s="334"/>
      <c r="T15" s="334"/>
      <c r="U15" s="334"/>
      <c r="V15" s="379">
        <f t="shared" si="11"/>
        <v>14081391</v>
      </c>
      <c r="W15" s="335"/>
      <c r="Y15" s="336"/>
      <c r="Z15" s="337"/>
      <c r="AA15" s="338"/>
      <c r="AB15" s="383">
        <f t="shared" si="7"/>
        <v>638</v>
      </c>
      <c r="AC15" s="339"/>
      <c r="AD15" s="384">
        <f t="shared" si="12"/>
        <v>0</v>
      </c>
      <c r="AE15" s="336"/>
      <c r="AF15" s="329"/>
      <c r="AG15" s="348"/>
      <c r="AH15" s="375">
        <f t="shared" si="8"/>
        <v>320270</v>
      </c>
      <c r="AI15" s="331"/>
      <c r="AJ15" s="377">
        <f t="shared" si="13"/>
        <v>0</v>
      </c>
      <c r="AK15" s="336"/>
      <c r="AL15" s="336"/>
      <c r="AM15" s="336"/>
      <c r="AN15" s="340"/>
      <c r="AO15" s="341"/>
      <c r="AP15" s="341"/>
      <c r="AQ15" s="386">
        <f t="shared" si="10"/>
        <v>199895</v>
      </c>
      <c r="AR15" s="342"/>
      <c r="AS15" s="389">
        <f t="shared" si="4"/>
        <v>0</v>
      </c>
      <c r="AU15" s="343"/>
      <c r="AV15" s="344"/>
      <c r="AW15" s="344"/>
      <c r="AX15" s="344"/>
      <c r="AY15" s="344"/>
      <c r="AZ15" s="344"/>
      <c r="BA15" s="344"/>
      <c r="BB15" s="390">
        <f t="shared" si="9"/>
        <v>0</v>
      </c>
      <c r="BC15" s="345">
        <v>0</v>
      </c>
      <c r="BE15" s="263" t="s">
        <v>185</v>
      </c>
      <c r="BF15" s="347">
        <v>0</v>
      </c>
    </row>
    <row r="16" spans="1:59">
      <c r="B16" s="326"/>
      <c r="C16" s="327"/>
      <c r="D16" s="327"/>
      <c r="E16" s="371">
        <f t="shared" si="5"/>
        <v>337945</v>
      </c>
      <c r="F16" s="372">
        <f t="shared" si="6"/>
        <v>0</v>
      </c>
      <c r="H16" s="328"/>
      <c r="I16" s="329"/>
      <c r="J16" s="330"/>
      <c r="K16" s="375">
        <f t="shared" si="0"/>
        <v>941317</v>
      </c>
      <c r="L16" s="331"/>
      <c r="M16" s="377">
        <f t="shared" si="1"/>
        <v>0</v>
      </c>
      <c r="O16" s="332"/>
      <c r="P16" s="333"/>
      <c r="Q16" s="333"/>
      <c r="R16" s="334"/>
      <c r="S16" s="334"/>
      <c r="T16" s="334"/>
      <c r="U16" s="334"/>
      <c r="V16" s="379">
        <f t="shared" si="11"/>
        <v>14081391</v>
      </c>
      <c r="W16" s="335"/>
      <c r="Y16" s="336"/>
      <c r="Z16" s="337"/>
      <c r="AA16" s="338"/>
      <c r="AB16" s="383">
        <f t="shared" si="7"/>
        <v>638</v>
      </c>
      <c r="AC16" s="339"/>
      <c r="AD16" s="384">
        <f t="shared" si="12"/>
        <v>0</v>
      </c>
      <c r="AE16" s="336"/>
      <c r="AF16" s="329"/>
      <c r="AG16" s="330"/>
      <c r="AH16" s="375">
        <f t="shared" si="8"/>
        <v>320270</v>
      </c>
      <c r="AI16" s="331"/>
      <c r="AJ16" s="377">
        <f t="shared" si="13"/>
        <v>0</v>
      </c>
      <c r="AK16" s="336"/>
      <c r="AL16" s="336"/>
      <c r="AM16" s="336"/>
      <c r="AN16" s="340"/>
      <c r="AO16" s="341"/>
      <c r="AP16" s="341"/>
      <c r="AQ16" s="386">
        <f t="shared" si="10"/>
        <v>199895</v>
      </c>
      <c r="AR16" s="342"/>
      <c r="AS16" s="389">
        <f t="shared" si="4"/>
        <v>0</v>
      </c>
      <c r="AU16" s="343"/>
      <c r="AV16" s="344"/>
      <c r="AW16" s="344"/>
      <c r="AX16" s="344"/>
      <c r="AY16" s="344"/>
      <c r="AZ16" s="344"/>
      <c r="BA16" s="344"/>
      <c r="BB16" s="390">
        <f t="shared" si="9"/>
        <v>0</v>
      </c>
      <c r="BC16" s="345">
        <v>0</v>
      </c>
      <c r="BE16" s="263" t="s">
        <v>10</v>
      </c>
    </row>
    <row r="17" spans="2:61">
      <c r="B17" s="326"/>
      <c r="C17" s="327"/>
      <c r="D17" s="327"/>
      <c r="E17" s="371">
        <f t="shared" si="5"/>
        <v>337945</v>
      </c>
      <c r="F17" s="372">
        <f t="shared" si="6"/>
        <v>0</v>
      </c>
      <c r="H17" s="328"/>
      <c r="I17" s="329"/>
      <c r="J17" s="330"/>
      <c r="K17" s="375">
        <f t="shared" si="0"/>
        <v>941317</v>
      </c>
      <c r="L17" s="331"/>
      <c r="M17" s="377">
        <f>L17-J17</f>
        <v>0</v>
      </c>
      <c r="O17" s="332"/>
      <c r="P17" s="333"/>
      <c r="Q17" s="333"/>
      <c r="R17" s="334"/>
      <c r="S17" s="334"/>
      <c r="T17" s="334"/>
      <c r="U17" s="334"/>
      <c r="V17" s="379">
        <f t="shared" si="11"/>
        <v>14081391</v>
      </c>
      <c r="W17" s="335"/>
      <c r="Y17" s="336"/>
      <c r="Z17" s="337"/>
      <c r="AA17" s="338"/>
      <c r="AB17" s="383">
        <f t="shared" si="7"/>
        <v>638</v>
      </c>
      <c r="AC17" s="339"/>
      <c r="AD17" s="384">
        <f t="shared" si="12"/>
        <v>0</v>
      </c>
      <c r="AE17" s="336"/>
      <c r="AF17" s="329"/>
      <c r="AG17" s="330"/>
      <c r="AH17" s="375">
        <f t="shared" si="8"/>
        <v>320270</v>
      </c>
      <c r="AI17" s="331"/>
      <c r="AJ17" s="377">
        <f t="shared" si="13"/>
        <v>0</v>
      </c>
      <c r="AK17" s="336"/>
      <c r="AL17" s="336"/>
      <c r="AM17" s="336"/>
      <c r="AN17" s="340"/>
      <c r="AO17" s="341"/>
      <c r="AP17" s="341"/>
      <c r="AQ17" s="386">
        <f t="shared" si="10"/>
        <v>199895</v>
      </c>
      <c r="AR17" s="342"/>
      <c r="AS17" s="389">
        <f t="shared" si="4"/>
        <v>0</v>
      </c>
      <c r="AU17" s="343"/>
      <c r="AV17" s="344"/>
      <c r="AW17" s="344"/>
      <c r="AX17" s="344"/>
      <c r="AY17" s="344"/>
      <c r="AZ17" s="344"/>
      <c r="BA17" s="344"/>
      <c r="BB17" s="390">
        <f t="shared" si="9"/>
        <v>0</v>
      </c>
      <c r="BC17" s="345">
        <v>0</v>
      </c>
      <c r="BE17" s="263" t="s">
        <v>11</v>
      </c>
    </row>
    <row r="18" spans="2:61">
      <c r="B18" s="326"/>
      <c r="C18" s="327"/>
      <c r="D18" s="327"/>
      <c r="E18" s="371">
        <f t="shared" si="5"/>
        <v>337945</v>
      </c>
      <c r="F18" s="372">
        <f t="shared" si="6"/>
        <v>0</v>
      </c>
      <c r="H18" s="328"/>
      <c r="I18" s="329"/>
      <c r="J18" s="330"/>
      <c r="K18" s="375">
        <f t="shared" si="0"/>
        <v>941317</v>
      </c>
      <c r="L18" s="331"/>
      <c r="M18" s="377">
        <f t="shared" si="1"/>
        <v>0</v>
      </c>
      <c r="O18" s="332"/>
      <c r="P18" s="333"/>
      <c r="Q18" s="333"/>
      <c r="R18" s="334"/>
      <c r="S18" s="334"/>
      <c r="T18" s="334"/>
      <c r="U18" s="334"/>
      <c r="V18" s="379">
        <f t="shared" si="11"/>
        <v>14081391</v>
      </c>
      <c r="W18" s="335"/>
      <c r="Y18" s="336"/>
      <c r="Z18" s="337"/>
      <c r="AA18" s="338"/>
      <c r="AB18" s="383">
        <f t="shared" si="7"/>
        <v>638</v>
      </c>
      <c r="AC18" s="339"/>
      <c r="AD18" s="384">
        <f t="shared" si="12"/>
        <v>0</v>
      </c>
      <c r="AE18" s="336"/>
      <c r="AF18" s="329"/>
      <c r="AG18" s="330"/>
      <c r="AH18" s="375">
        <f t="shared" si="8"/>
        <v>320270</v>
      </c>
      <c r="AI18" s="331"/>
      <c r="AJ18" s="377">
        <f t="shared" si="13"/>
        <v>0</v>
      </c>
      <c r="AK18" s="336"/>
      <c r="AL18" s="336"/>
      <c r="AM18" s="336"/>
      <c r="AN18" s="340"/>
      <c r="AO18" s="341"/>
      <c r="AP18" s="341"/>
      <c r="AQ18" s="386">
        <f t="shared" si="10"/>
        <v>199895</v>
      </c>
      <c r="AR18" s="342"/>
      <c r="AS18" s="389">
        <f t="shared" si="4"/>
        <v>0</v>
      </c>
      <c r="AU18" s="343"/>
      <c r="AV18" s="344"/>
      <c r="AW18" s="344"/>
      <c r="AX18" s="344"/>
      <c r="AY18" s="344"/>
      <c r="AZ18" s="344"/>
      <c r="BA18" s="344"/>
      <c r="BB18" s="390">
        <f t="shared" si="9"/>
        <v>0</v>
      </c>
      <c r="BC18" s="345">
        <v>0</v>
      </c>
      <c r="BE18" s="263" t="s">
        <v>21</v>
      </c>
    </row>
    <row r="19" spans="2:61">
      <c r="B19" s="326"/>
      <c r="C19" s="327"/>
      <c r="D19" s="327"/>
      <c r="E19" s="371">
        <f t="shared" si="5"/>
        <v>337945</v>
      </c>
      <c r="F19" s="372">
        <f t="shared" si="6"/>
        <v>0</v>
      </c>
      <c r="H19" s="328"/>
      <c r="I19" s="329"/>
      <c r="J19" s="330"/>
      <c r="K19" s="375">
        <f t="shared" si="0"/>
        <v>941317</v>
      </c>
      <c r="L19" s="331"/>
      <c r="M19" s="377">
        <f t="shared" si="1"/>
        <v>0</v>
      </c>
      <c r="O19" s="332"/>
      <c r="P19" s="333"/>
      <c r="Q19" s="333"/>
      <c r="R19" s="334"/>
      <c r="S19" s="334"/>
      <c r="T19" s="334"/>
      <c r="U19" s="334"/>
      <c r="V19" s="379">
        <f t="shared" si="11"/>
        <v>14081391</v>
      </c>
      <c r="W19" s="335"/>
      <c r="Y19" s="336"/>
      <c r="Z19" s="337"/>
      <c r="AA19" s="338"/>
      <c r="AB19" s="383">
        <f t="shared" si="7"/>
        <v>638</v>
      </c>
      <c r="AC19" s="339"/>
      <c r="AD19" s="384">
        <f t="shared" si="12"/>
        <v>0</v>
      </c>
      <c r="AE19" s="336"/>
      <c r="AF19" s="329"/>
      <c r="AG19" s="330"/>
      <c r="AH19" s="375">
        <f t="shared" si="8"/>
        <v>320270</v>
      </c>
      <c r="AI19" s="331"/>
      <c r="AJ19" s="377">
        <f t="shared" si="13"/>
        <v>0</v>
      </c>
      <c r="AK19" s="336"/>
      <c r="AL19" s="336"/>
      <c r="AM19" s="336"/>
      <c r="AN19" s="340"/>
      <c r="AO19" s="341"/>
      <c r="AP19" s="341"/>
      <c r="AQ19" s="386">
        <f t="shared" si="10"/>
        <v>199895</v>
      </c>
      <c r="AR19" s="342"/>
      <c r="AS19" s="389">
        <f t="shared" si="4"/>
        <v>0</v>
      </c>
      <c r="AU19" s="343"/>
      <c r="AV19" s="344"/>
      <c r="AW19" s="344"/>
      <c r="AX19" s="344"/>
      <c r="AY19" s="344"/>
      <c r="AZ19" s="344"/>
      <c r="BA19" s="344"/>
      <c r="BB19" s="390">
        <f t="shared" si="9"/>
        <v>0</v>
      </c>
      <c r="BC19" s="345">
        <v>0</v>
      </c>
    </row>
    <row r="20" spans="2:61">
      <c r="B20" s="326"/>
      <c r="C20" s="327"/>
      <c r="D20" s="327"/>
      <c r="E20" s="371">
        <f>E19+B20-D20</f>
        <v>337945</v>
      </c>
      <c r="F20" s="372">
        <f t="shared" si="6"/>
        <v>0</v>
      </c>
      <c r="H20" s="328"/>
      <c r="I20" s="329"/>
      <c r="J20" s="330"/>
      <c r="K20" s="375">
        <f t="shared" si="0"/>
        <v>941317</v>
      </c>
      <c r="L20" s="331"/>
      <c r="M20" s="377">
        <f t="shared" si="1"/>
        <v>0</v>
      </c>
      <c r="O20" s="332"/>
      <c r="P20" s="333"/>
      <c r="Q20" s="333"/>
      <c r="R20" s="334"/>
      <c r="S20" s="334"/>
      <c r="T20" s="334"/>
      <c r="U20" s="334"/>
      <c r="V20" s="379">
        <f t="shared" si="11"/>
        <v>14081391</v>
      </c>
      <c r="W20" s="335"/>
      <c r="Y20" s="336"/>
      <c r="Z20" s="337"/>
      <c r="AA20" s="338"/>
      <c r="AB20" s="383">
        <f t="shared" si="7"/>
        <v>638</v>
      </c>
      <c r="AC20" s="339"/>
      <c r="AD20" s="384">
        <f t="shared" si="12"/>
        <v>0</v>
      </c>
      <c r="AE20" s="336"/>
      <c r="AF20" s="329"/>
      <c r="AG20" s="330"/>
      <c r="AH20" s="375">
        <f t="shared" si="8"/>
        <v>320270</v>
      </c>
      <c r="AI20" s="331"/>
      <c r="AJ20" s="377">
        <f t="shared" si="13"/>
        <v>0</v>
      </c>
      <c r="AK20" s="336"/>
      <c r="AL20" s="336"/>
      <c r="AM20" s="336"/>
      <c r="AN20" s="340"/>
      <c r="AO20" s="341"/>
      <c r="AP20" s="341"/>
      <c r="AQ20" s="386">
        <f t="shared" si="10"/>
        <v>199895</v>
      </c>
      <c r="AR20" s="342"/>
      <c r="AS20" s="389">
        <f t="shared" si="4"/>
        <v>0</v>
      </c>
      <c r="AU20" s="343"/>
      <c r="AV20" s="344"/>
      <c r="AW20" s="344"/>
      <c r="AX20" s="344"/>
      <c r="AY20" s="344"/>
      <c r="AZ20" s="344"/>
      <c r="BA20" s="344"/>
      <c r="BB20" s="390">
        <f t="shared" si="9"/>
        <v>0</v>
      </c>
      <c r="BC20" s="345">
        <v>0</v>
      </c>
    </row>
    <row r="21" spans="2:61">
      <c r="B21" s="326"/>
      <c r="C21" s="327"/>
      <c r="D21" s="327"/>
      <c r="E21" s="371">
        <f>E20+B21-D21</f>
        <v>337945</v>
      </c>
      <c r="F21" s="372">
        <f t="shared" si="6"/>
        <v>0</v>
      </c>
      <c r="H21" s="328"/>
      <c r="I21" s="329"/>
      <c r="J21" s="330"/>
      <c r="K21" s="375">
        <f t="shared" si="0"/>
        <v>941317</v>
      </c>
      <c r="L21" s="331"/>
      <c r="M21" s="377">
        <f t="shared" si="1"/>
        <v>0</v>
      </c>
      <c r="O21" s="332"/>
      <c r="P21" s="333"/>
      <c r="Q21" s="333"/>
      <c r="R21" s="334"/>
      <c r="S21" s="334"/>
      <c r="T21" s="334"/>
      <c r="U21" s="334"/>
      <c r="V21" s="379">
        <f t="shared" si="11"/>
        <v>14081391</v>
      </c>
      <c r="W21" s="335"/>
      <c r="Y21" s="336"/>
      <c r="Z21" s="337"/>
      <c r="AA21" s="338"/>
      <c r="AB21" s="383">
        <f t="shared" si="7"/>
        <v>638</v>
      </c>
      <c r="AC21" s="339"/>
      <c r="AD21" s="384">
        <f t="shared" si="12"/>
        <v>0</v>
      </c>
      <c r="AE21" s="336"/>
      <c r="AF21" s="329"/>
      <c r="AG21" s="330"/>
      <c r="AH21" s="375">
        <f t="shared" si="8"/>
        <v>320270</v>
      </c>
      <c r="AI21" s="331"/>
      <c r="AJ21" s="377">
        <f t="shared" si="13"/>
        <v>0</v>
      </c>
      <c r="AK21" s="336"/>
      <c r="AL21" s="336"/>
      <c r="AM21" s="336"/>
      <c r="AN21" s="340"/>
      <c r="AO21" s="341"/>
      <c r="AP21" s="341"/>
      <c r="AQ21" s="386">
        <f t="shared" si="10"/>
        <v>199895</v>
      </c>
      <c r="AR21" s="342"/>
      <c r="AS21" s="389">
        <f t="shared" si="4"/>
        <v>0</v>
      </c>
      <c r="AU21" s="343"/>
      <c r="AV21" s="344"/>
      <c r="AW21" s="344"/>
      <c r="AX21" s="344"/>
      <c r="AY21" s="344"/>
      <c r="AZ21" s="344"/>
      <c r="BA21" s="344"/>
      <c r="BB21" s="390">
        <f t="shared" si="9"/>
        <v>0</v>
      </c>
      <c r="BC21" s="345">
        <v>0</v>
      </c>
    </row>
    <row r="22" spans="2:61">
      <c r="B22" s="326"/>
      <c r="C22" s="327"/>
      <c r="D22" s="327"/>
      <c r="E22" s="371">
        <f t="shared" si="5"/>
        <v>337945</v>
      </c>
      <c r="F22" s="372">
        <f t="shared" si="6"/>
        <v>0</v>
      </c>
      <c r="H22" s="328"/>
      <c r="I22" s="329"/>
      <c r="J22" s="330"/>
      <c r="K22" s="375">
        <f t="shared" si="0"/>
        <v>941317</v>
      </c>
      <c r="L22" s="331"/>
      <c r="M22" s="377">
        <f t="shared" si="1"/>
        <v>0</v>
      </c>
      <c r="O22" s="332"/>
      <c r="P22" s="333"/>
      <c r="Q22" s="333"/>
      <c r="R22" s="334"/>
      <c r="S22" s="334"/>
      <c r="T22" s="334"/>
      <c r="U22" s="334"/>
      <c r="V22" s="379">
        <f t="shared" si="11"/>
        <v>14081391</v>
      </c>
      <c r="W22" s="335"/>
      <c r="Y22" s="336"/>
      <c r="Z22" s="337"/>
      <c r="AA22" s="338"/>
      <c r="AB22" s="383">
        <f t="shared" si="7"/>
        <v>638</v>
      </c>
      <c r="AC22" s="339"/>
      <c r="AD22" s="384">
        <f t="shared" si="12"/>
        <v>0</v>
      </c>
      <c r="AE22" s="336"/>
      <c r="AF22" s="329"/>
      <c r="AG22" s="330"/>
      <c r="AH22" s="375">
        <f t="shared" si="8"/>
        <v>320270</v>
      </c>
      <c r="AI22" s="331"/>
      <c r="AJ22" s="377">
        <f t="shared" si="13"/>
        <v>0</v>
      </c>
      <c r="AK22" s="336"/>
      <c r="AL22" s="336"/>
      <c r="AM22" s="336"/>
      <c r="AN22" s="340"/>
      <c r="AO22" s="341"/>
      <c r="AP22" s="341"/>
      <c r="AQ22" s="386">
        <f t="shared" si="10"/>
        <v>199895</v>
      </c>
      <c r="AR22" s="342"/>
      <c r="AS22" s="389">
        <f t="shared" si="4"/>
        <v>0</v>
      </c>
      <c r="AU22" s="343"/>
      <c r="AV22" s="344"/>
      <c r="AW22" s="344"/>
      <c r="AX22" s="344"/>
      <c r="AY22" s="344"/>
      <c r="AZ22" s="344"/>
      <c r="BA22" s="344"/>
      <c r="BB22" s="390">
        <f t="shared" si="9"/>
        <v>0</v>
      </c>
      <c r="BC22" s="345">
        <v>0</v>
      </c>
      <c r="BE22" s="263" t="s">
        <v>184</v>
      </c>
      <c r="BF22" s="347">
        <f>F191+M191+U191+W191+AD191+AJ191+AP191+AS191+BC191</f>
        <v>0</v>
      </c>
    </row>
    <row r="23" spans="2:61">
      <c r="B23" s="326"/>
      <c r="C23" s="327"/>
      <c r="D23" s="327"/>
      <c r="E23" s="371">
        <f t="shared" si="5"/>
        <v>337945</v>
      </c>
      <c r="F23" s="372">
        <f t="shared" si="6"/>
        <v>0</v>
      </c>
      <c r="H23" s="328"/>
      <c r="I23" s="329"/>
      <c r="J23" s="330"/>
      <c r="K23" s="375">
        <f t="shared" si="0"/>
        <v>941317</v>
      </c>
      <c r="L23" s="331"/>
      <c r="M23" s="377">
        <f t="shared" ref="M23:M69" si="14">L23-J23</f>
        <v>0</v>
      </c>
      <c r="O23" s="332"/>
      <c r="P23" s="333"/>
      <c r="Q23" s="333"/>
      <c r="R23" s="334"/>
      <c r="S23" s="334"/>
      <c r="T23" s="334"/>
      <c r="U23" s="334"/>
      <c r="V23" s="379">
        <f t="shared" si="11"/>
        <v>14081391</v>
      </c>
      <c r="W23" s="335"/>
      <c r="Y23" s="336"/>
      <c r="Z23" s="337"/>
      <c r="AA23" s="338"/>
      <c r="AB23" s="383">
        <f t="shared" si="7"/>
        <v>638</v>
      </c>
      <c r="AC23" s="339"/>
      <c r="AD23" s="384">
        <f t="shared" si="12"/>
        <v>0</v>
      </c>
      <c r="AE23" s="336"/>
      <c r="AF23" s="329"/>
      <c r="AG23" s="330"/>
      <c r="AH23" s="375">
        <f t="shared" si="8"/>
        <v>320270</v>
      </c>
      <c r="AI23" s="331"/>
      <c r="AJ23" s="377">
        <f t="shared" si="13"/>
        <v>0</v>
      </c>
      <c r="AK23" s="336"/>
      <c r="AL23" s="336"/>
      <c r="AM23" s="336"/>
      <c r="AN23" s="340"/>
      <c r="AO23" s="341"/>
      <c r="AP23" s="341"/>
      <c r="AQ23" s="386">
        <f t="shared" si="10"/>
        <v>199895</v>
      </c>
      <c r="AR23" s="342"/>
      <c r="AS23" s="389">
        <f t="shared" si="4"/>
        <v>0</v>
      </c>
      <c r="AU23" s="343"/>
      <c r="AV23" s="344"/>
      <c r="AW23" s="344"/>
      <c r="AX23" s="344"/>
      <c r="AY23" s="344"/>
      <c r="AZ23" s="344"/>
      <c r="BA23" s="344"/>
      <c r="BB23" s="390">
        <f t="shared" si="9"/>
        <v>0</v>
      </c>
      <c r="BC23" s="345">
        <v>0</v>
      </c>
    </row>
    <row r="24" spans="2:61" ht="15" thickBot="1">
      <c r="B24" s="326"/>
      <c r="C24" s="327"/>
      <c r="D24" s="327"/>
      <c r="E24" s="371">
        <f t="shared" si="5"/>
        <v>337945</v>
      </c>
      <c r="F24" s="372">
        <f t="shared" si="6"/>
        <v>0</v>
      </c>
      <c r="H24" s="328"/>
      <c r="I24" s="329"/>
      <c r="J24" s="330"/>
      <c r="K24" s="375">
        <f t="shared" si="0"/>
        <v>941317</v>
      </c>
      <c r="L24" s="331"/>
      <c r="M24" s="377">
        <f t="shared" si="14"/>
        <v>0</v>
      </c>
      <c r="O24" s="332"/>
      <c r="P24" s="333"/>
      <c r="Q24" s="333"/>
      <c r="R24" s="334"/>
      <c r="S24" s="334"/>
      <c r="T24" s="334"/>
      <c r="U24" s="334"/>
      <c r="V24" s="379">
        <f t="shared" si="11"/>
        <v>14081391</v>
      </c>
      <c r="W24" s="335"/>
      <c r="Y24" s="336"/>
      <c r="Z24" s="337"/>
      <c r="AA24" s="338"/>
      <c r="AB24" s="383">
        <f t="shared" si="7"/>
        <v>638</v>
      </c>
      <c r="AC24" s="339"/>
      <c r="AD24" s="384">
        <f t="shared" si="12"/>
        <v>0</v>
      </c>
      <c r="AE24" s="336"/>
      <c r="AF24" s="329"/>
      <c r="AG24" s="330"/>
      <c r="AH24" s="375">
        <f t="shared" si="8"/>
        <v>320270</v>
      </c>
      <c r="AI24" s="331"/>
      <c r="AJ24" s="377">
        <f t="shared" si="13"/>
        <v>0</v>
      </c>
      <c r="AK24" s="336"/>
      <c r="AL24" s="336"/>
      <c r="AM24" s="336"/>
      <c r="AN24" s="340"/>
      <c r="AO24" s="341"/>
      <c r="AP24" s="341"/>
      <c r="AQ24" s="386">
        <f t="shared" si="10"/>
        <v>199895</v>
      </c>
      <c r="AR24" s="342"/>
      <c r="AS24" s="389">
        <f t="shared" si="4"/>
        <v>0</v>
      </c>
      <c r="AU24" s="343"/>
      <c r="AV24" s="344"/>
      <c r="AW24" s="344"/>
      <c r="AX24" s="344"/>
      <c r="AY24" s="344"/>
      <c r="AZ24" s="344"/>
      <c r="BA24" s="344"/>
      <c r="BB24" s="390">
        <f t="shared" si="9"/>
        <v>0</v>
      </c>
      <c r="BC24" s="345">
        <v>0</v>
      </c>
    </row>
    <row r="25" spans="2:61" ht="15.6" thickTop="1" thickBot="1">
      <c r="B25" s="326"/>
      <c r="C25" s="327"/>
      <c r="D25" s="327"/>
      <c r="E25" s="371">
        <f t="shared" si="5"/>
        <v>337945</v>
      </c>
      <c r="F25" s="372">
        <f t="shared" si="6"/>
        <v>0</v>
      </c>
      <c r="H25" s="328"/>
      <c r="I25" s="329"/>
      <c r="J25" s="330"/>
      <c r="K25" s="375">
        <f t="shared" si="0"/>
        <v>941317</v>
      </c>
      <c r="L25" s="331"/>
      <c r="M25" s="377">
        <f t="shared" si="14"/>
        <v>0</v>
      </c>
      <c r="O25" s="332"/>
      <c r="P25" s="333"/>
      <c r="Q25" s="333"/>
      <c r="R25" s="334"/>
      <c r="S25" s="334"/>
      <c r="T25" s="334"/>
      <c r="U25" s="334"/>
      <c r="V25" s="379">
        <f t="shared" si="11"/>
        <v>14081391</v>
      </c>
      <c r="W25" s="335"/>
      <c r="Y25" s="336"/>
      <c r="Z25" s="337"/>
      <c r="AA25" s="338"/>
      <c r="AB25" s="383">
        <f t="shared" si="7"/>
        <v>638</v>
      </c>
      <c r="AC25" s="339"/>
      <c r="AD25" s="384">
        <f t="shared" si="12"/>
        <v>0</v>
      </c>
      <c r="AE25" s="336"/>
      <c r="AF25" s="329"/>
      <c r="AG25" s="330"/>
      <c r="AH25" s="375">
        <f t="shared" si="8"/>
        <v>320270</v>
      </c>
      <c r="AI25" s="331"/>
      <c r="AJ25" s="377">
        <f t="shared" si="13"/>
        <v>0</v>
      </c>
      <c r="AK25" s="336"/>
      <c r="AL25" s="336"/>
      <c r="AM25" s="336"/>
      <c r="AN25" s="340"/>
      <c r="AO25" s="341"/>
      <c r="AP25" s="341"/>
      <c r="AQ25" s="386">
        <f t="shared" si="10"/>
        <v>199895</v>
      </c>
      <c r="AR25" s="342"/>
      <c r="AS25" s="389">
        <f t="shared" si="4"/>
        <v>0</v>
      </c>
      <c r="AU25" s="343"/>
      <c r="AV25" s="344"/>
      <c r="AW25" s="344"/>
      <c r="AX25" s="344"/>
      <c r="AY25" s="344"/>
      <c r="AZ25" s="344"/>
      <c r="BA25" s="344"/>
      <c r="BB25" s="390">
        <f t="shared" si="9"/>
        <v>0</v>
      </c>
      <c r="BC25" s="345">
        <v>0</v>
      </c>
      <c r="BE25" s="1360" t="s">
        <v>100</v>
      </c>
      <c r="BF25" s="1361"/>
      <c r="BG25" s="1361"/>
      <c r="BH25" s="1361"/>
      <c r="BI25" s="1362"/>
    </row>
    <row r="26" spans="2:61">
      <c r="B26" s="326"/>
      <c r="C26" s="327"/>
      <c r="D26" s="327"/>
      <c r="E26" s="371">
        <f t="shared" si="5"/>
        <v>337945</v>
      </c>
      <c r="F26" s="372">
        <f t="shared" si="6"/>
        <v>0</v>
      </c>
      <c r="H26" s="328"/>
      <c r="I26" s="329"/>
      <c r="J26" s="330"/>
      <c r="K26" s="375">
        <f t="shared" si="0"/>
        <v>941317</v>
      </c>
      <c r="L26" s="331"/>
      <c r="M26" s="377">
        <f t="shared" si="14"/>
        <v>0</v>
      </c>
      <c r="O26" s="332"/>
      <c r="P26" s="333"/>
      <c r="Q26" s="333"/>
      <c r="R26" s="334"/>
      <c r="S26" s="334"/>
      <c r="T26" s="334"/>
      <c r="U26" s="334"/>
      <c r="V26" s="379">
        <f t="shared" si="11"/>
        <v>14081391</v>
      </c>
      <c r="W26" s="335"/>
      <c r="Y26" s="336"/>
      <c r="Z26" s="337"/>
      <c r="AA26" s="338"/>
      <c r="AB26" s="383">
        <f t="shared" si="7"/>
        <v>638</v>
      </c>
      <c r="AC26" s="339"/>
      <c r="AD26" s="384">
        <f t="shared" si="12"/>
        <v>0</v>
      </c>
      <c r="AE26" s="336"/>
      <c r="AF26" s="329"/>
      <c r="AG26" s="330"/>
      <c r="AH26" s="375">
        <f t="shared" si="8"/>
        <v>320270</v>
      </c>
      <c r="AI26" s="331"/>
      <c r="AJ26" s="377">
        <f t="shared" si="13"/>
        <v>0</v>
      </c>
      <c r="AK26" s="336"/>
      <c r="AL26" s="336"/>
      <c r="AM26" s="336"/>
      <c r="AN26" s="340"/>
      <c r="AO26" s="341"/>
      <c r="AP26" s="341"/>
      <c r="AQ26" s="386">
        <f t="shared" si="10"/>
        <v>199895</v>
      </c>
      <c r="AR26" s="342"/>
      <c r="AS26" s="389">
        <f t="shared" si="4"/>
        <v>0</v>
      </c>
      <c r="AU26" s="343"/>
      <c r="AV26" s="344"/>
      <c r="AW26" s="344"/>
      <c r="AX26" s="344"/>
      <c r="AY26" s="344"/>
      <c r="AZ26" s="344"/>
      <c r="BA26" s="344"/>
      <c r="BB26" s="390">
        <f t="shared" si="9"/>
        <v>0</v>
      </c>
      <c r="BC26" s="345">
        <v>0</v>
      </c>
      <c r="BE26" s="395" t="s">
        <v>337</v>
      </c>
      <c r="BF26" s="349">
        <f>'TABEL INPUT'!C43</f>
        <v>0</v>
      </c>
      <c r="BG26" s="350"/>
      <c r="BH26" s="350"/>
      <c r="BI26" s="399">
        <f>SUM(BF26:BH26)</f>
        <v>0</v>
      </c>
    </row>
    <row r="27" spans="2:61">
      <c r="B27" s="326"/>
      <c r="C27" s="327"/>
      <c r="D27" s="327"/>
      <c r="E27" s="371">
        <f t="shared" si="5"/>
        <v>337945</v>
      </c>
      <c r="F27" s="372">
        <f t="shared" si="6"/>
        <v>0</v>
      </c>
      <c r="H27" s="328"/>
      <c r="I27" s="329"/>
      <c r="J27" s="330"/>
      <c r="K27" s="375">
        <f t="shared" si="0"/>
        <v>941317</v>
      </c>
      <c r="L27" s="331"/>
      <c r="M27" s="377">
        <f t="shared" si="14"/>
        <v>0</v>
      </c>
      <c r="O27" s="332"/>
      <c r="P27" s="333"/>
      <c r="Q27" s="333"/>
      <c r="R27" s="334"/>
      <c r="S27" s="334"/>
      <c r="T27" s="334"/>
      <c r="U27" s="334"/>
      <c r="V27" s="379">
        <f t="shared" si="11"/>
        <v>14081391</v>
      </c>
      <c r="W27" s="335"/>
      <c r="Y27" s="336"/>
      <c r="Z27" s="337"/>
      <c r="AA27" s="338"/>
      <c r="AB27" s="383">
        <f t="shared" si="7"/>
        <v>638</v>
      </c>
      <c r="AC27" s="339"/>
      <c r="AD27" s="384">
        <f t="shared" si="12"/>
        <v>0</v>
      </c>
      <c r="AE27" s="336"/>
      <c r="AF27" s="329"/>
      <c r="AG27" s="330"/>
      <c r="AH27" s="375">
        <f t="shared" si="8"/>
        <v>320270</v>
      </c>
      <c r="AI27" s="331"/>
      <c r="AJ27" s="377">
        <f t="shared" si="13"/>
        <v>0</v>
      </c>
      <c r="AK27" s="336"/>
      <c r="AL27" s="336"/>
      <c r="AM27" s="336"/>
      <c r="AN27" s="340"/>
      <c r="AO27" s="341"/>
      <c r="AP27" s="341"/>
      <c r="AQ27" s="386">
        <f t="shared" si="10"/>
        <v>199895</v>
      </c>
      <c r="AR27" s="342"/>
      <c r="AS27" s="389">
        <f t="shared" si="4"/>
        <v>0</v>
      </c>
      <c r="AU27" s="343"/>
      <c r="AV27" s="344"/>
      <c r="AW27" s="344"/>
      <c r="AX27" s="344"/>
      <c r="AY27" s="344"/>
      <c r="AZ27" s="344"/>
      <c r="BA27" s="344"/>
      <c r="BB27" s="390">
        <f t="shared" si="9"/>
        <v>0</v>
      </c>
      <c r="BC27" s="345">
        <v>0</v>
      </c>
      <c r="BE27" s="396" t="s">
        <v>353</v>
      </c>
      <c r="BF27" s="351">
        <f>'TABEL INPUT'!C44</f>
        <v>0</v>
      </c>
      <c r="BG27" s="352"/>
      <c r="BH27" s="352"/>
      <c r="BI27" s="400">
        <f t="shared" ref="BI27:BI34" si="15">SUM(BF27:BH27)</f>
        <v>0</v>
      </c>
    </row>
    <row r="28" spans="2:61">
      <c r="B28" s="326"/>
      <c r="C28" s="327"/>
      <c r="D28" s="327"/>
      <c r="E28" s="371">
        <f t="shared" si="5"/>
        <v>337945</v>
      </c>
      <c r="F28" s="372">
        <f t="shared" si="6"/>
        <v>0</v>
      </c>
      <c r="H28" s="328"/>
      <c r="I28" s="329"/>
      <c r="J28" s="330"/>
      <c r="K28" s="375">
        <f t="shared" si="0"/>
        <v>941317</v>
      </c>
      <c r="L28" s="331"/>
      <c r="M28" s="377">
        <f t="shared" si="14"/>
        <v>0</v>
      </c>
      <c r="O28" s="332"/>
      <c r="P28" s="333"/>
      <c r="Q28" s="333"/>
      <c r="R28" s="334"/>
      <c r="S28" s="334"/>
      <c r="T28" s="334"/>
      <c r="U28" s="334"/>
      <c r="V28" s="379">
        <f t="shared" si="11"/>
        <v>14081391</v>
      </c>
      <c r="W28" s="335"/>
      <c r="Y28" s="336"/>
      <c r="Z28" s="337"/>
      <c r="AA28" s="338"/>
      <c r="AB28" s="383">
        <f t="shared" si="7"/>
        <v>638</v>
      </c>
      <c r="AC28" s="339"/>
      <c r="AD28" s="384">
        <f t="shared" si="12"/>
        <v>0</v>
      </c>
      <c r="AE28" s="336"/>
      <c r="AF28" s="329"/>
      <c r="AG28" s="330"/>
      <c r="AH28" s="375">
        <f t="shared" si="8"/>
        <v>320270</v>
      </c>
      <c r="AI28" s="331"/>
      <c r="AJ28" s="377">
        <f t="shared" si="13"/>
        <v>0</v>
      </c>
      <c r="AK28" s="336"/>
      <c r="AL28" s="336"/>
      <c r="AM28" s="336"/>
      <c r="AN28" s="340"/>
      <c r="AO28" s="341"/>
      <c r="AP28" s="341"/>
      <c r="AQ28" s="386">
        <f t="shared" si="10"/>
        <v>199895</v>
      </c>
      <c r="AR28" s="342"/>
      <c r="AS28" s="389">
        <f t="shared" si="4"/>
        <v>0</v>
      </c>
      <c r="AU28" s="343"/>
      <c r="AV28" s="344"/>
      <c r="AW28" s="344"/>
      <c r="AX28" s="344"/>
      <c r="AY28" s="344"/>
      <c r="AZ28" s="344"/>
      <c r="BA28" s="344"/>
      <c r="BB28" s="390">
        <f t="shared" si="9"/>
        <v>0</v>
      </c>
      <c r="BC28" s="345">
        <v>0</v>
      </c>
      <c r="BE28" s="396" t="s">
        <v>245</v>
      </c>
      <c r="BF28" s="351">
        <f>'TABEL INPUT'!C45</f>
        <v>0</v>
      </c>
      <c r="BG28" s="352"/>
      <c r="BH28" s="352"/>
      <c r="BI28" s="400">
        <f t="shared" si="15"/>
        <v>0</v>
      </c>
    </row>
    <row r="29" spans="2:61">
      <c r="B29" s="326"/>
      <c r="C29" s="327"/>
      <c r="D29" s="327"/>
      <c r="E29" s="371">
        <f t="shared" si="5"/>
        <v>337945</v>
      </c>
      <c r="F29" s="372">
        <f t="shared" si="6"/>
        <v>0</v>
      </c>
      <c r="H29" s="328"/>
      <c r="I29" s="329"/>
      <c r="J29" s="330"/>
      <c r="K29" s="375">
        <f t="shared" si="0"/>
        <v>941317</v>
      </c>
      <c r="L29" s="331"/>
      <c r="M29" s="377">
        <f t="shared" si="14"/>
        <v>0</v>
      </c>
      <c r="O29" s="332"/>
      <c r="P29" s="333"/>
      <c r="Q29" s="333"/>
      <c r="R29" s="334"/>
      <c r="S29" s="334"/>
      <c r="T29" s="334"/>
      <c r="U29" s="334"/>
      <c r="V29" s="379">
        <f t="shared" si="11"/>
        <v>14081391</v>
      </c>
      <c r="W29" s="335"/>
      <c r="Y29" s="336"/>
      <c r="Z29" s="337"/>
      <c r="AA29" s="338"/>
      <c r="AB29" s="383">
        <f t="shared" si="7"/>
        <v>638</v>
      </c>
      <c r="AC29" s="339"/>
      <c r="AD29" s="384">
        <f t="shared" si="12"/>
        <v>0</v>
      </c>
      <c r="AE29" s="336"/>
      <c r="AF29" s="329"/>
      <c r="AG29" s="330"/>
      <c r="AH29" s="375">
        <f t="shared" si="8"/>
        <v>320270</v>
      </c>
      <c r="AI29" s="331"/>
      <c r="AJ29" s="377">
        <f t="shared" si="13"/>
        <v>0</v>
      </c>
      <c r="AK29" s="336"/>
      <c r="AL29" s="336"/>
      <c r="AM29" s="336"/>
      <c r="AN29" s="340"/>
      <c r="AO29" s="341"/>
      <c r="AP29" s="341"/>
      <c r="AQ29" s="386">
        <f t="shared" si="10"/>
        <v>199895</v>
      </c>
      <c r="AR29" s="342"/>
      <c r="AS29" s="389">
        <f t="shared" si="4"/>
        <v>0</v>
      </c>
      <c r="AU29" s="343"/>
      <c r="AV29" s="344"/>
      <c r="AW29" s="344"/>
      <c r="AX29" s="344"/>
      <c r="AY29" s="344"/>
      <c r="AZ29" s="344"/>
      <c r="BA29" s="344"/>
      <c r="BB29" s="390">
        <f t="shared" si="9"/>
        <v>0</v>
      </c>
      <c r="BC29" s="345">
        <v>0</v>
      </c>
      <c r="BE29" s="396" t="s">
        <v>349</v>
      </c>
      <c r="BF29" s="351">
        <f>'TABEL INPUT'!C46</f>
        <v>0</v>
      </c>
      <c r="BG29" s="352"/>
      <c r="BH29" s="352"/>
      <c r="BI29" s="400">
        <f t="shared" si="15"/>
        <v>0</v>
      </c>
    </row>
    <row r="30" spans="2:61">
      <c r="B30" s="326"/>
      <c r="C30" s="327"/>
      <c r="D30" s="327"/>
      <c r="E30" s="371">
        <f>E29+B30-D30</f>
        <v>337945</v>
      </c>
      <c r="F30" s="372">
        <f>C30-D30</f>
        <v>0</v>
      </c>
      <c r="H30" s="328"/>
      <c r="I30" s="329"/>
      <c r="J30" s="330"/>
      <c r="K30" s="375">
        <f t="shared" si="0"/>
        <v>941317</v>
      </c>
      <c r="L30" s="331"/>
      <c r="M30" s="377">
        <f t="shared" si="14"/>
        <v>0</v>
      </c>
      <c r="O30" s="332"/>
      <c r="P30" s="333"/>
      <c r="Q30" s="333"/>
      <c r="R30" s="334"/>
      <c r="S30" s="334"/>
      <c r="T30" s="334"/>
      <c r="U30" s="334"/>
      <c r="V30" s="379">
        <f t="shared" si="11"/>
        <v>14081391</v>
      </c>
      <c r="W30" s="335"/>
      <c r="Y30" s="336"/>
      <c r="Z30" s="337"/>
      <c r="AA30" s="338"/>
      <c r="AB30" s="383">
        <f t="shared" si="7"/>
        <v>638</v>
      </c>
      <c r="AC30" s="339"/>
      <c r="AD30" s="384">
        <f t="shared" si="12"/>
        <v>0</v>
      </c>
      <c r="AE30" s="336"/>
      <c r="AF30" s="329"/>
      <c r="AG30" s="330"/>
      <c r="AH30" s="375">
        <f t="shared" si="8"/>
        <v>320270</v>
      </c>
      <c r="AI30" s="331"/>
      <c r="AJ30" s="377">
        <f t="shared" si="13"/>
        <v>0</v>
      </c>
      <c r="AK30" s="336"/>
      <c r="AL30" s="336"/>
      <c r="AM30" s="336"/>
      <c r="AN30" s="340"/>
      <c r="AO30" s="341"/>
      <c r="AP30" s="341"/>
      <c r="AQ30" s="386">
        <f t="shared" si="10"/>
        <v>199895</v>
      </c>
      <c r="AR30" s="342"/>
      <c r="AS30" s="389">
        <f t="shared" si="4"/>
        <v>0</v>
      </c>
      <c r="AU30" s="343"/>
      <c r="AV30" s="344"/>
      <c r="AW30" s="344"/>
      <c r="AX30" s="344"/>
      <c r="AY30" s="344"/>
      <c r="AZ30" s="344"/>
      <c r="BA30" s="344"/>
      <c r="BB30" s="390">
        <f t="shared" si="9"/>
        <v>0</v>
      </c>
      <c r="BC30" s="345">
        <v>0</v>
      </c>
      <c r="BE30" s="396" t="s">
        <v>247</v>
      </c>
      <c r="BF30" s="351">
        <f>'TABEL INPUT'!C47</f>
        <v>0</v>
      </c>
      <c r="BG30" s="352"/>
      <c r="BH30" s="352"/>
      <c r="BI30" s="400">
        <f t="shared" si="15"/>
        <v>0</v>
      </c>
    </row>
    <row r="31" spans="2:61">
      <c r="B31" s="326"/>
      <c r="C31" s="327"/>
      <c r="D31" s="327"/>
      <c r="E31" s="371">
        <f>E30+B31-D31</f>
        <v>337945</v>
      </c>
      <c r="F31" s="372">
        <f t="shared" si="6"/>
        <v>0</v>
      </c>
      <c r="H31" s="328"/>
      <c r="I31" s="329"/>
      <c r="J31" s="330"/>
      <c r="K31" s="375">
        <f t="shared" si="0"/>
        <v>941317</v>
      </c>
      <c r="L31" s="331"/>
      <c r="M31" s="377">
        <f t="shared" si="14"/>
        <v>0</v>
      </c>
      <c r="O31" s="332"/>
      <c r="P31" s="333"/>
      <c r="Q31" s="333"/>
      <c r="R31" s="334"/>
      <c r="S31" s="334"/>
      <c r="T31" s="334"/>
      <c r="U31" s="334"/>
      <c r="V31" s="379">
        <f t="shared" si="11"/>
        <v>14081391</v>
      </c>
      <c r="W31" s="335"/>
      <c r="Y31" s="336"/>
      <c r="Z31" s="337"/>
      <c r="AA31" s="338"/>
      <c r="AB31" s="383">
        <f t="shared" si="7"/>
        <v>638</v>
      </c>
      <c r="AC31" s="339"/>
      <c r="AD31" s="384">
        <f t="shared" si="12"/>
        <v>0</v>
      </c>
      <c r="AE31" s="336"/>
      <c r="AF31" s="329"/>
      <c r="AG31" s="330"/>
      <c r="AH31" s="375">
        <f t="shared" si="8"/>
        <v>320270</v>
      </c>
      <c r="AI31" s="331"/>
      <c r="AJ31" s="377">
        <f t="shared" si="13"/>
        <v>0</v>
      </c>
      <c r="AK31" s="336"/>
      <c r="AL31" s="336"/>
      <c r="AM31" s="336"/>
      <c r="AN31" s="340"/>
      <c r="AO31" s="341"/>
      <c r="AP31" s="341"/>
      <c r="AQ31" s="386">
        <f t="shared" si="10"/>
        <v>199895</v>
      </c>
      <c r="AR31" s="342"/>
      <c r="AS31" s="389">
        <f t="shared" si="4"/>
        <v>0</v>
      </c>
      <c r="AU31" s="343"/>
      <c r="AV31" s="344"/>
      <c r="AW31" s="344"/>
      <c r="AX31" s="344"/>
      <c r="AY31" s="344"/>
      <c r="AZ31" s="344"/>
      <c r="BA31" s="344"/>
      <c r="BB31" s="390">
        <f t="shared" si="9"/>
        <v>0</v>
      </c>
      <c r="BC31" s="345">
        <v>0</v>
      </c>
      <c r="BE31" s="396" t="s">
        <v>187</v>
      </c>
      <c r="BF31" s="351">
        <f>'TABEL INPUT'!C48</f>
        <v>0</v>
      </c>
      <c r="BG31" s="352"/>
      <c r="BH31" s="352"/>
      <c r="BI31" s="400">
        <f t="shared" si="15"/>
        <v>0</v>
      </c>
    </row>
    <row r="32" spans="2:61">
      <c r="B32" s="326"/>
      <c r="C32" s="327"/>
      <c r="D32" s="327"/>
      <c r="E32" s="371">
        <f t="shared" si="5"/>
        <v>337945</v>
      </c>
      <c r="F32" s="372">
        <f t="shared" si="6"/>
        <v>0</v>
      </c>
      <c r="H32" s="328"/>
      <c r="I32" s="329"/>
      <c r="J32" s="330"/>
      <c r="K32" s="375">
        <f t="shared" si="0"/>
        <v>941317</v>
      </c>
      <c r="L32" s="331"/>
      <c r="M32" s="377">
        <f t="shared" si="14"/>
        <v>0</v>
      </c>
      <c r="O32" s="332"/>
      <c r="P32" s="333"/>
      <c r="Q32" s="333"/>
      <c r="R32" s="334"/>
      <c r="S32" s="334"/>
      <c r="T32" s="334"/>
      <c r="U32" s="334"/>
      <c r="V32" s="379">
        <f t="shared" si="11"/>
        <v>14081391</v>
      </c>
      <c r="W32" s="335"/>
      <c r="Y32" s="336"/>
      <c r="Z32" s="337"/>
      <c r="AA32" s="338"/>
      <c r="AB32" s="383">
        <f t="shared" si="7"/>
        <v>638</v>
      </c>
      <c r="AC32" s="339"/>
      <c r="AD32" s="384">
        <f t="shared" si="12"/>
        <v>0</v>
      </c>
      <c r="AE32" s="336"/>
      <c r="AF32" s="329"/>
      <c r="AG32" s="330"/>
      <c r="AH32" s="375">
        <f t="shared" si="8"/>
        <v>320270</v>
      </c>
      <c r="AI32" s="331"/>
      <c r="AJ32" s="377">
        <f t="shared" si="13"/>
        <v>0</v>
      </c>
      <c r="AK32" s="336"/>
      <c r="AL32" s="336"/>
      <c r="AM32" s="336"/>
      <c r="AN32" s="340"/>
      <c r="AO32" s="341"/>
      <c r="AP32" s="341"/>
      <c r="AQ32" s="386">
        <f t="shared" si="10"/>
        <v>199895</v>
      </c>
      <c r="AR32" s="342"/>
      <c r="AS32" s="389">
        <f t="shared" si="4"/>
        <v>0</v>
      </c>
      <c r="AU32" s="343"/>
      <c r="AV32" s="344"/>
      <c r="AW32" s="344"/>
      <c r="AX32" s="344"/>
      <c r="AY32" s="344"/>
      <c r="AZ32" s="344"/>
      <c r="BA32" s="344"/>
      <c r="BB32" s="390">
        <f t="shared" si="9"/>
        <v>0</v>
      </c>
      <c r="BC32" s="345">
        <v>0</v>
      </c>
      <c r="BE32" s="396" t="s">
        <v>246</v>
      </c>
      <c r="BF32" s="351">
        <f>'TABEL INPUT'!C49</f>
        <v>0</v>
      </c>
      <c r="BG32" s="352"/>
      <c r="BH32" s="352"/>
      <c r="BI32" s="400">
        <f t="shared" si="15"/>
        <v>0</v>
      </c>
    </row>
    <row r="33" spans="2:61">
      <c r="B33" s="326"/>
      <c r="C33" s="327"/>
      <c r="D33" s="327"/>
      <c r="E33" s="371">
        <f t="shared" si="5"/>
        <v>337945</v>
      </c>
      <c r="F33" s="372">
        <f t="shared" si="6"/>
        <v>0</v>
      </c>
      <c r="H33" s="328"/>
      <c r="I33" s="329"/>
      <c r="J33" s="330"/>
      <c r="K33" s="375">
        <f t="shared" si="0"/>
        <v>941317</v>
      </c>
      <c r="L33" s="331"/>
      <c r="M33" s="377">
        <f t="shared" si="14"/>
        <v>0</v>
      </c>
      <c r="O33" s="332"/>
      <c r="P33" s="333"/>
      <c r="Q33" s="333"/>
      <c r="R33" s="334"/>
      <c r="S33" s="353"/>
      <c r="T33" s="334"/>
      <c r="U33" s="334"/>
      <c r="V33" s="379">
        <f t="shared" si="11"/>
        <v>14081391</v>
      </c>
      <c r="W33" s="335"/>
      <c r="Y33" s="336"/>
      <c r="Z33" s="337"/>
      <c r="AA33" s="338"/>
      <c r="AB33" s="383">
        <f t="shared" si="7"/>
        <v>638</v>
      </c>
      <c r="AC33" s="339"/>
      <c r="AD33" s="384">
        <f t="shared" si="12"/>
        <v>0</v>
      </c>
      <c r="AE33" s="336"/>
      <c r="AF33" s="329"/>
      <c r="AG33" s="330"/>
      <c r="AH33" s="375">
        <f t="shared" si="8"/>
        <v>320270</v>
      </c>
      <c r="AI33" s="331"/>
      <c r="AJ33" s="377">
        <f t="shared" si="13"/>
        <v>0</v>
      </c>
      <c r="AK33" s="336"/>
      <c r="AL33" s="336"/>
      <c r="AM33" s="336"/>
      <c r="AN33" s="340"/>
      <c r="AO33" s="341"/>
      <c r="AP33" s="341"/>
      <c r="AQ33" s="386">
        <f t="shared" si="10"/>
        <v>199895</v>
      </c>
      <c r="AR33" s="342"/>
      <c r="AS33" s="389">
        <f t="shared" si="4"/>
        <v>0</v>
      </c>
      <c r="AU33" s="343"/>
      <c r="AV33" s="344"/>
      <c r="AW33" s="344"/>
      <c r="AX33" s="344"/>
      <c r="AY33" s="344"/>
      <c r="AZ33" s="344"/>
      <c r="BA33" s="344"/>
      <c r="BB33" s="390">
        <f t="shared" si="9"/>
        <v>0</v>
      </c>
      <c r="BC33" s="345">
        <v>0</v>
      </c>
      <c r="BE33" s="396" t="s">
        <v>334</v>
      </c>
      <c r="BF33" s="351">
        <f>'TABEL INPUT'!C50</f>
        <v>0</v>
      </c>
      <c r="BG33" s="352"/>
      <c r="BH33" s="352"/>
      <c r="BI33" s="400">
        <f t="shared" si="15"/>
        <v>0</v>
      </c>
    </row>
    <row r="34" spans="2:61">
      <c r="B34" s="326"/>
      <c r="C34" s="327"/>
      <c r="D34" s="327"/>
      <c r="E34" s="371">
        <f t="shared" si="5"/>
        <v>337945</v>
      </c>
      <c r="F34" s="372">
        <f t="shared" si="6"/>
        <v>0</v>
      </c>
      <c r="H34" s="328"/>
      <c r="I34" s="329"/>
      <c r="J34" s="330"/>
      <c r="K34" s="375">
        <f t="shared" si="0"/>
        <v>941317</v>
      </c>
      <c r="L34" s="331"/>
      <c r="M34" s="377">
        <f t="shared" si="14"/>
        <v>0</v>
      </c>
      <c r="O34" s="332"/>
      <c r="P34" s="333"/>
      <c r="Q34" s="333"/>
      <c r="R34" s="334"/>
      <c r="S34" s="353"/>
      <c r="T34" s="334"/>
      <c r="U34" s="334"/>
      <c r="V34" s="379">
        <f t="shared" si="11"/>
        <v>14081391</v>
      </c>
      <c r="W34" s="335"/>
      <c r="Y34" s="336"/>
      <c r="Z34" s="337"/>
      <c r="AA34" s="338"/>
      <c r="AB34" s="383">
        <f t="shared" si="7"/>
        <v>638</v>
      </c>
      <c r="AC34" s="339"/>
      <c r="AD34" s="384">
        <f t="shared" si="12"/>
        <v>0</v>
      </c>
      <c r="AE34" s="336"/>
      <c r="AF34" s="329"/>
      <c r="AG34" s="330"/>
      <c r="AH34" s="375">
        <f t="shared" si="8"/>
        <v>320270</v>
      </c>
      <c r="AI34" s="331"/>
      <c r="AJ34" s="377">
        <f t="shared" si="13"/>
        <v>0</v>
      </c>
      <c r="AK34" s="336"/>
      <c r="AL34" s="336"/>
      <c r="AM34" s="336"/>
      <c r="AN34" s="340"/>
      <c r="AO34" s="341"/>
      <c r="AP34" s="341"/>
      <c r="AQ34" s="386">
        <f t="shared" si="10"/>
        <v>199895</v>
      </c>
      <c r="AR34" s="342"/>
      <c r="AS34" s="389">
        <f t="shared" si="4"/>
        <v>0</v>
      </c>
      <c r="AU34" s="343"/>
      <c r="AV34" s="344"/>
      <c r="AW34" s="344"/>
      <c r="AX34" s="344"/>
      <c r="AY34" s="344"/>
      <c r="AZ34" s="344"/>
      <c r="BA34" s="344"/>
      <c r="BB34" s="390">
        <f t="shared" si="9"/>
        <v>0</v>
      </c>
      <c r="BC34" s="345">
        <v>0</v>
      </c>
      <c r="BE34" s="396" t="s">
        <v>27</v>
      </c>
      <c r="BF34" s="351">
        <f>'TABEL INPUT'!C52</f>
        <v>0</v>
      </c>
      <c r="BG34" s="352"/>
      <c r="BH34" s="352"/>
      <c r="BI34" s="400">
        <f t="shared" si="15"/>
        <v>0</v>
      </c>
    </row>
    <row r="35" spans="2:61" ht="15" thickBot="1">
      <c r="B35" s="326"/>
      <c r="C35" s="327"/>
      <c r="D35" s="327"/>
      <c r="E35" s="371">
        <f t="shared" si="5"/>
        <v>337945</v>
      </c>
      <c r="F35" s="372">
        <f t="shared" si="6"/>
        <v>0</v>
      </c>
      <c r="H35" s="328"/>
      <c r="I35" s="329"/>
      <c r="J35" s="330"/>
      <c r="K35" s="375">
        <f t="shared" si="0"/>
        <v>941317</v>
      </c>
      <c r="L35" s="331"/>
      <c r="M35" s="377">
        <f t="shared" si="14"/>
        <v>0</v>
      </c>
      <c r="O35" s="332"/>
      <c r="P35" s="333"/>
      <c r="Q35" s="333"/>
      <c r="R35" s="334"/>
      <c r="S35" s="353"/>
      <c r="T35" s="334"/>
      <c r="U35" s="334"/>
      <c r="V35" s="379">
        <f t="shared" si="11"/>
        <v>14081391</v>
      </c>
      <c r="W35" s="335"/>
      <c r="Y35" s="336"/>
      <c r="Z35" s="337"/>
      <c r="AA35" s="338"/>
      <c r="AB35" s="383">
        <f t="shared" si="7"/>
        <v>638</v>
      </c>
      <c r="AC35" s="339"/>
      <c r="AD35" s="384">
        <f t="shared" si="12"/>
        <v>0</v>
      </c>
      <c r="AE35" s="336"/>
      <c r="AF35" s="329"/>
      <c r="AG35" s="330"/>
      <c r="AH35" s="375">
        <f t="shared" si="8"/>
        <v>320270</v>
      </c>
      <c r="AI35" s="331"/>
      <c r="AJ35" s="377">
        <f t="shared" si="13"/>
        <v>0</v>
      </c>
      <c r="AK35" s="336"/>
      <c r="AL35" s="336"/>
      <c r="AM35" s="336"/>
      <c r="AN35" s="340"/>
      <c r="AO35" s="341"/>
      <c r="AP35" s="341"/>
      <c r="AQ35" s="386">
        <f t="shared" si="10"/>
        <v>199895</v>
      </c>
      <c r="AR35" s="342"/>
      <c r="AS35" s="389">
        <f t="shared" si="4"/>
        <v>0</v>
      </c>
      <c r="AU35" s="343"/>
      <c r="AV35" s="344"/>
      <c r="AW35" s="344"/>
      <c r="AX35" s="344"/>
      <c r="AY35" s="344"/>
      <c r="AZ35" s="344"/>
      <c r="BA35" s="344"/>
      <c r="BB35" s="390">
        <f t="shared" si="9"/>
        <v>0</v>
      </c>
      <c r="BC35" s="345">
        <v>0</v>
      </c>
      <c r="BE35" s="397"/>
      <c r="BF35" s="354"/>
      <c r="BG35" s="355"/>
      <c r="BH35" s="355"/>
      <c r="BI35" s="401"/>
    </row>
    <row r="36" spans="2:61" ht="15" thickBot="1">
      <c r="B36" s="326"/>
      <c r="C36" s="327"/>
      <c r="D36" s="327"/>
      <c r="E36" s="371">
        <f t="shared" si="5"/>
        <v>337945</v>
      </c>
      <c r="F36" s="372">
        <f t="shared" si="6"/>
        <v>0</v>
      </c>
      <c r="H36" s="328"/>
      <c r="I36" s="329"/>
      <c r="J36" s="330"/>
      <c r="K36" s="375">
        <f t="shared" si="0"/>
        <v>941317</v>
      </c>
      <c r="L36" s="331"/>
      <c r="M36" s="377">
        <f t="shared" si="14"/>
        <v>0</v>
      </c>
      <c r="O36" s="332"/>
      <c r="P36" s="356"/>
      <c r="Q36" s="333"/>
      <c r="R36" s="334"/>
      <c r="S36" s="334"/>
      <c r="T36" s="334"/>
      <c r="U36" s="334"/>
      <c r="V36" s="379">
        <f t="shared" si="11"/>
        <v>14081391</v>
      </c>
      <c r="W36" s="335"/>
      <c r="Y36" s="336"/>
      <c r="Z36" s="337"/>
      <c r="AA36" s="338"/>
      <c r="AB36" s="383">
        <f t="shared" si="7"/>
        <v>638</v>
      </c>
      <c r="AC36" s="339"/>
      <c r="AD36" s="384">
        <f t="shared" si="12"/>
        <v>0</v>
      </c>
      <c r="AE36" s="336"/>
      <c r="AF36" s="329"/>
      <c r="AG36" s="330"/>
      <c r="AH36" s="375">
        <f t="shared" si="8"/>
        <v>320270</v>
      </c>
      <c r="AI36" s="331"/>
      <c r="AJ36" s="377">
        <f t="shared" si="13"/>
        <v>0</v>
      </c>
      <c r="AK36" s="336"/>
      <c r="AL36" s="336"/>
      <c r="AM36" s="336"/>
      <c r="AN36" s="340"/>
      <c r="AO36" s="341"/>
      <c r="AP36" s="341"/>
      <c r="AQ36" s="386">
        <f t="shared" si="10"/>
        <v>199895</v>
      </c>
      <c r="AR36" s="342"/>
      <c r="AS36" s="389">
        <f t="shared" si="4"/>
        <v>0</v>
      </c>
      <c r="AU36" s="343"/>
      <c r="AV36" s="344"/>
      <c r="AW36" s="344"/>
      <c r="AX36" s="344"/>
      <c r="AY36" s="344"/>
      <c r="AZ36" s="344"/>
      <c r="BA36" s="344"/>
      <c r="BB36" s="390">
        <f t="shared" si="9"/>
        <v>0</v>
      </c>
      <c r="BC36" s="345">
        <v>0</v>
      </c>
      <c r="BE36" s="398" t="s">
        <v>13</v>
      </c>
      <c r="BF36" s="1363">
        <f>BI26+BI27+BI28+BI29+BI30+BI31+BI32+BI33+BI34</f>
        <v>0</v>
      </c>
      <c r="BG36" s="1363"/>
      <c r="BH36" s="1363"/>
      <c r="BI36" s="1364"/>
    </row>
    <row r="37" spans="2:61" ht="15" thickTop="1">
      <c r="B37" s="326"/>
      <c r="C37" s="327"/>
      <c r="D37" s="327"/>
      <c r="E37" s="371">
        <f t="shared" si="5"/>
        <v>337945</v>
      </c>
      <c r="F37" s="372">
        <f t="shared" si="6"/>
        <v>0</v>
      </c>
      <c r="H37" s="328"/>
      <c r="I37" s="329"/>
      <c r="J37" s="330"/>
      <c r="K37" s="375">
        <f t="shared" si="0"/>
        <v>941317</v>
      </c>
      <c r="L37" s="331"/>
      <c r="M37" s="377">
        <f t="shared" si="14"/>
        <v>0</v>
      </c>
      <c r="O37" s="332"/>
      <c r="P37" s="333"/>
      <c r="Q37" s="333"/>
      <c r="R37" s="334"/>
      <c r="S37" s="334"/>
      <c r="T37" s="334"/>
      <c r="U37" s="334"/>
      <c r="V37" s="379">
        <f t="shared" si="11"/>
        <v>14081391</v>
      </c>
      <c r="W37" s="335"/>
      <c r="Y37" s="336"/>
      <c r="Z37" s="337"/>
      <c r="AA37" s="338"/>
      <c r="AB37" s="383">
        <f t="shared" si="7"/>
        <v>638</v>
      </c>
      <c r="AC37" s="339"/>
      <c r="AD37" s="384">
        <f t="shared" si="12"/>
        <v>0</v>
      </c>
      <c r="AE37" s="336"/>
      <c r="AF37" s="329"/>
      <c r="AG37" s="330"/>
      <c r="AH37" s="375">
        <f t="shared" si="8"/>
        <v>320270</v>
      </c>
      <c r="AI37" s="331"/>
      <c r="AJ37" s="377">
        <f t="shared" si="13"/>
        <v>0</v>
      </c>
      <c r="AK37" s="336"/>
      <c r="AL37" s="336"/>
      <c r="AM37" s="336"/>
      <c r="AN37" s="340"/>
      <c r="AO37" s="341"/>
      <c r="AP37" s="341"/>
      <c r="AQ37" s="386">
        <f t="shared" si="10"/>
        <v>199895</v>
      </c>
      <c r="AR37" s="342"/>
      <c r="AS37" s="389">
        <f t="shared" si="4"/>
        <v>0</v>
      </c>
      <c r="AU37" s="343"/>
      <c r="AV37" s="344"/>
      <c r="AW37" s="344"/>
      <c r="AX37" s="344"/>
      <c r="AY37" s="344"/>
      <c r="AZ37" s="344"/>
      <c r="BA37" s="344"/>
      <c r="BB37" s="390">
        <f t="shared" si="9"/>
        <v>0</v>
      </c>
      <c r="BC37" s="345">
        <v>0</v>
      </c>
    </row>
    <row r="38" spans="2:61">
      <c r="B38" s="326"/>
      <c r="C38" s="327"/>
      <c r="D38" s="327"/>
      <c r="E38" s="371">
        <f t="shared" si="5"/>
        <v>337945</v>
      </c>
      <c r="F38" s="372">
        <f t="shared" si="6"/>
        <v>0</v>
      </c>
      <c r="H38" s="328"/>
      <c r="I38" s="329"/>
      <c r="J38" s="330"/>
      <c r="K38" s="375">
        <f t="shared" si="0"/>
        <v>941317</v>
      </c>
      <c r="L38" s="331"/>
      <c r="M38" s="377">
        <f t="shared" si="14"/>
        <v>0</v>
      </c>
      <c r="O38" s="332"/>
      <c r="P38" s="333"/>
      <c r="Q38" s="333"/>
      <c r="R38" s="334"/>
      <c r="S38" s="334"/>
      <c r="T38" s="334"/>
      <c r="U38" s="334"/>
      <c r="V38" s="379">
        <f t="shared" si="11"/>
        <v>14081391</v>
      </c>
      <c r="W38" s="335"/>
      <c r="Y38" s="336"/>
      <c r="Z38" s="337"/>
      <c r="AA38" s="338"/>
      <c r="AB38" s="383">
        <f t="shared" si="7"/>
        <v>638</v>
      </c>
      <c r="AC38" s="339"/>
      <c r="AD38" s="384">
        <f t="shared" si="12"/>
        <v>0</v>
      </c>
      <c r="AE38" s="336"/>
      <c r="AF38" s="329"/>
      <c r="AG38" s="330"/>
      <c r="AH38" s="375">
        <f t="shared" si="8"/>
        <v>320270</v>
      </c>
      <c r="AI38" s="331"/>
      <c r="AJ38" s="377">
        <f t="shared" si="13"/>
        <v>0</v>
      </c>
      <c r="AK38" s="336"/>
      <c r="AL38" s="336"/>
      <c r="AM38" s="336"/>
      <c r="AN38" s="340"/>
      <c r="AO38" s="341"/>
      <c r="AP38" s="341"/>
      <c r="AQ38" s="386">
        <f t="shared" si="10"/>
        <v>199895</v>
      </c>
      <c r="AR38" s="342"/>
      <c r="AS38" s="389">
        <f t="shared" si="4"/>
        <v>0</v>
      </c>
      <c r="AU38" s="343"/>
      <c r="AV38" s="344"/>
      <c r="AW38" s="344"/>
      <c r="AX38" s="344"/>
      <c r="AY38" s="344"/>
      <c r="AZ38" s="344"/>
      <c r="BA38" s="344"/>
      <c r="BB38" s="390">
        <f t="shared" si="9"/>
        <v>0</v>
      </c>
      <c r="BC38" s="345">
        <v>0</v>
      </c>
    </row>
    <row r="39" spans="2:61">
      <c r="B39" s="326"/>
      <c r="C39" s="327"/>
      <c r="D39" s="327"/>
      <c r="E39" s="371">
        <f t="shared" si="5"/>
        <v>337945</v>
      </c>
      <c r="F39" s="372">
        <f t="shared" si="6"/>
        <v>0</v>
      </c>
      <c r="H39" s="328"/>
      <c r="I39" s="329"/>
      <c r="J39" s="330"/>
      <c r="K39" s="375">
        <f t="shared" si="0"/>
        <v>941317</v>
      </c>
      <c r="L39" s="331"/>
      <c r="M39" s="377">
        <f t="shared" si="14"/>
        <v>0</v>
      </c>
      <c r="O39" s="332"/>
      <c r="P39" s="333"/>
      <c r="Q39" s="333"/>
      <c r="R39" s="334"/>
      <c r="S39" s="334"/>
      <c r="T39" s="334"/>
      <c r="U39" s="334"/>
      <c r="V39" s="379">
        <f t="shared" si="11"/>
        <v>14081391</v>
      </c>
      <c r="W39" s="335"/>
      <c r="Y39" s="336"/>
      <c r="Z39" s="337"/>
      <c r="AA39" s="338"/>
      <c r="AB39" s="383">
        <f t="shared" si="7"/>
        <v>638</v>
      </c>
      <c r="AC39" s="339"/>
      <c r="AD39" s="384">
        <f t="shared" si="12"/>
        <v>0</v>
      </c>
      <c r="AE39" s="336"/>
      <c r="AF39" s="329"/>
      <c r="AG39" s="330"/>
      <c r="AH39" s="375">
        <f t="shared" si="8"/>
        <v>320270</v>
      </c>
      <c r="AI39" s="331"/>
      <c r="AJ39" s="377">
        <f t="shared" si="13"/>
        <v>0</v>
      </c>
      <c r="AK39" s="336"/>
      <c r="AL39" s="336"/>
      <c r="AM39" s="336"/>
      <c r="AN39" s="340"/>
      <c r="AO39" s="341"/>
      <c r="AP39" s="341"/>
      <c r="AQ39" s="386">
        <f t="shared" si="10"/>
        <v>199895</v>
      </c>
      <c r="AR39" s="342"/>
      <c r="AS39" s="389">
        <f t="shared" si="4"/>
        <v>0</v>
      </c>
      <c r="AU39" s="343"/>
      <c r="AV39" s="344"/>
      <c r="AW39" s="344"/>
      <c r="AX39" s="344"/>
      <c r="AY39" s="344"/>
      <c r="AZ39" s="344"/>
      <c r="BA39" s="344"/>
      <c r="BB39" s="390">
        <f t="shared" si="9"/>
        <v>0</v>
      </c>
      <c r="BC39" s="345">
        <v>0</v>
      </c>
    </row>
    <row r="40" spans="2:61">
      <c r="B40" s="326"/>
      <c r="C40" s="327"/>
      <c r="D40" s="327"/>
      <c r="E40" s="371">
        <f t="shared" si="5"/>
        <v>337945</v>
      </c>
      <c r="F40" s="372">
        <f t="shared" si="6"/>
        <v>0</v>
      </c>
      <c r="H40" s="328"/>
      <c r="I40" s="329"/>
      <c r="J40" s="330"/>
      <c r="K40" s="375">
        <f t="shared" si="0"/>
        <v>941317</v>
      </c>
      <c r="L40" s="331"/>
      <c r="M40" s="377">
        <f t="shared" si="14"/>
        <v>0</v>
      </c>
      <c r="O40" s="332"/>
      <c r="P40" s="333"/>
      <c r="Q40" s="333"/>
      <c r="R40" s="334"/>
      <c r="S40" s="334"/>
      <c r="T40" s="334"/>
      <c r="U40" s="334"/>
      <c r="V40" s="379">
        <f t="shared" si="11"/>
        <v>14081391</v>
      </c>
      <c r="W40" s="335"/>
      <c r="Y40" s="336"/>
      <c r="Z40" s="337"/>
      <c r="AA40" s="338"/>
      <c r="AB40" s="383">
        <f t="shared" si="7"/>
        <v>638</v>
      </c>
      <c r="AC40" s="339"/>
      <c r="AD40" s="384">
        <f t="shared" si="12"/>
        <v>0</v>
      </c>
      <c r="AE40" s="336"/>
      <c r="AF40" s="329"/>
      <c r="AG40" s="330"/>
      <c r="AH40" s="375">
        <f t="shared" si="8"/>
        <v>320270</v>
      </c>
      <c r="AI40" s="331"/>
      <c r="AJ40" s="377">
        <f t="shared" si="13"/>
        <v>0</v>
      </c>
      <c r="AK40" s="336"/>
      <c r="AL40" s="336"/>
      <c r="AM40" s="336"/>
      <c r="AN40" s="340"/>
      <c r="AO40" s="341"/>
      <c r="AP40" s="341"/>
      <c r="AQ40" s="386">
        <f t="shared" si="10"/>
        <v>199895</v>
      </c>
      <c r="AR40" s="342"/>
      <c r="AS40" s="389">
        <f t="shared" si="4"/>
        <v>0</v>
      </c>
      <c r="AU40" s="343"/>
      <c r="AV40" s="344"/>
      <c r="AW40" s="344"/>
      <c r="AX40" s="344"/>
      <c r="AY40" s="344"/>
      <c r="AZ40" s="344"/>
      <c r="BA40" s="344"/>
      <c r="BB40" s="390">
        <f t="shared" si="9"/>
        <v>0</v>
      </c>
      <c r="BC40" s="345">
        <v>0</v>
      </c>
    </row>
    <row r="41" spans="2:61">
      <c r="B41" s="326"/>
      <c r="C41" s="327"/>
      <c r="D41" s="327"/>
      <c r="E41" s="371">
        <f t="shared" si="5"/>
        <v>337945</v>
      </c>
      <c r="F41" s="372">
        <f t="shared" si="6"/>
        <v>0</v>
      </c>
      <c r="H41" s="328"/>
      <c r="I41" s="329"/>
      <c r="J41" s="330"/>
      <c r="K41" s="375">
        <f t="shared" si="0"/>
        <v>941317</v>
      </c>
      <c r="L41" s="331"/>
      <c r="M41" s="377">
        <f t="shared" si="14"/>
        <v>0</v>
      </c>
      <c r="O41" s="332"/>
      <c r="P41" s="333"/>
      <c r="Q41" s="333"/>
      <c r="R41" s="334"/>
      <c r="S41" s="334"/>
      <c r="T41" s="334"/>
      <c r="U41" s="334"/>
      <c r="V41" s="379">
        <f t="shared" si="11"/>
        <v>14081391</v>
      </c>
      <c r="W41" s="335"/>
      <c r="Y41" s="336"/>
      <c r="Z41" s="337"/>
      <c r="AA41" s="338"/>
      <c r="AB41" s="383">
        <f t="shared" si="7"/>
        <v>638</v>
      </c>
      <c r="AC41" s="339"/>
      <c r="AD41" s="384">
        <f t="shared" si="12"/>
        <v>0</v>
      </c>
      <c r="AE41" s="336"/>
      <c r="AF41" s="329"/>
      <c r="AG41" s="330"/>
      <c r="AH41" s="375">
        <f t="shared" si="8"/>
        <v>320270</v>
      </c>
      <c r="AI41" s="331"/>
      <c r="AJ41" s="377">
        <f t="shared" si="13"/>
        <v>0</v>
      </c>
      <c r="AK41" s="336"/>
      <c r="AL41" s="336"/>
      <c r="AM41" s="336"/>
      <c r="AN41" s="340"/>
      <c r="AO41" s="341"/>
      <c r="AP41" s="341"/>
      <c r="AQ41" s="386">
        <f t="shared" si="10"/>
        <v>199895</v>
      </c>
      <c r="AR41" s="342"/>
      <c r="AS41" s="389">
        <f t="shared" si="4"/>
        <v>0</v>
      </c>
      <c r="AU41" s="343"/>
      <c r="AV41" s="344"/>
      <c r="AW41" s="344"/>
      <c r="AX41" s="344"/>
      <c r="AY41" s="344"/>
      <c r="AZ41" s="344"/>
      <c r="BA41" s="344"/>
      <c r="BB41" s="390">
        <f t="shared" si="9"/>
        <v>0</v>
      </c>
      <c r="BC41" s="345">
        <v>0</v>
      </c>
    </row>
    <row r="42" spans="2:61">
      <c r="B42" s="326"/>
      <c r="C42" s="327"/>
      <c r="D42" s="327"/>
      <c r="E42" s="371">
        <f t="shared" si="5"/>
        <v>337945</v>
      </c>
      <c r="F42" s="372">
        <f t="shared" si="6"/>
        <v>0</v>
      </c>
      <c r="H42" s="328"/>
      <c r="I42" s="329"/>
      <c r="J42" s="330"/>
      <c r="K42" s="375">
        <f t="shared" si="0"/>
        <v>941317</v>
      </c>
      <c r="L42" s="331"/>
      <c r="M42" s="377">
        <f t="shared" si="14"/>
        <v>0</v>
      </c>
      <c r="O42" s="332"/>
      <c r="P42" s="333"/>
      <c r="Q42" s="333"/>
      <c r="R42" s="334"/>
      <c r="S42" s="334"/>
      <c r="T42" s="334"/>
      <c r="U42" s="334"/>
      <c r="V42" s="379">
        <f t="shared" si="11"/>
        <v>14081391</v>
      </c>
      <c r="W42" s="335"/>
      <c r="Y42" s="336"/>
      <c r="Z42" s="337"/>
      <c r="AA42" s="338"/>
      <c r="AB42" s="383">
        <f t="shared" si="7"/>
        <v>638</v>
      </c>
      <c r="AC42" s="339"/>
      <c r="AD42" s="384">
        <f t="shared" si="12"/>
        <v>0</v>
      </c>
      <c r="AE42" s="336"/>
      <c r="AF42" s="329"/>
      <c r="AG42" s="330"/>
      <c r="AH42" s="375">
        <f t="shared" si="8"/>
        <v>320270</v>
      </c>
      <c r="AI42" s="331"/>
      <c r="AJ42" s="377">
        <f t="shared" si="13"/>
        <v>0</v>
      </c>
      <c r="AK42" s="336"/>
      <c r="AL42" s="336"/>
      <c r="AM42" s="336"/>
      <c r="AN42" s="340"/>
      <c r="AO42" s="341"/>
      <c r="AP42" s="341"/>
      <c r="AQ42" s="386">
        <f t="shared" si="10"/>
        <v>199895</v>
      </c>
      <c r="AR42" s="342"/>
      <c r="AS42" s="389">
        <f t="shared" si="4"/>
        <v>0</v>
      </c>
      <c r="AU42" s="343"/>
      <c r="AV42" s="344"/>
      <c r="AW42" s="344"/>
      <c r="AX42" s="344"/>
      <c r="AY42" s="344"/>
      <c r="AZ42" s="344"/>
      <c r="BA42" s="344"/>
      <c r="BB42" s="390">
        <f t="shared" si="9"/>
        <v>0</v>
      </c>
      <c r="BC42" s="345">
        <v>0</v>
      </c>
    </row>
    <row r="43" spans="2:61">
      <c r="B43" s="326"/>
      <c r="C43" s="327"/>
      <c r="D43" s="327"/>
      <c r="E43" s="371">
        <f t="shared" si="5"/>
        <v>337945</v>
      </c>
      <c r="F43" s="372">
        <f t="shared" si="6"/>
        <v>0</v>
      </c>
      <c r="H43" s="328"/>
      <c r="I43" s="329"/>
      <c r="J43" s="330"/>
      <c r="K43" s="375">
        <f t="shared" si="0"/>
        <v>941317</v>
      </c>
      <c r="L43" s="331"/>
      <c r="M43" s="377">
        <f t="shared" si="14"/>
        <v>0</v>
      </c>
      <c r="O43" s="332"/>
      <c r="P43" s="333"/>
      <c r="Q43" s="333"/>
      <c r="R43" s="334"/>
      <c r="S43" s="334"/>
      <c r="T43" s="334"/>
      <c r="U43" s="334"/>
      <c r="V43" s="379">
        <f t="shared" si="11"/>
        <v>14081391</v>
      </c>
      <c r="W43" s="335"/>
      <c r="Y43" s="336"/>
      <c r="Z43" s="337"/>
      <c r="AA43" s="338"/>
      <c r="AB43" s="383">
        <f t="shared" si="7"/>
        <v>638</v>
      </c>
      <c r="AC43" s="339"/>
      <c r="AD43" s="384">
        <f t="shared" si="12"/>
        <v>0</v>
      </c>
      <c r="AE43" s="336"/>
      <c r="AF43" s="329"/>
      <c r="AG43" s="330"/>
      <c r="AH43" s="375">
        <f t="shared" si="8"/>
        <v>320270</v>
      </c>
      <c r="AI43" s="331"/>
      <c r="AJ43" s="377">
        <f t="shared" si="13"/>
        <v>0</v>
      </c>
      <c r="AK43" s="336"/>
      <c r="AL43" s="336"/>
      <c r="AM43" s="336"/>
      <c r="AN43" s="340"/>
      <c r="AO43" s="341"/>
      <c r="AP43" s="341"/>
      <c r="AQ43" s="386">
        <f t="shared" si="10"/>
        <v>199895</v>
      </c>
      <c r="AR43" s="342"/>
      <c r="AS43" s="389">
        <f t="shared" si="4"/>
        <v>0</v>
      </c>
      <c r="AU43" s="343"/>
      <c r="AV43" s="344"/>
      <c r="AW43" s="344"/>
      <c r="AX43" s="344"/>
      <c r="AY43" s="344"/>
      <c r="AZ43" s="344"/>
      <c r="BA43" s="344"/>
      <c r="BB43" s="390">
        <f t="shared" si="9"/>
        <v>0</v>
      </c>
      <c r="BC43" s="345">
        <v>0</v>
      </c>
    </row>
    <row r="44" spans="2:61">
      <c r="B44" s="326"/>
      <c r="C44" s="327"/>
      <c r="D44" s="327"/>
      <c r="E44" s="371">
        <f t="shared" si="5"/>
        <v>337945</v>
      </c>
      <c r="F44" s="372">
        <f t="shared" si="6"/>
        <v>0</v>
      </c>
      <c r="H44" s="328"/>
      <c r="I44" s="329"/>
      <c r="J44" s="330"/>
      <c r="K44" s="375">
        <f t="shared" si="0"/>
        <v>941317</v>
      </c>
      <c r="L44" s="331"/>
      <c r="M44" s="377">
        <f t="shared" si="14"/>
        <v>0</v>
      </c>
      <c r="O44" s="332"/>
      <c r="P44" s="333"/>
      <c r="Q44" s="333"/>
      <c r="R44" s="334"/>
      <c r="S44" s="334"/>
      <c r="T44" s="334"/>
      <c r="U44" s="334"/>
      <c r="V44" s="379">
        <f t="shared" si="11"/>
        <v>14081391</v>
      </c>
      <c r="W44" s="335"/>
      <c r="Y44" s="336"/>
      <c r="Z44" s="337"/>
      <c r="AA44" s="338"/>
      <c r="AB44" s="383">
        <f t="shared" si="7"/>
        <v>638</v>
      </c>
      <c r="AC44" s="339"/>
      <c r="AD44" s="384">
        <f t="shared" si="12"/>
        <v>0</v>
      </c>
      <c r="AE44" s="336"/>
      <c r="AF44" s="329"/>
      <c r="AG44" s="330"/>
      <c r="AH44" s="375">
        <f t="shared" si="8"/>
        <v>320270</v>
      </c>
      <c r="AI44" s="331"/>
      <c r="AJ44" s="377">
        <f t="shared" si="13"/>
        <v>0</v>
      </c>
      <c r="AK44" s="336"/>
      <c r="AL44" s="336"/>
      <c r="AM44" s="336"/>
      <c r="AN44" s="340"/>
      <c r="AO44" s="341"/>
      <c r="AP44" s="341"/>
      <c r="AQ44" s="386">
        <f t="shared" si="10"/>
        <v>199895</v>
      </c>
      <c r="AR44" s="342"/>
      <c r="AS44" s="389">
        <f t="shared" si="4"/>
        <v>0</v>
      </c>
      <c r="AU44" s="343"/>
      <c r="AV44" s="344"/>
      <c r="AW44" s="344"/>
      <c r="AX44" s="344"/>
      <c r="AY44" s="344"/>
      <c r="AZ44" s="344"/>
      <c r="BA44" s="344"/>
      <c r="BB44" s="390">
        <f t="shared" si="9"/>
        <v>0</v>
      </c>
      <c r="BC44" s="345">
        <v>0</v>
      </c>
    </row>
    <row r="45" spans="2:61">
      <c r="B45" s="326"/>
      <c r="C45" s="327"/>
      <c r="D45" s="327"/>
      <c r="E45" s="371">
        <f t="shared" si="5"/>
        <v>337945</v>
      </c>
      <c r="F45" s="372">
        <f t="shared" si="6"/>
        <v>0</v>
      </c>
      <c r="H45" s="328"/>
      <c r="I45" s="329"/>
      <c r="J45" s="330"/>
      <c r="K45" s="375">
        <f t="shared" si="0"/>
        <v>941317</v>
      </c>
      <c r="L45" s="331"/>
      <c r="M45" s="377">
        <f t="shared" si="14"/>
        <v>0</v>
      </c>
      <c r="O45" s="332"/>
      <c r="P45" s="333"/>
      <c r="Q45" s="333"/>
      <c r="R45" s="334"/>
      <c r="S45" s="334"/>
      <c r="T45" s="334"/>
      <c r="U45" s="334"/>
      <c r="V45" s="379">
        <f t="shared" si="11"/>
        <v>14081391</v>
      </c>
      <c r="W45" s="335"/>
      <c r="Y45" s="336"/>
      <c r="Z45" s="337"/>
      <c r="AA45" s="338"/>
      <c r="AB45" s="383">
        <f t="shared" si="7"/>
        <v>638</v>
      </c>
      <c r="AC45" s="339"/>
      <c r="AD45" s="384">
        <f t="shared" si="12"/>
        <v>0</v>
      </c>
      <c r="AE45" s="336"/>
      <c r="AF45" s="329"/>
      <c r="AG45" s="330"/>
      <c r="AH45" s="375">
        <f t="shared" si="8"/>
        <v>320270</v>
      </c>
      <c r="AI45" s="331"/>
      <c r="AJ45" s="377">
        <f t="shared" si="13"/>
        <v>0</v>
      </c>
      <c r="AK45" s="336"/>
      <c r="AL45" s="336"/>
      <c r="AM45" s="336"/>
      <c r="AN45" s="340"/>
      <c r="AO45" s="341"/>
      <c r="AP45" s="341"/>
      <c r="AQ45" s="386">
        <f t="shared" si="10"/>
        <v>199895</v>
      </c>
      <c r="AR45" s="342"/>
      <c r="AS45" s="389">
        <f t="shared" si="4"/>
        <v>0</v>
      </c>
      <c r="AU45" s="343"/>
      <c r="AV45" s="344"/>
      <c r="AW45" s="344"/>
      <c r="AX45" s="344"/>
      <c r="AY45" s="344"/>
      <c r="AZ45" s="344"/>
      <c r="BA45" s="344"/>
      <c r="BB45" s="390">
        <f t="shared" si="9"/>
        <v>0</v>
      </c>
      <c r="BC45" s="345">
        <v>0</v>
      </c>
    </row>
    <row r="46" spans="2:61">
      <c r="B46" s="326"/>
      <c r="C46" s="327"/>
      <c r="D46" s="327"/>
      <c r="E46" s="371">
        <f t="shared" si="5"/>
        <v>337945</v>
      </c>
      <c r="F46" s="372">
        <f t="shared" si="6"/>
        <v>0</v>
      </c>
      <c r="H46" s="328"/>
      <c r="I46" s="329"/>
      <c r="J46" s="330"/>
      <c r="K46" s="375">
        <f t="shared" si="0"/>
        <v>941317</v>
      </c>
      <c r="L46" s="331"/>
      <c r="M46" s="377">
        <f t="shared" si="14"/>
        <v>0</v>
      </c>
      <c r="O46" s="332"/>
      <c r="P46" s="333"/>
      <c r="Q46" s="333"/>
      <c r="R46" s="334"/>
      <c r="S46" s="334"/>
      <c r="T46" s="334"/>
      <c r="U46" s="334"/>
      <c r="V46" s="379">
        <f t="shared" si="11"/>
        <v>14081391</v>
      </c>
      <c r="W46" s="335"/>
      <c r="Y46" s="336"/>
      <c r="Z46" s="337"/>
      <c r="AA46" s="338"/>
      <c r="AB46" s="383">
        <f t="shared" si="7"/>
        <v>638</v>
      </c>
      <c r="AC46" s="339"/>
      <c r="AD46" s="384">
        <f t="shared" si="12"/>
        <v>0</v>
      </c>
      <c r="AE46" s="336"/>
      <c r="AF46" s="329"/>
      <c r="AG46" s="330"/>
      <c r="AH46" s="375">
        <f t="shared" si="8"/>
        <v>320270</v>
      </c>
      <c r="AI46" s="331"/>
      <c r="AJ46" s="377">
        <f t="shared" si="13"/>
        <v>0</v>
      </c>
      <c r="AK46" s="336"/>
      <c r="AL46" s="336"/>
      <c r="AM46" s="336"/>
      <c r="AN46" s="340"/>
      <c r="AO46" s="341"/>
      <c r="AP46" s="341"/>
      <c r="AQ46" s="386">
        <f t="shared" si="10"/>
        <v>199895</v>
      </c>
      <c r="AR46" s="342"/>
      <c r="AS46" s="389">
        <f t="shared" si="4"/>
        <v>0</v>
      </c>
      <c r="AU46" s="343"/>
      <c r="AV46" s="344"/>
      <c r="AW46" s="344"/>
      <c r="AX46" s="344"/>
      <c r="AY46" s="344"/>
      <c r="AZ46" s="344"/>
      <c r="BA46" s="344"/>
      <c r="BB46" s="390">
        <f t="shared" si="9"/>
        <v>0</v>
      </c>
      <c r="BC46" s="345">
        <v>0</v>
      </c>
    </row>
    <row r="47" spans="2:61">
      <c r="B47" s="326"/>
      <c r="C47" s="327"/>
      <c r="D47" s="327"/>
      <c r="E47" s="371">
        <f t="shared" si="5"/>
        <v>337945</v>
      </c>
      <c r="F47" s="372">
        <f t="shared" si="6"/>
        <v>0</v>
      </c>
      <c r="H47" s="328"/>
      <c r="I47" s="329"/>
      <c r="J47" s="330"/>
      <c r="K47" s="375">
        <f t="shared" si="0"/>
        <v>941317</v>
      </c>
      <c r="L47" s="331"/>
      <c r="M47" s="377">
        <f t="shared" si="14"/>
        <v>0</v>
      </c>
      <c r="O47" s="332"/>
      <c r="P47" s="333"/>
      <c r="Q47" s="333"/>
      <c r="R47" s="334"/>
      <c r="S47" s="334"/>
      <c r="T47" s="334"/>
      <c r="U47" s="334"/>
      <c r="V47" s="379">
        <f t="shared" si="11"/>
        <v>14081391</v>
      </c>
      <c r="W47" s="335"/>
      <c r="Y47" s="336"/>
      <c r="Z47" s="337"/>
      <c r="AA47" s="338"/>
      <c r="AB47" s="383">
        <f t="shared" si="7"/>
        <v>638</v>
      </c>
      <c r="AC47" s="339"/>
      <c r="AD47" s="384">
        <f t="shared" si="12"/>
        <v>0</v>
      </c>
      <c r="AE47" s="336"/>
      <c r="AF47" s="329"/>
      <c r="AG47" s="330"/>
      <c r="AH47" s="375">
        <f t="shared" si="8"/>
        <v>320270</v>
      </c>
      <c r="AI47" s="331"/>
      <c r="AJ47" s="377">
        <f t="shared" si="13"/>
        <v>0</v>
      </c>
      <c r="AK47" s="336"/>
      <c r="AL47" s="336"/>
      <c r="AM47" s="336"/>
      <c r="AN47" s="340"/>
      <c r="AO47" s="341"/>
      <c r="AP47" s="341"/>
      <c r="AQ47" s="386">
        <f t="shared" si="10"/>
        <v>199895</v>
      </c>
      <c r="AR47" s="342"/>
      <c r="AS47" s="389">
        <f t="shared" si="4"/>
        <v>0</v>
      </c>
      <c r="AU47" s="343"/>
      <c r="AV47" s="344"/>
      <c r="AW47" s="344"/>
      <c r="AX47" s="344"/>
      <c r="AY47" s="344"/>
      <c r="AZ47" s="344"/>
      <c r="BA47" s="344"/>
      <c r="BB47" s="390">
        <f t="shared" si="9"/>
        <v>0</v>
      </c>
      <c r="BC47" s="345">
        <v>0</v>
      </c>
    </row>
    <row r="48" spans="2:61">
      <c r="B48" s="326"/>
      <c r="C48" s="327"/>
      <c r="D48" s="327"/>
      <c r="E48" s="371">
        <f t="shared" si="5"/>
        <v>337945</v>
      </c>
      <c r="F48" s="372">
        <f t="shared" si="6"/>
        <v>0</v>
      </c>
      <c r="H48" s="328"/>
      <c r="I48" s="329"/>
      <c r="J48" s="330"/>
      <c r="K48" s="375">
        <f t="shared" si="0"/>
        <v>941317</v>
      </c>
      <c r="L48" s="331"/>
      <c r="M48" s="377">
        <f t="shared" si="14"/>
        <v>0</v>
      </c>
      <c r="O48" s="332"/>
      <c r="P48" s="333"/>
      <c r="Q48" s="333"/>
      <c r="R48" s="334"/>
      <c r="S48" s="334"/>
      <c r="T48" s="334"/>
      <c r="U48" s="334"/>
      <c r="V48" s="379">
        <f t="shared" si="11"/>
        <v>14081391</v>
      </c>
      <c r="W48" s="335"/>
      <c r="Y48" s="336"/>
      <c r="Z48" s="337"/>
      <c r="AA48" s="338"/>
      <c r="AB48" s="383">
        <f t="shared" si="7"/>
        <v>638</v>
      </c>
      <c r="AC48" s="339"/>
      <c r="AD48" s="384">
        <f t="shared" si="12"/>
        <v>0</v>
      </c>
      <c r="AE48" s="336"/>
      <c r="AF48" s="329"/>
      <c r="AG48" s="330"/>
      <c r="AH48" s="375">
        <f t="shared" si="8"/>
        <v>320270</v>
      </c>
      <c r="AI48" s="331"/>
      <c r="AJ48" s="377">
        <f t="shared" si="13"/>
        <v>0</v>
      </c>
      <c r="AK48" s="336"/>
      <c r="AL48" s="336"/>
      <c r="AM48" s="336"/>
      <c r="AN48" s="340"/>
      <c r="AO48" s="341"/>
      <c r="AP48" s="341"/>
      <c r="AQ48" s="386">
        <f t="shared" si="10"/>
        <v>199895</v>
      </c>
      <c r="AR48" s="342"/>
      <c r="AS48" s="389">
        <f t="shared" si="4"/>
        <v>0</v>
      </c>
      <c r="AU48" s="343"/>
      <c r="AV48" s="344"/>
      <c r="AW48" s="344"/>
      <c r="AX48" s="344"/>
      <c r="AY48" s="344"/>
      <c r="AZ48" s="344"/>
      <c r="BA48" s="344"/>
      <c r="BB48" s="390">
        <f t="shared" si="9"/>
        <v>0</v>
      </c>
      <c r="BC48" s="345">
        <v>0</v>
      </c>
    </row>
    <row r="49" spans="2:55">
      <c r="B49" s="326"/>
      <c r="C49" s="327"/>
      <c r="D49" s="327"/>
      <c r="E49" s="371">
        <f t="shared" si="5"/>
        <v>337945</v>
      </c>
      <c r="F49" s="372">
        <f t="shared" si="6"/>
        <v>0</v>
      </c>
      <c r="H49" s="328"/>
      <c r="I49" s="329"/>
      <c r="J49" s="330"/>
      <c r="K49" s="375">
        <f t="shared" si="0"/>
        <v>941317</v>
      </c>
      <c r="L49" s="331"/>
      <c r="M49" s="377">
        <f t="shared" si="14"/>
        <v>0</v>
      </c>
      <c r="O49" s="332"/>
      <c r="P49" s="333"/>
      <c r="Q49" s="333"/>
      <c r="R49" s="334"/>
      <c r="S49" s="334"/>
      <c r="T49" s="334"/>
      <c r="U49" s="334"/>
      <c r="V49" s="379">
        <f t="shared" si="11"/>
        <v>14081391</v>
      </c>
      <c r="W49" s="335"/>
      <c r="Y49" s="336"/>
      <c r="Z49" s="337"/>
      <c r="AA49" s="338"/>
      <c r="AB49" s="383">
        <f t="shared" si="7"/>
        <v>638</v>
      </c>
      <c r="AC49" s="339"/>
      <c r="AD49" s="384">
        <f t="shared" si="12"/>
        <v>0</v>
      </c>
      <c r="AE49" s="336"/>
      <c r="AF49" s="329"/>
      <c r="AG49" s="330"/>
      <c r="AH49" s="375">
        <f t="shared" si="8"/>
        <v>320270</v>
      </c>
      <c r="AI49" s="331"/>
      <c r="AJ49" s="377">
        <f t="shared" si="13"/>
        <v>0</v>
      </c>
      <c r="AK49" s="336"/>
      <c r="AL49" s="336"/>
      <c r="AM49" s="336"/>
      <c r="AN49" s="340"/>
      <c r="AO49" s="341"/>
      <c r="AP49" s="341"/>
      <c r="AQ49" s="386">
        <f t="shared" si="10"/>
        <v>199895</v>
      </c>
      <c r="AR49" s="342"/>
      <c r="AS49" s="389">
        <f t="shared" si="4"/>
        <v>0</v>
      </c>
      <c r="AU49" s="343"/>
      <c r="AV49" s="344"/>
      <c r="AW49" s="344"/>
      <c r="AX49" s="344"/>
      <c r="AY49" s="344"/>
      <c r="AZ49" s="344"/>
      <c r="BA49" s="344"/>
      <c r="BB49" s="390">
        <f t="shared" si="9"/>
        <v>0</v>
      </c>
      <c r="BC49" s="345">
        <v>0</v>
      </c>
    </row>
    <row r="50" spans="2:55">
      <c r="B50" s="326"/>
      <c r="C50" s="327"/>
      <c r="D50" s="327"/>
      <c r="E50" s="371">
        <f t="shared" si="5"/>
        <v>337945</v>
      </c>
      <c r="F50" s="372">
        <f t="shared" si="6"/>
        <v>0</v>
      </c>
      <c r="H50" s="328"/>
      <c r="I50" s="329"/>
      <c r="J50" s="330"/>
      <c r="K50" s="375">
        <f t="shared" si="0"/>
        <v>941317</v>
      </c>
      <c r="L50" s="331"/>
      <c r="M50" s="377">
        <f t="shared" si="14"/>
        <v>0</v>
      </c>
      <c r="O50" s="332"/>
      <c r="P50" s="333"/>
      <c r="Q50" s="333"/>
      <c r="R50" s="334"/>
      <c r="S50" s="334"/>
      <c r="T50" s="334"/>
      <c r="U50" s="334"/>
      <c r="V50" s="379">
        <f t="shared" si="11"/>
        <v>14081391</v>
      </c>
      <c r="W50" s="335"/>
      <c r="Y50" s="336"/>
      <c r="Z50" s="337"/>
      <c r="AA50" s="338"/>
      <c r="AB50" s="383">
        <f t="shared" si="7"/>
        <v>638</v>
      </c>
      <c r="AC50" s="339"/>
      <c r="AD50" s="384">
        <f t="shared" si="12"/>
        <v>0</v>
      </c>
      <c r="AE50" s="336"/>
      <c r="AF50" s="329"/>
      <c r="AG50" s="330"/>
      <c r="AH50" s="375">
        <f t="shared" si="8"/>
        <v>320270</v>
      </c>
      <c r="AI50" s="331"/>
      <c r="AJ50" s="377">
        <f t="shared" si="13"/>
        <v>0</v>
      </c>
      <c r="AK50" s="336"/>
      <c r="AL50" s="336"/>
      <c r="AM50" s="336"/>
      <c r="AN50" s="340"/>
      <c r="AO50" s="341"/>
      <c r="AP50" s="341"/>
      <c r="AQ50" s="386">
        <f t="shared" si="10"/>
        <v>199895</v>
      </c>
      <c r="AR50" s="342"/>
      <c r="AS50" s="389">
        <f t="shared" si="4"/>
        <v>0</v>
      </c>
      <c r="AU50" s="343"/>
      <c r="AV50" s="344"/>
      <c r="AW50" s="344"/>
      <c r="AX50" s="344"/>
      <c r="AY50" s="344"/>
      <c r="AZ50" s="344"/>
      <c r="BA50" s="344"/>
      <c r="BB50" s="390">
        <f t="shared" si="9"/>
        <v>0</v>
      </c>
      <c r="BC50" s="345">
        <v>0</v>
      </c>
    </row>
    <row r="51" spans="2:55">
      <c r="B51" s="326"/>
      <c r="C51" s="327"/>
      <c r="D51" s="327"/>
      <c r="E51" s="371">
        <f t="shared" si="5"/>
        <v>337945</v>
      </c>
      <c r="F51" s="372">
        <f t="shared" si="6"/>
        <v>0</v>
      </c>
      <c r="H51" s="328"/>
      <c r="I51" s="329"/>
      <c r="J51" s="330"/>
      <c r="K51" s="375">
        <f t="shared" si="0"/>
        <v>941317</v>
      </c>
      <c r="L51" s="331"/>
      <c r="M51" s="377">
        <f t="shared" si="14"/>
        <v>0</v>
      </c>
      <c r="O51" s="332"/>
      <c r="P51" s="333"/>
      <c r="Q51" s="333"/>
      <c r="R51" s="334"/>
      <c r="S51" s="334"/>
      <c r="T51" s="334"/>
      <c r="U51" s="334"/>
      <c r="V51" s="379">
        <f t="shared" si="11"/>
        <v>14081391</v>
      </c>
      <c r="W51" s="335"/>
      <c r="Y51" s="336"/>
      <c r="Z51" s="337"/>
      <c r="AA51" s="338"/>
      <c r="AB51" s="383">
        <f t="shared" si="7"/>
        <v>638</v>
      </c>
      <c r="AC51" s="339"/>
      <c r="AD51" s="384">
        <f t="shared" si="12"/>
        <v>0</v>
      </c>
      <c r="AE51" s="336"/>
      <c r="AF51" s="329"/>
      <c r="AG51" s="330"/>
      <c r="AH51" s="375">
        <f t="shared" si="8"/>
        <v>320270</v>
      </c>
      <c r="AI51" s="331"/>
      <c r="AJ51" s="377">
        <f t="shared" si="13"/>
        <v>0</v>
      </c>
      <c r="AK51" s="336"/>
      <c r="AL51" s="336"/>
      <c r="AM51" s="336"/>
      <c r="AN51" s="340"/>
      <c r="AO51" s="341"/>
      <c r="AP51" s="341"/>
      <c r="AQ51" s="386">
        <f t="shared" si="10"/>
        <v>199895</v>
      </c>
      <c r="AR51" s="342"/>
      <c r="AS51" s="389">
        <f t="shared" si="4"/>
        <v>0</v>
      </c>
      <c r="AU51" s="343"/>
      <c r="AV51" s="344"/>
      <c r="AW51" s="344"/>
      <c r="AX51" s="344"/>
      <c r="AY51" s="344"/>
      <c r="AZ51" s="344"/>
      <c r="BA51" s="344"/>
      <c r="BB51" s="390">
        <f t="shared" si="9"/>
        <v>0</v>
      </c>
      <c r="BC51" s="345">
        <v>0</v>
      </c>
    </row>
    <row r="52" spans="2:55">
      <c r="B52" s="326"/>
      <c r="C52" s="327"/>
      <c r="D52" s="327"/>
      <c r="E52" s="371">
        <f t="shared" si="5"/>
        <v>337945</v>
      </c>
      <c r="F52" s="372">
        <f t="shared" si="6"/>
        <v>0</v>
      </c>
      <c r="H52" s="328"/>
      <c r="I52" s="329"/>
      <c r="J52" s="330"/>
      <c r="K52" s="375">
        <f t="shared" si="0"/>
        <v>941317</v>
      </c>
      <c r="L52" s="331"/>
      <c r="M52" s="377">
        <f t="shared" si="14"/>
        <v>0</v>
      </c>
      <c r="O52" s="332"/>
      <c r="P52" s="333"/>
      <c r="Q52" s="333"/>
      <c r="R52" s="334"/>
      <c r="S52" s="334"/>
      <c r="T52" s="334"/>
      <c r="U52" s="334"/>
      <c r="V52" s="379">
        <f t="shared" si="11"/>
        <v>14081391</v>
      </c>
      <c r="W52" s="335"/>
      <c r="Y52" s="336"/>
      <c r="Z52" s="337"/>
      <c r="AA52" s="338"/>
      <c r="AB52" s="383">
        <f t="shared" si="7"/>
        <v>638</v>
      </c>
      <c r="AC52" s="339"/>
      <c r="AD52" s="384">
        <f t="shared" si="12"/>
        <v>0</v>
      </c>
      <c r="AE52" s="336"/>
      <c r="AF52" s="329"/>
      <c r="AG52" s="330"/>
      <c r="AH52" s="375">
        <f t="shared" si="8"/>
        <v>320270</v>
      </c>
      <c r="AI52" s="331"/>
      <c r="AJ52" s="377">
        <f t="shared" si="13"/>
        <v>0</v>
      </c>
      <c r="AK52" s="336"/>
      <c r="AL52" s="336"/>
      <c r="AM52" s="336"/>
      <c r="AN52" s="340"/>
      <c r="AO52" s="341"/>
      <c r="AP52" s="341"/>
      <c r="AQ52" s="386">
        <f t="shared" si="10"/>
        <v>199895</v>
      </c>
      <c r="AR52" s="342"/>
      <c r="AS52" s="389">
        <f t="shared" si="4"/>
        <v>0</v>
      </c>
      <c r="AU52" s="343"/>
      <c r="AV52" s="344"/>
      <c r="AW52" s="344"/>
      <c r="AX52" s="344"/>
      <c r="AY52" s="344"/>
      <c r="AZ52" s="344"/>
      <c r="BA52" s="344"/>
      <c r="BB52" s="390">
        <f t="shared" si="9"/>
        <v>0</v>
      </c>
      <c r="BC52" s="345">
        <v>0</v>
      </c>
    </row>
    <row r="53" spans="2:55">
      <c r="B53" s="326"/>
      <c r="C53" s="327"/>
      <c r="D53" s="327"/>
      <c r="E53" s="371">
        <f t="shared" si="5"/>
        <v>337945</v>
      </c>
      <c r="F53" s="372">
        <f t="shared" si="6"/>
        <v>0</v>
      </c>
      <c r="H53" s="328"/>
      <c r="I53" s="329"/>
      <c r="J53" s="330"/>
      <c r="K53" s="375">
        <f t="shared" si="0"/>
        <v>941317</v>
      </c>
      <c r="L53" s="331"/>
      <c r="M53" s="377">
        <f t="shared" si="14"/>
        <v>0</v>
      </c>
      <c r="O53" s="332"/>
      <c r="P53" s="333"/>
      <c r="Q53" s="333"/>
      <c r="R53" s="334"/>
      <c r="S53" s="334"/>
      <c r="T53" s="334"/>
      <c r="U53" s="334"/>
      <c r="V53" s="379">
        <f t="shared" si="11"/>
        <v>14081391</v>
      </c>
      <c r="W53" s="335"/>
      <c r="Y53" s="336"/>
      <c r="Z53" s="337"/>
      <c r="AA53" s="338"/>
      <c r="AB53" s="383">
        <f t="shared" si="7"/>
        <v>638</v>
      </c>
      <c r="AC53" s="339"/>
      <c r="AD53" s="384">
        <f t="shared" si="12"/>
        <v>0</v>
      </c>
      <c r="AE53" s="336"/>
      <c r="AF53" s="329"/>
      <c r="AG53" s="330"/>
      <c r="AH53" s="375">
        <f t="shared" si="8"/>
        <v>320270</v>
      </c>
      <c r="AI53" s="331"/>
      <c r="AJ53" s="377">
        <f t="shared" si="13"/>
        <v>0</v>
      </c>
      <c r="AK53" s="336"/>
      <c r="AL53" s="336"/>
      <c r="AM53" s="336"/>
      <c r="AN53" s="340"/>
      <c r="AO53" s="341"/>
      <c r="AP53" s="341"/>
      <c r="AQ53" s="386">
        <f t="shared" si="10"/>
        <v>199895</v>
      </c>
      <c r="AR53" s="342"/>
      <c r="AS53" s="389">
        <f t="shared" si="4"/>
        <v>0</v>
      </c>
      <c r="AU53" s="343"/>
      <c r="AV53" s="344"/>
      <c r="AW53" s="344"/>
      <c r="AX53" s="344"/>
      <c r="AY53" s="344"/>
      <c r="AZ53" s="344"/>
      <c r="BA53" s="344"/>
      <c r="BB53" s="390">
        <f t="shared" si="9"/>
        <v>0</v>
      </c>
      <c r="BC53" s="345">
        <v>0</v>
      </c>
    </row>
    <row r="54" spans="2:55">
      <c r="B54" s="326"/>
      <c r="C54" s="327"/>
      <c r="D54" s="327"/>
      <c r="E54" s="371">
        <f t="shared" si="5"/>
        <v>337945</v>
      </c>
      <c r="F54" s="372">
        <f t="shared" si="6"/>
        <v>0</v>
      </c>
      <c r="H54" s="328"/>
      <c r="I54" s="329"/>
      <c r="J54" s="330"/>
      <c r="K54" s="375">
        <f t="shared" si="0"/>
        <v>941317</v>
      </c>
      <c r="L54" s="331"/>
      <c r="M54" s="377">
        <f t="shared" si="14"/>
        <v>0</v>
      </c>
      <c r="O54" s="332"/>
      <c r="P54" s="333"/>
      <c r="Q54" s="333"/>
      <c r="R54" s="334"/>
      <c r="S54" s="334"/>
      <c r="T54" s="334"/>
      <c r="U54" s="334"/>
      <c r="V54" s="379">
        <f t="shared" si="11"/>
        <v>14081391</v>
      </c>
      <c r="W54" s="335"/>
      <c r="Y54" s="336"/>
      <c r="Z54" s="337"/>
      <c r="AA54" s="338"/>
      <c r="AB54" s="383">
        <f t="shared" si="7"/>
        <v>638</v>
      </c>
      <c r="AC54" s="339"/>
      <c r="AD54" s="384">
        <f t="shared" si="12"/>
        <v>0</v>
      </c>
      <c r="AE54" s="336"/>
      <c r="AF54" s="329"/>
      <c r="AG54" s="330"/>
      <c r="AH54" s="375">
        <f t="shared" si="8"/>
        <v>320270</v>
      </c>
      <c r="AI54" s="331"/>
      <c r="AJ54" s="377">
        <f t="shared" si="13"/>
        <v>0</v>
      </c>
      <c r="AK54" s="336"/>
      <c r="AL54" s="336"/>
      <c r="AM54" s="336"/>
      <c r="AN54" s="340"/>
      <c r="AO54" s="341"/>
      <c r="AP54" s="341"/>
      <c r="AQ54" s="386">
        <f t="shared" si="10"/>
        <v>199895</v>
      </c>
      <c r="AR54" s="342"/>
      <c r="AS54" s="389">
        <f t="shared" si="4"/>
        <v>0</v>
      </c>
      <c r="AU54" s="343"/>
      <c r="AV54" s="344"/>
      <c r="AW54" s="344"/>
      <c r="AX54" s="344"/>
      <c r="AY54" s="344"/>
      <c r="AZ54" s="344"/>
      <c r="BA54" s="344"/>
      <c r="BB54" s="390">
        <f t="shared" si="9"/>
        <v>0</v>
      </c>
      <c r="BC54" s="345">
        <v>0</v>
      </c>
    </row>
    <row r="55" spans="2:55">
      <c r="B55" s="326"/>
      <c r="C55" s="327"/>
      <c r="D55" s="327"/>
      <c r="E55" s="371">
        <f t="shared" si="5"/>
        <v>337945</v>
      </c>
      <c r="F55" s="372">
        <f t="shared" si="6"/>
        <v>0</v>
      </c>
      <c r="H55" s="328"/>
      <c r="I55" s="329"/>
      <c r="J55" s="330"/>
      <c r="K55" s="375">
        <f t="shared" si="0"/>
        <v>941317</v>
      </c>
      <c r="L55" s="331"/>
      <c r="M55" s="377">
        <f t="shared" si="14"/>
        <v>0</v>
      </c>
      <c r="O55" s="332"/>
      <c r="P55" s="333"/>
      <c r="Q55" s="333"/>
      <c r="R55" s="334"/>
      <c r="S55" s="334"/>
      <c r="T55" s="334"/>
      <c r="U55" s="334"/>
      <c r="V55" s="379">
        <f t="shared" si="11"/>
        <v>14081391</v>
      </c>
      <c r="W55" s="335"/>
      <c r="Y55" s="336"/>
      <c r="Z55" s="337"/>
      <c r="AA55" s="338"/>
      <c r="AB55" s="383">
        <f t="shared" si="7"/>
        <v>638</v>
      </c>
      <c r="AC55" s="339"/>
      <c r="AD55" s="384">
        <f t="shared" si="12"/>
        <v>0</v>
      </c>
      <c r="AE55" s="336"/>
      <c r="AF55" s="329"/>
      <c r="AG55" s="330"/>
      <c r="AH55" s="375">
        <f t="shared" si="8"/>
        <v>320270</v>
      </c>
      <c r="AI55" s="331"/>
      <c r="AJ55" s="377">
        <f t="shared" si="13"/>
        <v>0</v>
      </c>
      <c r="AK55" s="336"/>
      <c r="AL55" s="336"/>
      <c r="AM55" s="336"/>
      <c r="AN55" s="340"/>
      <c r="AO55" s="341"/>
      <c r="AP55" s="341"/>
      <c r="AQ55" s="386">
        <f t="shared" si="10"/>
        <v>199895</v>
      </c>
      <c r="AR55" s="342"/>
      <c r="AS55" s="389">
        <f t="shared" si="4"/>
        <v>0</v>
      </c>
      <c r="AU55" s="343"/>
      <c r="AV55" s="344"/>
      <c r="AW55" s="344"/>
      <c r="AX55" s="344"/>
      <c r="AY55" s="344"/>
      <c r="AZ55" s="344"/>
      <c r="BA55" s="344"/>
      <c r="BB55" s="390">
        <f t="shared" si="9"/>
        <v>0</v>
      </c>
      <c r="BC55" s="345">
        <v>0</v>
      </c>
    </row>
    <row r="56" spans="2:55">
      <c r="B56" s="326"/>
      <c r="C56" s="327"/>
      <c r="D56" s="327"/>
      <c r="E56" s="371">
        <f t="shared" si="5"/>
        <v>337945</v>
      </c>
      <c r="F56" s="372">
        <f t="shared" si="6"/>
        <v>0</v>
      </c>
      <c r="H56" s="328"/>
      <c r="I56" s="329"/>
      <c r="J56" s="330"/>
      <c r="K56" s="375">
        <f t="shared" si="0"/>
        <v>941317</v>
      </c>
      <c r="L56" s="331"/>
      <c r="M56" s="377">
        <f t="shared" si="14"/>
        <v>0</v>
      </c>
      <c r="O56" s="332"/>
      <c r="P56" s="333"/>
      <c r="Q56" s="333"/>
      <c r="R56" s="334"/>
      <c r="S56" s="334"/>
      <c r="T56" s="334"/>
      <c r="U56" s="334"/>
      <c r="V56" s="379">
        <f t="shared" si="11"/>
        <v>14081391</v>
      </c>
      <c r="W56" s="335"/>
      <c r="Y56" s="336"/>
      <c r="Z56" s="337"/>
      <c r="AA56" s="338"/>
      <c r="AB56" s="383">
        <f t="shared" si="7"/>
        <v>638</v>
      </c>
      <c r="AC56" s="339"/>
      <c r="AD56" s="384">
        <f t="shared" si="12"/>
        <v>0</v>
      </c>
      <c r="AE56" s="336"/>
      <c r="AF56" s="329"/>
      <c r="AG56" s="330"/>
      <c r="AH56" s="375">
        <f t="shared" si="8"/>
        <v>320270</v>
      </c>
      <c r="AI56" s="331"/>
      <c r="AJ56" s="377">
        <f t="shared" si="13"/>
        <v>0</v>
      </c>
      <c r="AK56" s="336"/>
      <c r="AL56" s="336"/>
      <c r="AM56" s="336"/>
      <c r="AN56" s="340"/>
      <c r="AO56" s="341"/>
      <c r="AP56" s="341"/>
      <c r="AQ56" s="386">
        <f t="shared" si="10"/>
        <v>199895</v>
      </c>
      <c r="AR56" s="342"/>
      <c r="AS56" s="389">
        <f t="shared" si="4"/>
        <v>0</v>
      </c>
      <c r="AU56" s="343"/>
      <c r="AV56" s="344"/>
      <c r="AW56" s="344"/>
      <c r="AX56" s="344"/>
      <c r="AY56" s="344"/>
      <c r="AZ56" s="344"/>
      <c r="BA56" s="344"/>
      <c r="BB56" s="390">
        <f t="shared" si="9"/>
        <v>0</v>
      </c>
      <c r="BC56" s="345">
        <v>0</v>
      </c>
    </row>
    <row r="57" spans="2:55">
      <c r="B57" s="326"/>
      <c r="C57" s="327"/>
      <c r="D57" s="327"/>
      <c r="E57" s="371">
        <f t="shared" si="5"/>
        <v>337945</v>
      </c>
      <c r="F57" s="372">
        <f t="shared" si="6"/>
        <v>0</v>
      </c>
      <c r="H57" s="328"/>
      <c r="I57" s="329"/>
      <c r="J57" s="330"/>
      <c r="K57" s="375">
        <f t="shared" si="0"/>
        <v>941317</v>
      </c>
      <c r="L57" s="331"/>
      <c r="M57" s="377">
        <f t="shared" si="14"/>
        <v>0</v>
      </c>
      <c r="O57" s="332"/>
      <c r="P57" s="333"/>
      <c r="Q57" s="333"/>
      <c r="R57" s="334"/>
      <c r="S57" s="334"/>
      <c r="T57" s="334"/>
      <c r="U57" s="334"/>
      <c r="V57" s="379">
        <f t="shared" si="11"/>
        <v>14081391</v>
      </c>
      <c r="W57" s="335"/>
      <c r="Y57" s="336"/>
      <c r="Z57" s="337"/>
      <c r="AA57" s="338"/>
      <c r="AB57" s="383">
        <f t="shared" si="7"/>
        <v>638</v>
      </c>
      <c r="AC57" s="339"/>
      <c r="AD57" s="384">
        <f t="shared" si="12"/>
        <v>0</v>
      </c>
      <c r="AE57" s="336"/>
      <c r="AF57" s="329"/>
      <c r="AG57" s="330"/>
      <c r="AH57" s="375">
        <f t="shared" si="8"/>
        <v>320270</v>
      </c>
      <c r="AI57" s="331"/>
      <c r="AJ57" s="377">
        <f t="shared" si="13"/>
        <v>0</v>
      </c>
      <c r="AK57" s="336"/>
      <c r="AL57" s="336"/>
      <c r="AM57" s="336"/>
      <c r="AN57" s="340"/>
      <c r="AO57" s="341"/>
      <c r="AP57" s="341"/>
      <c r="AQ57" s="386">
        <f t="shared" si="10"/>
        <v>199895</v>
      </c>
      <c r="AR57" s="342"/>
      <c r="AS57" s="389">
        <f t="shared" si="4"/>
        <v>0</v>
      </c>
      <c r="AU57" s="343"/>
      <c r="AV57" s="344"/>
      <c r="AW57" s="344"/>
      <c r="AX57" s="344"/>
      <c r="AY57" s="344"/>
      <c r="AZ57" s="344"/>
      <c r="BA57" s="344"/>
      <c r="BB57" s="390">
        <f t="shared" si="9"/>
        <v>0</v>
      </c>
      <c r="BC57" s="345">
        <v>0</v>
      </c>
    </row>
    <row r="58" spans="2:55">
      <c r="B58" s="326"/>
      <c r="C58" s="327"/>
      <c r="D58" s="327"/>
      <c r="E58" s="371">
        <f t="shared" si="5"/>
        <v>337945</v>
      </c>
      <c r="F58" s="372">
        <f t="shared" si="6"/>
        <v>0</v>
      </c>
      <c r="H58" s="328"/>
      <c r="I58" s="329"/>
      <c r="J58" s="330"/>
      <c r="K58" s="375">
        <f t="shared" si="0"/>
        <v>941317</v>
      </c>
      <c r="L58" s="331"/>
      <c r="M58" s="377">
        <f t="shared" si="14"/>
        <v>0</v>
      </c>
      <c r="O58" s="332"/>
      <c r="P58" s="333"/>
      <c r="Q58" s="333"/>
      <c r="R58" s="334"/>
      <c r="S58" s="334"/>
      <c r="T58" s="334"/>
      <c r="U58" s="334"/>
      <c r="V58" s="379">
        <f t="shared" si="11"/>
        <v>14081391</v>
      </c>
      <c r="W58" s="335"/>
      <c r="Y58" s="336"/>
      <c r="Z58" s="337"/>
      <c r="AA58" s="338"/>
      <c r="AB58" s="383">
        <f t="shared" si="7"/>
        <v>638</v>
      </c>
      <c r="AC58" s="339"/>
      <c r="AD58" s="384">
        <f t="shared" si="12"/>
        <v>0</v>
      </c>
      <c r="AE58" s="336"/>
      <c r="AF58" s="329"/>
      <c r="AG58" s="330"/>
      <c r="AH58" s="375">
        <f t="shared" si="8"/>
        <v>320270</v>
      </c>
      <c r="AI58" s="331"/>
      <c r="AJ58" s="377">
        <f t="shared" si="13"/>
        <v>0</v>
      </c>
      <c r="AK58" s="336"/>
      <c r="AL58" s="336"/>
      <c r="AM58" s="336"/>
      <c r="AN58" s="340"/>
      <c r="AO58" s="341"/>
      <c r="AP58" s="341"/>
      <c r="AQ58" s="386">
        <f t="shared" si="10"/>
        <v>199895</v>
      </c>
      <c r="AR58" s="342"/>
      <c r="AS58" s="389">
        <f t="shared" si="4"/>
        <v>0</v>
      </c>
      <c r="AU58" s="343"/>
      <c r="AV58" s="344"/>
      <c r="AW58" s="344"/>
      <c r="AX58" s="344"/>
      <c r="AY58" s="344"/>
      <c r="AZ58" s="344"/>
      <c r="BA58" s="344"/>
      <c r="BB58" s="390">
        <f t="shared" si="9"/>
        <v>0</v>
      </c>
      <c r="BC58" s="345">
        <v>0</v>
      </c>
    </row>
    <row r="59" spans="2:55">
      <c r="B59" s="326"/>
      <c r="C59" s="327"/>
      <c r="D59" s="327"/>
      <c r="E59" s="371">
        <f t="shared" si="5"/>
        <v>337945</v>
      </c>
      <c r="F59" s="372">
        <f t="shared" si="6"/>
        <v>0</v>
      </c>
      <c r="H59" s="328"/>
      <c r="I59" s="329"/>
      <c r="J59" s="330"/>
      <c r="K59" s="375">
        <f t="shared" si="0"/>
        <v>941317</v>
      </c>
      <c r="L59" s="331"/>
      <c r="M59" s="377">
        <f t="shared" si="14"/>
        <v>0</v>
      </c>
      <c r="O59" s="332"/>
      <c r="P59" s="333"/>
      <c r="Q59" s="333"/>
      <c r="R59" s="334"/>
      <c r="S59" s="334"/>
      <c r="T59" s="334"/>
      <c r="U59" s="334"/>
      <c r="V59" s="379">
        <f t="shared" ref="V59:V70" si="16">V58+O59+P59-Q59-R59-S59-T59+U59</f>
        <v>14081391</v>
      </c>
      <c r="W59" s="335"/>
      <c r="Y59" s="336"/>
      <c r="Z59" s="337"/>
      <c r="AA59" s="338"/>
      <c r="AB59" s="383">
        <f t="shared" si="7"/>
        <v>638</v>
      </c>
      <c r="AC59" s="339"/>
      <c r="AD59" s="384">
        <f t="shared" si="12"/>
        <v>0</v>
      </c>
      <c r="AE59" s="336"/>
      <c r="AF59" s="329"/>
      <c r="AG59" s="330"/>
      <c r="AH59" s="375">
        <f t="shared" si="8"/>
        <v>320270</v>
      </c>
      <c r="AI59" s="331"/>
      <c r="AJ59" s="377">
        <f t="shared" si="13"/>
        <v>0</v>
      </c>
      <c r="AK59" s="336"/>
      <c r="AL59" s="336"/>
      <c r="AM59" s="336"/>
      <c r="AN59" s="340"/>
      <c r="AO59" s="341"/>
      <c r="AP59" s="341"/>
      <c r="AQ59" s="386">
        <f t="shared" si="10"/>
        <v>199895</v>
      </c>
      <c r="AR59" s="342"/>
      <c r="AS59" s="389">
        <f t="shared" si="4"/>
        <v>0</v>
      </c>
      <c r="AU59" s="343"/>
      <c r="AV59" s="344"/>
      <c r="AW59" s="344"/>
      <c r="AX59" s="344"/>
      <c r="AY59" s="344"/>
      <c r="AZ59" s="344"/>
      <c r="BA59" s="344"/>
      <c r="BB59" s="390">
        <f t="shared" si="9"/>
        <v>0</v>
      </c>
      <c r="BC59" s="345">
        <v>0</v>
      </c>
    </row>
    <row r="60" spans="2:55">
      <c r="B60" s="326"/>
      <c r="C60" s="327"/>
      <c r="D60" s="327"/>
      <c r="E60" s="371">
        <f t="shared" si="5"/>
        <v>337945</v>
      </c>
      <c r="F60" s="372">
        <f t="shared" si="6"/>
        <v>0</v>
      </c>
      <c r="H60" s="328"/>
      <c r="I60" s="329"/>
      <c r="J60" s="330"/>
      <c r="K60" s="375">
        <f t="shared" si="0"/>
        <v>941317</v>
      </c>
      <c r="L60" s="331"/>
      <c r="M60" s="377">
        <f t="shared" si="14"/>
        <v>0</v>
      </c>
      <c r="O60" s="332"/>
      <c r="P60" s="333"/>
      <c r="Q60" s="333"/>
      <c r="R60" s="334"/>
      <c r="S60" s="334"/>
      <c r="T60" s="334"/>
      <c r="U60" s="334"/>
      <c r="V60" s="379">
        <f t="shared" si="16"/>
        <v>14081391</v>
      </c>
      <c r="W60" s="335"/>
      <c r="Y60" s="336"/>
      <c r="Z60" s="337"/>
      <c r="AA60" s="338"/>
      <c r="AB60" s="383">
        <f t="shared" si="7"/>
        <v>638</v>
      </c>
      <c r="AC60" s="339"/>
      <c r="AD60" s="384">
        <f t="shared" si="12"/>
        <v>0</v>
      </c>
      <c r="AE60" s="336"/>
      <c r="AF60" s="329"/>
      <c r="AG60" s="330"/>
      <c r="AH60" s="375">
        <f t="shared" si="8"/>
        <v>320270</v>
      </c>
      <c r="AI60" s="331"/>
      <c r="AJ60" s="377">
        <f t="shared" si="13"/>
        <v>0</v>
      </c>
      <c r="AK60" s="336"/>
      <c r="AL60" s="336"/>
      <c r="AM60" s="336"/>
      <c r="AN60" s="340"/>
      <c r="AO60" s="341"/>
      <c r="AP60" s="341"/>
      <c r="AQ60" s="386">
        <f t="shared" si="10"/>
        <v>199895</v>
      </c>
      <c r="AR60" s="342"/>
      <c r="AS60" s="389">
        <f t="shared" si="4"/>
        <v>0</v>
      </c>
      <c r="AU60" s="343"/>
      <c r="AV60" s="344"/>
      <c r="AW60" s="344"/>
      <c r="AX60" s="344"/>
      <c r="AY60" s="344"/>
      <c r="AZ60" s="344"/>
      <c r="BA60" s="344"/>
      <c r="BB60" s="390">
        <f t="shared" si="9"/>
        <v>0</v>
      </c>
      <c r="BC60" s="345">
        <v>0</v>
      </c>
    </row>
    <row r="61" spans="2:55">
      <c r="B61" s="326"/>
      <c r="C61" s="327"/>
      <c r="D61" s="327"/>
      <c r="E61" s="371">
        <f t="shared" si="5"/>
        <v>337945</v>
      </c>
      <c r="F61" s="372">
        <f t="shared" si="6"/>
        <v>0</v>
      </c>
      <c r="H61" s="328"/>
      <c r="I61" s="329"/>
      <c r="J61" s="330"/>
      <c r="K61" s="375">
        <f t="shared" si="0"/>
        <v>941317</v>
      </c>
      <c r="L61" s="331"/>
      <c r="M61" s="377">
        <f t="shared" si="14"/>
        <v>0</v>
      </c>
      <c r="O61" s="332"/>
      <c r="P61" s="333"/>
      <c r="Q61" s="333"/>
      <c r="R61" s="334"/>
      <c r="S61" s="334"/>
      <c r="T61" s="334"/>
      <c r="U61" s="334"/>
      <c r="V61" s="379">
        <f t="shared" si="16"/>
        <v>14081391</v>
      </c>
      <c r="W61" s="335"/>
      <c r="Y61" s="336"/>
      <c r="Z61" s="337"/>
      <c r="AA61" s="338"/>
      <c r="AB61" s="383">
        <f t="shared" si="7"/>
        <v>638</v>
      </c>
      <c r="AC61" s="339"/>
      <c r="AD61" s="384">
        <f t="shared" si="12"/>
        <v>0</v>
      </c>
      <c r="AE61" s="336"/>
      <c r="AF61" s="329"/>
      <c r="AG61" s="330"/>
      <c r="AH61" s="375">
        <f t="shared" si="8"/>
        <v>320270</v>
      </c>
      <c r="AI61" s="331"/>
      <c r="AJ61" s="377">
        <f t="shared" si="13"/>
        <v>0</v>
      </c>
      <c r="AK61" s="336"/>
      <c r="AL61" s="336"/>
      <c r="AM61" s="336"/>
      <c r="AN61" s="340"/>
      <c r="AO61" s="341"/>
      <c r="AP61" s="341"/>
      <c r="AQ61" s="386">
        <f t="shared" si="10"/>
        <v>199895</v>
      </c>
      <c r="AR61" s="342"/>
      <c r="AS61" s="389">
        <f t="shared" si="4"/>
        <v>0</v>
      </c>
      <c r="AU61" s="343"/>
      <c r="AV61" s="344"/>
      <c r="AW61" s="344"/>
      <c r="AX61" s="344"/>
      <c r="AY61" s="344"/>
      <c r="AZ61" s="344"/>
      <c r="BA61" s="344"/>
      <c r="BB61" s="390">
        <f t="shared" si="9"/>
        <v>0</v>
      </c>
      <c r="BC61" s="345">
        <v>0</v>
      </c>
    </row>
    <row r="62" spans="2:55">
      <c r="B62" s="326"/>
      <c r="C62" s="327"/>
      <c r="D62" s="327"/>
      <c r="E62" s="371">
        <f t="shared" si="5"/>
        <v>337945</v>
      </c>
      <c r="F62" s="372">
        <f t="shared" si="6"/>
        <v>0</v>
      </c>
      <c r="H62" s="328"/>
      <c r="I62" s="329"/>
      <c r="J62" s="330"/>
      <c r="K62" s="375">
        <f t="shared" si="0"/>
        <v>941317</v>
      </c>
      <c r="L62" s="331"/>
      <c r="M62" s="377">
        <f t="shared" si="14"/>
        <v>0</v>
      </c>
      <c r="O62" s="332"/>
      <c r="P62" s="333"/>
      <c r="Q62" s="333"/>
      <c r="R62" s="334"/>
      <c r="S62" s="334"/>
      <c r="T62" s="334"/>
      <c r="U62" s="334"/>
      <c r="V62" s="379">
        <f t="shared" si="16"/>
        <v>14081391</v>
      </c>
      <c r="W62" s="335"/>
      <c r="Y62" s="336"/>
      <c r="Z62" s="337"/>
      <c r="AA62" s="338"/>
      <c r="AB62" s="383">
        <f t="shared" si="7"/>
        <v>638</v>
      </c>
      <c r="AC62" s="339"/>
      <c r="AD62" s="384">
        <f t="shared" si="12"/>
        <v>0</v>
      </c>
      <c r="AE62" s="336"/>
      <c r="AF62" s="329"/>
      <c r="AG62" s="330"/>
      <c r="AH62" s="375">
        <f t="shared" si="8"/>
        <v>320270</v>
      </c>
      <c r="AI62" s="331"/>
      <c r="AJ62" s="377">
        <f t="shared" si="13"/>
        <v>0</v>
      </c>
      <c r="AK62" s="336"/>
      <c r="AL62" s="336"/>
      <c r="AM62" s="336"/>
      <c r="AN62" s="340"/>
      <c r="AO62" s="341"/>
      <c r="AP62" s="341"/>
      <c r="AQ62" s="386">
        <f t="shared" si="10"/>
        <v>199895</v>
      </c>
      <c r="AR62" s="342"/>
      <c r="AS62" s="389">
        <f t="shared" si="4"/>
        <v>0</v>
      </c>
      <c r="AU62" s="343"/>
      <c r="AV62" s="344"/>
      <c r="AW62" s="344"/>
      <c r="AX62" s="344"/>
      <c r="AY62" s="344"/>
      <c r="AZ62" s="344"/>
      <c r="BA62" s="344"/>
      <c r="BB62" s="390">
        <f t="shared" si="9"/>
        <v>0</v>
      </c>
      <c r="BC62" s="345">
        <v>0</v>
      </c>
    </row>
    <row r="63" spans="2:55">
      <c r="B63" s="326"/>
      <c r="C63" s="327"/>
      <c r="D63" s="327"/>
      <c r="E63" s="371">
        <f t="shared" si="5"/>
        <v>337945</v>
      </c>
      <c r="F63" s="372">
        <f t="shared" si="6"/>
        <v>0</v>
      </c>
      <c r="H63" s="328"/>
      <c r="I63" s="329"/>
      <c r="J63" s="330"/>
      <c r="K63" s="375">
        <f t="shared" si="0"/>
        <v>941317</v>
      </c>
      <c r="L63" s="331"/>
      <c r="M63" s="377">
        <f t="shared" si="14"/>
        <v>0</v>
      </c>
      <c r="O63" s="332"/>
      <c r="P63" s="333"/>
      <c r="Q63" s="333"/>
      <c r="R63" s="334"/>
      <c r="S63" s="334"/>
      <c r="T63" s="334"/>
      <c r="U63" s="334"/>
      <c r="V63" s="379">
        <f t="shared" si="16"/>
        <v>14081391</v>
      </c>
      <c r="W63" s="335"/>
      <c r="Y63" s="336"/>
      <c r="Z63" s="337"/>
      <c r="AA63" s="338"/>
      <c r="AB63" s="383">
        <f t="shared" si="7"/>
        <v>638</v>
      </c>
      <c r="AC63" s="339"/>
      <c r="AD63" s="384">
        <f t="shared" si="12"/>
        <v>0</v>
      </c>
      <c r="AE63" s="336"/>
      <c r="AF63" s="329"/>
      <c r="AG63" s="330"/>
      <c r="AH63" s="375">
        <f t="shared" si="8"/>
        <v>320270</v>
      </c>
      <c r="AI63" s="331"/>
      <c r="AJ63" s="377">
        <f t="shared" si="13"/>
        <v>0</v>
      </c>
      <c r="AK63" s="336"/>
      <c r="AL63" s="336"/>
      <c r="AM63" s="336"/>
      <c r="AN63" s="340"/>
      <c r="AO63" s="341"/>
      <c r="AP63" s="341"/>
      <c r="AQ63" s="386">
        <f t="shared" si="10"/>
        <v>199895</v>
      </c>
      <c r="AR63" s="342"/>
      <c r="AS63" s="389">
        <f t="shared" si="4"/>
        <v>0</v>
      </c>
      <c r="AU63" s="343"/>
      <c r="AV63" s="344"/>
      <c r="AW63" s="344"/>
      <c r="AX63" s="344"/>
      <c r="AY63" s="344"/>
      <c r="AZ63" s="344"/>
      <c r="BA63" s="344"/>
      <c r="BB63" s="390">
        <f t="shared" si="9"/>
        <v>0</v>
      </c>
      <c r="BC63" s="345">
        <v>0</v>
      </c>
    </row>
    <row r="64" spans="2:55">
      <c r="B64" s="326"/>
      <c r="C64" s="327"/>
      <c r="D64" s="327"/>
      <c r="E64" s="371">
        <f t="shared" si="5"/>
        <v>337945</v>
      </c>
      <c r="F64" s="372">
        <f t="shared" si="6"/>
        <v>0</v>
      </c>
      <c r="H64" s="328"/>
      <c r="I64" s="329"/>
      <c r="J64" s="330"/>
      <c r="K64" s="375">
        <f t="shared" si="0"/>
        <v>941317</v>
      </c>
      <c r="L64" s="331"/>
      <c r="M64" s="377">
        <f t="shared" si="14"/>
        <v>0</v>
      </c>
      <c r="O64" s="332"/>
      <c r="P64" s="333"/>
      <c r="Q64" s="333"/>
      <c r="R64" s="334"/>
      <c r="S64" s="334"/>
      <c r="T64" s="334"/>
      <c r="U64" s="334"/>
      <c r="V64" s="379">
        <f t="shared" si="16"/>
        <v>14081391</v>
      </c>
      <c r="W64" s="335"/>
      <c r="Y64" s="336"/>
      <c r="Z64" s="337"/>
      <c r="AA64" s="338"/>
      <c r="AB64" s="383">
        <f t="shared" si="7"/>
        <v>638</v>
      </c>
      <c r="AC64" s="339"/>
      <c r="AD64" s="384">
        <f t="shared" si="12"/>
        <v>0</v>
      </c>
      <c r="AE64" s="336"/>
      <c r="AF64" s="329"/>
      <c r="AG64" s="330"/>
      <c r="AH64" s="375">
        <f t="shared" si="8"/>
        <v>320270</v>
      </c>
      <c r="AI64" s="331"/>
      <c r="AJ64" s="377">
        <f t="shared" si="13"/>
        <v>0</v>
      </c>
      <c r="AK64" s="336"/>
      <c r="AL64" s="336"/>
      <c r="AM64" s="336"/>
      <c r="AN64" s="340"/>
      <c r="AO64" s="341"/>
      <c r="AP64" s="341"/>
      <c r="AQ64" s="386">
        <f t="shared" si="10"/>
        <v>199895</v>
      </c>
      <c r="AR64" s="342"/>
      <c r="AS64" s="389">
        <f t="shared" si="4"/>
        <v>0</v>
      </c>
      <c r="AU64" s="343"/>
      <c r="AV64" s="344"/>
      <c r="AW64" s="344"/>
      <c r="AX64" s="344"/>
      <c r="AY64" s="344"/>
      <c r="AZ64" s="344"/>
      <c r="BA64" s="344"/>
      <c r="BB64" s="390">
        <f t="shared" si="9"/>
        <v>0</v>
      </c>
      <c r="BC64" s="345">
        <v>0</v>
      </c>
    </row>
    <row r="65" spans="2:55">
      <c r="B65" s="326"/>
      <c r="C65" s="327"/>
      <c r="D65" s="327"/>
      <c r="E65" s="371">
        <f t="shared" si="5"/>
        <v>337945</v>
      </c>
      <c r="F65" s="372">
        <f t="shared" si="6"/>
        <v>0</v>
      </c>
      <c r="H65" s="328"/>
      <c r="I65" s="329"/>
      <c r="J65" s="330"/>
      <c r="K65" s="375">
        <f t="shared" si="0"/>
        <v>941317</v>
      </c>
      <c r="L65" s="331"/>
      <c r="M65" s="377">
        <f t="shared" si="14"/>
        <v>0</v>
      </c>
      <c r="O65" s="332"/>
      <c r="P65" s="333"/>
      <c r="Q65" s="333"/>
      <c r="R65" s="334"/>
      <c r="S65" s="334"/>
      <c r="T65" s="334"/>
      <c r="U65" s="334"/>
      <c r="V65" s="379">
        <f t="shared" si="16"/>
        <v>14081391</v>
      </c>
      <c r="W65" s="335"/>
      <c r="Y65" s="336"/>
      <c r="Z65" s="337"/>
      <c r="AA65" s="338"/>
      <c r="AB65" s="383">
        <f t="shared" si="7"/>
        <v>638</v>
      </c>
      <c r="AC65" s="339"/>
      <c r="AD65" s="384">
        <f t="shared" si="12"/>
        <v>0</v>
      </c>
      <c r="AE65" s="336"/>
      <c r="AF65" s="329"/>
      <c r="AG65" s="330"/>
      <c r="AH65" s="375">
        <f t="shared" si="8"/>
        <v>320270</v>
      </c>
      <c r="AI65" s="331"/>
      <c r="AJ65" s="377">
        <f t="shared" si="13"/>
        <v>0</v>
      </c>
      <c r="AK65" s="336"/>
      <c r="AL65" s="336"/>
      <c r="AM65" s="336"/>
      <c r="AN65" s="340"/>
      <c r="AO65" s="341"/>
      <c r="AP65" s="341"/>
      <c r="AQ65" s="386">
        <f t="shared" si="10"/>
        <v>199895</v>
      </c>
      <c r="AR65" s="342"/>
      <c r="AS65" s="389">
        <f t="shared" si="4"/>
        <v>0</v>
      </c>
      <c r="AU65" s="343"/>
      <c r="AV65" s="344"/>
      <c r="AW65" s="344"/>
      <c r="AX65" s="344"/>
      <c r="AY65" s="344"/>
      <c r="AZ65" s="344"/>
      <c r="BA65" s="344"/>
      <c r="BB65" s="390">
        <f t="shared" si="9"/>
        <v>0</v>
      </c>
      <c r="BC65" s="345">
        <v>0</v>
      </c>
    </row>
    <row r="66" spans="2:55">
      <c r="B66" s="326"/>
      <c r="C66" s="327"/>
      <c r="D66" s="327"/>
      <c r="E66" s="371">
        <f t="shared" si="5"/>
        <v>337945</v>
      </c>
      <c r="F66" s="372">
        <f t="shared" si="6"/>
        <v>0</v>
      </c>
      <c r="H66" s="328"/>
      <c r="I66" s="329"/>
      <c r="J66" s="330"/>
      <c r="K66" s="375">
        <f t="shared" si="0"/>
        <v>941317</v>
      </c>
      <c r="L66" s="331"/>
      <c r="M66" s="377">
        <f t="shared" si="14"/>
        <v>0</v>
      </c>
      <c r="O66" s="332"/>
      <c r="P66" s="333"/>
      <c r="Q66" s="333"/>
      <c r="R66" s="334"/>
      <c r="S66" s="334"/>
      <c r="T66" s="334"/>
      <c r="U66" s="334"/>
      <c r="V66" s="379">
        <f t="shared" si="16"/>
        <v>14081391</v>
      </c>
      <c r="W66" s="335"/>
      <c r="Y66" s="336"/>
      <c r="Z66" s="337"/>
      <c r="AA66" s="338"/>
      <c r="AB66" s="383">
        <f t="shared" si="7"/>
        <v>638</v>
      </c>
      <c r="AC66" s="339"/>
      <c r="AD66" s="384">
        <f t="shared" si="12"/>
        <v>0</v>
      </c>
      <c r="AE66" s="336"/>
      <c r="AF66" s="329"/>
      <c r="AG66" s="330"/>
      <c r="AH66" s="375">
        <f t="shared" si="8"/>
        <v>320270</v>
      </c>
      <c r="AI66" s="331"/>
      <c r="AJ66" s="377">
        <f t="shared" si="13"/>
        <v>0</v>
      </c>
      <c r="AK66" s="336"/>
      <c r="AL66" s="336"/>
      <c r="AM66" s="336"/>
      <c r="AN66" s="340"/>
      <c r="AO66" s="341"/>
      <c r="AP66" s="341"/>
      <c r="AQ66" s="386">
        <f t="shared" si="10"/>
        <v>199895</v>
      </c>
      <c r="AR66" s="342"/>
      <c r="AS66" s="389">
        <f t="shared" si="4"/>
        <v>0</v>
      </c>
      <c r="AU66" s="343"/>
      <c r="AV66" s="344"/>
      <c r="AW66" s="344"/>
      <c r="AX66" s="344"/>
      <c r="AY66" s="344"/>
      <c r="AZ66" s="344"/>
      <c r="BA66" s="344"/>
      <c r="BB66" s="390">
        <f t="shared" si="9"/>
        <v>0</v>
      </c>
      <c r="BC66" s="345">
        <v>0</v>
      </c>
    </row>
    <row r="67" spans="2:55">
      <c r="B67" s="326"/>
      <c r="C67" s="327"/>
      <c r="D67" s="327"/>
      <c r="E67" s="371">
        <f t="shared" si="5"/>
        <v>337945</v>
      </c>
      <c r="F67" s="372">
        <f t="shared" si="6"/>
        <v>0</v>
      </c>
      <c r="H67" s="328"/>
      <c r="I67" s="329"/>
      <c r="J67" s="330"/>
      <c r="K67" s="375">
        <f t="shared" si="0"/>
        <v>941317</v>
      </c>
      <c r="L67" s="331"/>
      <c r="M67" s="377">
        <f t="shared" si="14"/>
        <v>0</v>
      </c>
      <c r="O67" s="332"/>
      <c r="P67" s="333"/>
      <c r="Q67" s="333"/>
      <c r="R67" s="334"/>
      <c r="S67" s="334"/>
      <c r="T67" s="334"/>
      <c r="U67" s="334"/>
      <c r="V67" s="379">
        <f t="shared" si="16"/>
        <v>14081391</v>
      </c>
      <c r="W67" s="335"/>
      <c r="Y67" s="336"/>
      <c r="Z67" s="337"/>
      <c r="AA67" s="338"/>
      <c r="AB67" s="383">
        <f t="shared" si="7"/>
        <v>638</v>
      </c>
      <c r="AC67" s="339"/>
      <c r="AD67" s="384">
        <f t="shared" si="12"/>
        <v>0</v>
      </c>
      <c r="AE67" s="336"/>
      <c r="AF67" s="329"/>
      <c r="AG67" s="330"/>
      <c r="AH67" s="375">
        <f t="shared" si="8"/>
        <v>320270</v>
      </c>
      <c r="AI67" s="331"/>
      <c r="AJ67" s="377">
        <f t="shared" si="13"/>
        <v>0</v>
      </c>
      <c r="AK67" s="336"/>
      <c r="AL67" s="336"/>
      <c r="AM67" s="336"/>
      <c r="AN67" s="340"/>
      <c r="AO67" s="341"/>
      <c r="AP67" s="341"/>
      <c r="AQ67" s="386">
        <f t="shared" si="10"/>
        <v>199895</v>
      </c>
      <c r="AR67" s="342"/>
      <c r="AS67" s="389">
        <f t="shared" si="4"/>
        <v>0</v>
      </c>
      <c r="AU67" s="343"/>
      <c r="AV67" s="344"/>
      <c r="AW67" s="344"/>
      <c r="AX67" s="344"/>
      <c r="AY67" s="344"/>
      <c r="AZ67" s="344"/>
      <c r="BA67" s="344"/>
      <c r="BB67" s="390">
        <f t="shared" si="9"/>
        <v>0</v>
      </c>
      <c r="BC67" s="345">
        <v>0</v>
      </c>
    </row>
    <row r="68" spans="2:55">
      <c r="B68" s="326"/>
      <c r="C68" s="327"/>
      <c r="D68" s="327"/>
      <c r="E68" s="371">
        <f t="shared" si="5"/>
        <v>337945</v>
      </c>
      <c r="F68" s="372">
        <f t="shared" si="6"/>
        <v>0</v>
      </c>
      <c r="H68" s="328"/>
      <c r="I68" s="329"/>
      <c r="J68" s="330"/>
      <c r="K68" s="375">
        <f t="shared" si="0"/>
        <v>941317</v>
      </c>
      <c r="L68" s="331"/>
      <c r="M68" s="377">
        <f t="shared" si="14"/>
        <v>0</v>
      </c>
      <c r="O68" s="332"/>
      <c r="P68" s="333"/>
      <c r="Q68" s="333"/>
      <c r="R68" s="334"/>
      <c r="S68" s="334"/>
      <c r="T68" s="334"/>
      <c r="U68" s="334"/>
      <c r="V68" s="379">
        <f t="shared" si="16"/>
        <v>14081391</v>
      </c>
      <c r="W68" s="335"/>
      <c r="Y68" s="336"/>
      <c r="Z68" s="337"/>
      <c r="AA68" s="338"/>
      <c r="AB68" s="383">
        <f t="shared" si="7"/>
        <v>638</v>
      </c>
      <c r="AC68" s="339"/>
      <c r="AD68" s="384">
        <f t="shared" si="12"/>
        <v>0</v>
      </c>
      <c r="AE68" s="336"/>
      <c r="AF68" s="329"/>
      <c r="AG68" s="330"/>
      <c r="AH68" s="375">
        <f t="shared" si="8"/>
        <v>320270</v>
      </c>
      <c r="AI68" s="331"/>
      <c r="AJ68" s="377">
        <f t="shared" si="13"/>
        <v>0</v>
      </c>
      <c r="AK68" s="336"/>
      <c r="AL68" s="336"/>
      <c r="AM68" s="336"/>
      <c r="AN68" s="340"/>
      <c r="AO68" s="341"/>
      <c r="AP68" s="341"/>
      <c r="AQ68" s="386">
        <f t="shared" si="10"/>
        <v>199895</v>
      </c>
      <c r="AR68" s="342"/>
      <c r="AS68" s="389">
        <f t="shared" si="4"/>
        <v>0</v>
      </c>
      <c r="AU68" s="343"/>
      <c r="AV68" s="344"/>
      <c r="AW68" s="344"/>
      <c r="AX68" s="344"/>
      <c r="AY68" s="344"/>
      <c r="AZ68" s="344"/>
      <c r="BA68" s="344"/>
      <c r="BB68" s="390">
        <f t="shared" si="9"/>
        <v>0</v>
      </c>
      <c r="BC68" s="345">
        <v>0</v>
      </c>
    </row>
    <row r="69" spans="2:55">
      <c r="B69" s="326"/>
      <c r="C69" s="327"/>
      <c r="D69" s="327"/>
      <c r="E69" s="371">
        <f t="shared" si="5"/>
        <v>337945</v>
      </c>
      <c r="F69" s="372">
        <f t="shared" si="6"/>
        <v>0</v>
      </c>
      <c r="H69" s="328"/>
      <c r="I69" s="329"/>
      <c r="J69" s="330"/>
      <c r="K69" s="375">
        <f t="shared" si="0"/>
        <v>941317</v>
      </c>
      <c r="L69" s="331"/>
      <c r="M69" s="377">
        <f t="shared" si="14"/>
        <v>0</v>
      </c>
      <c r="O69" s="332"/>
      <c r="P69" s="333"/>
      <c r="Q69" s="333"/>
      <c r="R69" s="334"/>
      <c r="S69" s="334"/>
      <c r="T69" s="334"/>
      <c r="U69" s="334"/>
      <c r="V69" s="379">
        <f t="shared" si="16"/>
        <v>14081391</v>
      </c>
      <c r="W69" s="335"/>
      <c r="Y69" s="336"/>
      <c r="Z69" s="337"/>
      <c r="AA69" s="338"/>
      <c r="AB69" s="383">
        <f t="shared" si="7"/>
        <v>638</v>
      </c>
      <c r="AC69" s="339"/>
      <c r="AD69" s="384">
        <f t="shared" si="12"/>
        <v>0</v>
      </c>
      <c r="AE69" s="336"/>
      <c r="AF69" s="329"/>
      <c r="AG69" s="330"/>
      <c r="AH69" s="375">
        <f t="shared" si="8"/>
        <v>320270</v>
      </c>
      <c r="AI69" s="331"/>
      <c r="AJ69" s="377">
        <f t="shared" si="13"/>
        <v>0</v>
      </c>
      <c r="AK69" s="336"/>
      <c r="AL69" s="336"/>
      <c r="AM69" s="336"/>
      <c r="AN69" s="340"/>
      <c r="AO69" s="341"/>
      <c r="AP69" s="341"/>
      <c r="AQ69" s="386">
        <f t="shared" si="10"/>
        <v>199895</v>
      </c>
      <c r="AR69" s="342"/>
      <c r="AS69" s="389">
        <f t="shared" si="4"/>
        <v>0</v>
      </c>
      <c r="AU69" s="343"/>
      <c r="AV69" s="344"/>
      <c r="AW69" s="344"/>
      <c r="AX69" s="344"/>
      <c r="AY69" s="344"/>
      <c r="AZ69" s="344"/>
      <c r="BA69" s="344"/>
      <c r="BB69" s="390">
        <f t="shared" si="9"/>
        <v>0</v>
      </c>
      <c r="BC69" s="345">
        <v>0</v>
      </c>
    </row>
    <row r="70" spans="2:55">
      <c r="B70" s="326"/>
      <c r="C70" s="327"/>
      <c r="D70" s="327"/>
      <c r="E70" s="371">
        <f t="shared" si="5"/>
        <v>337945</v>
      </c>
      <c r="F70" s="372">
        <f t="shared" si="6"/>
        <v>0</v>
      </c>
      <c r="H70" s="328"/>
      <c r="I70" s="329"/>
      <c r="J70" s="330"/>
      <c r="K70" s="375">
        <f t="shared" si="0"/>
        <v>941317</v>
      </c>
      <c r="L70" s="331"/>
      <c r="M70" s="377">
        <f t="shared" ref="M70:M133" si="17">L70-J70</f>
        <v>0</v>
      </c>
      <c r="O70" s="332"/>
      <c r="P70" s="333"/>
      <c r="Q70" s="333"/>
      <c r="R70" s="334"/>
      <c r="S70" s="334"/>
      <c r="T70" s="334"/>
      <c r="U70" s="334"/>
      <c r="V70" s="379">
        <f t="shared" si="16"/>
        <v>14081391</v>
      </c>
      <c r="W70" s="335"/>
      <c r="Y70" s="336"/>
      <c r="Z70" s="337"/>
      <c r="AA70" s="338"/>
      <c r="AB70" s="383">
        <f t="shared" si="7"/>
        <v>638</v>
      </c>
      <c r="AC70" s="339"/>
      <c r="AD70" s="384">
        <f t="shared" si="12"/>
        <v>0</v>
      </c>
      <c r="AE70" s="336"/>
      <c r="AF70" s="329"/>
      <c r="AG70" s="330"/>
      <c r="AH70" s="375">
        <f t="shared" si="8"/>
        <v>320270</v>
      </c>
      <c r="AI70" s="331"/>
      <c r="AJ70" s="377">
        <f t="shared" si="13"/>
        <v>0</v>
      </c>
      <c r="AK70" s="336"/>
      <c r="AL70" s="336"/>
      <c r="AM70" s="336"/>
      <c r="AN70" s="340"/>
      <c r="AO70" s="341"/>
      <c r="AP70" s="341"/>
      <c r="AQ70" s="386">
        <f t="shared" si="10"/>
        <v>199895</v>
      </c>
      <c r="AR70" s="342"/>
      <c r="AS70" s="389">
        <f t="shared" ref="AS70:AS133" si="18">AR70-AO70</f>
        <v>0</v>
      </c>
      <c r="AU70" s="343"/>
      <c r="AV70" s="344"/>
      <c r="AW70" s="344"/>
      <c r="AX70" s="344"/>
      <c r="AY70" s="344"/>
      <c r="AZ70" s="344"/>
      <c r="BA70" s="344"/>
      <c r="BB70" s="390">
        <f t="shared" si="9"/>
        <v>0</v>
      </c>
      <c r="BC70" s="345">
        <v>0</v>
      </c>
    </row>
    <row r="71" spans="2:55">
      <c r="B71" s="326"/>
      <c r="C71" s="327"/>
      <c r="D71" s="327"/>
      <c r="E71" s="371">
        <f t="shared" ref="E71:E134" si="19">E70+B71-D71</f>
        <v>337945</v>
      </c>
      <c r="F71" s="372">
        <f t="shared" ref="F71:F134" si="20">C71-D71</f>
        <v>0</v>
      </c>
      <c r="H71" s="328"/>
      <c r="I71" s="329"/>
      <c r="J71" s="330"/>
      <c r="K71" s="375">
        <f t="shared" ref="K71:K134" si="21">K70+I71-J71</f>
        <v>941317</v>
      </c>
      <c r="L71" s="331"/>
      <c r="M71" s="377">
        <f t="shared" si="17"/>
        <v>0</v>
      </c>
      <c r="O71" s="332"/>
      <c r="P71" s="333"/>
      <c r="Q71" s="333"/>
      <c r="R71" s="334"/>
      <c r="S71" s="334"/>
      <c r="T71" s="334"/>
      <c r="U71" s="334"/>
      <c r="V71" s="379">
        <f t="shared" ref="V71:V134" si="22">V70+O71+P71-Q71-R71-S71-T71+U71</f>
        <v>14081391</v>
      </c>
      <c r="W71" s="335"/>
      <c r="Y71" s="336"/>
      <c r="Z71" s="337"/>
      <c r="AA71" s="338"/>
      <c r="AB71" s="383">
        <f t="shared" ref="AB71:AB134" si="23">AB70+Z71-AA71</f>
        <v>638</v>
      </c>
      <c r="AC71" s="339"/>
      <c r="AD71" s="384">
        <f t="shared" si="12"/>
        <v>0</v>
      </c>
      <c r="AE71" s="336"/>
      <c r="AF71" s="329"/>
      <c r="AG71" s="330"/>
      <c r="AH71" s="375">
        <f t="shared" ref="AH71:AH134" si="24">AH70+AF71-AG71</f>
        <v>320270</v>
      </c>
      <c r="AI71" s="331"/>
      <c r="AJ71" s="377">
        <f t="shared" si="13"/>
        <v>0</v>
      </c>
      <c r="AK71" s="336"/>
      <c r="AL71" s="336"/>
      <c r="AM71" s="336"/>
      <c r="AN71" s="340"/>
      <c r="AO71" s="341"/>
      <c r="AP71" s="341"/>
      <c r="AQ71" s="386">
        <f t="shared" si="10"/>
        <v>199895</v>
      </c>
      <c r="AR71" s="342"/>
      <c r="AS71" s="389">
        <f t="shared" si="18"/>
        <v>0</v>
      </c>
      <c r="AU71" s="343"/>
      <c r="AV71" s="344"/>
      <c r="AW71" s="344"/>
      <c r="AX71" s="344"/>
      <c r="AY71" s="344"/>
      <c r="AZ71" s="344"/>
      <c r="BA71" s="344"/>
      <c r="BB71" s="390">
        <f t="shared" ref="BB71:BB134" si="25">BB70+AU71+AV71-AW71-AX71-AY71-AZ71+BA71</f>
        <v>0</v>
      </c>
      <c r="BC71" s="345">
        <v>0</v>
      </c>
    </row>
    <row r="72" spans="2:55">
      <c r="B72" s="326"/>
      <c r="C72" s="327"/>
      <c r="D72" s="327"/>
      <c r="E72" s="371">
        <f t="shared" si="19"/>
        <v>337945</v>
      </c>
      <c r="F72" s="372">
        <f t="shared" si="20"/>
        <v>0</v>
      </c>
      <c r="H72" s="328"/>
      <c r="I72" s="329"/>
      <c r="J72" s="330"/>
      <c r="K72" s="375">
        <f t="shared" si="21"/>
        <v>941317</v>
      </c>
      <c r="L72" s="331"/>
      <c r="M72" s="377">
        <f t="shared" si="17"/>
        <v>0</v>
      </c>
      <c r="O72" s="332"/>
      <c r="P72" s="333"/>
      <c r="Q72" s="333"/>
      <c r="R72" s="334"/>
      <c r="S72" s="334"/>
      <c r="T72" s="334"/>
      <c r="U72" s="334"/>
      <c r="V72" s="379">
        <f t="shared" si="22"/>
        <v>14081391</v>
      </c>
      <c r="W72" s="335"/>
      <c r="Y72" s="336"/>
      <c r="Z72" s="337"/>
      <c r="AA72" s="338"/>
      <c r="AB72" s="383">
        <f t="shared" si="23"/>
        <v>638</v>
      </c>
      <c r="AC72" s="339"/>
      <c r="AD72" s="384">
        <f t="shared" si="12"/>
        <v>0</v>
      </c>
      <c r="AE72" s="336"/>
      <c r="AF72" s="329"/>
      <c r="AG72" s="330"/>
      <c r="AH72" s="375">
        <f t="shared" si="24"/>
        <v>320270</v>
      </c>
      <c r="AI72" s="331"/>
      <c r="AJ72" s="377">
        <f t="shared" si="13"/>
        <v>0</v>
      </c>
      <c r="AK72" s="336"/>
      <c r="AL72" s="336"/>
      <c r="AM72" s="336"/>
      <c r="AN72" s="340"/>
      <c r="AO72" s="341"/>
      <c r="AP72" s="341"/>
      <c r="AQ72" s="386">
        <f t="shared" ref="AQ72:AQ135" si="26">AQ71+AN72-AO72+AP72</f>
        <v>199895</v>
      </c>
      <c r="AR72" s="342"/>
      <c r="AS72" s="389">
        <f t="shared" si="18"/>
        <v>0</v>
      </c>
      <c r="AU72" s="343"/>
      <c r="AV72" s="344"/>
      <c r="AW72" s="344"/>
      <c r="AX72" s="344"/>
      <c r="AY72" s="344"/>
      <c r="AZ72" s="344"/>
      <c r="BA72" s="344"/>
      <c r="BB72" s="390">
        <f t="shared" si="25"/>
        <v>0</v>
      </c>
      <c r="BC72" s="345">
        <v>0</v>
      </c>
    </row>
    <row r="73" spans="2:55">
      <c r="B73" s="326"/>
      <c r="C73" s="327"/>
      <c r="D73" s="327"/>
      <c r="E73" s="371">
        <f t="shared" si="19"/>
        <v>337945</v>
      </c>
      <c r="F73" s="372">
        <f t="shared" si="20"/>
        <v>0</v>
      </c>
      <c r="H73" s="328"/>
      <c r="I73" s="329"/>
      <c r="J73" s="330"/>
      <c r="K73" s="375">
        <f t="shared" si="21"/>
        <v>941317</v>
      </c>
      <c r="L73" s="331"/>
      <c r="M73" s="377">
        <f t="shared" si="17"/>
        <v>0</v>
      </c>
      <c r="O73" s="332"/>
      <c r="P73" s="333"/>
      <c r="Q73" s="333"/>
      <c r="R73" s="334"/>
      <c r="S73" s="334"/>
      <c r="T73" s="334"/>
      <c r="U73" s="334"/>
      <c r="V73" s="379">
        <f t="shared" si="22"/>
        <v>14081391</v>
      </c>
      <c r="W73" s="335"/>
      <c r="Y73" s="336"/>
      <c r="Z73" s="337"/>
      <c r="AA73" s="338"/>
      <c r="AB73" s="383">
        <f t="shared" si="23"/>
        <v>638</v>
      </c>
      <c r="AC73" s="339"/>
      <c r="AD73" s="384">
        <f t="shared" si="12"/>
        <v>0</v>
      </c>
      <c r="AE73" s="336"/>
      <c r="AF73" s="329"/>
      <c r="AG73" s="330"/>
      <c r="AH73" s="375">
        <f t="shared" si="24"/>
        <v>320270</v>
      </c>
      <c r="AI73" s="331"/>
      <c r="AJ73" s="377">
        <f t="shared" si="13"/>
        <v>0</v>
      </c>
      <c r="AK73" s="336"/>
      <c r="AL73" s="336"/>
      <c r="AM73" s="336"/>
      <c r="AN73" s="340"/>
      <c r="AO73" s="341"/>
      <c r="AP73" s="341"/>
      <c r="AQ73" s="386">
        <f t="shared" si="26"/>
        <v>199895</v>
      </c>
      <c r="AR73" s="342"/>
      <c r="AS73" s="389">
        <f t="shared" si="18"/>
        <v>0</v>
      </c>
      <c r="AU73" s="343"/>
      <c r="AV73" s="344"/>
      <c r="AW73" s="344"/>
      <c r="AX73" s="344"/>
      <c r="AY73" s="344"/>
      <c r="AZ73" s="344"/>
      <c r="BA73" s="344"/>
      <c r="BB73" s="390">
        <f t="shared" si="25"/>
        <v>0</v>
      </c>
      <c r="BC73" s="345">
        <v>0</v>
      </c>
    </row>
    <row r="74" spans="2:55">
      <c r="B74" s="326"/>
      <c r="C74" s="327"/>
      <c r="D74" s="327"/>
      <c r="E74" s="371">
        <f t="shared" si="19"/>
        <v>337945</v>
      </c>
      <c r="F74" s="372">
        <f t="shared" si="20"/>
        <v>0</v>
      </c>
      <c r="H74" s="328"/>
      <c r="I74" s="329"/>
      <c r="J74" s="330"/>
      <c r="K74" s="375">
        <f t="shared" si="21"/>
        <v>941317</v>
      </c>
      <c r="L74" s="331"/>
      <c r="M74" s="377">
        <f t="shared" si="17"/>
        <v>0</v>
      </c>
      <c r="O74" s="332"/>
      <c r="P74" s="333"/>
      <c r="Q74" s="333"/>
      <c r="R74" s="334"/>
      <c r="S74" s="334"/>
      <c r="T74" s="334"/>
      <c r="U74" s="334"/>
      <c r="V74" s="379">
        <f t="shared" si="22"/>
        <v>14081391</v>
      </c>
      <c r="W74" s="335"/>
      <c r="Y74" s="336"/>
      <c r="Z74" s="337"/>
      <c r="AA74" s="338"/>
      <c r="AB74" s="383">
        <f t="shared" si="23"/>
        <v>638</v>
      </c>
      <c r="AC74" s="339"/>
      <c r="AD74" s="384">
        <f t="shared" si="12"/>
        <v>0</v>
      </c>
      <c r="AE74" s="336"/>
      <c r="AF74" s="329"/>
      <c r="AG74" s="330"/>
      <c r="AH74" s="375">
        <f t="shared" si="24"/>
        <v>320270</v>
      </c>
      <c r="AI74" s="331"/>
      <c r="AJ74" s="377">
        <f t="shared" si="13"/>
        <v>0</v>
      </c>
      <c r="AK74" s="336"/>
      <c r="AL74" s="336"/>
      <c r="AM74" s="336"/>
      <c r="AN74" s="340"/>
      <c r="AO74" s="341"/>
      <c r="AP74" s="341"/>
      <c r="AQ74" s="386">
        <f t="shared" si="26"/>
        <v>199895</v>
      </c>
      <c r="AR74" s="342"/>
      <c r="AS74" s="389">
        <f t="shared" si="18"/>
        <v>0</v>
      </c>
      <c r="AU74" s="343"/>
      <c r="AV74" s="344"/>
      <c r="AW74" s="344"/>
      <c r="AX74" s="344"/>
      <c r="AY74" s="344"/>
      <c r="AZ74" s="344"/>
      <c r="BA74" s="344"/>
      <c r="BB74" s="390">
        <f t="shared" si="25"/>
        <v>0</v>
      </c>
      <c r="BC74" s="345">
        <v>0</v>
      </c>
    </row>
    <row r="75" spans="2:55">
      <c r="B75" s="326"/>
      <c r="C75" s="327"/>
      <c r="D75" s="327"/>
      <c r="E75" s="371">
        <f t="shared" si="19"/>
        <v>337945</v>
      </c>
      <c r="F75" s="372">
        <f t="shared" si="20"/>
        <v>0</v>
      </c>
      <c r="H75" s="328"/>
      <c r="I75" s="329"/>
      <c r="J75" s="330"/>
      <c r="K75" s="375">
        <f t="shared" si="21"/>
        <v>941317</v>
      </c>
      <c r="L75" s="331"/>
      <c r="M75" s="377">
        <f t="shared" si="17"/>
        <v>0</v>
      </c>
      <c r="O75" s="332"/>
      <c r="P75" s="333"/>
      <c r="Q75" s="333"/>
      <c r="R75" s="334"/>
      <c r="S75" s="334"/>
      <c r="T75" s="334"/>
      <c r="U75" s="334"/>
      <c r="V75" s="379">
        <f t="shared" si="22"/>
        <v>14081391</v>
      </c>
      <c r="W75" s="335"/>
      <c r="Y75" s="336"/>
      <c r="Z75" s="337"/>
      <c r="AA75" s="338"/>
      <c r="AB75" s="383">
        <f t="shared" si="23"/>
        <v>638</v>
      </c>
      <c r="AC75" s="339"/>
      <c r="AD75" s="384">
        <f t="shared" si="12"/>
        <v>0</v>
      </c>
      <c r="AE75" s="336"/>
      <c r="AF75" s="329"/>
      <c r="AG75" s="330"/>
      <c r="AH75" s="375">
        <f t="shared" si="24"/>
        <v>320270</v>
      </c>
      <c r="AI75" s="331"/>
      <c r="AJ75" s="377">
        <f t="shared" si="13"/>
        <v>0</v>
      </c>
      <c r="AK75" s="336"/>
      <c r="AL75" s="336"/>
      <c r="AM75" s="336"/>
      <c r="AN75" s="340"/>
      <c r="AO75" s="341"/>
      <c r="AP75" s="341"/>
      <c r="AQ75" s="386">
        <f t="shared" si="26"/>
        <v>199895</v>
      </c>
      <c r="AR75" s="342"/>
      <c r="AS75" s="389">
        <f t="shared" si="18"/>
        <v>0</v>
      </c>
      <c r="AU75" s="343"/>
      <c r="AV75" s="344"/>
      <c r="AW75" s="344"/>
      <c r="AX75" s="344"/>
      <c r="AY75" s="344"/>
      <c r="AZ75" s="344"/>
      <c r="BA75" s="344"/>
      <c r="BB75" s="390">
        <f t="shared" si="25"/>
        <v>0</v>
      </c>
      <c r="BC75" s="345">
        <v>0</v>
      </c>
    </row>
    <row r="76" spans="2:55">
      <c r="B76" s="326"/>
      <c r="C76" s="327"/>
      <c r="D76" s="327"/>
      <c r="E76" s="371">
        <f t="shared" si="19"/>
        <v>337945</v>
      </c>
      <c r="F76" s="372">
        <f t="shared" si="20"/>
        <v>0</v>
      </c>
      <c r="H76" s="328"/>
      <c r="I76" s="329"/>
      <c r="J76" s="330"/>
      <c r="K76" s="375">
        <f t="shared" si="21"/>
        <v>941317</v>
      </c>
      <c r="L76" s="331"/>
      <c r="M76" s="377">
        <f t="shared" si="17"/>
        <v>0</v>
      </c>
      <c r="O76" s="332"/>
      <c r="P76" s="333"/>
      <c r="Q76" s="333"/>
      <c r="R76" s="334"/>
      <c r="S76" s="334"/>
      <c r="T76" s="334"/>
      <c r="U76" s="334"/>
      <c r="V76" s="379">
        <f t="shared" si="22"/>
        <v>14081391</v>
      </c>
      <c r="W76" s="335"/>
      <c r="Y76" s="336"/>
      <c r="Z76" s="337"/>
      <c r="AA76" s="338"/>
      <c r="AB76" s="383">
        <f t="shared" si="23"/>
        <v>638</v>
      </c>
      <c r="AC76" s="339"/>
      <c r="AD76" s="384">
        <f t="shared" si="12"/>
        <v>0</v>
      </c>
      <c r="AE76" s="336"/>
      <c r="AF76" s="329"/>
      <c r="AG76" s="330"/>
      <c r="AH76" s="375">
        <f t="shared" si="24"/>
        <v>320270</v>
      </c>
      <c r="AI76" s="331"/>
      <c r="AJ76" s="377">
        <f t="shared" si="13"/>
        <v>0</v>
      </c>
      <c r="AK76" s="336"/>
      <c r="AL76" s="336"/>
      <c r="AM76" s="336"/>
      <c r="AN76" s="340"/>
      <c r="AO76" s="341"/>
      <c r="AP76" s="341"/>
      <c r="AQ76" s="386">
        <f t="shared" si="26"/>
        <v>199895</v>
      </c>
      <c r="AR76" s="342"/>
      <c r="AS76" s="389">
        <f t="shared" si="18"/>
        <v>0</v>
      </c>
      <c r="AU76" s="343"/>
      <c r="AV76" s="344"/>
      <c r="AW76" s="344"/>
      <c r="AX76" s="344"/>
      <c r="AY76" s="344"/>
      <c r="AZ76" s="344"/>
      <c r="BA76" s="344"/>
      <c r="BB76" s="390">
        <f t="shared" si="25"/>
        <v>0</v>
      </c>
      <c r="BC76" s="345">
        <v>0</v>
      </c>
    </row>
    <row r="77" spans="2:55">
      <c r="B77" s="326"/>
      <c r="C77" s="327"/>
      <c r="D77" s="327"/>
      <c r="E77" s="371">
        <f t="shared" si="19"/>
        <v>337945</v>
      </c>
      <c r="F77" s="372">
        <f t="shared" si="20"/>
        <v>0</v>
      </c>
      <c r="H77" s="328"/>
      <c r="I77" s="329"/>
      <c r="J77" s="330"/>
      <c r="K77" s="375">
        <f t="shared" si="21"/>
        <v>941317</v>
      </c>
      <c r="L77" s="331"/>
      <c r="M77" s="377">
        <f t="shared" si="17"/>
        <v>0</v>
      </c>
      <c r="O77" s="332"/>
      <c r="P77" s="333"/>
      <c r="Q77" s="333"/>
      <c r="R77" s="334"/>
      <c r="S77" s="334"/>
      <c r="T77" s="334"/>
      <c r="U77" s="334"/>
      <c r="V77" s="379">
        <f t="shared" si="22"/>
        <v>14081391</v>
      </c>
      <c r="W77" s="335"/>
      <c r="Y77" s="336"/>
      <c r="Z77" s="337"/>
      <c r="AA77" s="338"/>
      <c r="AB77" s="383">
        <f t="shared" si="23"/>
        <v>638</v>
      </c>
      <c r="AC77" s="339"/>
      <c r="AD77" s="384">
        <f t="shared" si="12"/>
        <v>0</v>
      </c>
      <c r="AE77" s="336"/>
      <c r="AF77" s="329"/>
      <c r="AG77" s="330"/>
      <c r="AH77" s="375">
        <f t="shared" si="24"/>
        <v>320270</v>
      </c>
      <c r="AI77" s="331"/>
      <c r="AJ77" s="377">
        <f t="shared" si="13"/>
        <v>0</v>
      </c>
      <c r="AK77" s="336"/>
      <c r="AL77" s="336"/>
      <c r="AM77" s="336"/>
      <c r="AN77" s="340"/>
      <c r="AO77" s="341"/>
      <c r="AP77" s="341"/>
      <c r="AQ77" s="386">
        <f t="shared" si="26"/>
        <v>199895</v>
      </c>
      <c r="AR77" s="342"/>
      <c r="AS77" s="389">
        <f t="shared" si="18"/>
        <v>0</v>
      </c>
      <c r="AU77" s="343"/>
      <c r="AV77" s="344"/>
      <c r="AW77" s="344"/>
      <c r="AX77" s="344"/>
      <c r="AY77" s="344"/>
      <c r="AZ77" s="344"/>
      <c r="BA77" s="344"/>
      <c r="BB77" s="390">
        <f t="shared" si="25"/>
        <v>0</v>
      </c>
      <c r="BC77" s="345">
        <v>0</v>
      </c>
    </row>
    <row r="78" spans="2:55">
      <c r="B78" s="326"/>
      <c r="C78" s="327"/>
      <c r="D78" s="327"/>
      <c r="E78" s="371">
        <f t="shared" si="19"/>
        <v>337945</v>
      </c>
      <c r="F78" s="372">
        <f t="shared" si="20"/>
        <v>0</v>
      </c>
      <c r="H78" s="328"/>
      <c r="I78" s="329"/>
      <c r="J78" s="330"/>
      <c r="K78" s="375">
        <f t="shared" si="21"/>
        <v>941317</v>
      </c>
      <c r="L78" s="331"/>
      <c r="M78" s="377">
        <f t="shared" si="17"/>
        <v>0</v>
      </c>
      <c r="O78" s="332"/>
      <c r="P78" s="333"/>
      <c r="Q78" s="333"/>
      <c r="R78" s="334"/>
      <c r="S78" s="334"/>
      <c r="T78" s="334"/>
      <c r="U78" s="334"/>
      <c r="V78" s="379">
        <f t="shared" si="22"/>
        <v>14081391</v>
      </c>
      <c r="W78" s="335"/>
      <c r="Y78" s="336"/>
      <c r="Z78" s="337"/>
      <c r="AA78" s="338"/>
      <c r="AB78" s="383">
        <f t="shared" si="23"/>
        <v>638</v>
      </c>
      <c r="AC78" s="339"/>
      <c r="AD78" s="384">
        <f t="shared" ref="AD78:AD141" si="27">AC78-AA78</f>
        <v>0</v>
      </c>
      <c r="AE78" s="336"/>
      <c r="AF78" s="329"/>
      <c r="AG78" s="330"/>
      <c r="AH78" s="375">
        <f t="shared" si="24"/>
        <v>320270</v>
      </c>
      <c r="AI78" s="331"/>
      <c r="AJ78" s="377">
        <f t="shared" ref="AJ78:AJ141" si="28">AI78-AG78</f>
        <v>0</v>
      </c>
      <c r="AK78" s="336"/>
      <c r="AL78" s="336"/>
      <c r="AM78" s="336"/>
      <c r="AN78" s="340"/>
      <c r="AO78" s="341"/>
      <c r="AP78" s="341"/>
      <c r="AQ78" s="386">
        <f t="shared" si="26"/>
        <v>199895</v>
      </c>
      <c r="AR78" s="342"/>
      <c r="AS78" s="389">
        <f t="shared" si="18"/>
        <v>0</v>
      </c>
      <c r="AU78" s="343"/>
      <c r="AV78" s="344"/>
      <c r="AW78" s="344"/>
      <c r="AX78" s="344"/>
      <c r="AY78" s="344"/>
      <c r="AZ78" s="344"/>
      <c r="BA78" s="344"/>
      <c r="BB78" s="390">
        <f t="shared" si="25"/>
        <v>0</v>
      </c>
      <c r="BC78" s="345">
        <v>0</v>
      </c>
    </row>
    <row r="79" spans="2:55">
      <c r="B79" s="326"/>
      <c r="C79" s="327"/>
      <c r="D79" s="327"/>
      <c r="E79" s="371">
        <f t="shared" si="19"/>
        <v>337945</v>
      </c>
      <c r="F79" s="372">
        <f t="shared" si="20"/>
        <v>0</v>
      </c>
      <c r="H79" s="328"/>
      <c r="I79" s="329"/>
      <c r="J79" s="330"/>
      <c r="K79" s="375">
        <f t="shared" si="21"/>
        <v>941317</v>
      </c>
      <c r="L79" s="331"/>
      <c r="M79" s="377">
        <f t="shared" si="17"/>
        <v>0</v>
      </c>
      <c r="O79" s="332"/>
      <c r="P79" s="333"/>
      <c r="Q79" s="333"/>
      <c r="R79" s="334"/>
      <c r="S79" s="334"/>
      <c r="T79" s="334"/>
      <c r="U79" s="334"/>
      <c r="V79" s="379">
        <f t="shared" si="22"/>
        <v>14081391</v>
      </c>
      <c r="W79" s="335"/>
      <c r="Y79" s="336"/>
      <c r="Z79" s="337"/>
      <c r="AA79" s="338"/>
      <c r="AB79" s="383">
        <f t="shared" si="23"/>
        <v>638</v>
      </c>
      <c r="AC79" s="339"/>
      <c r="AD79" s="384">
        <f t="shared" si="27"/>
        <v>0</v>
      </c>
      <c r="AE79" s="336"/>
      <c r="AF79" s="329"/>
      <c r="AG79" s="330"/>
      <c r="AH79" s="375">
        <f t="shared" si="24"/>
        <v>320270</v>
      </c>
      <c r="AI79" s="331"/>
      <c r="AJ79" s="377">
        <f t="shared" si="28"/>
        <v>0</v>
      </c>
      <c r="AK79" s="336"/>
      <c r="AL79" s="336"/>
      <c r="AM79" s="336"/>
      <c r="AN79" s="340"/>
      <c r="AO79" s="341"/>
      <c r="AP79" s="341"/>
      <c r="AQ79" s="386">
        <f t="shared" si="26"/>
        <v>199895</v>
      </c>
      <c r="AR79" s="342"/>
      <c r="AS79" s="389">
        <f t="shared" si="18"/>
        <v>0</v>
      </c>
      <c r="AU79" s="343"/>
      <c r="AV79" s="344"/>
      <c r="AW79" s="344"/>
      <c r="AX79" s="344"/>
      <c r="AY79" s="344"/>
      <c r="AZ79" s="344"/>
      <c r="BA79" s="344"/>
      <c r="BB79" s="390">
        <f t="shared" si="25"/>
        <v>0</v>
      </c>
      <c r="BC79" s="345">
        <v>0</v>
      </c>
    </row>
    <row r="80" spans="2:55">
      <c r="B80" s="326"/>
      <c r="C80" s="327"/>
      <c r="D80" s="327"/>
      <c r="E80" s="371">
        <f t="shared" si="19"/>
        <v>337945</v>
      </c>
      <c r="F80" s="372">
        <f t="shared" si="20"/>
        <v>0</v>
      </c>
      <c r="H80" s="328"/>
      <c r="I80" s="329"/>
      <c r="J80" s="330"/>
      <c r="K80" s="375">
        <f t="shared" si="21"/>
        <v>941317</v>
      </c>
      <c r="L80" s="331"/>
      <c r="M80" s="377">
        <f t="shared" si="17"/>
        <v>0</v>
      </c>
      <c r="O80" s="332"/>
      <c r="P80" s="333"/>
      <c r="Q80" s="333"/>
      <c r="R80" s="334"/>
      <c r="S80" s="334"/>
      <c r="T80" s="334"/>
      <c r="U80" s="334"/>
      <c r="V80" s="379">
        <f t="shared" si="22"/>
        <v>14081391</v>
      </c>
      <c r="W80" s="335"/>
      <c r="Y80" s="336"/>
      <c r="Z80" s="337"/>
      <c r="AA80" s="338"/>
      <c r="AB80" s="383">
        <f t="shared" si="23"/>
        <v>638</v>
      </c>
      <c r="AC80" s="339"/>
      <c r="AD80" s="384">
        <f t="shared" si="27"/>
        <v>0</v>
      </c>
      <c r="AE80" s="336"/>
      <c r="AF80" s="329"/>
      <c r="AG80" s="330"/>
      <c r="AH80" s="375">
        <f t="shared" si="24"/>
        <v>320270</v>
      </c>
      <c r="AI80" s="331"/>
      <c r="AJ80" s="377">
        <f t="shared" si="28"/>
        <v>0</v>
      </c>
      <c r="AK80" s="336"/>
      <c r="AL80" s="336"/>
      <c r="AM80" s="336"/>
      <c r="AN80" s="340"/>
      <c r="AO80" s="341"/>
      <c r="AP80" s="341"/>
      <c r="AQ80" s="386">
        <f t="shared" si="26"/>
        <v>199895</v>
      </c>
      <c r="AR80" s="342"/>
      <c r="AS80" s="389">
        <f t="shared" si="18"/>
        <v>0</v>
      </c>
      <c r="AU80" s="343"/>
      <c r="AV80" s="344"/>
      <c r="AW80" s="344"/>
      <c r="AX80" s="344"/>
      <c r="AY80" s="344"/>
      <c r="AZ80" s="344"/>
      <c r="BA80" s="344"/>
      <c r="BB80" s="390">
        <f t="shared" si="25"/>
        <v>0</v>
      </c>
      <c r="BC80" s="345">
        <v>0</v>
      </c>
    </row>
    <row r="81" spans="2:55">
      <c r="B81" s="326"/>
      <c r="C81" s="327"/>
      <c r="D81" s="327"/>
      <c r="E81" s="371">
        <f t="shared" si="19"/>
        <v>337945</v>
      </c>
      <c r="F81" s="372">
        <f t="shared" si="20"/>
        <v>0</v>
      </c>
      <c r="H81" s="328"/>
      <c r="I81" s="329"/>
      <c r="J81" s="330"/>
      <c r="K81" s="375">
        <f t="shared" si="21"/>
        <v>941317</v>
      </c>
      <c r="L81" s="331"/>
      <c r="M81" s="377">
        <f t="shared" si="17"/>
        <v>0</v>
      </c>
      <c r="O81" s="332"/>
      <c r="P81" s="333"/>
      <c r="Q81" s="333"/>
      <c r="R81" s="334"/>
      <c r="S81" s="334"/>
      <c r="T81" s="334"/>
      <c r="U81" s="334"/>
      <c r="V81" s="379">
        <f t="shared" si="22"/>
        <v>14081391</v>
      </c>
      <c r="W81" s="335"/>
      <c r="Y81" s="336"/>
      <c r="Z81" s="337"/>
      <c r="AA81" s="338"/>
      <c r="AB81" s="383">
        <f t="shared" si="23"/>
        <v>638</v>
      </c>
      <c r="AC81" s="339"/>
      <c r="AD81" s="384">
        <f t="shared" si="27"/>
        <v>0</v>
      </c>
      <c r="AE81" s="336"/>
      <c r="AF81" s="329"/>
      <c r="AG81" s="330"/>
      <c r="AH81" s="375">
        <f t="shared" si="24"/>
        <v>320270</v>
      </c>
      <c r="AI81" s="331"/>
      <c r="AJ81" s="377">
        <f t="shared" si="28"/>
        <v>0</v>
      </c>
      <c r="AK81" s="336"/>
      <c r="AL81" s="336"/>
      <c r="AM81" s="336"/>
      <c r="AN81" s="340"/>
      <c r="AO81" s="341"/>
      <c r="AP81" s="341"/>
      <c r="AQ81" s="386">
        <f t="shared" si="26"/>
        <v>199895</v>
      </c>
      <c r="AR81" s="342"/>
      <c r="AS81" s="389">
        <f t="shared" si="18"/>
        <v>0</v>
      </c>
      <c r="AU81" s="343"/>
      <c r="AV81" s="344"/>
      <c r="AW81" s="344"/>
      <c r="AX81" s="344"/>
      <c r="AY81" s="344"/>
      <c r="AZ81" s="344"/>
      <c r="BA81" s="344"/>
      <c r="BB81" s="390">
        <f t="shared" si="25"/>
        <v>0</v>
      </c>
      <c r="BC81" s="345">
        <v>0</v>
      </c>
    </row>
    <row r="82" spans="2:55">
      <c r="B82" s="326"/>
      <c r="C82" s="327"/>
      <c r="D82" s="327"/>
      <c r="E82" s="371">
        <f t="shared" si="19"/>
        <v>337945</v>
      </c>
      <c r="F82" s="372">
        <f t="shared" si="20"/>
        <v>0</v>
      </c>
      <c r="H82" s="328"/>
      <c r="I82" s="329"/>
      <c r="J82" s="330"/>
      <c r="K82" s="375">
        <f t="shared" si="21"/>
        <v>941317</v>
      </c>
      <c r="L82" s="331"/>
      <c r="M82" s="377">
        <f t="shared" si="17"/>
        <v>0</v>
      </c>
      <c r="O82" s="332"/>
      <c r="P82" s="333"/>
      <c r="Q82" s="333"/>
      <c r="R82" s="334"/>
      <c r="S82" s="334"/>
      <c r="T82" s="334"/>
      <c r="U82" s="334"/>
      <c r="V82" s="379">
        <f t="shared" si="22"/>
        <v>14081391</v>
      </c>
      <c r="W82" s="335"/>
      <c r="Y82" s="336"/>
      <c r="Z82" s="337"/>
      <c r="AA82" s="338"/>
      <c r="AB82" s="383">
        <f t="shared" si="23"/>
        <v>638</v>
      </c>
      <c r="AC82" s="339"/>
      <c r="AD82" s="384">
        <f t="shared" si="27"/>
        <v>0</v>
      </c>
      <c r="AE82" s="336"/>
      <c r="AF82" s="329"/>
      <c r="AG82" s="330"/>
      <c r="AH82" s="375">
        <f t="shared" si="24"/>
        <v>320270</v>
      </c>
      <c r="AI82" s="331"/>
      <c r="AJ82" s="377">
        <f t="shared" si="28"/>
        <v>0</v>
      </c>
      <c r="AK82" s="336"/>
      <c r="AL82" s="336"/>
      <c r="AM82" s="336"/>
      <c r="AN82" s="340"/>
      <c r="AO82" s="341"/>
      <c r="AP82" s="341"/>
      <c r="AQ82" s="386">
        <f t="shared" si="26"/>
        <v>199895</v>
      </c>
      <c r="AR82" s="342"/>
      <c r="AS82" s="389">
        <f t="shared" si="18"/>
        <v>0</v>
      </c>
      <c r="AU82" s="343"/>
      <c r="AV82" s="344"/>
      <c r="AW82" s="344"/>
      <c r="AX82" s="344"/>
      <c r="AY82" s="344"/>
      <c r="AZ82" s="344"/>
      <c r="BA82" s="344"/>
      <c r="BB82" s="390">
        <f t="shared" si="25"/>
        <v>0</v>
      </c>
      <c r="BC82" s="345">
        <v>0</v>
      </c>
    </row>
    <row r="83" spans="2:55">
      <c r="B83" s="326"/>
      <c r="C83" s="327"/>
      <c r="D83" s="327"/>
      <c r="E83" s="371">
        <f t="shared" si="19"/>
        <v>337945</v>
      </c>
      <c r="F83" s="372">
        <f t="shared" si="20"/>
        <v>0</v>
      </c>
      <c r="H83" s="328"/>
      <c r="I83" s="329"/>
      <c r="J83" s="330"/>
      <c r="K83" s="375">
        <f t="shared" si="21"/>
        <v>941317</v>
      </c>
      <c r="L83" s="331"/>
      <c r="M83" s="377">
        <f t="shared" si="17"/>
        <v>0</v>
      </c>
      <c r="O83" s="332"/>
      <c r="P83" s="333"/>
      <c r="Q83" s="333"/>
      <c r="R83" s="334"/>
      <c r="S83" s="334"/>
      <c r="T83" s="334"/>
      <c r="U83" s="334"/>
      <c r="V83" s="379">
        <f t="shared" si="22"/>
        <v>14081391</v>
      </c>
      <c r="W83" s="335"/>
      <c r="Y83" s="336"/>
      <c r="Z83" s="337"/>
      <c r="AA83" s="338"/>
      <c r="AB83" s="383">
        <f t="shared" si="23"/>
        <v>638</v>
      </c>
      <c r="AC83" s="339"/>
      <c r="AD83" s="384">
        <f t="shared" si="27"/>
        <v>0</v>
      </c>
      <c r="AE83" s="336"/>
      <c r="AF83" s="329"/>
      <c r="AG83" s="330"/>
      <c r="AH83" s="375">
        <f t="shared" si="24"/>
        <v>320270</v>
      </c>
      <c r="AI83" s="331"/>
      <c r="AJ83" s="377">
        <f t="shared" si="28"/>
        <v>0</v>
      </c>
      <c r="AK83" s="336"/>
      <c r="AL83" s="336"/>
      <c r="AM83" s="336"/>
      <c r="AN83" s="340"/>
      <c r="AO83" s="341"/>
      <c r="AP83" s="341"/>
      <c r="AQ83" s="386">
        <f t="shared" si="26"/>
        <v>199895</v>
      </c>
      <c r="AR83" s="342"/>
      <c r="AS83" s="389">
        <f t="shared" si="18"/>
        <v>0</v>
      </c>
      <c r="AU83" s="343"/>
      <c r="AV83" s="344"/>
      <c r="AW83" s="344"/>
      <c r="AX83" s="344"/>
      <c r="AY83" s="344"/>
      <c r="AZ83" s="344"/>
      <c r="BA83" s="344"/>
      <c r="BB83" s="390">
        <f t="shared" si="25"/>
        <v>0</v>
      </c>
      <c r="BC83" s="345">
        <v>0</v>
      </c>
    </row>
    <row r="84" spans="2:55">
      <c r="B84" s="326"/>
      <c r="C84" s="327"/>
      <c r="D84" s="327"/>
      <c r="E84" s="371">
        <f t="shared" si="19"/>
        <v>337945</v>
      </c>
      <c r="F84" s="372">
        <f t="shared" si="20"/>
        <v>0</v>
      </c>
      <c r="H84" s="328"/>
      <c r="I84" s="329"/>
      <c r="J84" s="330"/>
      <c r="K84" s="375">
        <f t="shared" si="21"/>
        <v>941317</v>
      </c>
      <c r="L84" s="331"/>
      <c r="M84" s="377">
        <f t="shared" si="17"/>
        <v>0</v>
      </c>
      <c r="O84" s="332"/>
      <c r="P84" s="333"/>
      <c r="Q84" s="333"/>
      <c r="R84" s="334"/>
      <c r="S84" s="334"/>
      <c r="T84" s="334"/>
      <c r="U84" s="334"/>
      <c r="V84" s="379">
        <f t="shared" si="22"/>
        <v>14081391</v>
      </c>
      <c r="W84" s="335"/>
      <c r="Y84" s="336"/>
      <c r="Z84" s="337"/>
      <c r="AA84" s="338"/>
      <c r="AB84" s="383">
        <f t="shared" si="23"/>
        <v>638</v>
      </c>
      <c r="AC84" s="339"/>
      <c r="AD84" s="384">
        <f t="shared" si="27"/>
        <v>0</v>
      </c>
      <c r="AE84" s="336"/>
      <c r="AF84" s="329"/>
      <c r="AG84" s="330"/>
      <c r="AH84" s="375">
        <f t="shared" si="24"/>
        <v>320270</v>
      </c>
      <c r="AI84" s="331"/>
      <c r="AJ84" s="377">
        <f t="shared" si="28"/>
        <v>0</v>
      </c>
      <c r="AK84" s="336"/>
      <c r="AL84" s="336"/>
      <c r="AM84" s="336"/>
      <c r="AN84" s="340"/>
      <c r="AO84" s="341"/>
      <c r="AP84" s="341"/>
      <c r="AQ84" s="386">
        <f t="shared" si="26"/>
        <v>199895</v>
      </c>
      <c r="AR84" s="342"/>
      <c r="AS84" s="389">
        <f t="shared" si="18"/>
        <v>0</v>
      </c>
      <c r="AU84" s="343"/>
      <c r="AV84" s="344"/>
      <c r="AW84" s="344"/>
      <c r="AX84" s="344"/>
      <c r="AY84" s="344"/>
      <c r="AZ84" s="344"/>
      <c r="BA84" s="344"/>
      <c r="BB84" s="390">
        <f t="shared" si="25"/>
        <v>0</v>
      </c>
      <c r="BC84" s="345">
        <v>0</v>
      </c>
    </row>
    <row r="85" spans="2:55">
      <c r="B85" s="326"/>
      <c r="C85" s="327"/>
      <c r="D85" s="327"/>
      <c r="E85" s="371">
        <f t="shared" si="19"/>
        <v>337945</v>
      </c>
      <c r="F85" s="372">
        <f t="shared" si="20"/>
        <v>0</v>
      </c>
      <c r="H85" s="328"/>
      <c r="I85" s="329"/>
      <c r="J85" s="330"/>
      <c r="K85" s="375">
        <f t="shared" si="21"/>
        <v>941317</v>
      </c>
      <c r="L85" s="331"/>
      <c r="M85" s="377">
        <f t="shared" si="17"/>
        <v>0</v>
      </c>
      <c r="O85" s="332"/>
      <c r="P85" s="333"/>
      <c r="Q85" s="333"/>
      <c r="R85" s="334"/>
      <c r="S85" s="334"/>
      <c r="T85" s="334"/>
      <c r="U85" s="334"/>
      <c r="V85" s="379">
        <f t="shared" si="22"/>
        <v>14081391</v>
      </c>
      <c r="W85" s="335"/>
      <c r="Y85" s="336"/>
      <c r="Z85" s="337"/>
      <c r="AA85" s="338"/>
      <c r="AB85" s="383">
        <f t="shared" si="23"/>
        <v>638</v>
      </c>
      <c r="AC85" s="339"/>
      <c r="AD85" s="384">
        <f t="shared" si="27"/>
        <v>0</v>
      </c>
      <c r="AE85" s="336"/>
      <c r="AF85" s="329"/>
      <c r="AG85" s="330"/>
      <c r="AH85" s="375">
        <f t="shared" si="24"/>
        <v>320270</v>
      </c>
      <c r="AI85" s="331"/>
      <c r="AJ85" s="377">
        <f t="shared" si="28"/>
        <v>0</v>
      </c>
      <c r="AK85" s="336"/>
      <c r="AL85" s="336"/>
      <c r="AM85" s="336"/>
      <c r="AN85" s="340"/>
      <c r="AO85" s="341"/>
      <c r="AP85" s="341"/>
      <c r="AQ85" s="386">
        <f t="shared" si="26"/>
        <v>199895</v>
      </c>
      <c r="AR85" s="342"/>
      <c r="AS85" s="389">
        <f t="shared" si="18"/>
        <v>0</v>
      </c>
      <c r="AU85" s="343"/>
      <c r="AV85" s="344"/>
      <c r="AW85" s="344"/>
      <c r="AX85" s="344"/>
      <c r="AY85" s="344"/>
      <c r="AZ85" s="344"/>
      <c r="BA85" s="344"/>
      <c r="BB85" s="390">
        <f t="shared" si="25"/>
        <v>0</v>
      </c>
      <c r="BC85" s="345">
        <v>0</v>
      </c>
    </row>
    <row r="86" spans="2:55">
      <c r="B86" s="326"/>
      <c r="C86" s="327"/>
      <c r="D86" s="327"/>
      <c r="E86" s="371">
        <f t="shared" si="19"/>
        <v>337945</v>
      </c>
      <c r="F86" s="372">
        <f t="shared" si="20"/>
        <v>0</v>
      </c>
      <c r="H86" s="328"/>
      <c r="I86" s="329"/>
      <c r="J86" s="330"/>
      <c r="K86" s="375">
        <f t="shared" si="21"/>
        <v>941317</v>
      </c>
      <c r="L86" s="331"/>
      <c r="M86" s="377">
        <f t="shared" si="17"/>
        <v>0</v>
      </c>
      <c r="O86" s="332"/>
      <c r="P86" s="333"/>
      <c r="Q86" s="333"/>
      <c r="R86" s="334"/>
      <c r="S86" s="334"/>
      <c r="T86" s="334"/>
      <c r="U86" s="334"/>
      <c r="V86" s="379">
        <f t="shared" si="22"/>
        <v>14081391</v>
      </c>
      <c r="W86" s="335"/>
      <c r="Y86" s="336"/>
      <c r="Z86" s="337"/>
      <c r="AA86" s="338"/>
      <c r="AB86" s="383">
        <f t="shared" si="23"/>
        <v>638</v>
      </c>
      <c r="AC86" s="339"/>
      <c r="AD86" s="384">
        <f t="shared" si="27"/>
        <v>0</v>
      </c>
      <c r="AE86" s="336"/>
      <c r="AF86" s="329"/>
      <c r="AG86" s="330"/>
      <c r="AH86" s="375">
        <f t="shared" si="24"/>
        <v>320270</v>
      </c>
      <c r="AI86" s="331"/>
      <c r="AJ86" s="377">
        <f t="shared" si="28"/>
        <v>0</v>
      </c>
      <c r="AK86" s="336"/>
      <c r="AL86" s="336"/>
      <c r="AM86" s="336"/>
      <c r="AN86" s="340"/>
      <c r="AO86" s="341"/>
      <c r="AP86" s="341"/>
      <c r="AQ86" s="386">
        <f t="shared" si="26"/>
        <v>199895</v>
      </c>
      <c r="AR86" s="342"/>
      <c r="AS86" s="389">
        <f t="shared" si="18"/>
        <v>0</v>
      </c>
      <c r="AU86" s="343"/>
      <c r="AV86" s="344"/>
      <c r="AW86" s="344"/>
      <c r="AX86" s="344"/>
      <c r="AY86" s="344"/>
      <c r="AZ86" s="344"/>
      <c r="BA86" s="344"/>
      <c r="BB86" s="390">
        <f t="shared" si="25"/>
        <v>0</v>
      </c>
      <c r="BC86" s="345">
        <v>0</v>
      </c>
    </row>
    <row r="87" spans="2:55">
      <c r="B87" s="326"/>
      <c r="C87" s="327"/>
      <c r="D87" s="327"/>
      <c r="E87" s="371">
        <f t="shared" si="19"/>
        <v>337945</v>
      </c>
      <c r="F87" s="372">
        <f t="shared" si="20"/>
        <v>0</v>
      </c>
      <c r="H87" s="328"/>
      <c r="I87" s="329"/>
      <c r="J87" s="330"/>
      <c r="K87" s="375">
        <f t="shared" si="21"/>
        <v>941317</v>
      </c>
      <c r="L87" s="331"/>
      <c r="M87" s="377">
        <f t="shared" si="17"/>
        <v>0</v>
      </c>
      <c r="O87" s="332"/>
      <c r="P87" s="333"/>
      <c r="Q87" s="333"/>
      <c r="R87" s="334"/>
      <c r="S87" s="334"/>
      <c r="T87" s="334"/>
      <c r="U87" s="334"/>
      <c r="V87" s="379">
        <f t="shared" si="22"/>
        <v>14081391</v>
      </c>
      <c r="W87" s="335"/>
      <c r="Y87" s="336"/>
      <c r="Z87" s="337"/>
      <c r="AA87" s="338"/>
      <c r="AB87" s="383">
        <f t="shared" si="23"/>
        <v>638</v>
      </c>
      <c r="AC87" s="339"/>
      <c r="AD87" s="384">
        <f t="shared" si="27"/>
        <v>0</v>
      </c>
      <c r="AE87" s="336"/>
      <c r="AF87" s="329"/>
      <c r="AG87" s="330"/>
      <c r="AH87" s="375">
        <f t="shared" si="24"/>
        <v>320270</v>
      </c>
      <c r="AI87" s="331"/>
      <c r="AJ87" s="377">
        <f t="shared" si="28"/>
        <v>0</v>
      </c>
      <c r="AK87" s="336"/>
      <c r="AL87" s="336"/>
      <c r="AM87" s="336"/>
      <c r="AN87" s="340"/>
      <c r="AO87" s="341"/>
      <c r="AP87" s="341"/>
      <c r="AQ87" s="386">
        <f t="shared" si="26"/>
        <v>199895</v>
      </c>
      <c r="AR87" s="342"/>
      <c r="AS87" s="389">
        <f t="shared" si="18"/>
        <v>0</v>
      </c>
      <c r="AU87" s="343"/>
      <c r="AV87" s="344"/>
      <c r="AW87" s="344"/>
      <c r="AX87" s="344"/>
      <c r="AY87" s="344"/>
      <c r="AZ87" s="344"/>
      <c r="BA87" s="344"/>
      <c r="BB87" s="390">
        <f t="shared" si="25"/>
        <v>0</v>
      </c>
      <c r="BC87" s="345">
        <v>0</v>
      </c>
    </row>
    <row r="88" spans="2:55">
      <c r="B88" s="326"/>
      <c r="C88" s="327"/>
      <c r="D88" s="327"/>
      <c r="E88" s="371">
        <f t="shared" si="19"/>
        <v>337945</v>
      </c>
      <c r="F88" s="372">
        <f t="shared" si="20"/>
        <v>0</v>
      </c>
      <c r="H88" s="328"/>
      <c r="I88" s="329"/>
      <c r="J88" s="330"/>
      <c r="K88" s="375">
        <f t="shared" si="21"/>
        <v>941317</v>
      </c>
      <c r="L88" s="331"/>
      <c r="M88" s="377">
        <f t="shared" si="17"/>
        <v>0</v>
      </c>
      <c r="O88" s="332"/>
      <c r="P88" s="333"/>
      <c r="Q88" s="333"/>
      <c r="R88" s="334"/>
      <c r="S88" s="334"/>
      <c r="T88" s="334"/>
      <c r="U88" s="334"/>
      <c r="V88" s="379">
        <f t="shared" si="22"/>
        <v>14081391</v>
      </c>
      <c r="W88" s="335"/>
      <c r="Y88" s="336"/>
      <c r="Z88" s="337"/>
      <c r="AA88" s="338"/>
      <c r="AB88" s="383">
        <f t="shared" si="23"/>
        <v>638</v>
      </c>
      <c r="AC88" s="339"/>
      <c r="AD88" s="384">
        <f t="shared" si="27"/>
        <v>0</v>
      </c>
      <c r="AE88" s="336"/>
      <c r="AF88" s="329"/>
      <c r="AG88" s="330"/>
      <c r="AH88" s="375">
        <f t="shared" si="24"/>
        <v>320270</v>
      </c>
      <c r="AI88" s="331"/>
      <c r="AJ88" s="377">
        <f t="shared" si="28"/>
        <v>0</v>
      </c>
      <c r="AK88" s="336"/>
      <c r="AL88" s="336"/>
      <c r="AM88" s="336"/>
      <c r="AN88" s="340"/>
      <c r="AO88" s="341"/>
      <c r="AP88" s="341"/>
      <c r="AQ88" s="386">
        <f t="shared" si="26"/>
        <v>199895</v>
      </c>
      <c r="AR88" s="342"/>
      <c r="AS88" s="389">
        <f t="shared" si="18"/>
        <v>0</v>
      </c>
      <c r="AU88" s="343"/>
      <c r="AV88" s="344"/>
      <c r="AW88" s="344"/>
      <c r="AX88" s="344"/>
      <c r="AY88" s="344"/>
      <c r="AZ88" s="344"/>
      <c r="BA88" s="344"/>
      <c r="BB88" s="390">
        <f t="shared" si="25"/>
        <v>0</v>
      </c>
      <c r="BC88" s="345">
        <v>0</v>
      </c>
    </row>
    <row r="89" spans="2:55">
      <c r="B89" s="326"/>
      <c r="C89" s="327"/>
      <c r="D89" s="327"/>
      <c r="E89" s="371">
        <f t="shared" si="19"/>
        <v>337945</v>
      </c>
      <c r="F89" s="372">
        <f t="shared" si="20"/>
        <v>0</v>
      </c>
      <c r="H89" s="328"/>
      <c r="I89" s="329"/>
      <c r="J89" s="330"/>
      <c r="K89" s="375">
        <f t="shared" si="21"/>
        <v>941317</v>
      </c>
      <c r="L89" s="331"/>
      <c r="M89" s="377">
        <f t="shared" si="17"/>
        <v>0</v>
      </c>
      <c r="O89" s="332"/>
      <c r="P89" s="333"/>
      <c r="Q89" s="333"/>
      <c r="R89" s="334"/>
      <c r="S89" s="334"/>
      <c r="T89" s="334"/>
      <c r="U89" s="334"/>
      <c r="V89" s="379">
        <f t="shared" si="22"/>
        <v>14081391</v>
      </c>
      <c r="W89" s="335"/>
      <c r="Y89" s="336"/>
      <c r="Z89" s="337"/>
      <c r="AA89" s="338"/>
      <c r="AB89" s="383">
        <f t="shared" si="23"/>
        <v>638</v>
      </c>
      <c r="AC89" s="339"/>
      <c r="AD89" s="384">
        <f t="shared" si="27"/>
        <v>0</v>
      </c>
      <c r="AE89" s="336"/>
      <c r="AF89" s="329"/>
      <c r="AG89" s="330"/>
      <c r="AH89" s="375">
        <f t="shared" si="24"/>
        <v>320270</v>
      </c>
      <c r="AI89" s="331"/>
      <c r="AJ89" s="377">
        <f t="shared" si="28"/>
        <v>0</v>
      </c>
      <c r="AK89" s="336"/>
      <c r="AL89" s="336"/>
      <c r="AM89" s="336"/>
      <c r="AN89" s="340"/>
      <c r="AO89" s="341"/>
      <c r="AP89" s="341"/>
      <c r="AQ89" s="386">
        <f t="shared" si="26"/>
        <v>199895</v>
      </c>
      <c r="AR89" s="342"/>
      <c r="AS89" s="389">
        <f t="shared" si="18"/>
        <v>0</v>
      </c>
      <c r="AU89" s="343"/>
      <c r="AV89" s="344"/>
      <c r="AW89" s="344"/>
      <c r="AX89" s="344"/>
      <c r="AY89" s="344"/>
      <c r="AZ89" s="344"/>
      <c r="BA89" s="344"/>
      <c r="BB89" s="390">
        <f t="shared" si="25"/>
        <v>0</v>
      </c>
      <c r="BC89" s="345">
        <v>0</v>
      </c>
    </row>
    <row r="90" spans="2:55">
      <c r="B90" s="326"/>
      <c r="C90" s="327"/>
      <c r="D90" s="327"/>
      <c r="E90" s="371">
        <f t="shared" si="19"/>
        <v>337945</v>
      </c>
      <c r="F90" s="372">
        <f t="shared" si="20"/>
        <v>0</v>
      </c>
      <c r="H90" s="328"/>
      <c r="I90" s="329"/>
      <c r="J90" s="330"/>
      <c r="K90" s="375">
        <f t="shared" si="21"/>
        <v>941317</v>
      </c>
      <c r="L90" s="331"/>
      <c r="M90" s="377">
        <f t="shared" si="17"/>
        <v>0</v>
      </c>
      <c r="O90" s="332"/>
      <c r="P90" s="333"/>
      <c r="Q90" s="333"/>
      <c r="R90" s="334"/>
      <c r="S90" s="334"/>
      <c r="T90" s="334"/>
      <c r="U90" s="334"/>
      <c r="V90" s="379">
        <f t="shared" si="22"/>
        <v>14081391</v>
      </c>
      <c r="W90" s="335"/>
      <c r="Y90" s="336"/>
      <c r="Z90" s="337"/>
      <c r="AA90" s="338"/>
      <c r="AB90" s="383">
        <f t="shared" si="23"/>
        <v>638</v>
      </c>
      <c r="AC90" s="339"/>
      <c r="AD90" s="384">
        <f t="shared" si="27"/>
        <v>0</v>
      </c>
      <c r="AE90" s="336"/>
      <c r="AF90" s="329"/>
      <c r="AG90" s="330"/>
      <c r="AH90" s="375">
        <f t="shared" si="24"/>
        <v>320270</v>
      </c>
      <c r="AI90" s="331"/>
      <c r="AJ90" s="377">
        <f t="shared" si="28"/>
        <v>0</v>
      </c>
      <c r="AK90" s="336"/>
      <c r="AL90" s="336"/>
      <c r="AM90" s="336"/>
      <c r="AN90" s="340"/>
      <c r="AO90" s="341"/>
      <c r="AP90" s="341"/>
      <c r="AQ90" s="386">
        <f t="shared" si="26"/>
        <v>199895</v>
      </c>
      <c r="AR90" s="342"/>
      <c r="AS90" s="389">
        <f t="shared" si="18"/>
        <v>0</v>
      </c>
      <c r="AU90" s="343"/>
      <c r="AV90" s="344"/>
      <c r="AW90" s="344"/>
      <c r="AX90" s="344"/>
      <c r="AY90" s="344"/>
      <c r="AZ90" s="344"/>
      <c r="BA90" s="344"/>
      <c r="BB90" s="390">
        <f t="shared" si="25"/>
        <v>0</v>
      </c>
      <c r="BC90" s="345">
        <v>0</v>
      </c>
    </row>
    <row r="91" spans="2:55">
      <c r="B91" s="326"/>
      <c r="C91" s="327"/>
      <c r="D91" s="327"/>
      <c r="E91" s="371">
        <f t="shared" si="19"/>
        <v>337945</v>
      </c>
      <c r="F91" s="372">
        <f t="shared" si="20"/>
        <v>0</v>
      </c>
      <c r="H91" s="328"/>
      <c r="I91" s="329"/>
      <c r="J91" s="330"/>
      <c r="K91" s="375">
        <f t="shared" si="21"/>
        <v>941317</v>
      </c>
      <c r="L91" s="331"/>
      <c r="M91" s="377">
        <f t="shared" si="17"/>
        <v>0</v>
      </c>
      <c r="O91" s="332"/>
      <c r="P91" s="333"/>
      <c r="Q91" s="333"/>
      <c r="R91" s="334"/>
      <c r="S91" s="334"/>
      <c r="T91" s="334"/>
      <c r="U91" s="334"/>
      <c r="V91" s="379">
        <f t="shared" si="22"/>
        <v>14081391</v>
      </c>
      <c r="W91" s="335"/>
      <c r="Y91" s="336"/>
      <c r="Z91" s="337"/>
      <c r="AA91" s="338"/>
      <c r="AB91" s="383">
        <f t="shared" si="23"/>
        <v>638</v>
      </c>
      <c r="AC91" s="339"/>
      <c r="AD91" s="384">
        <f t="shared" si="27"/>
        <v>0</v>
      </c>
      <c r="AE91" s="336"/>
      <c r="AF91" s="329"/>
      <c r="AG91" s="330"/>
      <c r="AH91" s="375">
        <f t="shared" si="24"/>
        <v>320270</v>
      </c>
      <c r="AI91" s="331"/>
      <c r="AJ91" s="377">
        <f t="shared" si="28"/>
        <v>0</v>
      </c>
      <c r="AK91" s="336"/>
      <c r="AL91" s="336"/>
      <c r="AM91" s="336"/>
      <c r="AN91" s="340"/>
      <c r="AO91" s="341"/>
      <c r="AP91" s="341"/>
      <c r="AQ91" s="386">
        <f t="shared" si="26"/>
        <v>199895</v>
      </c>
      <c r="AR91" s="342"/>
      <c r="AS91" s="389">
        <f t="shared" si="18"/>
        <v>0</v>
      </c>
      <c r="AU91" s="343"/>
      <c r="AV91" s="344"/>
      <c r="AW91" s="344"/>
      <c r="AX91" s="344"/>
      <c r="AY91" s="344"/>
      <c r="AZ91" s="344"/>
      <c r="BA91" s="344"/>
      <c r="BB91" s="390">
        <f t="shared" si="25"/>
        <v>0</v>
      </c>
      <c r="BC91" s="345">
        <v>0</v>
      </c>
    </row>
    <row r="92" spans="2:55">
      <c r="B92" s="326"/>
      <c r="C92" s="327"/>
      <c r="D92" s="327"/>
      <c r="E92" s="371">
        <f t="shared" si="19"/>
        <v>337945</v>
      </c>
      <c r="F92" s="372">
        <f t="shared" si="20"/>
        <v>0</v>
      </c>
      <c r="H92" s="328"/>
      <c r="I92" s="329"/>
      <c r="J92" s="330"/>
      <c r="K92" s="375">
        <f t="shared" si="21"/>
        <v>941317</v>
      </c>
      <c r="L92" s="331"/>
      <c r="M92" s="377">
        <f t="shared" si="17"/>
        <v>0</v>
      </c>
      <c r="O92" s="332"/>
      <c r="P92" s="333"/>
      <c r="Q92" s="333"/>
      <c r="R92" s="334"/>
      <c r="S92" s="334"/>
      <c r="T92" s="334"/>
      <c r="U92" s="334"/>
      <c r="V92" s="379">
        <f t="shared" si="22"/>
        <v>14081391</v>
      </c>
      <c r="W92" s="335"/>
      <c r="Y92" s="336"/>
      <c r="Z92" s="337"/>
      <c r="AA92" s="338"/>
      <c r="AB92" s="383">
        <f t="shared" si="23"/>
        <v>638</v>
      </c>
      <c r="AC92" s="339"/>
      <c r="AD92" s="384">
        <f t="shared" si="27"/>
        <v>0</v>
      </c>
      <c r="AE92" s="336"/>
      <c r="AF92" s="329"/>
      <c r="AG92" s="330"/>
      <c r="AH92" s="375">
        <f t="shared" si="24"/>
        <v>320270</v>
      </c>
      <c r="AI92" s="331"/>
      <c r="AJ92" s="377">
        <f t="shared" si="28"/>
        <v>0</v>
      </c>
      <c r="AK92" s="336"/>
      <c r="AL92" s="336"/>
      <c r="AM92" s="336"/>
      <c r="AN92" s="340"/>
      <c r="AO92" s="341"/>
      <c r="AP92" s="341"/>
      <c r="AQ92" s="386">
        <f t="shared" si="26"/>
        <v>199895</v>
      </c>
      <c r="AR92" s="342"/>
      <c r="AS92" s="389">
        <f t="shared" si="18"/>
        <v>0</v>
      </c>
      <c r="AU92" s="343"/>
      <c r="AV92" s="344"/>
      <c r="AW92" s="344"/>
      <c r="AX92" s="344"/>
      <c r="AY92" s="344"/>
      <c r="AZ92" s="344"/>
      <c r="BA92" s="344"/>
      <c r="BB92" s="390">
        <f t="shared" si="25"/>
        <v>0</v>
      </c>
      <c r="BC92" s="345">
        <v>0</v>
      </c>
    </row>
    <row r="93" spans="2:55">
      <c r="B93" s="326"/>
      <c r="C93" s="327"/>
      <c r="D93" s="327"/>
      <c r="E93" s="371">
        <f t="shared" si="19"/>
        <v>337945</v>
      </c>
      <c r="F93" s="372">
        <f t="shared" si="20"/>
        <v>0</v>
      </c>
      <c r="H93" s="328"/>
      <c r="I93" s="329"/>
      <c r="J93" s="330"/>
      <c r="K93" s="375">
        <f t="shared" si="21"/>
        <v>941317</v>
      </c>
      <c r="L93" s="331"/>
      <c r="M93" s="377">
        <f t="shared" si="17"/>
        <v>0</v>
      </c>
      <c r="O93" s="332"/>
      <c r="P93" s="333"/>
      <c r="Q93" s="333"/>
      <c r="R93" s="334"/>
      <c r="S93" s="334"/>
      <c r="T93" s="334"/>
      <c r="U93" s="334"/>
      <c r="V93" s="379">
        <f t="shared" si="22"/>
        <v>14081391</v>
      </c>
      <c r="W93" s="335"/>
      <c r="Y93" s="336"/>
      <c r="Z93" s="337"/>
      <c r="AA93" s="338"/>
      <c r="AB93" s="383">
        <f t="shared" si="23"/>
        <v>638</v>
      </c>
      <c r="AC93" s="339"/>
      <c r="AD93" s="384">
        <f t="shared" si="27"/>
        <v>0</v>
      </c>
      <c r="AE93" s="336"/>
      <c r="AF93" s="329"/>
      <c r="AG93" s="330"/>
      <c r="AH93" s="375">
        <f t="shared" si="24"/>
        <v>320270</v>
      </c>
      <c r="AI93" s="331"/>
      <c r="AJ93" s="377">
        <f t="shared" si="28"/>
        <v>0</v>
      </c>
      <c r="AK93" s="336"/>
      <c r="AL93" s="336"/>
      <c r="AM93" s="336"/>
      <c r="AN93" s="340"/>
      <c r="AO93" s="341"/>
      <c r="AP93" s="341"/>
      <c r="AQ93" s="386">
        <f t="shared" si="26"/>
        <v>199895</v>
      </c>
      <c r="AR93" s="342"/>
      <c r="AS93" s="389">
        <f t="shared" si="18"/>
        <v>0</v>
      </c>
      <c r="AU93" s="343"/>
      <c r="AV93" s="344"/>
      <c r="AW93" s="344"/>
      <c r="AX93" s="344"/>
      <c r="AY93" s="344"/>
      <c r="AZ93" s="344"/>
      <c r="BA93" s="344"/>
      <c r="BB93" s="390">
        <f t="shared" si="25"/>
        <v>0</v>
      </c>
      <c r="BC93" s="345">
        <v>0</v>
      </c>
    </row>
    <row r="94" spans="2:55">
      <c r="B94" s="326"/>
      <c r="C94" s="327"/>
      <c r="D94" s="327"/>
      <c r="E94" s="371">
        <f t="shared" si="19"/>
        <v>337945</v>
      </c>
      <c r="F94" s="372">
        <f t="shared" si="20"/>
        <v>0</v>
      </c>
      <c r="H94" s="328"/>
      <c r="I94" s="329"/>
      <c r="J94" s="330"/>
      <c r="K94" s="375">
        <f t="shared" si="21"/>
        <v>941317</v>
      </c>
      <c r="L94" s="331"/>
      <c r="M94" s="377">
        <f t="shared" si="17"/>
        <v>0</v>
      </c>
      <c r="O94" s="332"/>
      <c r="P94" s="333"/>
      <c r="Q94" s="333"/>
      <c r="R94" s="334"/>
      <c r="S94" s="334"/>
      <c r="T94" s="334"/>
      <c r="U94" s="334"/>
      <c r="V94" s="379">
        <f t="shared" si="22"/>
        <v>14081391</v>
      </c>
      <c r="W94" s="335"/>
      <c r="Y94" s="336"/>
      <c r="Z94" s="337"/>
      <c r="AA94" s="338"/>
      <c r="AB94" s="383">
        <f t="shared" si="23"/>
        <v>638</v>
      </c>
      <c r="AC94" s="339"/>
      <c r="AD94" s="384">
        <f t="shared" si="27"/>
        <v>0</v>
      </c>
      <c r="AE94" s="336"/>
      <c r="AF94" s="329"/>
      <c r="AG94" s="330"/>
      <c r="AH94" s="375">
        <f t="shared" si="24"/>
        <v>320270</v>
      </c>
      <c r="AI94" s="331"/>
      <c r="AJ94" s="377">
        <f t="shared" si="28"/>
        <v>0</v>
      </c>
      <c r="AK94" s="336"/>
      <c r="AL94" s="336"/>
      <c r="AM94" s="336"/>
      <c r="AN94" s="340"/>
      <c r="AO94" s="341"/>
      <c r="AP94" s="341"/>
      <c r="AQ94" s="386">
        <f t="shared" si="26"/>
        <v>199895</v>
      </c>
      <c r="AR94" s="342"/>
      <c r="AS94" s="389">
        <f t="shared" si="18"/>
        <v>0</v>
      </c>
      <c r="AU94" s="343"/>
      <c r="AV94" s="344"/>
      <c r="AW94" s="344"/>
      <c r="AX94" s="344"/>
      <c r="AY94" s="344"/>
      <c r="AZ94" s="344"/>
      <c r="BA94" s="344"/>
      <c r="BB94" s="390">
        <f t="shared" si="25"/>
        <v>0</v>
      </c>
      <c r="BC94" s="345">
        <v>0</v>
      </c>
    </row>
    <row r="95" spans="2:55">
      <c r="B95" s="326"/>
      <c r="C95" s="327"/>
      <c r="D95" s="327"/>
      <c r="E95" s="371">
        <f t="shared" si="19"/>
        <v>337945</v>
      </c>
      <c r="F95" s="372">
        <f t="shared" si="20"/>
        <v>0</v>
      </c>
      <c r="H95" s="328"/>
      <c r="I95" s="329"/>
      <c r="J95" s="330"/>
      <c r="K95" s="375">
        <f t="shared" si="21"/>
        <v>941317</v>
      </c>
      <c r="L95" s="331"/>
      <c r="M95" s="377">
        <f t="shared" si="17"/>
        <v>0</v>
      </c>
      <c r="O95" s="332"/>
      <c r="P95" s="333"/>
      <c r="Q95" s="333"/>
      <c r="R95" s="334"/>
      <c r="S95" s="334"/>
      <c r="T95" s="334"/>
      <c r="U95" s="334"/>
      <c r="V95" s="379">
        <f t="shared" si="22"/>
        <v>14081391</v>
      </c>
      <c r="W95" s="335"/>
      <c r="Y95" s="336"/>
      <c r="Z95" s="337"/>
      <c r="AA95" s="338"/>
      <c r="AB95" s="383">
        <f t="shared" si="23"/>
        <v>638</v>
      </c>
      <c r="AC95" s="339"/>
      <c r="AD95" s="384">
        <f t="shared" si="27"/>
        <v>0</v>
      </c>
      <c r="AE95" s="336"/>
      <c r="AF95" s="329"/>
      <c r="AG95" s="330"/>
      <c r="AH95" s="375">
        <f t="shared" si="24"/>
        <v>320270</v>
      </c>
      <c r="AI95" s="331"/>
      <c r="AJ95" s="377">
        <f t="shared" si="28"/>
        <v>0</v>
      </c>
      <c r="AK95" s="336"/>
      <c r="AL95" s="336"/>
      <c r="AM95" s="336"/>
      <c r="AN95" s="340"/>
      <c r="AO95" s="341"/>
      <c r="AP95" s="341"/>
      <c r="AQ95" s="386">
        <f t="shared" si="26"/>
        <v>199895</v>
      </c>
      <c r="AR95" s="342"/>
      <c r="AS95" s="389">
        <f t="shared" si="18"/>
        <v>0</v>
      </c>
      <c r="AU95" s="343"/>
      <c r="AV95" s="344"/>
      <c r="AW95" s="344"/>
      <c r="AX95" s="344"/>
      <c r="AY95" s="344"/>
      <c r="AZ95" s="344"/>
      <c r="BA95" s="344"/>
      <c r="BB95" s="390">
        <f t="shared" si="25"/>
        <v>0</v>
      </c>
      <c r="BC95" s="345">
        <v>0</v>
      </c>
    </row>
    <row r="96" spans="2:55">
      <c r="B96" s="326"/>
      <c r="C96" s="327"/>
      <c r="D96" s="327"/>
      <c r="E96" s="371">
        <f t="shared" si="19"/>
        <v>337945</v>
      </c>
      <c r="F96" s="372">
        <f t="shared" si="20"/>
        <v>0</v>
      </c>
      <c r="H96" s="328"/>
      <c r="I96" s="329"/>
      <c r="J96" s="330"/>
      <c r="K96" s="375">
        <f t="shared" si="21"/>
        <v>941317</v>
      </c>
      <c r="L96" s="331"/>
      <c r="M96" s="377">
        <f t="shared" si="17"/>
        <v>0</v>
      </c>
      <c r="O96" s="332"/>
      <c r="P96" s="333"/>
      <c r="Q96" s="333"/>
      <c r="R96" s="334"/>
      <c r="S96" s="334"/>
      <c r="T96" s="334"/>
      <c r="U96" s="334"/>
      <c r="V96" s="379">
        <f t="shared" si="22"/>
        <v>14081391</v>
      </c>
      <c r="W96" s="335"/>
      <c r="Y96" s="336"/>
      <c r="Z96" s="337"/>
      <c r="AA96" s="338"/>
      <c r="AB96" s="383">
        <f t="shared" si="23"/>
        <v>638</v>
      </c>
      <c r="AC96" s="339"/>
      <c r="AD96" s="384">
        <f t="shared" si="27"/>
        <v>0</v>
      </c>
      <c r="AE96" s="336"/>
      <c r="AF96" s="329"/>
      <c r="AG96" s="330"/>
      <c r="AH96" s="375">
        <f t="shared" si="24"/>
        <v>320270</v>
      </c>
      <c r="AI96" s="331"/>
      <c r="AJ96" s="377">
        <f t="shared" si="28"/>
        <v>0</v>
      </c>
      <c r="AK96" s="336"/>
      <c r="AL96" s="336"/>
      <c r="AM96" s="336"/>
      <c r="AN96" s="340"/>
      <c r="AO96" s="341"/>
      <c r="AP96" s="341"/>
      <c r="AQ96" s="386">
        <f t="shared" si="26"/>
        <v>199895</v>
      </c>
      <c r="AR96" s="342"/>
      <c r="AS96" s="389">
        <f t="shared" si="18"/>
        <v>0</v>
      </c>
      <c r="AU96" s="343"/>
      <c r="AV96" s="344"/>
      <c r="AW96" s="344"/>
      <c r="AX96" s="344"/>
      <c r="AY96" s="344"/>
      <c r="AZ96" s="344"/>
      <c r="BA96" s="344"/>
      <c r="BB96" s="390">
        <f t="shared" si="25"/>
        <v>0</v>
      </c>
      <c r="BC96" s="345">
        <v>0</v>
      </c>
    </row>
    <row r="97" spans="1:55">
      <c r="B97" s="326"/>
      <c r="C97" s="327"/>
      <c r="D97" s="327"/>
      <c r="E97" s="371">
        <f t="shared" si="19"/>
        <v>337945</v>
      </c>
      <c r="F97" s="372">
        <f t="shared" si="20"/>
        <v>0</v>
      </c>
      <c r="H97" s="328"/>
      <c r="I97" s="329"/>
      <c r="J97" s="330"/>
      <c r="K97" s="375">
        <f t="shared" si="21"/>
        <v>941317</v>
      </c>
      <c r="L97" s="331"/>
      <c r="M97" s="377">
        <f t="shared" si="17"/>
        <v>0</v>
      </c>
      <c r="O97" s="332"/>
      <c r="P97" s="333"/>
      <c r="Q97" s="333"/>
      <c r="R97" s="334"/>
      <c r="S97" s="334"/>
      <c r="T97" s="334"/>
      <c r="U97" s="334"/>
      <c r="V97" s="379">
        <f t="shared" si="22"/>
        <v>14081391</v>
      </c>
      <c r="W97" s="335"/>
      <c r="Y97" s="336"/>
      <c r="Z97" s="337"/>
      <c r="AA97" s="338"/>
      <c r="AB97" s="383">
        <f t="shared" si="23"/>
        <v>638</v>
      </c>
      <c r="AC97" s="339"/>
      <c r="AD97" s="384">
        <f t="shared" si="27"/>
        <v>0</v>
      </c>
      <c r="AE97" s="336"/>
      <c r="AF97" s="329"/>
      <c r="AG97" s="330"/>
      <c r="AH97" s="375">
        <f t="shared" si="24"/>
        <v>320270</v>
      </c>
      <c r="AI97" s="331"/>
      <c r="AJ97" s="377">
        <f t="shared" si="28"/>
        <v>0</v>
      </c>
      <c r="AK97" s="336"/>
      <c r="AL97" s="336"/>
      <c r="AM97" s="336"/>
      <c r="AN97" s="340"/>
      <c r="AO97" s="341"/>
      <c r="AP97" s="341"/>
      <c r="AQ97" s="386">
        <f t="shared" si="26"/>
        <v>199895</v>
      </c>
      <c r="AR97" s="342"/>
      <c r="AS97" s="389">
        <f t="shared" si="18"/>
        <v>0</v>
      </c>
      <c r="AU97" s="343"/>
      <c r="AV97" s="344"/>
      <c r="AW97" s="344"/>
      <c r="AX97" s="344"/>
      <c r="AY97" s="344"/>
      <c r="AZ97" s="344"/>
      <c r="BA97" s="344"/>
      <c r="BB97" s="390">
        <f t="shared" si="25"/>
        <v>0</v>
      </c>
      <c r="BC97" s="345">
        <v>0</v>
      </c>
    </row>
    <row r="98" spans="1:55">
      <c r="B98" s="326"/>
      <c r="C98" s="327"/>
      <c r="D98" s="327"/>
      <c r="E98" s="371">
        <f t="shared" si="19"/>
        <v>337945</v>
      </c>
      <c r="F98" s="372">
        <f t="shared" si="20"/>
        <v>0</v>
      </c>
      <c r="H98" s="328"/>
      <c r="I98" s="329"/>
      <c r="J98" s="330"/>
      <c r="K98" s="375">
        <f t="shared" si="21"/>
        <v>941317</v>
      </c>
      <c r="L98" s="331"/>
      <c r="M98" s="377">
        <f t="shared" si="17"/>
        <v>0</v>
      </c>
      <c r="O98" s="332"/>
      <c r="P98" s="333"/>
      <c r="Q98" s="333"/>
      <c r="R98" s="334"/>
      <c r="S98" s="334"/>
      <c r="T98" s="334"/>
      <c r="U98" s="334"/>
      <c r="V98" s="379">
        <f t="shared" si="22"/>
        <v>14081391</v>
      </c>
      <c r="W98" s="335"/>
      <c r="Y98" s="336"/>
      <c r="Z98" s="337"/>
      <c r="AA98" s="338"/>
      <c r="AB98" s="383">
        <f t="shared" si="23"/>
        <v>638</v>
      </c>
      <c r="AC98" s="339"/>
      <c r="AD98" s="384">
        <f t="shared" si="27"/>
        <v>0</v>
      </c>
      <c r="AE98" s="336"/>
      <c r="AF98" s="329"/>
      <c r="AG98" s="330"/>
      <c r="AH98" s="375">
        <f t="shared" si="24"/>
        <v>320270</v>
      </c>
      <c r="AI98" s="331"/>
      <c r="AJ98" s="377">
        <f t="shared" si="28"/>
        <v>0</v>
      </c>
      <c r="AK98" s="336"/>
      <c r="AL98" s="336"/>
      <c r="AM98" s="336"/>
      <c r="AN98" s="340"/>
      <c r="AO98" s="341"/>
      <c r="AP98" s="341"/>
      <c r="AQ98" s="386">
        <f t="shared" si="26"/>
        <v>199895</v>
      </c>
      <c r="AR98" s="342"/>
      <c r="AS98" s="389">
        <f t="shared" si="18"/>
        <v>0</v>
      </c>
      <c r="AU98" s="343"/>
      <c r="AV98" s="344"/>
      <c r="AW98" s="344"/>
      <c r="AX98" s="344"/>
      <c r="AY98" s="344"/>
      <c r="AZ98" s="344"/>
      <c r="BA98" s="344"/>
      <c r="BB98" s="390">
        <f t="shared" si="25"/>
        <v>0</v>
      </c>
      <c r="BC98" s="345">
        <v>0</v>
      </c>
    </row>
    <row r="99" spans="1:55">
      <c r="B99" s="326"/>
      <c r="C99" s="327"/>
      <c r="D99" s="327"/>
      <c r="E99" s="371">
        <f t="shared" si="19"/>
        <v>337945</v>
      </c>
      <c r="F99" s="372">
        <f t="shared" si="20"/>
        <v>0</v>
      </c>
      <c r="H99" s="328"/>
      <c r="I99" s="329"/>
      <c r="J99" s="330"/>
      <c r="K99" s="375">
        <f t="shared" si="21"/>
        <v>941317</v>
      </c>
      <c r="L99" s="331"/>
      <c r="M99" s="377">
        <f t="shared" si="17"/>
        <v>0</v>
      </c>
      <c r="O99" s="332"/>
      <c r="P99" s="333"/>
      <c r="Q99" s="333"/>
      <c r="R99" s="334"/>
      <c r="S99" s="334"/>
      <c r="T99" s="334"/>
      <c r="U99" s="334"/>
      <c r="V99" s="379">
        <f t="shared" si="22"/>
        <v>14081391</v>
      </c>
      <c r="W99" s="335"/>
      <c r="Y99" s="336"/>
      <c r="Z99" s="337"/>
      <c r="AA99" s="338"/>
      <c r="AB99" s="383">
        <f t="shared" si="23"/>
        <v>638</v>
      </c>
      <c r="AC99" s="339"/>
      <c r="AD99" s="384">
        <f t="shared" si="27"/>
        <v>0</v>
      </c>
      <c r="AE99" s="336"/>
      <c r="AF99" s="329"/>
      <c r="AG99" s="330"/>
      <c r="AH99" s="375">
        <f t="shared" si="24"/>
        <v>320270</v>
      </c>
      <c r="AI99" s="331"/>
      <c r="AJ99" s="377">
        <f t="shared" si="28"/>
        <v>0</v>
      </c>
      <c r="AK99" s="336"/>
      <c r="AL99" s="336"/>
      <c r="AM99" s="336"/>
      <c r="AN99" s="340"/>
      <c r="AO99" s="341"/>
      <c r="AP99" s="341"/>
      <c r="AQ99" s="386">
        <f t="shared" si="26"/>
        <v>199895</v>
      </c>
      <c r="AR99" s="342"/>
      <c r="AS99" s="389">
        <f t="shared" si="18"/>
        <v>0</v>
      </c>
      <c r="AU99" s="343"/>
      <c r="AV99" s="344"/>
      <c r="AW99" s="344"/>
      <c r="AX99" s="344"/>
      <c r="AY99" s="344"/>
      <c r="AZ99" s="344"/>
      <c r="BA99" s="344"/>
      <c r="BB99" s="390">
        <f t="shared" si="25"/>
        <v>0</v>
      </c>
      <c r="BC99" s="345">
        <v>0</v>
      </c>
    </row>
    <row r="100" spans="1:55">
      <c r="B100" s="326"/>
      <c r="C100" s="327"/>
      <c r="D100" s="327"/>
      <c r="E100" s="371">
        <f t="shared" si="19"/>
        <v>337945</v>
      </c>
      <c r="F100" s="372">
        <f t="shared" si="20"/>
        <v>0</v>
      </c>
      <c r="H100" s="328"/>
      <c r="I100" s="329"/>
      <c r="J100" s="330"/>
      <c r="K100" s="375">
        <f t="shared" si="21"/>
        <v>941317</v>
      </c>
      <c r="L100" s="331"/>
      <c r="M100" s="377">
        <f t="shared" si="17"/>
        <v>0</v>
      </c>
      <c r="O100" s="332"/>
      <c r="P100" s="333"/>
      <c r="Q100" s="333"/>
      <c r="R100" s="334"/>
      <c r="S100" s="334"/>
      <c r="T100" s="334"/>
      <c r="U100" s="334"/>
      <c r="V100" s="379">
        <f t="shared" si="22"/>
        <v>14081391</v>
      </c>
      <c r="W100" s="335"/>
      <c r="Y100" s="336"/>
      <c r="Z100" s="337"/>
      <c r="AA100" s="338"/>
      <c r="AB100" s="383">
        <f t="shared" si="23"/>
        <v>638</v>
      </c>
      <c r="AC100" s="339"/>
      <c r="AD100" s="384">
        <f t="shared" si="27"/>
        <v>0</v>
      </c>
      <c r="AE100" s="336"/>
      <c r="AF100" s="329"/>
      <c r="AG100" s="330"/>
      <c r="AH100" s="375">
        <f t="shared" si="24"/>
        <v>320270</v>
      </c>
      <c r="AI100" s="331"/>
      <c r="AJ100" s="377">
        <f t="shared" si="28"/>
        <v>0</v>
      </c>
      <c r="AK100" s="336"/>
      <c r="AL100" s="336"/>
      <c r="AM100" s="336"/>
      <c r="AN100" s="340"/>
      <c r="AO100" s="341"/>
      <c r="AP100" s="341"/>
      <c r="AQ100" s="386">
        <f t="shared" si="26"/>
        <v>199895</v>
      </c>
      <c r="AR100" s="342"/>
      <c r="AS100" s="389">
        <f t="shared" si="18"/>
        <v>0</v>
      </c>
      <c r="AU100" s="343"/>
      <c r="AV100" s="344"/>
      <c r="AW100" s="344"/>
      <c r="AX100" s="344"/>
      <c r="AY100" s="344"/>
      <c r="AZ100" s="344"/>
      <c r="BA100" s="344"/>
      <c r="BB100" s="390">
        <f t="shared" si="25"/>
        <v>0</v>
      </c>
      <c r="BC100" s="345">
        <v>0</v>
      </c>
    </row>
    <row r="101" spans="1:55">
      <c r="A101" s="264"/>
      <c r="B101" s="326"/>
      <c r="C101" s="327"/>
      <c r="D101" s="327"/>
      <c r="E101" s="371">
        <f t="shared" si="19"/>
        <v>337945</v>
      </c>
      <c r="F101" s="372">
        <f t="shared" si="20"/>
        <v>0</v>
      </c>
      <c r="G101" s="264"/>
      <c r="H101" s="328"/>
      <c r="I101" s="329"/>
      <c r="J101" s="330"/>
      <c r="K101" s="375">
        <f t="shared" si="21"/>
        <v>941317</v>
      </c>
      <c r="L101" s="331"/>
      <c r="M101" s="377">
        <f t="shared" si="17"/>
        <v>0</v>
      </c>
      <c r="N101" s="264"/>
      <c r="O101" s="332"/>
      <c r="P101" s="333"/>
      <c r="Q101" s="333"/>
      <c r="R101" s="334"/>
      <c r="S101" s="334"/>
      <c r="T101" s="334"/>
      <c r="U101" s="334"/>
      <c r="V101" s="379">
        <f t="shared" si="22"/>
        <v>14081391</v>
      </c>
      <c r="W101" s="335"/>
      <c r="Y101" s="336"/>
      <c r="Z101" s="337"/>
      <c r="AA101" s="338"/>
      <c r="AB101" s="383">
        <f t="shared" si="23"/>
        <v>638</v>
      </c>
      <c r="AC101" s="339"/>
      <c r="AD101" s="384">
        <f t="shared" si="27"/>
        <v>0</v>
      </c>
      <c r="AE101" s="336"/>
      <c r="AF101" s="329"/>
      <c r="AG101" s="330"/>
      <c r="AH101" s="375">
        <f t="shared" si="24"/>
        <v>320270</v>
      </c>
      <c r="AI101" s="331"/>
      <c r="AJ101" s="377">
        <f t="shared" si="28"/>
        <v>0</v>
      </c>
      <c r="AK101" s="336"/>
      <c r="AL101" s="336"/>
      <c r="AM101" s="336"/>
      <c r="AN101" s="340"/>
      <c r="AO101" s="341"/>
      <c r="AP101" s="341"/>
      <c r="AQ101" s="386">
        <f t="shared" si="26"/>
        <v>199895</v>
      </c>
      <c r="AR101" s="342"/>
      <c r="AS101" s="389">
        <f t="shared" si="18"/>
        <v>0</v>
      </c>
      <c r="AU101" s="343"/>
      <c r="AV101" s="344"/>
      <c r="AW101" s="344"/>
      <c r="AX101" s="344"/>
      <c r="AY101" s="344"/>
      <c r="AZ101" s="344"/>
      <c r="BA101" s="344"/>
      <c r="BB101" s="390">
        <f t="shared" si="25"/>
        <v>0</v>
      </c>
      <c r="BC101" s="345">
        <v>0</v>
      </c>
    </row>
    <row r="102" spans="1:55">
      <c r="A102" s="264"/>
      <c r="B102" s="326"/>
      <c r="C102" s="327"/>
      <c r="D102" s="327"/>
      <c r="E102" s="371">
        <f t="shared" si="19"/>
        <v>337945</v>
      </c>
      <c r="F102" s="372">
        <f t="shared" si="20"/>
        <v>0</v>
      </c>
      <c r="G102" s="264"/>
      <c r="H102" s="328"/>
      <c r="I102" s="329"/>
      <c r="J102" s="330"/>
      <c r="K102" s="375">
        <f t="shared" si="21"/>
        <v>941317</v>
      </c>
      <c r="L102" s="331"/>
      <c r="M102" s="377">
        <f t="shared" si="17"/>
        <v>0</v>
      </c>
      <c r="N102" s="264"/>
      <c r="O102" s="332"/>
      <c r="P102" s="333"/>
      <c r="Q102" s="333"/>
      <c r="R102" s="334"/>
      <c r="S102" s="334"/>
      <c r="T102" s="334"/>
      <c r="U102" s="334"/>
      <c r="V102" s="379">
        <f t="shared" si="22"/>
        <v>14081391</v>
      </c>
      <c r="W102" s="335"/>
      <c r="Y102" s="336"/>
      <c r="Z102" s="337"/>
      <c r="AA102" s="338"/>
      <c r="AB102" s="383">
        <f t="shared" si="23"/>
        <v>638</v>
      </c>
      <c r="AC102" s="339"/>
      <c r="AD102" s="384">
        <f t="shared" si="27"/>
        <v>0</v>
      </c>
      <c r="AE102" s="336"/>
      <c r="AF102" s="329"/>
      <c r="AG102" s="330"/>
      <c r="AH102" s="375">
        <f t="shared" si="24"/>
        <v>320270</v>
      </c>
      <c r="AI102" s="331"/>
      <c r="AJ102" s="377">
        <f t="shared" si="28"/>
        <v>0</v>
      </c>
      <c r="AK102" s="336"/>
      <c r="AL102" s="336"/>
      <c r="AM102" s="336"/>
      <c r="AN102" s="340"/>
      <c r="AO102" s="341"/>
      <c r="AP102" s="341"/>
      <c r="AQ102" s="386">
        <f t="shared" si="26"/>
        <v>199895</v>
      </c>
      <c r="AR102" s="342"/>
      <c r="AS102" s="389">
        <f t="shared" si="18"/>
        <v>0</v>
      </c>
      <c r="AU102" s="343"/>
      <c r="AV102" s="344"/>
      <c r="AW102" s="344"/>
      <c r="AX102" s="344"/>
      <c r="AY102" s="344"/>
      <c r="AZ102" s="344"/>
      <c r="BA102" s="344"/>
      <c r="BB102" s="390">
        <f t="shared" si="25"/>
        <v>0</v>
      </c>
      <c r="BC102" s="345">
        <v>0</v>
      </c>
    </row>
    <row r="103" spans="1:55">
      <c r="A103" s="264"/>
      <c r="B103" s="326"/>
      <c r="C103" s="327"/>
      <c r="D103" s="327"/>
      <c r="E103" s="371">
        <f t="shared" si="19"/>
        <v>337945</v>
      </c>
      <c r="F103" s="372">
        <f t="shared" si="20"/>
        <v>0</v>
      </c>
      <c r="G103" s="264"/>
      <c r="H103" s="328"/>
      <c r="I103" s="329"/>
      <c r="J103" s="330"/>
      <c r="K103" s="375">
        <f t="shared" si="21"/>
        <v>941317</v>
      </c>
      <c r="L103" s="331"/>
      <c r="M103" s="377">
        <f t="shared" si="17"/>
        <v>0</v>
      </c>
      <c r="N103" s="264"/>
      <c r="O103" s="332"/>
      <c r="P103" s="333"/>
      <c r="Q103" s="333"/>
      <c r="R103" s="334"/>
      <c r="S103" s="334"/>
      <c r="T103" s="334"/>
      <c r="U103" s="334"/>
      <c r="V103" s="379">
        <f t="shared" si="22"/>
        <v>14081391</v>
      </c>
      <c r="W103" s="335"/>
      <c r="Y103" s="336"/>
      <c r="Z103" s="337"/>
      <c r="AA103" s="338"/>
      <c r="AB103" s="383">
        <f t="shared" si="23"/>
        <v>638</v>
      </c>
      <c r="AC103" s="339"/>
      <c r="AD103" s="384">
        <f t="shared" si="27"/>
        <v>0</v>
      </c>
      <c r="AE103" s="336"/>
      <c r="AF103" s="329"/>
      <c r="AG103" s="330"/>
      <c r="AH103" s="375">
        <f t="shared" si="24"/>
        <v>320270</v>
      </c>
      <c r="AI103" s="331"/>
      <c r="AJ103" s="377">
        <f t="shared" si="28"/>
        <v>0</v>
      </c>
      <c r="AK103" s="336"/>
      <c r="AL103" s="336"/>
      <c r="AM103" s="336"/>
      <c r="AN103" s="340"/>
      <c r="AO103" s="341"/>
      <c r="AP103" s="341"/>
      <c r="AQ103" s="386">
        <f t="shared" si="26"/>
        <v>199895</v>
      </c>
      <c r="AR103" s="342"/>
      <c r="AS103" s="389">
        <f t="shared" si="18"/>
        <v>0</v>
      </c>
      <c r="AU103" s="343"/>
      <c r="AV103" s="344"/>
      <c r="AW103" s="344"/>
      <c r="AX103" s="344"/>
      <c r="AY103" s="344"/>
      <c r="AZ103" s="344"/>
      <c r="BA103" s="344"/>
      <c r="BB103" s="390">
        <f t="shared" si="25"/>
        <v>0</v>
      </c>
      <c r="BC103" s="345">
        <v>0</v>
      </c>
    </row>
    <row r="104" spans="1:55">
      <c r="A104" s="264"/>
      <c r="B104" s="326"/>
      <c r="C104" s="327"/>
      <c r="D104" s="327"/>
      <c r="E104" s="371">
        <f t="shared" si="19"/>
        <v>337945</v>
      </c>
      <c r="F104" s="372">
        <f t="shared" si="20"/>
        <v>0</v>
      </c>
      <c r="G104" s="264"/>
      <c r="H104" s="328"/>
      <c r="I104" s="329"/>
      <c r="J104" s="330"/>
      <c r="K104" s="375">
        <f t="shared" si="21"/>
        <v>941317</v>
      </c>
      <c r="L104" s="331"/>
      <c r="M104" s="377">
        <f t="shared" si="17"/>
        <v>0</v>
      </c>
      <c r="N104" s="264"/>
      <c r="O104" s="332"/>
      <c r="P104" s="333"/>
      <c r="Q104" s="333"/>
      <c r="R104" s="334"/>
      <c r="S104" s="334"/>
      <c r="T104" s="334"/>
      <c r="U104" s="334"/>
      <c r="V104" s="379">
        <f t="shared" si="22"/>
        <v>14081391</v>
      </c>
      <c r="W104" s="335"/>
      <c r="Y104" s="336"/>
      <c r="Z104" s="337"/>
      <c r="AA104" s="338"/>
      <c r="AB104" s="383">
        <f t="shared" si="23"/>
        <v>638</v>
      </c>
      <c r="AC104" s="339"/>
      <c r="AD104" s="384">
        <f t="shared" si="27"/>
        <v>0</v>
      </c>
      <c r="AE104" s="336"/>
      <c r="AF104" s="329"/>
      <c r="AG104" s="330"/>
      <c r="AH104" s="375">
        <f t="shared" si="24"/>
        <v>320270</v>
      </c>
      <c r="AI104" s="331"/>
      <c r="AJ104" s="377">
        <f t="shared" si="28"/>
        <v>0</v>
      </c>
      <c r="AK104" s="336"/>
      <c r="AL104" s="336"/>
      <c r="AM104" s="336"/>
      <c r="AN104" s="340"/>
      <c r="AO104" s="341"/>
      <c r="AP104" s="341"/>
      <c r="AQ104" s="386">
        <f t="shared" si="26"/>
        <v>199895</v>
      </c>
      <c r="AR104" s="342"/>
      <c r="AS104" s="389">
        <f t="shared" si="18"/>
        <v>0</v>
      </c>
      <c r="AU104" s="343"/>
      <c r="AV104" s="344"/>
      <c r="AW104" s="344"/>
      <c r="AX104" s="344"/>
      <c r="AY104" s="344"/>
      <c r="AZ104" s="344"/>
      <c r="BA104" s="344"/>
      <c r="BB104" s="390">
        <f t="shared" si="25"/>
        <v>0</v>
      </c>
      <c r="BC104" s="345">
        <v>0</v>
      </c>
    </row>
    <row r="105" spans="1:55">
      <c r="A105" s="264"/>
      <c r="B105" s="326"/>
      <c r="C105" s="327"/>
      <c r="D105" s="327"/>
      <c r="E105" s="371">
        <f t="shared" si="19"/>
        <v>337945</v>
      </c>
      <c r="F105" s="372">
        <f t="shared" si="20"/>
        <v>0</v>
      </c>
      <c r="G105" s="264"/>
      <c r="H105" s="328"/>
      <c r="I105" s="329"/>
      <c r="J105" s="330"/>
      <c r="K105" s="375">
        <f t="shared" si="21"/>
        <v>941317</v>
      </c>
      <c r="L105" s="331"/>
      <c r="M105" s="377">
        <f t="shared" si="17"/>
        <v>0</v>
      </c>
      <c r="N105" s="264"/>
      <c r="O105" s="332"/>
      <c r="P105" s="333"/>
      <c r="Q105" s="333"/>
      <c r="R105" s="334"/>
      <c r="S105" s="334"/>
      <c r="T105" s="334"/>
      <c r="U105" s="334"/>
      <c r="V105" s="379">
        <f t="shared" si="22"/>
        <v>14081391</v>
      </c>
      <c r="W105" s="335"/>
      <c r="Y105" s="336"/>
      <c r="Z105" s="337"/>
      <c r="AA105" s="338"/>
      <c r="AB105" s="383">
        <f t="shared" si="23"/>
        <v>638</v>
      </c>
      <c r="AC105" s="339"/>
      <c r="AD105" s="384">
        <f t="shared" si="27"/>
        <v>0</v>
      </c>
      <c r="AE105" s="336"/>
      <c r="AF105" s="329"/>
      <c r="AG105" s="330"/>
      <c r="AH105" s="375">
        <f t="shared" si="24"/>
        <v>320270</v>
      </c>
      <c r="AI105" s="331"/>
      <c r="AJ105" s="377">
        <f t="shared" si="28"/>
        <v>0</v>
      </c>
      <c r="AK105" s="336"/>
      <c r="AL105" s="336"/>
      <c r="AM105" s="336"/>
      <c r="AN105" s="340"/>
      <c r="AO105" s="341"/>
      <c r="AP105" s="341"/>
      <c r="AQ105" s="386">
        <f t="shared" si="26"/>
        <v>199895</v>
      </c>
      <c r="AR105" s="342"/>
      <c r="AS105" s="389">
        <f t="shared" si="18"/>
        <v>0</v>
      </c>
      <c r="AU105" s="343"/>
      <c r="AV105" s="344"/>
      <c r="AW105" s="344"/>
      <c r="AX105" s="344"/>
      <c r="AY105" s="344"/>
      <c r="AZ105" s="344"/>
      <c r="BA105" s="344"/>
      <c r="BB105" s="390">
        <f t="shared" si="25"/>
        <v>0</v>
      </c>
      <c r="BC105" s="345">
        <v>0</v>
      </c>
    </row>
    <row r="106" spans="1:55">
      <c r="A106" s="264"/>
      <c r="B106" s="326"/>
      <c r="C106" s="327"/>
      <c r="D106" s="327"/>
      <c r="E106" s="371">
        <f t="shared" si="19"/>
        <v>337945</v>
      </c>
      <c r="F106" s="372">
        <f t="shared" si="20"/>
        <v>0</v>
      </c>
      <c r="G106" s="264"/>
      <c r="H106" s="328"/>
      <c r="I106" s="329"/>
      <c r="J106" s="330"/>
      <c r="K106" s="375">
        <f t="shared" si="21"/>
        <v>941317</v>
      </c>
      <c r="L106" s="331"/>
      <c r="M106" s="377">
        <f t="shared" si="17"/>
        <v>0</v>
      </c>
      <c r="N106" s="264"/>
      <c r="O106" s="332"/>
      <c r="P106" s="333"/>
      <c r="Q106" s="333"/>
      <c r="R106" s="334"/>
      <c r="S106" s="334"/>
      <c r="T106" s="334"/>
      <c r="U106" s="334"/>
      <c r="V106" s="379">
        <f t="shared" si="22"/>
        <v>14081391</v>
      </c>
      <c r="W106" s="335"/>
      <c r="Y106" s="336"/>
      <c r="Z106" s="337"/>
      <c r="AA106" s="338"/>
      <c r="AB106" s="383">
        <f t="shared" si="23"/>
        <v>638</v>
      </c>
      <c r="AC106" s="339"/>
      <c r="AD106" s="384">
        <f t="shared" si="27"/>
        <v>0</v>
      </c>
      <c r="AE106" s="336"/>
      <c r="AF106" s="329"/>
      <c r="AG106" s="330"/>
      <c r="AH106" s="375">
        <f t="shared" si="24"/>
        <v>320270</v>
      </c>
      <c r="AI106" s="331"/>
      <c r="AJ106" s="377">
        <f t="shared" si="28"/>
        <v>0</v>
      </c>
      <c r="AK106" s="336"/>
      <c r="AL106" s="336"/>
      <c r="AM106" s="336"/>
      <c r="AN106" s="340"/>
      <c r="AO106" s="341"/>
      <c r="AP106" s="341"/>
      <c r="AQ106" s="386">
        <f t="shared" si="26"/>
        <v>199895</v>
      </c>
      <c r="AR106" s="342"/>
      <c r="AS106" s="389">
        <f t="shared" si="18"/>
        <v>0</v>
      </c>
      <c r="AU106" s="343"/>
      <c r="AV106" s="344"/>
      <c r="AW106" s="344"/>
      <c r="AX106" s="344"/>
      <c r="AY106" s="344"/>
      <c r="AZ106" s="344"/>
      <c r="BA106" s="344"/>
      <c r="BB106" s="390">
        <f t="shared" si="25"/>
        <v>0</v>
      </c>
      <c r="BC106" s="345">
        <v>0</v>
      </c>
    </row>
    <row r="107" spans="1:55">
      <c r="A107" s="264"/>
      <c r="B107" s="326"/>
      <c r="C107" s="327"/>
      <c r="D107" s="327"/>
      <c r="E107" s="371">
        <f t="shared" si="19"/>
        <v>337945</v>
      </c>
      <c r="F107" s="372">
        <f t="shared" si="20"/>
        <v>0</v>
      </c>
      <c r="G107" s="264"/>
      <c r="H107" s="328"/>
      <c r="I107" s="329"/>
      <c r="J107" s="330"/>
      <c r="K107" s="375">
        <f t="shared" si="21"/>
        <v>941317</v>
      </c>
      <c r="L107" s="331"/>
      <c r="M107" s="377">
        <f t="shared" si="17"/>
        <v>0</v>
      </c>
      <c r="N107" s="264"/>
      <c r="O107" s="332"/>
      <c r="P107" s="333"/>
      <c r="Q107" s="333"/>
      <c r="R107" s="334"/>
      <c r="S107" s="334"/>
      <c r="T107" s="334"/>
      <c r="U107" s="334"/>
      <c r="V107" s="379">
        <f t="shared" si="22"/>
        <v>14081391</v>
      </c>
      <c r="W107" s="335"/>
      <c r="Y107" s="336"/>
      <c r="Z107" s="337"/>
      <c r="AA107" s="338"/>
      <c r="AB107" s="383">
        <f t="shared" si="23"/>
        <v>638</v>
      </c>
      <c r="AC107" s="339"/>
      <c r="AD107" s="384">
        <f t="shared" si="27"/>
        <v>0</v>
      </c>
      <c r="AE107" s="336"/>
      <c r="AF107" s="329"/>
      <c r="AG107" s="330"/>
      <c r="AH107" s="375">
        <f t="shared" si="24"/>
        <v>320270</v>
      </c>
      <c r="AI107" s="331"/>
      <c r="AJ107" s="377">
        <f t="shared" si="28"/>
        <v>0</v>
      </c>
      <c r="AK107" s="336"/>
      <c r="AL107" s="336"/>
      <c r="AM107" s="336"/>
      <c r="AN107" s="340"/>
      <c r="AO107" s="341"/>
      <c r="AP107" s="341"/>
      <c r="AQ107" s="386">
        <f t="shared" si="26"/>
        <v>199895</v>
      </c>
      <c r="AR107" s="342"/>
      <c r="AS107" s="389">
        <f t="shared" si="18"/>
        <v>0</v>
      </c>
      <c r="AU107" s="343"/>
      <c r="AV107" s="344"/>
      <c r="AW107" s="344"/>
      <c r="AX107" s="344"/>
      <c r="AY107" s="344"/>
      <c r="AZ107" s="344"/>
      <c r="BA107" s="344"/>
      <c r="BB107" s="390">
        <f t="shared" si="25"/>
        <v>0</v>
      </c>
      <c r="BC107" s="345">
        <v>0</v>
      </c>
    </row>
    <row r="108" spans="1:55">
      <c r="A108" s="264"/>
      <c r="B108" s="326"/>
      <c r="C108" s="327"/>
      <c r="D108" s="327"/>
      <c r="E108" s="371">
        <f t="shared" si="19"/>
        <v>337945</v>
      </c>
      <c r="F108" s="372">
        <f t="shared" si="20"/>
        <v>0</v>
      </c>
      <c r="G108" s="264"/>
      <c r="H108" s="328"/>
      <c r="I108" s="329"/>
      <c r="J108" s="330"/>
      <c r="K108" s="375">
        <f t="shared" si="21"/>
        <v>941317</v>
      </c>
      <c r="L108" s="331"/>
      <c r="M108" s="377">
        <f t="shared" si="17"/>
        <v>0</v>
      </c>
      <c r="N108" s="264"/>
      <c r="O108" s="332"/>
      <c r="P108" s="333"/>
      <c r="Q108" s="333"/>
      <c r="R108" s="334"/>
      <c r="S108" s="334"/>
      <c r="T108" s="334"/>
      <c r="U108" s="334"/>
      <c r="V108" s="379">
        <f t="shared" si="22"/>
        <v>14081391</v>
      </c>
      <c r="W108" s="335"/>
      <c r="Y108" s="336"/>
      <c r="Z108" s="337"/>
      <c r="AA108" s="338"/>
      <c r="AB108" s="383">
        <f t="shared" si="23"/>
        <v>638</v>
      </c>
      <c r="AC108" s="339"/>
      <c r="AD108" s="384">
        <f t="shared" si="27"/>
        <v>0</v>
      </c>
      <c r="AE108" s="336"/>
      <c r="AF108" s="329"/>
      <c r="AG108" s="330"/>
      <c r="AH108" s="375">
        <f t="shared" si="24"/>
        <v>320270</v>
      </c>
      <c r="AI108" s="331"/>
      <c r="AJ108" s="377">
        <f t="shared" si="28"/>
        <v>0</v>
      </c>
      <c r="AK108" s="336"/>
      <c r="AL108" s="336"/>
      <c r="AM108" s="336"/>
      <c r="AN108" s="340"/>
      <c r="AO108" s="341"/>
      <c r="AP108" s="341"/>
      <c r="AQ108" s="386">
        <f t="shared" si="26"/>
        <v>199895</v>
      </c>
      <c r="AR108" s="342"/>
      <c r="AS108" s="389">
        <f t="shared" si="18"/>
        <v>0</v>
      </c>
      <c r="AU108" s="343"/>
      <c r="AV108" s="344"/>
      <c r="AW108" s="344"/>
      <c r="AX108" s="344"/>
      <c r="AY108" s="344"/>
      <c r="AZ108" s="344"/>
      <c r="BA108" s="344"/>
      <c r="BB108" s="390">
        <f t="shared" si="25"/>
        <v>0</v>
      </c>
      <c r="BC108" s="345">
        <v>0</v>
      </c>
    </row>
    <row r="109" spans="1:55">
      <c r="A109" s="264"/>
      <c r="B109" s="326"/>
      <c r="C109" s="327"/>
      <c r="D109" s="327"/>
      <c r="E109" s="371">
        <f t="shared" si="19"/>
        <v>337945</v>
      </c>
      <c r="F109" s="372">
        <f t="shared" si="20"/>
        <v>0</v>
      </c>
      <c r="G109" s="264"/>
      <c r="H109" s="328"/>
      <c r="I109" s="329"/>
      <c r="J109" s="330"/>
      <c r="K109" s="375">
        <f t="shared" si="21"/>
        <v>941317</v>
      </c>
      <c r="L109" s="331"/>
      <c r="M109" s="377">
        <f t="shared" si="17"/>
        <v>0</v>
      </c>
      <c r="N109" s="264"/>
      <c r="O109" s="332"/>
      <c r="P109" s="333"/>
      <c r="Q109" s="333"/>
      <c r="R109" s="334"/>
      <c r="S109" s="334"/>
      <c r="T109" s="334"/>
      <c r="U109" s="334"/>
      <c r="V109" s="379">
        <f t="shared" si="22"/>
        <v>14081391</v>
      </c>
      <c r="W109" s="335"/>
      <c r="Y109" s="336"/>
      <c r="Z109" s="337"/>
      <c r="AA109" s="338"/>
      <c r="AB109" s="383">
        <f t="shared" si="23"/>
        <v>638</v>
      </c>
      <c r="AC109" s="339"/>
      <c r="AD109" s="384">
        <f t="shared" si="27"/>
        <v>0</v>
      </c>
      <c r="AE109" s="336"/>
      <c r="AF109" s="329"/>
      <c r="AG109" s="330"/>
      <c r="AH109" s="375">
        <f t="shared" si="24"/>
        <v>320270</v>
      </c>
      <c r="AI109" s="331"/>
      <c r="AJ109" s="377">
        <f t="shared" si="28"/>
        <v>0</v>
      </c>
      <c r="AK109" s="336"/>
      <c r="AL109" s="336"/>
      <c r="AM109" s="336"/>
      <c r="AN109" s="340"/>
      <c r="AO109" s="341"/>
      <c r="AP109" s="341"/>
      <c r="AQ109" s="386">
        <f t="shared" si="26"/>
        <v>199895</v>
      </c>
      <c r="AR109" s="342"/>
      <c r="AS109" s="389">
        <f t="shared" si="18"/>
        <v>0</v>
      </c>
      <c r="AU109" s="343"/>
      <c r="AV109" s="344"/>
      <c r="AW109" s="344"/>
      <c r="AX109" s="344"/>
      <c r="AY109" s="344"/>
      <c r="AZ109" s="344"/>
      <c r="BA109" s="344"/>
      <c r="BB109" s="390">
        <f t="shared" si="25"/>
        <v>0</v>
      </c>
      <c r="BC109" s="345">
        <v>0</v>
      </c>
    </row>
    <row r="110" spans="1:55">
      <c r="A110" s="264"/>
      <c r="B110" s="326"/>
      <c r="C110" s="327"/>
      <c r="D110" s="327"/>
      <c r="E110" s="371">
        <f t="shared" si="19"/>
        <v>337945</v>
      </c>
      <c r="F110" s="372">
        <f t="shared" si="20"/>
        <v>0</v>
      </c>
      <c r="G110" s="264"/>
      <c r="H110" s="328"/>
      <c r="I110" s="329"/>
      <c r="J110" s="330"/>
      <c r="K110" s="375">
        <f t="shared" si="21"/>
        <v>941317</v>
      </c>
      <c r="L110" s="331"/>
      <c r="M110" s="377">
        <f t="shared" si="17"/>
        <v>0</v>
      </c>
      <c r="N110" s="264"/>
      <c r="O110" s="332"/>
      <c r="P110" s="333"/>
      <c r="Q110" s="333"/>
      <c r="R110" s="334"/>
      <c r="S110" s="334"/>
      <c r="T110" s="334"/>
      <c r="U110" s="334"/>
      <c r="V110" s="379">
        <f t="shared" si="22"/>
        <v>14081391</v>
      </c>
      <c r="W110" s="335"/>
      <c r="Y110" s="336"/>
      <c r="Z110" s="337"/>
      <c r="AA110" s="338"/>
      <c r="AB110" s="383">
        <f t="shared" si="23"/>
        <v>638</v>
      </c>
      <c r="AC110" s="339"/>
      <c r="AD110" s="384">
        <f t="shared" si="27"/>
        <v>0</v>
      </c>
      <c r="AE110" s="336"/>
      <c r="AF110" s="329"/>
      <c r="AG110" s="330"/>
      <c r="AH110" s="375">
        <f t="shared" si="24"/>
        <v>320270</v>
      </c>
      <c r="AI110" s="331"/>
      <c r="AJ110" s="377">
        <f t="shared" si="28"/>
        <v>0</v>
      </c>
      <c r="AK110" s="336"/>
      <c r="AL110" s="336"/>
      <c r="AM110" s="336"/>
      <c r="AN110" s="340"/>
      <c r="AO110" s="341"/>
      <c r="AP110" s="341"/>
      <c r="AQ110" s="386">
        <f t="shared" si="26"/>
        <v>199895</v>
      </c>
      <c r="AR110" s="342"/>
      <c r="AS110" s="389">
        <f t="shared" si="18"/>
        <v>0</v>
      </c>
      <c r="AU110" s="343"/>
      <c r="AV110" s="344"/>
      <c r="AW110" s="344"/>
      <c r="AX110" s="344"/>
      <c r="AY110" s="344"/>
      <c r="AZ110" s="344"/>
      <c r="BA110" s="344"/>
      <c r="BB110" s="390">
        <f t="shared" si="25"/>
        <v>0</v>
      </c>
      <c r="BC110" s="345">
        <v>0</v>
      </c>
    </row>
    <row r="111" spans="1:55">
      <c r="A111" s="264"/>
      <c r="B111" s="326"/>
      <c r="C111" s="327"/>
      <c r="D111" s="327"/>
      <c r="E111" s="371">
        <f t="shared" si="19"/>
        <v>337945</v>
      </c>
      <c r="F111" s="372">
        <f t="shared" si="20"/>
        <v>0</v>
      </c>
      <c r="G111" s="264"/>
      <c r="H111" s="328"/>
      <c r="I111" s="329"/>
      <c r="J111" s="330"/>
      <c r="K111" s="375">
        <f t="shared" si="21"/>
        <v>941317</v>
      </c>
      <c r="L111" s="331"/>
      <c r="M111" s="377">
        <f t="shared" si="17"/>
        <v>0</v>
      </c>
      <c r="N111" s="264"/>
      <c r="O111" s="332"/>
      <c r="P111" s="333"/>
      <c r="Q111" s="333"/>
      <c r="R111" s="334"/>
      <c r="S111" s="334"/>
      <c r="T111" s="334"/>
      <c r="U111" s="334"/>
      <c r="V111" s="379">
        <f t="shared" si="22"/>
        <v>14081391</v>
      </c>
      <c r="W111" s="335"/>
      <c r="Y111" s="336"/>
      <c r="Z111" s="337"/>
      <c r="AA111" s="338"/>
      <c r="AB111" s="383">
        <f t="shared" si="23"/>
        <v>638</v>
      </c>
      <c r="AC111" s="339"/>
      <c r="AD111" s="384">
        <f t="shared" si="27"/>
        <v>0</v>
      </c>
      <c r="AE111" s="336"/>
      <c r="AF111" s="329"/>
      <c r="AG111" s="330"/>
      <c r="AH111" s="375">
        <f t="shared" si="24"/>
        <v>320270</v>
      </c>
      <c r="AI111" s="331"/>
      <c r="AJ111" s="377">
        <f t="shared" si="28"/>
        <v>0</v>
      </c>
      <c r="AK111" s="336"/>
      <c r="AL111" s="336"/>
      <c r="AM111" s="336"/>
      <c r="AN111" s="340"/>
      <c r="AO111" s="341"/>
      <c r="AP111" s="341"/>
      <c r="AQ111" s="386">
        <f t="shared" si="26"/>
        <v>199895</v>
      </c>
      <c r="AR111" s="342"/>
      <c r="AS111" s="389">
        <f t="shared" si="18"/>
        <v>0</v>
      </c>
      <c r="AU111" s="343"/>
      <c r="AV111" s="344"/>
      <c r="AW111" s="344"/>
      <c r="AX111" s="344"/>
      <c r="AY111" s="344"/>
      <c r="AZ111" s="344"/>
      <c r="BA111" s="344"/>
      <c r="BB111" s="390">
        <f t="shared" si="25"/>
        <v>0</v>
      </c>
      <c r="BC111" s="345">
        <v>0</v>
      </c>
    </row>
    <row r="112" spans="1:55">
      <c r="A112" s="264"/>
      <c r="B112" s="326"/>
      <c r="C112" s="327"/>
      <c r="D112" s="327"/>
      <c r="E112" s="371">
        <f t="shared" si="19"/>
        <v>337945</v>
      </c>
      <c r="F112" s="372">
        <f t="shared" si="20"/>
        <v>0</v>
      </c>
      <c r="G112" s="264"/>
      <c r="H112" s="328"/>
      <c r="I112" s="329"/>
      <c r="J112" s="330"/>
      <c r="K112" s="375">
        <f t="shared" si="21"/>
        <v>941317</v>
      </c>
      <c r="L112" s="331"/>
      <c r="M112" s="377">
        <f t="shared" si="17"/>
        <v>0</v>
      </c>
      <c r="N112" s="264"/>
      <c r="O112" s="332"/>
      <c r="P112" s="333"/>
      <c r="Q112" s="333"/>
      <c r="R112" s="334"/>
      <c r="S112" s="334"/>
      <c r="T112" s="334"/>
      <c r="U112" s="334"/>
      <c r="V112" s="379">
        <f t="shared" si="22"/>
        <v>14081391</v>
      </c>
      <c r="W112" s="335"/>
      <c r="Y112" s="336"/>
      <c r="Z112" s="337"/>
      <c r="AA112" s="338"/>
      <c r="AB112" s="383">
        <f t="shared" si="23"/>
        <v>638</v>
      </c>
      <c r="AC112" s="339"/>
      <c r="AD112" s="384">
        <f t="shared" si="27"/>
        <v>0</v>
      </c>
      <c r="AE112" s="336"/>
      <c r="AF112" s="329"/>
      <c r="AG112" s="330"/>
      <c r="AH112" s="375">
        <f t="shared" si="24"/>
        <v>320270</v>
      </c>
      <c r="AI112" s="331"/>
      <c r="AJ112" s="377">
        <f t="shared" si="28"/>
        <v>0</v>
      </c>
      <c r="AK112" s="336"/>
      <c r="AL112" s="336"/>
      <c r="AM112" s="336"/>
      <c r="AN112" s="340"/>
      <c r="AO112" s="341"/>
      <c r="AP112" s="341"/>
      <c r="AQ112" s="386">
        <f t="shared" si="26"/>
        <v>199895</v>
      </c>
      <c r="AR112" s="342"/>
      <c r="AS112" s="389">
        <f t="shared" si="18"/>
        <v>0</v>
      </c>
      <c r="AU112" s="343"/>
      <c r="AV112" s="344"/>
      <c r="AW112" s="344"/>
      <c r="AX112" s="344"/>
      <c r="AY112" s="344"/>
      <c r="AZ112" s="344"/>
      <c r="BA112" s="344"/>
      <c r="BB112" s="390">
        <f t="shared" si="25"/>
        <v>0</v>
      </c>
      <c r="BC112" s="345">
        <v>0</v>
      </c>
    </row>
    <row r="113" spans="1:55">
      <c r="A113" s="264"/>
      <c r="B113" s="326"/>
      <c r="C113" s="327"/>
      <c r="D113" s="327"/>
      <c r="E113" s="371">
        <f t="shared" si="19"/>
        <v>337945</v>
      </c>
      <c r="F113" s="372">
        <f t="shared" si="20"/>
        <v>0</v>
      </c>
      <c r="G113" s="264"/>
      <c r="H113" s="328"/>
      <c r="I113" s="329"/>
      <c r="J113" s="330"/>
      <c r="K113" s="375">
        <f t="shared" si="21"/>
        <v>941317</v>
      </c>
      <c r="L113" s="331"/>
      <c r="M113" s="377">
        <f t="shared" si="17"/>
        <v>0</v>
      </c>
      <c r="N113" s="264"/>
      <c r="O113" s="332"/>
      <c r="P113" s="333"/>
      <c r="Q113" s="333"/>
      <c r="R113" s="334"/>
      <c r="S113" s="334"/>
      <c r="T113" s="334"/>
      <c r="U113" s="334"/>
      <c r="V113" s="379">
        <f t="shared" si="22"/>
        <v>14081391</v>
      </c>
      <c r="W113" s="335"/>
      <c r="Y113" s="336"/>
      <c r="Z113" s="337"/>
      <c r="AA113" s="338"/>
      <c r="AB113" s="383">
        <f t="shared" si="23"/>
        <v>638</v>
      </c>
      <c r="AC113" s="339"/>
      <c r="AD113" s="384">
        <f t="shared" si="27"/>
        <v>0</v>
      </c>
      <c r="AE113" s="336"/>
      <c r="AF113" s="329"/>
      <c r="AG113" s="330"/>
      <c r="AH113" s="375">
        <f t="shared" si="24"/>
        <v>320270</v>
      </c>
      <c r="AI113" s="331"/>
      <c r="AJ113" s="377">
        <f t="shared" si="28"/>
        <v>0</v>
      </c>
      <c r="AK113" s="336"/>
      <c r="AL113" s="336"/>
      <c r="AM113" s="336"/>
      <c r="AN113" s="340"/>
      <c r="AO113" s="341"/>
      <c r="AP113" s="341"/>
      <c r="AQ113" s="386">
        <f t="shared" si="26"/>
        <v>199895</v>
      </c>
      <c r="AR113" s="342"/>
      <c r="AS113" s="389">
        <f t="shared" si="18"/>
        <v>0</v>
      </c>
      <c r="AU113" s="343"/>
      <c r="AV113" s="344"/>
      <c r="AW113" s="344"/>
      <c r="AX113" s="344"/>
      <c r="AY113" s="344"/>
      <c r="AZ113" s="344"/>
      <c r="BA113" s="344"/>
      <c r="BB113" s="390">
        <f t="shared" si="25"/>
        <v>0</v>
      </c>
      <c r="BC113" s="345">
        <v>0</v>
      </c>
    </row>
    <row r="114" spans="1:55">
      <c r="A114" s="264"/>
      <c r="B114" s="326"/>
      <c r="C114" s="327"/>
      <c r="D114" s="327"/>
      <c r="E114" s="371">
        <f t="shared" si="19"/>
        <v>337945</v>
      </c>
      <c r="F114" s="372">
        <f t="shared" si="20"/>
        <v>0</v>
      </c>
      <c r="G114" s="264"/>
      <c r="H114" s="328"/>
      <c r="I114" s="329"/>
      <c r="J114" s="330"/>
      <c r="K114" s="375">
        <f t="shared" si="21"/>
        <v>941317</v>
      </c>
      <c r="L114" s="331"/>
      <c r="M114" s="377">
        <f t="shared" si="17"/>
        <v>0</v>
      </c>
      <c r="N114" s="264"/>
      <c r="O114" s="332"/>
      <c r="P114" s="333"/>
      <c r="Q114" s="333"/>
      <c r="R114" s="334"/>
      <c r="S114" s="334"/>
      <c r="T114" s="334"/>
      <c r="U114" s="334"/>
      <c r="V114" s="379">
        <f t="shared" si="22"/>
        <v>14081391</v>
      </c>
      <c r="W114" s="335"/>
      <c r="Y114" s="336"/>
      <c r="Z114" s="337"/>
      <c r="AA114" s="338"/>
      <c r="AB114" s="383">
        <f t="shared" si="23"/>
        <v>638</v>
      </c>
      <c r="AC114" s="339"/>
      <c r="AD114" s="384">
        <f t="shared" si="27"/>
        <v>0</v>
      </c>
      <c r="AE114" s="336"/>
      <c r="AF114" s="329"/>
      <c r="AG114" s="330"/>
      <c r="AH114" s="375">
        <f t="shared" si="24"/>
        <v>320270</v>
      </c>
      <c r="AI114" s="331"/>
      <c r="AJ114" s="377">
        <f t="shared" si="28"/>
        <v>0</v>
      </c>
      <c r="AK114" s="336"/>
      <c r="AL114" s="336"/>
      <c r="AM114" s="336"/>
      <c r="AN114" s="340"/>
      <c r="AO114" s="341"/>
      <c r="AP114" s="341"/>
      <c r="AQ114" s="386">
        <f t="shared" si="26"/>
        <v>199895</v>
      </c>
      <c r="AR114" s="342"/>
      <c r="AS114" s="389">
        <f t="shared" si="18"/>
        <v>0</v>
      </c>
      <c r="AU114" s="343"/>
      <c r="AV114" s="344"/>
      <c r="AW114" s="344"/>
      <c r="AX114" s="344"/>
      <c r="AY114" s="344"/>
      <c r="AZ114" s="344"/>
      <c r="BA114" s="344"/>
      <c r="BB114" s="390">
        <f t="shared" si="25"/>
        <v>0</v>
      </c>
      <c r="BC114" s="345">
        <v>0</v>
      </c>
    </row>
    <row r="115" spans="1:55">
      <c r="A115" s="264"/>
      <c r="B115" s="326"/>
      <c r="C115" s="327"/>
      <c r="D115" s="327"/>
      <c r="E115" s="371">
        <f t="shared" si="19"/>
        <v>337945</v>
      </c>
      <c r="F115" s="372">
        <f t="shared" si="20"/>
        <v>0</v>
      </c>
      <c r="G115" s="264"/>
      <c r="H115" s="328"/>
      <c r="I115" s="329"/>
      <c r="J115" s="330"/>
      <c r="K115" s="375">
        <f t="shared" si="21"/>
        <v>941317</v>
      </c>
      <c r="L115" s="331"/>
      <c r="M115" s="377">
        <f t="shared" si="17"/>
        <v>0</v>
      </c>
      <c r="N115" s="264"/>
      <c r="O115" s="332"/>
      <c r="P115" s="333"/>
      <c r="Q115" s="333"/>
      <c r="R115" s="334"/>
      <c r="S115" s="334"/>
      <c r="T115" s="334"/>
      <c r="U115" s="334"/>
      <c r="V115" s="379">
        <f t="shared" si="22"/>
        <v>14081391</v>
      </c>
      <c r="W115" s="335"/>
      <c r="Y115" s="336"/>
      <c r="Z115" s="337"/>
      <c r="AA115" s="338"/>
      <c r="AB115" s="383">
        <f t="shared" si="23"/>
        <v>638</v>
      </c>
      <c r="AC115" s="339"/>
      <c r="AD115" s="384">
        <f t="shared" si="27"/>
        <v>0</v>
      </c>
      <c r="AE115" s="336"/>
      <c r="AF115" s="329"/>
      <c r="AG115" s="330"/>
      <c r="AH115" s="375">
        <f t="shared" si="24"/>
        <v>320270</v>
      </c>
      <c r="AI115" s="331"/>
      <c r="AJ115" s="377">
        <f t="shared" si="28"/>
        <v>0</v>
      </c>
      <c r="AK115" s="336"/>
      <c r="AL115" s="336"/>
      <c r="AM115" s="336"/>
      <c r="AN115" s="340"/>
      <c r="AO115" s="341"/>
      <c r="AP115" s="341"/>
      <c r="AQ115" s="386">
        <f t="shared" si="26"/>
        <v>199895</v>
      </c>
      <c r="AR115" s="342"/>
      <c r="AS115" s="389">
        <f t="shared" si="18"/>
        <v>0</v>
      </c>
      <c r="AU115" s="343"/>
      <c r="AV115" s="344"/>
      <c r="AW115" s="344"/>
      <c r="AX115" s="344"/>
      <c r="AY115" s="344"/>
      <c r="AZ115" s="344"/>
      <c r="BA115" s="344"/>
      <c r="BB115" s="390">
        <f t="shared" si="25"/>
        <v>0</v>
      </c>
      <c r="BC115" s="345">
        <v>0</v>
      </c>
    </row>
    <row r="116" spans="1:55">
      <c r="A116" s="264"/>
      <c r="B116" s="326"/>
      <c r="C116" s="327"/>
      <c r="D116" s="327"/>
      <c r="E116" s="371">
        <f t="shared" si="19"/>
        <v>337945</v>
      </c>
      <c r="F116" s="372">
        <f t="shared" si="20"/>
        <v>0</v>
      </c>
      <c r="G116" s="264"/>
      <c r="H116" s="328"/>
      <c r="I116" s="329"/>
      <c r="J116" s="330"/>
      <c r="K116" s="375">
        <f t="shared" si="21"/>
        <v>941317</v>
      </c>
      <c r="L116" s="331"/>
      <c r="M116" s="377">
        <f t="shared" si="17"/>
        <v>0</v>
      </c>
      <c r="N116" s="264"/>
      <c r="O116" s="332"/>
      <c r="P116" s="333"/>
      <c r="Q116" s="333"/>
      <c r="R116" s="334"/>
      <c r="S116" s="334"/>
      <c r="T116" s="334"/>
      <c r="U116" s="334"/>
      <c r="V116" s="379">
        <f t="shared" si="22"/>
        <v>14081391</v>
      </c>
      <c r="W116" s="335"/>
      <c r="Y116" s="336"/>
      <c r="Z116" s="337"/>
      <c r="AA116" s="338"/>
      <c r="AB116" s="383">
        <f t="shared" si="23"/>
        <v>638</v>
      </c>
      <c r="AC116" s="339"/>
      <c r="AD116" s="384">
        <f t="shared" si="27"/>
        <v>0</v>
      </c>
      <c r="AE116" s="336"/>
      <c r="AF116" s="329"/>
      <c r="AG116" s="330"/>
      <c r="AH116" s="375">
        <f t="shared" si="24"/>
        <v>320270</v>
      </c>
      <c r="AI116" s="331"/>
      <c r="AJ116" s="377">
        <f t="shared" si="28"/>
        <v>0</v>
      </c>
      <c r="AK116" s="336"/>
      <c r="AL116" s="336"/>
      <c r="AM116" s="336"/>
      <c r="AN116" s="340"/>
      <c r="AO116" s="341"/>
      <c r="AP116" s="341"/>
      <c r="AQ116" s="386">
        <f t="shared" si="26"/>
        <v>199895</v>
      </c>
      <c r="AR116" s="342"/>
      <c r="AS116" s="389">
        <f t="shared" si="18"/>
        <v>0</v>
      </c>
      <c r="AU116" s="343"/>
      <c r="AV116" s="344"/>
      <c r="AW116" s="344"/>
      <c r="AX116" s="344"/>
      <c r="AY116" s="344"/>
      <c r="AZ116" s="344"/>
      <c r="BA116" s="344"/>
      <c r="BB116" s="390">
        <f t="shared" si="25"/>
        <v>0</v>
      </c>
      <c r="BC116" s="345">
        <v>0</v>
      </c>
    </row>
    <row r="117" spans="1:55">
      <c r="A117" s="264"/>
      <c r="B117" s="326"/>
      <c r="C117" s="327"/>
      <c r="D117" s="327"/>
      <c r="E117" s="371">
        <f t="shared" si="19"/>
        <v>337945</v>
      </c>
      <c r="F117" s="372">
        <f t="shared" si="20"/>
        <v>0</v>
      </c>
      <c r="G117" s="264"/>
      <c r="H117" s="328"/>
      <c r="I117" s="329"/>
      <c r="J117" s="330"/>
      <c r="K117" s="375">
        <f t="shared" si="21"/>
        <v>941317</v>
      </c>
      <c r="L117" s="331"/>
      <c r="M117" s="377">
        <f t="shared" si="17"/>
        <v>0</v>
      </c>
      <c r="N117" s="264"/>
      <c r="O117" s="332"/>
      <c r="P117" s="333"/>
      <c r="Q117" s="333"/>
      <c r="R117" s="334"/>
      <c r="S117" s="334"/>
      <c r="T117" s="334"/>
      <c r="U117" s="334"/>
      <c r="V117" s="379">
        <f t="shared" si="22"/>
        <v>14081391</v>
      </c>
      <c r="W117" s="335"/>
      <c r="Y117" s="336"/>
      <c r="Z117" s="337"/>
      <c r="AA117" s="338"/>
      <c r="AB117" s="383">
        <f t="shared" si="23"/>
        <v>638</v>
      </c>
      <c r="AC117" s="339"/>
      <c r="AD117" s="384">
        <f t="shared" si="27"/>
        <v>0</v>
      </c>
      <c r="AE117" s="336"/>
      <c r="AF117" s="329"/>
      <c r="AG117" s="330"/>
      <c r="AH117" s="375">
        <f t="shared" si="24"/>
        <v>320270</v>
      </c>
      <c r="AI117" s="331"/>
      <c r="AJ117" s="377">
        <f t="shared" si="28"/>
        <v>0</v>
      </c>
      <c r="AK117" s="336"/>
      <c r="AL117" s="336"/>
      <c r="AM117" s="336"/>
      <c r="AN117" s="340"/>
      <c r="AO117" s="341"/>
      <c r="AP117" s="341"/>
      <c r="AQ117" s="386">
        <f t="shared" si="26"/>
        <v>199895</v>
      </c>
      <c r="AR117" s="342"/>
      <c r="AS117" s="389">
        <f t="shared" si="18"/>
        <v>0</v>
      </c>
      <c r="AU117" s="343"/>
      <c r="AV117" s="344"/>
      <c r="AW117" s="344"/>
      <c r="AX117" s="344"/>
      <c r="AY117" s="344"/>
      <c r="AZ117" s="344"/>
      <c r="BA117" s="344"/>
      <c r="BB117" s="390">
        <f t="shared" si="25"/>
        <v>0</v>
      </c>
      <c r="BC117" s="345">
        <v>0</v>
      </c>
    </row>
    <row r="118" spans="1:55">
      <c r="A118" s="264"/>
      <c r="B118" s="326"/>
      <c r="C118" s="327"/>
      <c r="D118" s="327"/>
      <c r="E118" s="371">
        <f t="shared" si="19"/>
        <v>337945</v>
      </c>
      <c r="F118" s="372">
        <f t="shared" si="20"/>
        <v>0</v>
      </c>
      <c r="G118" s="264"/>
      <c r="H118" s="328"/>
      <c r="I118" s="329"/>
      <c r="J118" s="330"/>
      <c r="K118" s="375">
        <f t="shared" si="21"/>
        <v>941317</v>
      </c>
      <c r="L118" s="331"/>
      <c r="M118" s="377">
        <f t="shared" si="17"/>
        <v>0</v>
      </c>
      <c r="N118" s="264"/>
      <c r="O118" s="332"/>
      <c r="P118" s="333"/>
      <c r="Q118" s="333"/>
      <c r="R118" s="334"/>
      <c r="S118" s="334"/>
      <c r="T118" s="334"/>
      <c r="U118" s="334"/>
      <c r="V118" s="379">
        <f t="shared" si="22"/>
        <v>14081391</v>
      </c>
      <c r="W118" s="335"/>
      <c r="Y118" s="336"/>
      <c r="Z118" s="337"/>
      <c r="AA118" s="338"/>
      <c r="AB118" s="383">
        <f t="shared" si="23"/>
        <v>638</v>
      </c>
      <c r="AC118" s="339"/>
      <c r="AD118" s="384">
        <f t="shared" si="27"/>
        <v>0</v>
      </c>
      <c r="AE118" s="336"/>
      <c r="AF118" s="329"/>
      <c r="AG118" s="330"/>
      <c r="AH118" s="375">
        <f t="shared" si="24"/>
        <v>320270</v>
      </c>
      <c r="AI118" s="331"/>
      <c r="AJ118" s="377">
        <f t="shared" si="28"/>
        <v>0</v>
      </c>
      <c r="AK118" s="336"/>
      <c r="AL118" s="336"/>
      <c r="AM118" s="336"/>
      <c r="AN118" s="340"/>
      <c r="AO118" s="341"/>
      <c r="AP118" s="341"/>
      <c r="AQ118" s="386">
        <f t="shared" si="26"/>
        <v>199895</v>
      </c>
      <c r="AR118" s="342"/>
      <c r="AS118" s="389">
        <f t="shared" si="18"/>
        <v>0</v>
      </c>
      <c r="AU118" s="343"/>
      <c r="AV118" s="344"/>
      <c r="AW118" s="344"/>
      <c r="AX118" s="344"/>
      <c r="AY118" s="344"/>
      <c r="AZ118" s="344"/>
      <c r="BA118" s="344"/>
      <c r="BB118" s="390">
        <f t="shared" si="25"/>
        <v>0</v>
      </c>
      <c r="BC118" s="345">
        <v>0</v>
      </c>
    </row>
    <row r="119" spans="1:55">
      <c r="A119" s="264"/>
      <c r="B119" s="326"/>
      <c r="C119" s="327"/>
      <c r="D119" s="327"/>
      <c r="E119" s="371">
        <f t="shared" si="19"/>
        <v>337945</v>
      </c>
      <c r="F119" s="372">
        <f t="shared" si="20"/>
        <v>0</v>
      </c>
      <c r="G119" s="264"/>
      <c r="H119" s="328"/>
      <c r="I119" s="329"/>
      <c r="J119" s="330"/>
      <c r="K119" s="375">
        <f t="shared" si="21"/>
        <v>941317</v>
      </c>
      <c r="L119" s="331"/>
      <c r="M119" s="377">
        <f t="shared" si="17"/>
        <v>0</v>
      </c>
      <c r="N119" s="264"/>
      <c r="O119" s="332"/>
      <c r="P119" s="333"/>
      <c r="Q119" s="333"/>
      <c r="R119" s="334"/>
      <c r="S119" s="334"/>
      <c r="T119" s="334"/>
      <c r="U119" s="334"/>
      <c r="V119" s="379">
        <f t="shared" si="22"/>
        <v>14081391</v>
      </c>
      <c r="W119" s="335"/>
      <c r="Y119" s="336"/>
      <c r="Z119" s="337"/>
      <c r="AA119" s="338"/>
      <c r="AB119" s="383">
        <f t="shared" si="23"/>
        <v>638</v>
      </c>
      <c r="AC119" s="339"/>
      <c r="AD119" s="384">
        <f t="shared" si="27"/>
        <v>0</v>
      </c>
      <c r="AE119" s="336"/>
      <c r="AF119" s="329"/>
      <c r="AG119" s="330"/>
      <c r="AH119" s="375">
        <f t="shared" si="24"/>
        <v>320270</v>
      </c>
      <c r="AI119" s="331"/>
      <c r="AJ119" s="377">
        <f t="shared" si="28"/>
        <v>0</v>
      </c>
      <c r="AK119" s="336"/>
      <c r="AL119" s="336"/>
      <c r="AM119" s="336"/>
      <c r="AN119" s="340"/>
      <c r="AO119" s="341"/>
      <c r="AP119" s="341"/>
      <c r="AQ119" s="386">
        <f t="shared" si="26"/>
        <v>199895</v>
      </c>
      <c r="AR119" s="342"/>
      <c r="AS119" s="389">
        <f t="shared" si="18"/>
        <v>0</v>
      </c>
      <c r="AU119" s="343"/>
      <c r="AV119" s="344"/>
      <c r="AW119" s="344"/>
      <c r="AX119" s="344"/>
      <c r="AY119" s="344"/>
      <c r="AZ119" s="344"/>
      <c r="BA119" s="344"/>
      <c r="BB119" s="390">
        <f t="shared" si="25"/>
        <v>0</v>
      </c>
      <c r="BC119" s="345">
        <v>0</v>
      </c>
    </row>
    <row r="120" spans="1:55">
      <c r="A120" s="264"/>
      <c r="B120" s="326"/>
      <c r="C120" s="327"/>
      <c r="D120" s="327"/>
      <c r="E120" s="371">
        <f t="shared" si="19"/>
        <v>337945</v>
      </c>
      <c r="F120" s="372">
        <f t="shared" si="20"/>
        <v>0</v>
      </c>
      <c r="G120" s="264"/>
      <c r="H120" s="328"/>
      <c r="I120" s="329"/>
      <c r="J120" s="330"/>
      <c r="K120" s="375">
        <f t="shared" si="21"/>
        <v>941317</v>
      </c>
      <c r="L120" s="331"/>
      <c r="M120" s="377">
        <f t="shared" si="17"/>
        <v>0</v>
      </c>
      <c r="N120" s="264"/>
      <c r="O120" s="332"/>
      <c r="P120" s="333"/>
      <c r="Q120" s="333"/>
      <c r="R120" s="334"/>
      <c r="S120" s="334"/>
      <c r="T120" s="334"/>
      <c r="U120" s="334"/>
      <c r="V120" s="379">
        <f t="shared" si="22"/>
        <v>14081391</v>
      </c>
      <c r="W120" s="335"/>
      <c r="Y120" s="336"/>
      <c r="Z120" s="337"/>
      <c r="AA120" s="338"/>
      <c r="AB120" s="383">
        <f t="shared" si="23"/>
        <v>638</v>
      </c>
      <c r="AC120" s="339"/>
      <c r="AD120" s="384">
        <f t="shared" si="27"/>
        <v>0</v>
      </c>
      <c r="AE120" s="336"/>
      <c r="AF120" s="329"/>
      <c r="AG120" s="330"/>
      <c r="AH120" s="375">
        <f t="shared" si="24"/>
        <v>320270</v>
      </c>
      <c r="AI120" s="331"/>
      <c r="AJ120" s="377">
        <f t="shared" si="28"/>
        <v>0</v>
      </c>
      <c r="AK120" s="336"/>
      <c r="AL120" s="336"/>
      <c r="AM120" s="336"/>
      <c r="AN120" s="340"/>
      <c r="AO120" s="341"/>
      <c r="AP120" s="341"/>
      <c r="AQ120" s="386">
        <f t="shared" si="26"/>
        <v>199895</v>
      </c>
      <c r="AR120" s="342"/>
      <c r="AS120" s="389">
        <f t="shared" si="18"/>
        <v>0</v>
      </c>
      <c r="AU120" s="343"/>
      <c r="AV120" s="344"/>
      <c r="AW120" s="344"/>
      <c r="AX120" s="344"/>
      <c r="AY120" s="344"/>
      <c r="AZ120" s="344"/>
      <c r="BA120" s="344"/>
      <c r="BB120" s="390">
        <f t="shared" si="25"/>
        <v>0</v>
      </c>
      <c r="BC120" s="345">
        <v>0</v>
      </c>
    </row>
    <row r="121" spans="1:55">
      <c r="A121" s="264"/>
      <c r="B121" s="326"/>
      <c r="C121" s="327"/>
      <c r="D121" s="327"/>
      <c r="E121" s="371">
        <f t="shared" si="19"/>
        <v>337945</v>
      </c>
      <c r="F121" s="372">
        <f t="shared" si="20"/>
        <v>0</v>
      </c>
      <c r="G121" s="264"/>
      <c r="H121" s="328"/>
      <c r="I121" s="329"/>
      <c r="J121" s="330"/>
      <c r="K121" s="375">
        <f t="shared" si="21"/>
        <v>941317</v>
      </c>
      <c r="L121" s="331"/>
      <c r="M121" s="377">
        <f t="shared" si="17"/>
        <v>0</v>
      </c>
      <c r="N121" s="264"/>
      <c r="O121" s="332"/>
      <c r="P121" s="333"/>
      <c r="Q121" s="333"/>
      <c r="R121" s="334"/>
      <c r="S121" s="334"/>
      <c r="T121" s="334"/>
      <c r="U121" s="334"/>
      <c r="V121" s="379">
        <f t="shared" si="22"/>
        <v>14081391</v>
      </c>
      <c r="W121" s="335"/>
      <c r="Y121" s="336"/>
      <c r="Z121" s="337"/>
      <c r="AA121" s="338"/>
      <c r="AB121" s="383">
        <f t="shared" si="23"/>
        <v>638</v>
      </c>
      <c r="AC121" s="339"/>
      <c r="AD121" s="384">
        <f t="shared" si="27"/>
        <v>0</v>
      </c>
      <c r="AE121" s="336"/>
      <c r="AF121" s="329"/>
      <c r="AG121" s="330"/>
      <c r="AH121" s="375">
        <f t="shared" si="24"/>
        <v>320270</v>
      </c>
      <c r="AI121" s="331"/>
      <c r="AJ121" s="377">
        <f t="shared" si="28"/>
        <v>0</v>
      </c>
      <c r="AK121" s="336"/>
      <c r="AL121" s="336"/>
      <c r="AM121" s="336"/>
      <c r="AN121" s="340"/>
      <c r="AO121" s="341"/>
      <c r="AP121" s="341"/>
      <c r="AQ121" s="386">
        <f t="shared" si="26"/>
        <v>199895</v>
      </c>
      <c r="AR121" s="342"/>
      <c r="AS121" s="389">
        <f t="shared" si="18"/>
        <v>0</v>
      </c>
      <c r="AU121" s="343"/>
      <c r="AV121" s="344"/>
      <c r="AW121" s="344"/>
      <c r="AX121" s="344"/>
      <c r="AY121" s="344"/>
      <c r="AZ121" s="344"/>
      <c r="BA121" s="344"/>
      <c r="BB121" s="390">
        <f t="shared" si="25"/>
        <v>0</v>
      </c>
      <c r="BC121" s="345">
        <v>0</v>
      </c>
    </row>
    <row r="122" spans="1:55">
      <c r="A122" s="264"/>
      <c r="B122" s="326"/>
      <c r="C122" s="327"/>
      <c r="D122" s="327"/>
      <c r="E122" s="371">
        <f t="shared" si="19"/>
        <v>337945</v>
      </c>
      <c r="F122" s="372">
        <f t="shared" si="20"/>
        <v>0</v>
      </c>
      <c r="G122" s="264"/>
      <c r="H122" s="328"/>
      <c r="I122" s="329"/>
      <c r="J122" s="330"/>
      <c r="K122" s="375">
        <f t="shared" si="21"/>
        <v>941317</v>
      </c>
      <c r="L122" s="331"/>
      <c r="M122" s="377">
        <f t="shared" si="17"/>
        <v>0</v>
      </c>
      <c r="N122" s="264"/>
      <c r="O122" s="332"/>
      <c r="P122" s="333"/>
      <c r="Q122" s="333"/>
      <c r="R122" s="334"/>
      <c r="S122" s="334"/>
      <c r="T122" s="334"/>
      <c r="U122" s="334"/>
      <c r="V122" s="379">
        <f t="shared" si="22"/>
        <v>14081391</v>
      </c>
      <c r="W122" s="335"/>
      <c r="Y122" s="336"/>
      <c r="Z122" s="337"/>
      <c r="AA122" s="338"/>
      <c r="AB122" s="383">
        <f t="shared" si="23"/>
        <v>638</v>
      </c>
      <c r="AC122" s="339"/>
      <c r="AD122" s="384">
        <f t="shared" si="27"/>
        <v>0</v>
      </c>
      <c r="AE122" s="336"/>
      <c r="AF122" s="329"/>
      <c r="AG122" s="330"/>
      <c r="AH122" s="375">
        <f t="shared" si="24"/>
        <v>320270</v>
      </c>
      <c r="AI122" s="331"/>
      <c r="AJ122" s="377">
        <f t="shared" si="28"/>
        <v>0</v>
      </c>
      <c r="AK122" s="336"/>
      <c r="AL122" s="336"/>
      <c r="AM122" s="336"/>
      <c r="AN122" s="340"/>
      <c r="AO122" s="341"/>
      <c r="AP122" s="341"/>
      <c r="AQ122" s="386">
        <f t="shared" si="26"/>
        <v>199895</v>
      </c>
      <c r="AR122" s="342"/>
      <c r="AS122" s="389">
        <f t="shared" si="18"/>
        <v>0</v>
      </c>
      <c r="AU122" s="343"/>
      <c r="AV122" s="344"/>
      <c r="AW122" s="344"/>
      <c r="AX122" s="344"/>
      <c r="AY122" s="344"/>
      <c r="AZ122" s="344"/>
      <c r="BA122" s="344"/>
      <c r="BB122" s="390">
        <f t="shared" si="25"/>
        <v>0</v>
      </c>
      <c r="BC122" s="345">
        <v>0</v>
      </c>
    </row>
    <row r="123" spans="1:55">
      <c r="A123" s="264"/>
      <c r="B123" s="326"/>
      <c r="C123" s="327"/>
      <c r="D123" s="327"/>
      <c r="E123" s="371">
        <f t="shared" si="19"/>
        <v>337945</v>
      </c>
      <c r="F123" s="372">
        <f t="shared" si="20"/>
        <v>0</v>
      </c>
      <c r="G123" s="264"/>
      <c r="H123" s="328"/>
      <c r="I123" s="329"/>
      <c r="J123" s="330"/>
      <c r="K123" s="375">
        <f t="shared" si="21"/>
        <v>941317</v>
      </c>
      <c r="L123" s="331"/>
      <c r="M123" s="377">
        <f t="shared" si="17"/>
        <v>0</v>
      </c>
      <c r="N123" s="264"/>
      <c r="O123" s="332"/>
      <c r="P123" s="333"/>
      <c r="Q123" s="333"/>
      <c r="R123" s="334"/>
      <c r="S123" s="334"/>
      <c r="T123" s="334"/>
      <c r="U123" s="334"/>
      <c r="V123" s="379">
        <f t="shared" si="22"/>
        <v>14081391</v>
      </c>
      <c r="W123" s="335"/>
      <c r="Y123" s="336"/>
      <c r="Z123" s="337"/>
      <c r="AA123" s="338"/>
      <c r="AB123" s="383">
        <f t="shared" si="23"/>
        <v>638</v>
      </c>
      <c r="AC123" s="339"/>
      <c r="AD123" s="384">
        <f t="shared" si="27"/>
        <v>0</v>
      </c>
      <c r="AE123" s="336"/>
      <c r="AF123" s="329"/>
      <c r="AG123" s="330"/>
      <c r="AH123" s="375">
        <f t="shared" si="24"/>
        <v>320270</v>
      </c>
      <c r="AI123" s="331"/>
      <c r="AJ123" s="377">
        <f t="shared" si="28"/>
        <v>0</v>
      </c>
      <c r="AK123" s="336"/>
      <c r="AL123" s="336"/>
      <c r="AM123" s="336"/>
      <c r="AN123" s="340"/>
      <c r="AO123" s="341"/>
      <c r="AP123" s="341"/>
      <c r="AQ123" s="386">
        <f t="shared" si="26"/>
        <v>199895</v>
      </c>
      <c r="AR123" s="342"/>
      <c r="AS123" s="389">
        <f t="shared" si="18"/>
        <v>0</v>
      </c>
      <c r="AU123" s="343"/>
      <c r="AV123" s="344"/>
      <c r="AW123" s="344"/>
      <c r="AX123" s="344"/>
      <c r="AY123" s="344"/>
      <c r="AZ123" s="344"/>
      <c r="BA123" s="344"/>
      <c r="BB123" s="390">
        <f t="shared" si="25"/>
        <v>0</v>
      </c>
      <c r="BC123" s="345">
        <v>0</v>
      </c>
    </row>
    <row r="124" spans="1:55">
      <c r="A124" s="264"/>
      <c r="B124" s="326"/>
      <c r="C124" s="327"/>
      <c r="D124" s="327"/>
      <c r="E124" s="371">
        <f t="shared" si="19"/>
        <v>337945</v>
      </c>
      <c r="F124" s="372">
        <f t="shared" si="20"/>
        <v>0</v>
      </c>
      <c r="G124" s="264"/>
      <c r="H124" s="328"/>
      <c r="I124" s="329"/>
      <c r="J124" s="330"/>
      <c r="K124" s="375">
        <f t="shared" si="21"/>
        <v>941317</v>
      </c>
      <c r="L124" s="331"/>
      <c r="M124" s="377">
        <f t="shared" si="17"/>
        <v>0</v>
      </c>
      <c r="N124" s="264"/>
      <c r="O124" s="332"/>
      <c r="P124" s="333"/>
      <c r="Q124" s="333"/>
      <c r="R124" s="334"/>
      <c r="S124" s="334"/>
      <c r="T124" s="334"/>
      <c r="U124" s="334"/>
      <c r="V124" s="379">
        <f t="shared" si="22"/>
        <v>14081391</v>
      </c>
      <c r="W124" s="335"/>
      <c r="Y124" s="336"/>
      <c r="Z124" s="337"/>
      <c r="AA124" s="338"/>
      <c r="AB124" s="383">
        <f t="shared" si="23"/>
        <v>638</v>
      </c>
      <c r="AC124" s="339"/>
      <c r="AD124" s="384">
        <f t="shared" si="27"/>
        <v>0</v>
      </c>
      <c r="AE124" s="336"/>
      <c r="AF124" s="329"/>
      <c r="AG124" s="330"/>
      <c r="AH124" s="375">
        <f t="shared" si="24"/>
        <v>320270</v>
      </c>
      <c r="AI124" s="331"/>
      <c r="AJ124" s="377">
        <f t="shared" si="28"/>
        <v>0</v>
      </c>
      <c r="AK124" s="336"/>
      <c r="AL124" s="336"/>
      <c r="AM124" s="336"/>
      <c r="AN124" s="340"/>
      <c r="AO124" s="341"/>
      <c r="AP124" s="341"/>
      <c r="AQ124" s="386">
        <f t="shared" si="26"/>
        <v>199895</v>
      </c>
      <c r="AR124" s="342"/>
      <c r="AS124" s="389">
        <f t="shared" si="18"/>
        <v>0</v>
      </c>
      <c r="AU124" s="343"/>
      <c r="AV124" s="344"/>
      <c r="AW124" s="344"/>
      <c r="AX124" s="344"/>
      <c r="AY124" s="344"/>
      <c r="AZ124" s="344"/>
      <c r="BA124" s="344"/>
      <c r="BB124" s="390">
        <f t="shared" si="25"/>
        <v>0</v>
      </c>
      <c r="BC124" s="345">
        <v>0</v>
      </c>
    </row>
    <row r="125" spans="1:55">
      <c r="A125" s="264"/>
      <c r="B125" s="326"/>
      <c r="C125" s="327"/>
      <c r="D125" s="327"/>
      <c r="E125" s="371">
        <f t="shared" si="19"/>
        <v>337945</v>
      </c>
      <c r="F125" s="372">
        <f t="shared" si="20"/>
        <v>0</v>
      </c>
      <c r="G125" s="264"/>
      <c r="H125" s="328"/>
      <c r="I125" s="329"/>
      <c r="J125" s="330"/>
      <c r="K125" s="375">
        <f t="shared" si="21"/>
        <v>941317</v>
      </c>
      <c r="L125" s="331"/>
      <c r="M125" s="377">
        <f t="shared" si="17"/>
        <v>0</v>
      </c>
      <c r="N125" s="264"/>
      <c r="O125" s="332"/>
      <c r="P125" s="333"/>
      <c r="Q125" s="333"/>
      <c r="R125" s="334"/>
      <c r="S125" s="334"/>
      <c r="T125" s="334"/>
      <c r="U125" s="334"/>
      <c r="V125" s="379">
        <f t="shared" si="22"/>
        <v>14081391</v>
      </c>
      <c r="W125" s="335"/>
      <c r="Y125" s="336"/>
      <c r="Z125" s="337"/>
      <c r="AA125" s="338"/>
      <c r="AB125" s="383">
        <f t="shared" si="23"/>
        <v>638</v>
      </c>
      <c r="AC125" s="339"/>
      <c r="AD125" s="384">
        <f t="shared" si="27"/>
        <v>0</v>
      </c>
      <c r="AE125" s="336"/>
      <c r="AF125" s="329"/>
      <c r="AG125" s="330"/>
      <c r="AH125" s="375">
        <f t="shared" si="24"/>
        <v>320270</v>
      </c>
      <c r="AI125" s="331"/>
      <c r="AJ125" s="377">
        <f t="shared" si="28"/>
        <v>0</v>
      </c>
      <c r="AK125" s="336"/>
      <c r="AL125" s="336"/>
      <c r="AM125" s="336"/>
      <c r="AN125" s="340"/>
      <c r="AO125" s="341"/>
      <c r="AP125" s="341"/>
      <c r="AQ125" s="386">
        <f t="shared" si="26"/>
        <v>199895</v>
      </c>
      <c r="AR125" s="342"/>
      <c r="AS125" s="389">
        <f t="shared" si="18"/>
        <v>0</v>
      </c>
      <c r="AU125" s="343"/>
      <c r="AV125" s="344"/>
      <c r="AW125" s="344"/>
      <c r="AX125" s="344"/>
      <c r="AY125" s="344"/>
      <c r="AZ125" s="344"/>
      <c r="BA125" s="344"/>
      <c r="BB125" s="390">
        <f t="shared" si="25"/>
        <v>0</v>
      </c>
      <c r="BC125" s="345">
        <v>0</v>
      </c>
    </row>
    <row r="126" spans="1:55">
      <c r="A126" s="264"/>
      <c r="B126" s="326"/>
      <c r="C126" s="327"/>
      <c r="D126" s="327"/>
      <c r="E126" s="371">
        <f t="shared" si="19"/>
        <v>337945</v>
      </c>
      <c r="F126" s="372">
        <f t="shared" si="20"/>
        <v>0</v>
      </c>
      <c r="G126" s="264"/>
      <c r="H126" s="328"/>
      <c r="I126" s="329"/>
      <c r="J126" s="330"/>
      <c r="K126" s="375">
        <f t="shared" si="21"/>
        <v>941317</v>
      </c>
      <c r="L126" s="331"/>
      <c r="M126" s="377">
        <f t="shared" si="17"/>
        <v>0</v>
      </c>
      <c r="N126" s="264"/>
      <c r="O126" s="332"/>
      <c r="P126" s="333"/>
      <c r="Q126" s="333"/>
      <c r="R126" s="334"/>
      <c r="S126" s="334"/>
      <c r="T126" s="334"/>
      <c r="U126" s="334"/>
      <c r="V126" s="379">
        <f t="shared" si="22"/>
        <v>14081391</v>
      </c>
      <c r="W126" s="335"/>
      <c r="Y126" s="336"/>
      <c r="Z126" s="337"/>
      <c r="AA126" s="338"/>
      <c r="AB126" s="383">
        <f t="shared" si="23"/>
        <v>638</v>
      </c>
      <c r="AC126" s="339"/>
      <c r="AD126" s="384">
        <f t="shared" si="27"/>
        <v>0</v>
      </c>
      <c r="AE126" s="336"/>
      <c r="AF126" s="329"/>
      <c r="AG126" s="330"/>
      <c r="AH126" s="375">
        <f t="shared" si="24"/>
        <v>320270</v>
      </c>
      <c r="AI126" s="331"/>
      <c r="AJ126" s="377">
        <f t="shared" si="28"/>
        <v>0</v>
      </c>
      <c r="AK126" s="336"/>
      <c r="AL126" s="336"/>
      <c r="AM126" s="336"/>
      <c r="AN126" s="340"/>
      <c r="AO126" s="341"/>
      <c r="AP126" s="341"/>
      <c r="AQ126" s="386">
        <f t="shared" si="26"/>
        <v>199895</v>
      </c>
      <c r="AR126" s="342"/>
      <c r="AS126" s="389">
        <f t="shared" si="18"/>
        <v>0</v>
      </c>
      <c r="AU126" s="343"/>
      <c r="AV126" s="344"/>
      <c r="AW126" s="344"/>
      <c r="AX126" s="344"/>
      <c r="AY126" s="344"/>
      <c r="AZ126" s="344"/>
      <c r="BA126" s="344"/>
      <c r="BB126" s="390">
        <f t="shared" si="25"/>
        <v>0</v>
      </c>
      <c r="BC126" s="345">
        <v>0</v>
      </c>
    </row>
    <row r="127" spans="1:55">
      <c r="A127" s="264"/>
      <c r="B127" s="326"/>
      <c r="C127" s="327"/>
      <c r="D127" s="327"/>
      <c r="E127" s="371">
        <f t="shared" si="19"/>
        <v>337945</v>
      </c>
      <c r="F127" s="372">
        <f t="shared" si="20"/>
        <v>0</v>
      </c>
      <c r="G127" s="264"/>
      <c r="H127" s="328"/>
      <c r="I127" s="329"/>
      <c r="J127" s="330"/>
      <c r="K127" s="375">
        <f t="shared" si="21"/>
        <v>941317</v>
      </c>
      <c r="L127" s="331"/>
      <c r="M127" s="377">
        <f t="shared" si="17"/>
        <v>0</v>
      </c>
      <c r="N127" s="264"/>
      <c r="O127" s="332"/>
      <c r="P127" s="333"/>
      <c r="Q127" s="333"/>
      <c r="R127" s="334"/>
      <c r="S127" s="334"/>
      <c r="T127" s="334"/>
      <c r="U127" s="334"/>
      <c r="V127" s="379">
        <f t="shared" si="22"/>
        <v>14081391</v>
      </c>
      <c r="W127" s="335"/>
      <c r="Y127" s="336"/>
      <c r="Z127" s="337"/>
      <c r="AA127" s="338"/>
      <c r="AB127" s="383">
        <f t="shared" si="23"/>
        <v>638</v>
      </c>
      <c r="AC127" s="339"/>
      <c r="AD127" s="384">
        <f t="shared" si="27"/>
        <v>0</v>
      </c>
      <c r="AE127" s="336"/>
      <c r="AF127" s="329"/>
      <c r="AG127" s="330"/>
      <c r="AH127" s="375">
        <f t="shared" si="24"/>
        <v>320270</v>
      </c>
      <c r="AI127" s="331"/>
      <c r="AJ127" s="377">
        <f t="shared" si="28"/>
        <v>0</v>
      </c>
      <c r="AK127" s="336"/>
      <c r="AL127" s="336"/>
      <c r="AM127" s="336"/>
      <c r="AN127" s="340"/>
      <c r="AO127" s="341"/>
      <c r="AP127" s="341"/>
      <c r="AQ127" s="386">
        <f t="shared" si="26"/>
        <v>199895</v>
      </c>
      <c r="AR127" s="342"/>
      <c r="AS127" s="389">
        <f t="shared" si="18"/>
        <v>0</v>
      </c>
      <c r="AU127" s="343"/>
      <c r="AV127" s="344"/>
      <c r="AW127" s="344"/>
      <c r="AX127" s="344"/>
      <c r="AY127" s="344"/>
      <c r="AZ127" s="344"/>
      <c r="BA127" s="344"/>
      <c r="BB127" s="390">
        <f t="shared" si="25"/>
        <v>0</v>
      </c>
      <c r="BC127" s="345">
        <v>0</v>
      </c>
    </row>
    <row r="128" spans="1:55">
      <c r="A128" s="264"/>
      <c r="B128" s="326"/>
      <c r="C128" s="327"/>
      <c r="D128" s="327"/>
      <c r="E128" s="371">
        <f t="shared" si="19"/>
        <v>337945</v>
      </c>
      <c r="F128" s="372">
        <f t="shared" si="20"/>
        <v>0</v>
      </c>
      <c r="G128" s="264"/>
      <c r="H128" s="328"/>
      <c r="I128" s="329"/>
      <c r="J128" s="330"/>
      <c r="K128" s="375">
        <f t="shared" si="21"/>
        <v>941317</v>
      </c>
      <c r="L128" s="331"/>
      <c r="M128" s="377">
        <f t="shared" si="17"/>
        <v>0</v>
      </c>
      <c r="N128" s="264"/>
      <c r="O128" s="332"/>
      <c r="P128" s="333"/>
      <c r="Q128" s="333"/>
      <c r="R128" s="334"/>
      <c r="S128" s="334"/>
      <c r="T128" s="334"/>
      <c r="U128" s="334"/>
      <c r="V128" s="379">
        <f t="shared" si="22"/>
        <v>14081391</v>
      </c>
      <c r="W128" s="335"/>
      <c r="Y128" s="336"/>
      <c r="Z128" s="337"/>
      <c r="AA128" s="338"/>
      <c r="AB128" s="383">
        <f t="shared" si="23"/>
        <v>638</v>
      </c>
      <c r="AC128" s="339"/>
      <c r="AD128" s="384">
        <f t="shared" si="27"/>
        <v>0</v>
      </c>
      <c r="AE128" s="336"/>
      <c r="AF128" s="329"/>
      <c r="AG128" s="330"/>
      <c r="AH128" s="375">
        <f t="shared" si="24"/>
        <v>320270</v>
      </c>
      <c r="AI128" s="331"/>
      <c r="AJ128" s="377">
        <f t="shared" si="28"/>
        <v>0</v>
      </c>
      <c r="AK128" s="336"/>
      <c r="AL128" s="336"/>
      <c r="AM128" s="336"/>
      <c r="AN128" s="340"/>
      <c r="AO128" s="341"/>
      <c r="AP128" s="341"/>
      <c r="AQ128" s="386">
        <f t="shared" si="26"/>
        <v>199895</v>
      </c>
      <c r="AR128" s="342"/>
      <c r="AS128" s="389">
        <f t="shared" si="18"/>
        <v>0</v>
      </c>
      <c r="AU128" s="343"/>
      <c r="AV128" s="344"/>
      <c r="AW128" s="344"/>
      <c r="AX128" s="344"/>
      <c r="AY128" s="344"/>
      <c r="AZ128" s="344"/>
      <c r="BA128" s="344"/>
      <c r="BB128" s="390">
        <f t="shared" si="25"/>
        <v>0</v>
      </c>
      <c r="BC128" s="345">
        <v>0</v>
      </c>
    </row>
    <row r="129" spans="1:55">
      <c r="A129" s="264"/>
      <c r="B129" s="326"/>
      <c r="C129" s="327"/>
      <c r="D129" s="327"/>
      <c r="E129" s="371">
        <f t="shared" si="19"/>
        <v>337945</v>
      </c>
      <c r="F129" s="372">
        <f t="shared" si="20"/>
        <v>0</v>
      </c>
      <c r="G129" s="264"/>
      <c r="H129" s="328"/>
      <c r="I129" s="329"/>
      <c r="J129" s="330"/>
      <c r="K129" s="375">
        <f t="shared" si="21"/>
        <v>941317</v>
      </c>
      <c r="L129" s="331"/>
      <c r="M129" s="377">
        <f t="shared" si="17"/>
        <v>0</v>
      </c>
      <c r="N129" s="264"/>
      <c r="O129" s="332"/>
      <c r="P129" s="333"/>
      <c r="Q129" s="333"/>
      <c r="R129" s="334"/>
      <c r="S129" s="334"/>
      <c r="T129" s="334"/>
      <c r="U129" s="334"/>
      <c r="V129" s="379">
        <f t="shared" si="22"/>
        <v>14081391</v>
      </c>
      <c r="W129" s="335"/>
      <c r="Y129" s="336"/>
      <c r="Z129" s="337"/>
      <c r="AA129" s="338"/>
      <c r="AB129" s="383">
        <f t="shared" si="23"/>
        <v>638</v>
      </c>
      <c r="AC129" s="339"/>
      <c r="AD129" s="384">
        <f t="shared" si="27"/>
        <v>0</v>
      </c>
      <c r="AE129" s="336"/>
      <c r="AF129" s="329"/>
      <c r="AG129" s="330"/>
      <c r="AH129" s="375">
        <f t="shared" si="24"/>
        <v>320270</v>
      </c>
      <c r="AI129" s="331"/>
      <c r="AJ129" s="377">
        <f t="shared" si="28"/>
        <v>0</v>
      </c>
      <c r="AK129" s="336"/>
      <c r="AL129" s="336"/>
      <c r="AM129" s="336"/>
      <c r="AN129" s="340"/>
      <c r="AO129" s="341"/>
      <c r="AP129" s="341"/>
      <c r="AQ129" s="386">
        <f t="shared" si="26"/>
        <v>199895</v>
      </c>
      <c r="AR129" s="342"/>
      <c r="AS129" s="389">
        <f t="shared" si="18"/>
        <v>0</v>
      </c>
      <c r="AU129" s="343"/>
      <c r="AV129" s="344"/>
      <c r="AW129" s="344"/>
      <c r="AX129" s="344"/>
      <c r="AY129" s="344"/>
      <c r="AZ129" s="344"/>
      <c r="BA129" s="344"/>
      <c r="BB129" s="390">
        <f t="shared" si="25"/>
        <v>0</v>
      </c>
      <c r="BC129" s="345">
        <v>0</v>
      </c>
    </row>
    <row r="130" spans="1:55">
      <c r="A130" s="264"/>
      <c r="B130" s="326"/>
      <c r="C130" s="327"/>
      <c r="D130" s="327"/>
      <c r="E130" s="371">
        <f t="shared" si="19"/>
        <v>337945</v>
      </c>
      <c r="F130" s="372">
        <f t="shared" si="20"/>
        <v>0</v>
      </c>
      <c r="G130" s="264"/>
      <c r="H130" s="328"/>
      <c r="I130" s="329"/>
      <c r="J130" s="330"/>
      <c r="K130" s="375">
        <f t="shared" si="21"/>
        <v>941317</v>
      </c>
      <c r="L130" s="331"/>
      <c r="M130" s="377">
        <f t="shared" si="17"/>
        <v>0</v>
      </c>
      <c r="N130" s="264"/>
      <c r="O130" s="332"/>
      <c r="P130" s="333"/>
      <c r="Q130" s="333"/>
      <c r="R130" s="334"/>
      <c r="S130" s="334"/>
      <c r="T130" s="334"/>
      <c r="U130" s="334"/>
      <c r="V130" s="379">
        <f t="shared" si="22"/>
        <v>14081391</v>
      </c>
      <c r="W130" s="335"/>
      <c r="Y130" s="336"/>
      <c r="Z130" s="337"/>
      <c r="AA130" s="338"/>
      <c r="AB130" s="383">
        <f t="shared" si="23"/>
        <v>638</v>
      </c>
      <c r="AC130" s="339"/>
      <c r="AD130" s="384">
        <f t="shared" si="27"/>
        <v>0</v>
      </c>
      <c r="AE130" s="336"/>
      <c r="AF130" s="329"/>
      <c r="AG130" s="330"/>
      <c r="AH130" s="375">
        <f t="shared" si="24"/>
        <v>320270</v>
      </c>
      <c r="AI130" s="331"/>
      <c r="AJ130" s="377">
        <f t="shared" si="28"/>
        <v>0</v>
      </c>
      <c r="AK130" s="336"/>
      <c r="AL130" s="336"/>
      <c r="AM130" s="336"/>
      <c r="AN130" s="340"/>
      <c r="AO130" s="341"/>
      <c r="AP130" s="341"/>
      <c r="AQ130" s="386">
        <f t="shared" si="26"/>
        <v>199895</v>
      </c>
      <c r="AR130" s="342"/>
      <c r="AS130" s="389">
        <f t="shared" si="18"/>
        <v>0</v>
      </c>
      <c r="AU130" s="343"/>
      <c r="AV130" s="344"/>
      <c r="AW130" s="344"/>
      <c r="AX130" s="344"/>
      <c r="AY130" s="344"/>
      <c r="AZ130" s="344"/>
      <c r="BA130" s="344"/>
      <c r="BB130" s="390">
        <f t="shared" si="25"/>
        <v>0</v>
      </c>
      <c r="BC130" s="345">
        <v>0</v>
      </c>
    </row>
    <row r="131" spans="1:55">
      <c r="A131" s="264"/>
      <c r="B131" s="326"/>
      <c r="C131" s="327"/>
      <c r="D131" s="327"/>
      <c r="E131" s="371">
        <f t="shared" si="19"/>
        <v>337945</v>
      </c>
      <c r="F131" s="372">
        <f t="shared" si="20"/>
        <v>0</v>
      </c>
      <c r="G131" s="264"/>
      <c r="H131" s="328"/>
      <c r="I131" s="329"/>
      <c r="J131" s="330"/>
      <c r="K131" s="375">
        <f t="shared" si="21"/>
        <v>941317</v>
      </c>
      <c r="L131" s="331"/>
      <c r="M131" s="377">
        <f t="shared" si="17"/>
        <v>0</v>
      </c>
      <c r="N131" s="264"/>
      <c r="O131" s="332"/>
      <c r="P131" s="333"/>
      <c r="Q131" s="333"/>
      <c r="R131" s="334"/>
      <c r="S131" s="334"/>
      <c r="T131" s="334"/>
      <c r="U131" s="334"/>
      <c r="V131" s="379">
        <f t="shared" si="22"/>
        <v>14081391</v>
      </c>
      <c r="W131" s="335"/>
      <c r="Y131" s="336"/>
      <c r="Z131" s="337"/>
      <c r="AA131" s="338"/>
      <c r="AB131" s="383">
        <f t="shared" si="23"/>
        <v>638</v>
      </c>
      <c r="AC131" s="339"/>
      <c r="AD131" s="384">
        <f t="shared" si="27"/>
        <v>0</v>
      </c>
      <c r="AE131" s="336"/>
      <c r="AF131" s="329"/>
      <c r="AG131" s="330"/>
      <c r="AH131" s="375">
        <f t="shared" si="24"/>
        <v>320270</v>
      </c>
      <c r="AI131" s="331"/>
      <c r="AJ131" s="377">
        <f t="shared" si="28"/>
        <v>0</v>
      </c>
      <c r="AK131" s="336"/>
      <c r="AL131" s="336"/>
      <c r="AM131" s="336"/>
      <c r="AN131" s="340"/>
      <c r="AO131" s="341"/>
      <c r="AP131" s="341"/>
      <c r="AQ131" s="386">
        <f t="shared" si="26"/>
        <v>199895</v>
      </c>
      <c r="AR131" s="342"/>
      <c r="AS131" s="389">
        <f t="shared" si="18"/>
        <v>0</v>
      </c>
      <c r="AU131" s="343"/>
      <c r="AV131" s="344"/>
      <c r="AW131" s="344"/>
      <c r="AX131" s="344"/>
      <c r="AY131" s="344"/>
      <c r="AZ131" s="344"/>
      <c r="BA131" s="344"/>
      <c r="BB131" s="390">
        <f t="shared" si="25"/>
        <v>0</v>
      </c>
      <c r="BC131" s="345">
        <v>0</v>
      </c>
    </row>
    <row r="132" spans="1:55">
      <c r="A132" s="264"/>
      <c r="B132" s="326"/>
      <c r="C132" s="327"/>
      <c r="D132" s="327"/>
      <c r="E132" s="371">
        <f t="shared" si="19"/>
        <v>337945</v>
      </c>
      <c r="F132" s="372">
        <f t="shared" si="20"/>
        <v>0</v>
      </c>
      <c r="G132" s="264"/>
      <c r="H132" s="328"/>
      <c r="I132" s="329"/>
      <c r="J132" s="330"/>
      <c r="K132" s="375">
        <f t="shared" si="21"/>
        <v>941317</v>
      </c>
      <c r="L132" s="331"/>
      <c r="M132" s="377">
        <f t="shared" si="17"/>
        <v>0</v>
      </c>
      <c r="N132" s="264"/>
      <c r="O132" s="332"/>
      <c r="P132" s="333"/>
      <c r="Q132" s="333"/>
      <c r="R132" s="334"/>
      <c r="S132" s="334"/>
      <c r="T132" s="334"/>
      <c r="U132" s="334"/>
      <c r="V132" s="379">
        <f t="shared" si="22"/>
        <v>14081391</v>
      </c>
      <c r="W132" s="335"/>
      <c r="Y132" s="336"/>
      <c r="Z132" s="337"/>
      <c r="AA132" s="338"/>
      <c r="AB132" s="383">
        <f t="shared" si="23"/>
        <v>638</v>
      </c>
      <c r="AC132" s="339"/>
      <c r="AD132" s="384">
        <f t="shared" si="27"/>
        <v>0</v>
      </c>
      <c r="AE132" s="336"/>
      <c r="AF132" s="329"/>
      <c r="AG132" s="330"/>
      <c r="AH132" s="375">
        <f t="shared" si="24"/>
        <v>320270</v>
      </c>
      <c r="AI132" s="331"/>
      <c r="AJ132" s="377">
        <f t="shared" si="28"/>
        <v>0</v>
      </c>
      <c r="AK132" s="336"/>
      <c r="AL132" s="336"/>
      <c r="AM132" s="336"/>
      <c r="AN132" s="340"/>
      <c r="AO132" s="341"/>
      <c r="AP132" s="341"/>
      <c r="AQ132" s="386">
        <f t="shared" si="26"/>
        <v>199895</v>
      </c>
      <c r="AR132" s="342"/>
      <c r="AS132" s="389">
        <f t="shared" si="18"/>
        <v>0</v>
      </c>
      <c r="AU132" s="343"/>
      <c r="AV132" s="344"/>
      <c r="AW132" s="344"/>
      <c r="AX132" s="344"/>
      <c r="AY132" s="344"/>
      <c r="AZ132" s="344"/>
      <c r="BA132" s="344"/>
      <c r="BB132" s="390">
        <f t="shared" si="25"/>
        <v>0</v>
      </c>
      <c r="BC132" s="345">
        <v>0</v>
      </c>
    </row>
    <row r="133" spans="1:55">
      <c r="A133" s="264"/>
      <c r="B133" s="326"/>
      <c r="C133" s="327"/>
      <c r="D133" s="327"/>
      <c r="E133" s="371">
        <f t="shared" si="19"/>
        <v>337945</v>
      </c>
      <c r="F133" s="372">
        <f t="shared" si="20"/>
        <v>0</v>
      </c>
      <c r="G133" s="264"/>
      <c r="H133" s="328"/>
      <c r="I133" s="329"/>
      <c r="J133" s="330"/>
      <c r="K133" s="375">
        <f t="shared" si="21"/>
        <v>941317</v>
      </c>
      <c r="L133" s="331"/>
      <c r="M133" s="377">
        <f t="shared" si="17"/>
        <v>0</v>
      </c>
      <c r="N133" s="264"/>
      <c r="O133" s="332"/>
      <c r="P133" s="333"/>
      <c r="Q133" s="333"/>
      <c r="R133" s="334"/>
      <c r="S133" s="334"/>
      <c r="T133" s="334"/>
      <c r="U133" s="334"/>
      <c r="V133" s="379">
        <f t="shared" si="22"/>
        <v>14081391</v>
      </c>
      <c r="W133" s="335"/>
      <c r="Y133" s="336"/>
      <c r="Z133" s="337"/>
      <c r="AA133" s="338"/>
      <c r="AB133" s="383">
        <f t="shared" si="23"/>
        <v>638</v>
      </c>
      <c r="AC133" s="339"/>
      <c r="AD133" s="384">
        <f t="shared" si="27"/>
        <v>0</v>
      </c>
      <c r="AE133" s="336"/>
      <c r="AF133" s="329"/>
      <c r="AG133" s="330"/>
      <c r="AH133" s="375">
        <f t="shared" si="24"/>
        <v>320270</v>
      </c>
      <c r="AI133" s="331"/>
      <c r="AJ133" s="377">
        <f t="shared" si="28"/>
        <v>0</v>
      </c>
      <c r="AK133" s="336"/>
      <c r="AL133" s="336"/>
      <c r="AM133" s="336"/>
      <c r="AN133" s="340"/>
      <c r="AO133" s="341"/>
      <c r="AP133" s="341"/>
      <c r="AQ133" s="386">
        <f t="shared" si="26"/>
        <v>199895</v>
      </c>
      <c r="AR133" s="342"/>
      <c r="AS133" s="389">
        <f t="shared" si="18"/>
        <v>0</v>
      </c>
      <c r="AU133" s="343"/>
      <c r="AV133" s="344"/>
      <c r="AW133" s="344"/>
      <c r="AX133" s="344"/>
      <c r="AY133" s="344"/>
      <c r="AZ133" s="344"/>
      <c r="BA133" s="344"/>
      <c r="BB133" s="390">
        <f t="shared" si="25"/>
        <v>0</v>
      </c>
      <c r="BC133" s="345">
        <v>0</v>
      </c>
    </row>
    <row r="134" spans="1:55">
      <c r="A134" s="264"/>
      <c r="B134" s="326"/>
      <c r="C134" s="327"/>
      <c r="D134" s="327"/>
      <c r="E134" s="371">
        <f t="shared" si="19"/>
        <v>337945</v>
      </c>
      <c r="F134" s="372">
        <f t="shared" si="20"/>
        <v>0</v>
      </c>
      <c r="G134" s="264"/>
      <c r="H134" s="328"/>
      <c r="I134" s="329"/>
      <c r="J134" s="330"/>
      <c r="K134" s="375">
        <f t="shared" si="21"/>
        <v>941317</v>
      </c>
      <c r="L134" s="331"/>
      <c r="M134" s="377">
        <f t="shared" ref="M134:M146" si="29">L134-J134</f>
        <v>0</v>
      </c>
      <c r="N134" s="264"/>
      <c r="O134" s="332"/>
      <c r="P134" s="333"/>
      <c r="Q134" s="333"/>
      <c r="R134" s="334"/>
      <c r="S134" s="334"/>
      <c r="T134" s="334"/>
      <c r="U134" s="334"/>
      <c r="V134" s="379">
        <f t="shared" si="22"/>
        <v>14081391</v>
      </c>
      <c r="W134" s="335"/>
      <c r="Y134" s="336"/>
      <c r="Z134" s="337"/>
      <c r="AA134" s="338"/>
      <c r="AB134" s="383">
        <f t="shared" si="23"/>
        <v>638</v>
      </c>
      <c r="AC134" s="339"/>
      <c r="AD134" s="384">
        <f t="shared" si="27"/>
        <v>0</v>
      </c>
      <c r="AE134" s="336"/>
      <c r="AF134" s="329"/>
      <c r="AG134" s="330"/>
      <c r="AH134" s="375">
        <f t="shared" si="24"/>
        <v>320270</v>
      </c>
      <c r="AI134" s="331"/>
      <c r="AJ134" s="377">
        <f t="shared" si="28"/>
        <v>0</v>
      </c>
      <c r="AK134" s="336"/>
      <c r="AL134" s="336"/>
      <c r="AM134" s="336"/>
      <c r="AN134" s="340"/>
      <c r="AO134" s="341"/>
      <c r="AP134" s="341"/>
      <c r="AQ134" s="386">
        <f t="shared" si="26"/>
        <v>199895</v>
      </c>
      <c r="AR134" s="342"/>
      <c r="AS134" s="389">
        <f t="shared" ref="AS134:AS146" si="30">AR134-AO134</f>
        <v>0</v>
      </c>
      <c r="AU134" s="343"/>
      <c r="AV134" s="344"/>
      <c r="AW134" s="344"/>
      <c r="AX134" s="344"/>
      <c r="AY134" s="344"/>
      <c r="AZ134" s="344"/>
      <c r="BA134" s="344"/>
      <c r="BB134" s="390">
        <f t="shared" si="25"/>
        <v>0</v>
      </c>
      <c r="BC134" s="345">
        <v>0</v>
      </c>
    </row>
    <row r="135" spans="1:55">
      <c r="A135" s="264"/>
      <c r="B135" s="326"/>
      <c r="C135" s="327"/>
      <c r="D135" s="327"/>
      <c r="E135" s="371">
        <f t="shared" ref="E135:E140" si="31">E134+B135-D135</f>
        <v>337945</v>
      </c>
      <c r="F135" s="372">
        <f t="shared" ref="F135:F146" si="32">C135-D135</f>
        <v>0</v>
      </c>
      <c r="G135" s="264"/>
      <c r="H135" s="328"/>
      <c r="I135" s="329"/>
      <c r="J135" s="330"/>
      <c r="K135" s="375">
        <f t="shared" ref="K135:K140" si="33">K134+I135-J135</f>
        <v>941317</v>
      </c>
      <c r="L135" s="331"/>
      <c r="M135" s="377">
        <f t="shared" si="29"/>
        <v>0</v>
      </c>
      <c r="N135" s="264"/>
      <c r="O135" s="332"/>
      <c r="P135" s="333"/>
      <c r="Q135" s="333"/>
      <c r="R135" s="334"/>
      <c r="S135" s="334"/>
      <c r="T135" s="334"/>
      <c r="U135" s="334"/>
      <c r="V135" s="379">
        <f t="shared" ref="V135:V189" si="34">V134+O135+P135-Q135-R135-S135-T135+U135</f>
        <v>14081391</v>
      </c>
      <c r="W135" s="335"/>
      <c r="Y135" s="336"/>
      <c r="Z135" s="337"/>
      <c r="AA135" s="338"/>
      <c r="AB135" s="383">
        <f t="shared" ref="AB135:AB190" si="35">AB134+Z135-AA135</f>
        <v>638</v>
      </c>
      <c r="AC135" s="339"/>
      <c r="AD135" s="384">
        <f t="shared" si="27"/>
        <v>0</v>
      </c>
      <c r="AE135" s="336"/>
      <c r="AF135" s="329"/>
      <c r="AG135" s="330"/>
      <c r="AH135" s="375">
        <f t="shared" ref="AH135:AH190" si="36">AH134+AF135-AG135</f>
        <v>320270</v>
      </c>
      <c r="AI135" s="331"/>
      <c r="AJ135" s="377">
        <f t="shared" si="28"/>
        <v>0</v>
      </c>
      <c r="AK135" s="336"/>
      <c r="AL135" s="336"/>
      <c r="AM135" s="336"/>
      <c r="AN135" s="340"/>
      <c r="AO135" s="341"/>
      <c r="AP135" s="341"/>
      <c r="AQ135" s="386">
        <f t="shared" si="26"/>
        <v>199895</v>
      </c>
      <c r="AR135" s="342"/>
      <c r="AS135" s="389">
        <f t="shared" si="30"/>
        <v>0</v>
      </c>
      <c r="AU135" s="343"/>
      <c r="AV135" s="344"/>
      <c r="AW135" s="344"/>
      <c r="AX135" s="344"/>
      <c r="AY135" s="344"/>
      <c r="AZ135" s="344"/>
      <c r="BA135" s="344"/>
      <c r="BB135" s="390">
        <f t="shared" ref="BB135:BB190" si="37">BB134+AU135+AV135-AW135-AX135-AY135-AZ135+BA135</f>
        <v>0</v>
      </c>
      <c r="BC135" s="345">
        <v>0</v>
      </c>
    </row>
    <row r="136" spans="1:55">
      <c r="A136" s="264"/>
      <c r="B136" s="326"/>
      <c r="C136" s="327"/>
      <c r="D136" s="327"/>
      <c r="E136" s="371">
        <f t="shared" si="31"/>
        <v>337945</v>
      </c>
      <c r="F136" s="372">
        <f t="shared" si="32"/>
        <v>0</v>
      </c>
      <c r="G136" s="264"/>
      <c r="H136" s="328"/>
      <c r="I136" s="329"/>
      <c r="J136" s="330"/>
      <c r="K136" s="375">
        <f t="shared" si="33"/>
        <v>941317</v>
      </c>
      <c r="L136" s="331"/>
      <c r="M136" s="377">
        <f t="shared" si="29"/>
        <v>0</v>
      </c>
      <c r="N136" s="264"/>
      <c r="O136" s="332"/>
      <c r="P136" s="333"/>
      <c r="Q136" s="333"/>
      <c r="R136" s="334"/>
      <c r="S136" s="334"/>
      <c r="T136" s="334"/>
      <c r="U136" s="334"/>
      <c r="V136" s="379">
        <f t="shared" si="34"/>
        <v>14081391</v>
      </c>
      <c r="W136" s="335"/>
      <c r="Y136" s="336"/>
      <c r="Z136" s="337"/>
      <c r="AA136" s="338"/>
      <c r="AB136" s="383">
        <f t="shared" si="35"/>
        <v>638</v>
      </c>
      <c r="AC136" s="339"/>
      <c r="AD136" s="384">
        <f t="shared" si="27"/>
        <v>0</v>
      </c>
      <c r="AE136" s="336"/>
      <c r="AF136" s="329"/>
      <c r="AG136" s="330"/>
      <c r="AH136" s="375">
        <f t="shared" si="36"/>
        <v>320270</v>
      </c>
      <c r="AI136" s="331"/>
      <c r="AJ136" s="377">
        <f t="shared" si="28"/>
        <v>0</v>
      </c>
      <c r="AK136" s="336"/>
      <c r="AL136" s="336"/>
      <c r="AM136" s="336"/>
      <c r="AN136" s="340"/>
      <c r="AO136" s="341"/>
      <c r="AP136" s="341"/>
      <c r="AQ136" s="386">
        <f>AQ135+AN136-AO136+AP136</f>
        <v>199895</v>
      </c>
      <c r="AR136" s="342"/>
      <c r="AS136" s="389">
        <f t="shared" si="30"/>
        <v>0</v>
      </c>
      <c r="AU136" s="343"/>
      <c r="AV136" s="344"/>
      <c r="AW136" s="344"/>
      <c r="AX136" s="344"/>
      <c r="AY136" s="344"/>
      <c r="AZ136" s="344"/>
      <c r="BA136" s="344"/>
      <c r="BB136" s="390">
        <f t="shared" si="37"/>
        <v>0</v>
      </c>
      <c r="BC136" s="345">
        <v>0</v>
      </c>
    </row>
    <row r="137" spans="1:55">
      <c r="A137" s="264"/>
      <c r="B137" s="326"/>
      <c r="C137" s="327"/>
      <c r="D137" s="327"/>
      <c r="E137" s="371">
        <f t="shared" si="31"/>
        <v>337945</v>
      </c>
      <c r="F137" s="372">
        <f t="shared" si="32"/>
        <v>0</v>
      </c>
      <c r="G137" s="264"/>
      <c r="H137" s="328"/>
      <c r="I137" s="329"/>
      <c r="J137" s="330"/>
      <c r="K137" s="375">
        <f t="shared" si="33"/>
        <v>941317</v>
      </c>
      <c r="L137" s="331"/>
      <c r="M137" s="377">
        <f t="shared" si="29"/>
        <v>0</v>
      </c>
      <c r="N137" s="264"/>
      <c r="O137" s="332"/>
      <c r="P137" s="333"/>
      <c r="Q137" s="333"/>
      <c r="R137" s="334"/>
      <c r="S137" s="334"/>
      <c r="T137" s="334"/>
      <c r="U137" s="334"/>
      <c r="V137" s="379">
        <f t="shared" si="34"/>
        <v>14081391</v>
      </c>
      <c r="W137" s="335"/>
      <c r="Y137" s="336"/>
      <c r="Z137" s="337"/>
      <c r="AA137" s="338"/>
      <c r="AB137" s="383">
        <f t="shared" si="35"/>
        <v>638</v>
      </c>
      <c r="AC137" s="339"/>
      <c r="AD137" s="384">
        <f t="shared" si="27"/>
        <v>0</v>
      </c>
      <c r="AE137" s="336"/>
      <c r="AF137" s="329"/>
      <c r="AG137" s="330"/>
      <c r="AH137" s="375">
        <f t="shared" si="36"/>
        <v>320270</v>
      </c>
      <c r="AI137" s="331"/>
      <c r="AJ137" s="377">
        <f t="shared" si="28"/>
        <v>0</v>
      </c>
      <c r="AK137" s="336"/>
      <c r="AL137" s="336"/>
      <c r="AM137" s="336"/>
      <c r="AN137" s="340"/>
      <c r="AO137" s="341"/>
      <c r="AP137" s="341"/>
      <c r="AQ137" s="386">
        <f>AQ136+AN137-AO137+AP137</f>
        <v>199895</v>
      </c>
      <c r="AR137" s="342"/>
      <c r="AS137" s="389">
        <f t="shared" si="30"/>
        <v>0</v>
      </c>
      <c r="AU137" s="343"/>
      <c r="AV137" s="344"/>
      <c r="AW137" s="344"/>
      <c r="AX137" s="344"/>
      <c r="AY137" s="344"/>
      <c r="AZ137" s="344"/>
      <c r="BA137" s="344"/>
      <c r="BB137" s="390">
        <f t="shared" si="37"/>
        <v>0</v>
      </c>
      <c r="BC137" s="345">
        <v>0</v>
      </c>
    </row>
    <row r="138" spans="1:55">
      <c r="A138" s="264"/>
      <c r="B138" s="326"/>
      <c r="C138" s="327"/>
      <c r="D138" s="327"/>
      <c r="E138" s="371">
        <f t="shared" si="31"/>
        <v>337945</v>
      </c>
      <c r="F138" s="372">
        <f t="shared" si="32"/>
        <v>0</v>
      </c>
      <c r="G138" s="264"/>
      <c r="H138" s="328"/>
      <c r="I138" s="329"/>
      <c r="J138" s="330"/>
      <c r="K138" s="375">
        <f t="shared" si="33"/>
        <v>941317</v>
      </c>
      <c r="L138" s="331"/>
      <c r="M138" s="377">
        <f t="shared" si="29"/>
        <v>0</v>
      </c>
      <c r="N138" s="264"/>
      <c r="O138" s="332"/>
      <c r="P138" s="333"/>
      <c r="Q138" s="333"/>
      <c r="R138" s="334"/>
      <c r="S138" s="334"/>
      <c r="T138" s="334"/>
      <c r="U138" s="334"/>
      <c r="V138" s="379">
        <f t="shared" si="34"/>
        <v>14081391</v>
      </c>
      <c r="W138" s="335"/>
      <c r="Y138" s="336"/>
      <c r="Z138" s="337"/>
      <c r="AA138" s="338"/>
      <c r="AB138" s="383">
        <f t="shared" si="35"/>
        <v>638</v>
      </c>
      <c r="AC138" s="339"/>
      <c r="AD138" s="384">
        <f t="shared" si="27"/>
        <v>0</v>
      </c>
      <c r="AE138" s="336"/>
      <c r="AF138" s="329"/>
      <c r="AG138" s="330"/>
      <c r="AH138" s="375">
        <f t="shared" si="36"/>
        <v>320270</v>
      </c>
      <c r="AI138" s="331"/>
      <c r="AJ138" s="377">
        <f t="shared" si="28"/>
        <v>0</v>
      </c>
      <c r="AK138" s="336"/>
      <c r="AL138" s="336"/>
      <c r="AM138" s="336"/>
      <c r="AN138" s="340"/>
      <c r="AO138" s="341"/>
      <c r="AP138" s="341"/>
      <c r="AQ138" s="386">
        <f>AQ137+AN138-AO138+AP138</f>
        <v>199895</v>
      </c>
      <c r="AR138" s="342"/>
      <c r="AS138" s="389">
        <f t="shared" si="30"/>
        <v>0</v>
      </c>
      <c r="AU138" s="343"/>
      <c r="AV138" s="344"/>
      <c r="AW138" s="344"/>
      <c r="AX138" s="344"/>
      <c r="AY138" s="344"/>
      <c r="AZ138" s="344"/>
      <c r="BA138" s="344"/>
      <c r="BB138" s="390">
        <f t="shared" si="37"/>
        <v>0</v>
      </c>
      <c r="BC138" s="345">
        <v>0</v>
      </c>
    </row>
    <row r="139" spans="1:55">
      <c r="A139" s="264"/>
      <c r="B139" s="326"/>
      <c r="C139" s="327"/>
      <c r="D139" s="327"/>
      <c r="E139" s="371">
        <f t="shared" si="31"/>
        <v>337945</v>
      </c>
      <c r="F139" s="372">
        <f t="shared" si="32"/>
        <v>0</v>
      </c>
      <c r="G139" s="264"/>
      <c r="H139" s="328"/>
      <c r="I139" s="329"/>
      <c r="J139" s="330"/>
      <c r="K139" s="375">
        <f t="shared" si="33"/>
        <v>941317</v>
      </c>
      <c r="L139" s="331"/>
      <c r="M139" s="377">
        <f t="shared" si="29"/>
        <v>0</v>
      </c>
      <c r="N139" s="264"/>
      <c r="O139" s="332"/>
      <c r="P139" s="333"/>
      <c r="Q139" s="333"/>
      <c r="R139" s="334"/>
      <c r="S139" s="334"/>
      <c r="T139" s="334"/>
      <c r="U139" s="334"/>
      <c r="V139" s="379">
        <f t="shared" si="34"/>
        <v>14081391</v>
      </c>
      <c r="W139" s="335"/>
      <c r="Y139" s="336"/>
      <c r="Z139" s="337"/>
      <c r="AA139" s="338"/>
      <c r="AB139" s="383">
        <f t="shared" si="35"/>
        <v>638</v>
      </c>
      <c r="AC139" s="339"/>
      <c r="AD139" s="384">
        <f t="shared" si="27"/>
        <v>0</v>
      </c>
      <c r="AE139" s="336"/>
      <c r="AF139" s="329"/>
      <c r="AG139" s="330"/>
      <c r="AH139" s="375">
        <f t="shared" si="36"/>
        <v>320270</v>
      </c>
      <c r="AI139" s="331"/>
      <c r="AJ139" s="377">
        <f t="shared" si="28"/>
        <v>0</v>
      </c>
      <c r="AK139" s="336"/>
      <c r="AL139" s="336"/>
      <c r="AM139" s="336"/>
      <c r="AN139" s="340"/>
      <c r="AO139" s="341"/>
      <c r="AP139" s="341"/>
      <c r="AQ139" s="386">
        <f>AQ138+AN139-AO139+AP139</f>
        <v>199895</v>
      </c>
      <c r="AR139" s="342"/>
      <c r="AS139" s="389">
        <f t="shared" si="30"/>
        <v>0</v>
      </c>
      <c r="AU139" s="343"/>
      <c r="AV139" s="344"/>
      <c r="AW139" s="344"/>
      <c r="AX139" s="344"/>
      <c r="AY139" s="344"/>
      <c r="AZ139" s="344"/>
      <c r="BA139" s="344"/>
      <c r="BB139" s="390">
        <f t="shared" si="37"/>
        <v>0</v>
      </c>
      <c r="BC139" s="345">
        <v>0</v>
      </c>
    </row>
    <row r="140" spans="1:55">
      <c r="A140" s="264"/>
      <c r="B140" s="326"/>
      <c r="C140" s="327"/>
      <c r="D140" s="327"/>
      <c r="E140" s="371">
        <f t="shared" si="31"/>
        <v>337945</v>
      </c>
      <c r="F140" s="372">
        <f t="shared" si="32"/>
        <v>0</v>
      </c>
      <c r="G140" s="264"/>
      <c r="H140" s="328"/>
      <c r="I140" s="329"/>
      <c r="J140" s="330"/>
      <c r="K140" s="375">
        <f t="shared" si="33"/>
        <v>941317</v>
      </c>
      <c r="L140" s="331"/>
      <c r="M140" s="377">
        <f t="shared" si="29"/>
        <v>0</v>
      </c>
      <c r="N140" s="264"/>
      <c r="O140" s="332"/>
      <c r="P140" s="333"/>
      <c r="Q140" s="333"/>
      <c r="R140" s="334"/>
      <c r="S140" s="334"/>
      <c r="T140" s="334"/>
      <c r="U140" s="334"/>
      <c r="V140" s="379">
        <f t="shared" si="34"/>
        <v>14081391</v>
      </c>
      <c r="W140" s="335"/>
      <c r="Y140" s="336"/>
      <c r="Z140" s="337"/>
      <c r="AA140" s="338"/>
      <c r="AB140" s="383">
        <f t="shared" si="35"/>
        <v>638</v>
      </c>
      <c r="AC140" s="339"/>
      <c r="AD140" s="384">
        <f t="shared" si="27"/>
        <v>0</v>
      </c>
      <c r="AE140" s="336"/>
      <c r="AF140" s="329"/>
      <c r="AG140" s="330"/>
      <c r="AH140" s="375">
        <f t="shared" si="36"/>
        <v>320270</v>
      </c>
      <c r="AI140" s="331"/>
      <c r="AJ140" s="377">
        <f t="shared" si="28"/>
        <v>0</v>
      </c>
      <c r="AK140" s="336"/>
      <c r="AL140" s="336"/>
      <c r="AM140" s="336"/>
      <c r="AN140" s="340"/>
      <c r="AO140" s="341"/>
      <c r="AP140" s="341"/>
      <c r="AQ140" s="386">
        <f>AQ139+AN140-AO140+AP140</f>
        <v>199895</v>
      </c>
      <c r="AR140" s="342"/>
      <c r="AS140" s="389">
        <f t="shared" si="30"/>
        <v>0</v>
      </c>
      <c r="AU140" s="343"/>
      <c r="AV140" s="344"/>
      <c r="AW140" s="344"/>
      <c r="AX140" s="344"/>
      <c r="AY140" s="344"/>
      <c r="AZ140" s="344"/>
      <c r="BA140" s="344"/>
      <c r="BB140" s="390">
        <f t="shared" si="37"/>
        <v>0</v>
      </c>
      <c r="BC140" s="345">
        <v>0</v>
      </c>
    </row>
    <row r="141" spans="1:55">
      <c r="A141" s="264"/>
      <c r="B141" s="326"/>
      <c r="C141" s="327"/>
      <c r="D141" s="327"/>
      <c r="E141" s="371">
        <f t="shared" ref="E141:E190" si="38">E140+B141-D141</f>
        <v>337945</v>
      </c>
      <c r="F141" s="372">
        <f t="shared" si="32"/>
        <v>0</v>
      </c>
      <c r="G141" s="264"/>
      <c r="H141" s="328"/>
      <c r="I141" s="329"/>
      <c r="J141" s="330"/>
      <c r="K141" s="375">
        <f t="shared" ref="K141:K160" si="39">K140+I141-J141</f>
        <v>941317</v>
      </c>
      <c r="L141" s="331"/>
      <c r="M141" s="377">
        <f t="shared" si="29"/>
        <v>0</v>
      </c>
      <c r="N141" s="264"/>
      <c r="O141" s="332"/>
      <c r="P141" s="333"/>
      <c r="Q141" s="333"/>
      <c r="R141" s="334"/>
      <c r="S141" s="334"/>
      <c r="T141" s="334"/>
      <c r="U141" s="334"/>
      <c r="V141" s="379">
        <f t="shared" si="34"/>
        <v>14081391</v>
      </c>
      <c r="W141" s="335"/>
      <c r="Y141" s="336"/>
      <c r="Z141" s="337"/>
      <c r="AA141" s="338"/>
      <c r="AB141" s="383">
        <f t="shared" si="35"/>
        <v>638</v>
      </c>
      <c r="AC141" s="339"/>
      <c r="AD141" s="384">
        <f t="shared" si="27"/>
        <v>0</v>
      </c>
      <c r="AE141" s="336"/>
      <c r="AF141" s="329"/>
      <c r="AG141" s="330"/>
      <c r="AH141" s="375">
        <f t="shared" si="36"/>
        <v>320270</v>
      </c>
      <c r="AI141" s="331"/>
      <c r="AJ141" s="377">
        <f t="shared" si="28"/>
        <v>0</v>
      </c>
      <c r="AK141" s="336"/>
      <c r="AL141" s="336"/>
      <c r="AM141" s="336"/>
      <c r="AN141" s="340"/>
      <c r="AO141" s="341"/>
      <c r="AP141" s="341"/>
      <c r="AQ141" s="386">
        <f t="shared" ref="AQ141:AQ190" si="40">AQ140+AN141-AO141+AP141</f>
        <v>199895</v>
      </c>
      <c r="AR141" s="342"/>
      <c r="AS141" s="389">
        <f t="shared" si="30"/>
        <v>0</v>
      </c>
      <c r="AU141" s="343"/>
      <c r="AV141" s="344"/>
      <c r="AW141" s="344"/>
      <c r="AX141" s="344"/>
      <c r="AY141" s="344"/>
      <c r="AZ141" s="344"/>
      <c r="BA141" s="344"/>
      <c r="BB141" s="390">
        <f t="shared" si="37"/>
        <v>0</v>
      </c>
      <c r="BC141" s="345">
        <v>0</v>
      </c>
    </row>
    <row r="142" spans="1:55">
      <c r="A142" s="264"/>
      <c r="B142" s="326"/>
      <c r="C142" s="327"/>
      <c r="D142" s="327"/>
      <c r="E142" s="371">
        <f t="shared" si="38"/>
        <v>337945</v>
      </c>
      <c r="F142" s="372">
        <f t="shared" si="32"/>
        <v>0</v>
      </c>
      <c r="G142" s="264"/>
      <c r="H142" s="328"/>
      <c r="I142" s="329"/>
      <c r="J142" s="330"/>
      <c r="K142" s="375">
        <f t="shared" si="39"/>
        <v>941317</v>
      </c>
      <c r="L142" s="331"/>
      <c r="M142" s="377">
        <f t="shared" si="29"/>
        <v>0</v>
      </c>
      <c r="N142" s="264"/>
      <c r="O142" s="332"/>
      <c r="P142" s="333"/>
      <c r="Q142" s="333"/>
      <c r="R142" s="334"/>
      <c r="S142" s="334"/>
      <c r="T142" s="334"/>
      <c r="U142" s="334"/>
      <c r="V142" s="379">
        <f t="shared" si="34"/>
        <v>14081391</v>
      </c>
      <c r="W142" s="335"/>
      <c r="Y142" s="336"/>
      <c r="Z142" s="337"/>
      <c r="AA142" s="338"/>
      <c r="AB142" s="383">
        <f t="shared" si="35"/>
        <v>638</v>
      </c>
      <c r="AC142" s="339"/>
      <c r="AD142" s="384">
        <f t="shared" ref="AD142:AD190" si="41">AC142-AA142</f>
        <v>0</v>
      </c>
      <c r="AE142" s="336"/>
      <c r="AF142" s="329"/>
      <c r="AG142" s="330"/>
      <c r="AH142" s="375">
        <f t="shared" si="36"/>
        <v>320270</v>
      </c>
      <c r="AI142" s="331"/>
      <c r="AJ142" s="377">
        <f t="shared" ref="AJ142:AJ190" si="42">AI142-AG142</f>
        <v>0</v>
      </c>
      <c r="AK142" s="336"/>
      <c r="AL142" s="336"/>
      <c r="AM142" s="336"/>
      <c r="AN142" s="340"/>
      <c r="AO142" s="341"/>
      <c r="AP142" s="341"/>
      <c r="AQ142" s="386">
        <f t="shared" si="40"/>
        <v>199895</v>
      </c>
      <c r="AR142" s="342"/>
      <c r="AS142" s="389">
        <f t="shared" si="30"/>
        <v>0</v>
      </c>
      <c r="AU142" s="343"/>
      <c r="AV142" s="344"/>
      <c r="AW142" s="344"/>
      <c r="AX142" s="344"/>
      <c r="AY142" s="344"/>
      <c r="AZ142" s="344"/>
      <c r="BA142" s="344"/>
      <c r="BB142" s="390">
        <f t="shared" si="37"/>
        <v>0</v>
      </c>
      <c r="BC142" s="345">
        <v>0</v>
      </c>
    </row>
    <row r="143" spans="1:55">
      <c r="A143" s="264"/>
      <c r="B143" s="326"/>
      <c r="C143" s="327"/>
      <c r="D143" s="327"/>
      <c r="E143" s="371">
        <f t="shared" si="38"/>
        <v>337945</v>
      </c>
      <c r="F143" s="372">
        <f t="shared" si="32"/>
        <v>0</v>
      </c>
      <c r="G143" s="264"/>
      <c r="H143" s="328"/>
      <c r="I143" s="329"/>
      <c r="J143" s="330"/>
      <c r="K143" s="375">
        <f t="shared" si="39"/>
        <v>941317</v>
      </c>
      <c r="L143" s="331"/>
      <c r="M143" s="377">
        <f t="shared" si="29"/>
        <v>0</v>
      </c>
      <c r="N143" s="264"/>
      <c r="O143" s="332"/>
      <c r="P143" s="333"/>
      <c r="Q143" s="333"/>
      <c r="R143" s="334"/>
      <c r="S143" s="334"/>
      <c r="T143" s="334"/>
      <c r="U143" s="334"/>
      <c r="V143" s="379">
        <f t="shared" si="34"/>
        <v>14081391</v>
      </c>
      <c r="W143" s="335"/>
      <c r="Y143" s="336"/>
      <c r="Z143" s="337"/>
      <c r="AA143" s="338"/>
      <c r="AB143" s="383">
        <f t="shared" si="35"/>
        <v>638</v>
      </c>
      <c r="AC143" s="339"/>
      <c r="AD143" s="384">
        <f t="shared" si="41"/>
        <v>0</v>
      </c>
      <c r="AE143" s="336"/>
      <c r="AF143" s="329"/>
      <c r="AG143" s="330"/>
      <c r="AH143" s="375">
        <f t="shared" si="36"/>
        <v>320270</v>
      </c>
      <c r="AI143" s="331"/>
      <c r="AJ143" s="377">
        <f t="shared" si="42"/>
        <v>0</v>
      </c>
      <c r="AK143" s="336"/>
      <c r="AL143" s="336"/>
      <c r="AM143" s="336"/>
      <c r="AN143" s="340"/>
      <c r="AO143" s="341"/>
      <c r="AP143" s="341"/>
      <c r="AQ143" s="386">
        <f t="shared" si="40"/>
        <v>199895</v>
      </c>
      <c r="AR143" s="342"/>
      <c r="AS143" s="389">
        <f t="shared" si="30"/>
        <v>0</v>
      </c>
      <c r="AU143" s="343"/>
      <c r="AV143" s="344"/>
      <c r="AW143" s="344"/>
      <c r="AX143" s="344"/>
      <c r="AY143" s="344"/>
      <c r="AZ143" s="344"/>
      <c r="BA143" s="344"/>
      <c r="BB143" s="390">
        <f t="shared" si="37"/>
        <v>0</v>
      </c>
      <c r="BC143" s="345">
        <v>0</v>
      </c>
    </row>
    <row r="144" spans="1:55">
      <c r="A144" s="264"/>
      <c r="B144" s="326"/>
      <c r="C144" s="327"/>
      <c r="D144" s="327"/>
      <c r="E144" s="371">
        <f t="shared" si="38"/>
        <v>337945</v>
      </c>
      <c r="F144" s="372">
        <f t="shared" si="32"/>
        <v>0</v>
      </c>
      <c r="G144" s="264"/>
      <c r="H144" s="328"/>
      <c r="I144" s="329"/>
      <c r="J144" s="330"/>
      <c r="K144" s="375">
        <f t="shared" si="39"/>
        <v>941317</v>
      </c>
      <c r="L144" s="331"/>
      <c r="M144" s="377">
        <f t="shared" si="29"/>
        <v>0</v>
      </c>
      <c r="N144" s="264"/>
      <c r="O144" s="332"/>
      <c r="P144" s="333"/>
      <c r="Q144" s="333"/>
      <c r="R144" s="334"/>
      <c r="S144" s="334"/>
      <c r="T144" s="334"/>
      <c r="U144" s="334"/>
      <c r="V144" s="379">
        <f t="shared" si="34"/>
        <v>14081391</v>
      </c>
      <c r="W144" s="335"/>
      <c r="Y144" s="336"/>
      <c r="Z144" s="337"/>
      <c r="AA144" s="338"/>
      <c r="AB144" s="383">
        <f t="shared" si="35"/>
        <v>638</v>
      </c>
      <c r="AC144" s="339"/>
      <c r="AD144" s="384">
        <f t="shared" si="41"/>
        <v>0</v>
      </c>
      <c r="AE144" s="336"/>
      <c r="AF144" s="329"/>
      <c r="AG144" s="330"/>
      <c r="AH144" s="375">
        <f t="shared" si="36"/>
        <v>320270</v>
      </c>
      <c r="AI144" s="331"/>
      <c r="AJ144" s="377">
        <f t="shared" si="42"/>
        <v>0</v>
      </c>
      <c r="AK144" s="336"/>
      <c r="AL144" s="336"/>
      <c r="AM144" s="336"/>
      <c r="AN144" s="340"/>
      <c r="AO144" s="341"/>
      <c r="AP144" s="341"/>
      <c r="AQ144" s="386">
        <f t="shared" si="40"/>
        <v>199895</v>
      </c>
      <c r="AR144" s="342"/>
      <c r="AS144" s="389">
        <f t="shared" si="30"/>
        <v>0</v>
      </c>
      <c r="AU144" s="343"/>
      <c r="AV144" s="344"/>
      <c r="AW144" s="344"/>
      <c r="AX144" s="344"/>
      <c r="AY144" s="344"/>
      <c r="AZ144" s="344"/>
      <c r="BA144" s="344"/>
      <c r="BB144" s="390">
        <f t="shared" si="37"/>
        <v>0</v>
      </c>
      <c r="BC144" s="345">
        <v>0</v>
      </c>
    </row>
    <row r="145" spans="1:55">
      <c r="A145" s="264"/>
      <c r="B145" s="326"/>
      <c r="C145" s="327"/>
      <c r="D145" s="327"/>
      <c r="E145" s="371">
        <f t="shared" si="38"/>
        <v>337945</v>
      </c>
      <c r="F145" s="372">
        <f t="shared" si="32"/>
        <v>0</v>
      </c>
      <c r="G145" s="264"/>
      <c r="H145" s="328"/>
      <c r="I145" s="329"/>
      <c r="J145" s="330"/>
      <c r="K145" s="375">
        <f t="shared" si="39"/>
        <v>941317</v>
      </c>
      <c r="L145" s="331"/>
      <c r="M145" s="377">
        <f t="shared" si="29"/>
        <v>0</v>
      </c>
      <c r="N145" s="264"/>
      <c r="O145" s="332"/>
      <c r="P145" s="333"/>
      <c r="Q145" s="333"/>
      <c r="R145" s="334"/>
      <c r="S145" s="334"/>
      <c r="T145" s="334"/>
      <c r="U145" s="334"/>
      <c r="V145" s="379">
        <f t="shared" si="34"/>
        <v>14081391</v>
      </c>
      <c r="W145" s="335"/>
      <c r="Y145" s="336"/>
      <c r="Z145" s="337"/>
      <c r="AA145" s="338"/>
      <c r="AB145" s="383">
        <f t="shared" si="35"/>
        <v>638</v>
      </c>
      <c r="AC145" s="339"/>
      <c r="AD145" s="384">
        <f t="shared" si="41"/>
        <v>0</v>
      </c>
      <c r="AE145" s="336"/>
      <c r="AF145" s="329"/>
      <c r="AG145" s="330"/>
      <c r="AH145" s="375">
        <f t="shared" si="36"/>
        <v>320270</v>
      </c>
      <c r="AI145" s="331"/>
      <c r="AJ145" s="377">
        <f t="shared" si="42"/>
        <v>0</v>
      </c>
      <c r="AK145" s="336"/>
      <c r="AL145" s="336"/>
      <c r="AM145" s="336"/>
      <c r="AN145" s="340"/>
      <c r="AO145" s="341"/>
      <c r="AP145" s="341"/>
      <c r="AQ145" s="386">
        <f t="shared" si="40"/>
        <v>199895</v>
      </c>
      <c r="AR145" s="342"/>
      <c r="AS145" s="389">
        <f t="shared" si="30"/>
        <v>0</v>
      </c>
      <c r="AU145" s="343"/>
      <c r="AV145" s="344"/>
      <c r="AW145" s="344"/>
      <c r="AX145" s="344"/>
      <c r="AY145" s="344"/>
      <c r="AZ145" s="344"/>
      <c r="BA145" s="344"/>
      <c r="BB145" s="390">
        <f t="shared" si="37"/>
        <v>0</v>
      </c>
      <c r="BC145" s="345">
        <v>0</v>
      </c>
    </row>
    <row r="146" spans="1:55">
      <c r="A146" s="264"/>
      <c r="B146" s="326"/>
      <c r="C146" s="327"/>
      <c r="D146" s="327"/>
      <c r="E146" s="371">
        <f t="shared" si="38"/>
        <v>337945</v>
      </c>
      <c r="F146" s="372">
        <f t="shared" si="32"/>
        <v>0</v>
      </c>
      <c r="G146" s="264"/>
      <c r="H146" s="328"/>
      <c r="I146" s="329"/>
      <c r="J146" s="330"/>
      <c r="K146" s="375">
        <f t="shared" si="39"/>
        <v>941317</v>
      </c>
      <c r="L146" s="331"/>
      <c r="M146" s="377">
        <f t="shared" si="29"/>
        <v>0</v>
      </c>
      <c r="N146" s="264"/>
      <c r="O146" s="332"/>
      <c r="P146" s="333"/>
      <c r="Q146" s="333"/>
      <c r="R146" s="334"/>
      <c r="S146" s="334"/>
      <c r="T146" s="334"/>
      <c r="U146" s="334"/>
      <c r="V146" s="379">
        <f t="shared" si="34"/>
        <v>14081391</v>
      </c>
      <c r="W146" s="335"/>
      <c r="Y146" s="336"/>
      <c r="Z146" s="337"/>
      <c r="AA146" s="338"/>
      <c r="AB146" s="383">
        <f t="shared" si="35"/>
        <v>638</v>
      </c>
      <c r="AC146" s="339"/>
      <c r="AD146" s="384">
        <f t="shared" si="41"/>
        <v>0</v>
      </c>
      <c r="AE146" s="336"/>
      <c r="AF146" s="329"/>
      <c r="AG146" s="330"/>
      <c r="AH146" s="375">
        <f t="shared" si="36"/>
        <v>320270</v>
      </c>
      <c r="AI146" s="331"/>
      <c r="AJ146" s="377">
        <f t="shared" si="42"/>
        <v>0</v>
      </c>
      <c r="AK146" s="336"/>
      <c r="AL146" s="336"/>
      <c r="AM146" s="336"/>
      <c r="AN146" s="340"/>
      <c r="AO146" s="341"/>
      <c r="AP146" s="341"/>
      <c r="AQ146" s="386">
        <f t="shared" si="40"/>
        <v>199895</v>
      </c>
      <c r="AR146" s="342"/>
      <c r="AS146" s="389">
        <f t="shared" si="30"/>
        <v>0</v>
      </c>
      <c r="AU146" s="343"/>
      <c r="AV146" s="344"/>
      <c r="AW146" s="344"/>
      <c r="AX146" s="344"/>
      <c r="AY146" s="344"/>
      <c r="AZ146" s="344"/>
      <c r="BA146" s="344"/>
      <c r="BB146" s="390">
        <f t="shared" si="37"/>
        <v>0</v>
      </c>
      <c r="BC146" s="345">
        <v>0</v>
      </c>
    </row>
    <row r="147" spans="1:55">
      <c r="A147" s="264"/>
      <c r="B147" s="326"/>
      <c r="C147" s="327"/>
      <c r="D147" s="327"/>
      <c r="E147" s="371">
        <f t="shared" si="38"/>
        <v>337945</v>
      </c>
      <c r="F147" s="372">
        <f t="shared" ref="F147:F154" si="43">C147-D147</f>
        <v>0</v>
      </c>
      <c r="G147" s="264"/>
      <c r="H147" s="328"/>
      <c r="I147" s="329"/>
      <c r="J147" s="330"/>
      <c r="K147" s="375">
        <f t="shared" si="39"/>
        <v>941317</v>
      </c>
      <c r="L147" s="331"/>
      <c r="M147" s="377">
        <f t="shared" ref="M147:M154" si="44">L147-J147</f>
        <v>0</v>
      </c>
      <c r="N147" s="264"/>
      <c r="O147" s="332"/>
      <c r="P147" s="333"/>
      <c r="Q147" s="333"/>
      <c r="R147" s="334"/>
      <c r="S147" s="334"/>
      <c r="T147" s="334"/>
      <c r="U147" s="334"/>
      <c r="V147" s="379">
        <f t="shared" si="34"/>
        <v>14081391</v>
      </c>
      <c r="W147" s="335"/>
      <c r="Y147" s="336"/>
      <c r="Z147" s="337"/>
      <c r="AA147" s="338"/>
      <c r="AB147" s="383">
        <f t="shared" si="35"/>
        <v>638</v>
      </c>
      <c r="AC147" s="339"/>
      <c r="AD147" s="384">
        <f t="shared" si="41"/>
        <v>0</v>
      </c>
      <c r="AE147" s="336"/>
      <c r="AF147" s="329"/>
      <c r="AG147" s="330"/>
      <c r="AH147" s="375">
        <f t="shared" si="36"/>
        <v>320270</v>
      </c>
      <c r="AI147" s="331"/>
      <c r="AJ147" s="377">
        <f t="shared" si="42"/>
        <v>0</v>
      </c>
      <c r="AK147" s="336"/>
      <c r="AL147" s="336"/>
      <c r="AM147" s="336"/>
      <c r="AN147" s="340"/>
      <c r="AO147" s="341"/>
      <c r="AP147" s="341"/>
      <c r="AQ147" s="386">
        <f t="shared" si="40"/>
        <v>199895</v>
      </c>
      <c r="AR147" s="342"/>
      <c r="AS147" s="389">
        <f t="shared" ref="AS147:AS154" si="45">AR147-AO147</f>
        <v>0</v>
      </c>
      <c r="AU147" s="343"/>
      <c r="AV147" s="344"/>
      <c r="AW147" s="344"/>
      <c r="AX147" s="344"/>
      <c r="AY147" s="344"/>
      <c r="AZ147" s="344"/>
      <c r="BA147" s="344"/>
      <c r="BB147" s="390">
        <f t="shared" si="37"/>
        <v>0</v>
      </c>
      <c r="BC147" s="345">
        <v>0</v>
      </c>
    </row>
    <row r="148" spans="1:55">
      <c r="A148" s="264"/>
      <c r="B148" s="326"/>
      <c r="C148" s="327"/>
      <c r="D148" s="327"/>
      <c r="E148" s="371">
        <f t="shared" si="38"/>
        <v>337945</v>
      </c>
      <c r="F148" s="372">
        <f t="shared" si="43"/>
        <v>0</v>
      </c>
      <c r="G148" s="264"/>
      <c r="H148" s="328"/>
      <c r="I148" s="329"/>
      <c r="J148" s="330"/>
      <c r="K148" s="375">
        <f t="shared" si="39"/>
        <v>941317</v>
      </c>
      <c r="L148" s="331"/>
      <c r="M148" s="377">
        <f t="shared" si="44"/>
        <v>0</v>
      </c>
      <c r="N148" s="264"/>
      <c r="O148" s="332"/>
      <c r="P148" s="333"/>
      <c r="Q148" s="333"/>
      <c r="R148" s="334"/>
      <c r="S148" s="334"/>
      <c r="T148" s="334"/>
      <c r="U148" s="334"/>
      <c r="V148" s="379">
        <f t="shared" si="34"/>
        <v>14081391</v>
      </c>
      <c r="W148" s="335"/>
      <c r="Y148" s="336"/>
      <c r="Z148" s="337"/>
      <c r="AA148" s="338"/>
      <c r="AB148" s="383">
        <f t="shared" si="35"/>
        <v>638</v>
      </c>
      <c r="AC148" s="339"/>
      <c r="AD148" s="384">
        <f t="shared" si="41"/>
        <v>0</v>
      </c>
      <c r="AE148" s="336"/>
      <c r="AF148" s="329"/>
      <c r="AG148" s="330"/>
      <c r="AH148" s="375">
        <f t="shared" si="36"/>
        <v>320270</v>
      </c>
      <c r="AI148" s="331"/>
      <c r="AJ148" s="377">
        <f t="shared" si="42"/>
        <v>0</v>
      </c>
      <c r="AK148" s="336"/>
      <c r="AL148" s="336"/>
      <c r="AM148" s="336"/>
      <c r="AN148" s="340"/>
      <c r="AO148" s="341"/>
      <c r="AP148" s="341"/>
      <c r="AQ148" s="386">
        <f t="shared" si="40"/>
        <v>199895</v>
      </c>
      <c r="AR148" s="342"/>
      <c r="AS148" s="389">
        <f t="shared" si="45"/>
        <v>0</v>
      </c>
      <c r="AU148" s="343"/>
      <c r="AV148" s="344"/>
      <c r="AW148" s="344"/>
      <c r="AX148" s="344"/>
      <c r="AY148" s="344"/>
      <c r="AZ148" s="344"/>
      <c r="BA148" s="344"/>
      <c r="BB148" s="390">
        <f t="shared" si="37"/>
        <v>0</v>
      </c>
      <c r="BC148" s="345">
        <v>0</v>
      </c>
    </row>
    <row r="149" spans="1:55">
      <c r="A149" s="264"/>
      <c r="B149" s="326"/>
      <c r="C149" s="327"/>
      <c r="D149" s="327"/>
      <c r="E149" s="371">
        <f t="shared" si="38"/>
        <v>337945</v>
      </c>
      <c r="F149" s="372">
        <f t="shared" si="43"/>
        <v>0</v>
      </c>
      <c r="G149" s="264"/>
      <c r="H149" s="328"/>
      <c r="I149" s="329"/>
      <c r="J149" s="330"/>
      <c r="K149" s="375">
        <f t="shared" si="39"/>
        <v>941317</v>
      </c>
      <c r="L149" s="331"/>
      <c r="M149" s="377">
        <f t="shared" si="44"/>
        <v>0</v>
      </c>
      <c r="N149" s="264"/>
      <c r="O149" s="332"/>
      <c r="P149" s="333"/>
      <c r="Q149" s="333"/>
      <c r="R149" s="334"/>
      <c r="S149" s="334"/>
      <c r="T149" s="334"/>
      <c r="U149" s="334"/>
      <c r="V149" s="379">
        <f t="shared" si="34"/>
        <v>14081391</v>
      </c>
      <c r="W149" s="335"/>
      <c r="Y149" s="336"/>
      <c r="Z149" s="337"/>
      <c r="AA149" s="338"/>
      <c r="AB149" s="383">
        <f t="shared" si="35"/>
        <v>638</v>
      </c>
      <c r="AC149" s="339"/>
      <c r="AD149" s="384">
        <f t="shared" si="41"/>
        <v>0</v>
      </c>
      <c r="AE149" s="336"/>
      <c r="AF149" s="329"/>
      <c r="AG149" s="330"/>
      <c r="AH149" s="375">
        <f t="shared" si="36"/>
        <v>320270</v>
      </c>
      <c r="AI149" s="331"/>
      <c r="AJ149" s="377">
        <f t="shared" si="42"/>
        <v>0</v>
      </c>
      <c r="AK149" s="336"/>
      <c r="AL149" s="336"/>
      <c r="AM149" s="336"/>
      <c r="AN149" s="340"/>
      <c r="AO149" s="341"/>
      <c r="AP149" s="341"/>
      <c r="AQ149" s="386">
        <f t="shared" si="40"/>
        <v>199895</v>
      </c>
      <c r="AR149" s="342"/>
      <c r="AS149" s="389">
        <f t="shared" si="45"/>
        <v>0</v>
      </c>
      <c r="AU149" s="343"/>
      <c r="AV149" s="344"/>
      <c r="AW149" s="344"/>
      <c r="AX149" s="344"/>
      <c r="AY149" s="344"/>
      <c r="AZ149" s="344"/>
      <c r="BA149" s="344"/>
      <c r="BB149" s="390">
        <f t="shared" si="37"/>
        <v>0</v>
      </c>
      <c r="BC149" s="345">
        <v>0</v>
      </c>
    </row>
    <row r="150" spans="1:55">
      <c r="A150" s="264"/>
      <c r="B150" s="326"/>
      <c r="C150" s="327"/>
      <c r="D150" s="327"/>
      <c r="E150" s="371">
        <f t="shared" si="38"/>
        <v>337945</v>
      </c>
      <c r="F150" s="372">
        <f t="shared" si="43"/>
        <v>0</v>
      </c>
      <c r="G150" s="264"/>
      <c r="H150" s="328"/>
      <c r="I150" s="329"/>
      <c r="J150" s="330"/>
      <c r="K150" s="375">
        <f t="shared" si="39"/>
        <v>941317</v>
      </c>
      <c r="L150" s="331"/>
      <c r="M150" s="377">
        <f t="shared" si="44"/>
        <v>0</v>
      </c>
      <c r="N150" s="264"/>
      <c r="O150" s="332"/>
      <c r="P150" s="333"/>
      <c r="Q150" s="333"/>
      <c r="R150" s="334"/>
      <c r="S150" s="334"/>
      <c r="T150" s="334"/>
      <c r="U150" s="334"/>
      <c r="V150" s="379">
        <f t="shared" si="34"/>
        <v>14081391</v>
      </c>
      <c r="W150" s="335"/>
      <c r="Y150" s="336"/>
      <c r="Z150" s="337"/>
      <c r="AA150" s="338"/>
      <c r="AB150" s="383">
        <f t="shared" si="35"/>
        <v>638</v>
      </c>
      <c r="AC150" s="339"/>
      <c r="AD150" s="384">
        <f t="shared" si="41"/>
        <v>0</v>
      </c>
      <c r="AE150" s="336"/>
      <c r="AF150" s="329"/>
      <c r="AG150" s="330"/>
      <c r="AH150" s="375">
        <f t="shared" si="36"/>
        <v>320270</v>
      </c>
      <c r="AI150" s="331"/>
      <c r="AJ150" s="377">
        <f t="shared" si="42"/>
        <v>0</v>
      </c>
      <c r="AK150" s="336"/>
      <c r="AL150" s="336"/>
      <c r="AM150" s="336"/>
      <c r="AN150" s="340"/>
      <c r="AO150" s="341"/>
      <c r="AP150" s="341"/>
      <c r="AQ150" s="386">
        <f t="shared" si="40"/>
        <v>199895</v>
      </c>
      <c r="AR150" s="342"/>
      <c r="AS150" s="389">
        <f t="shared" si="45"/>
        <v>0</v>
      </c>
      <c r="AU150" s="343"/>
      <c r="AV150" s="344"/>
      <c r="AW150" s="344"/>
      <c r="AX150" s="344"/>
      <c r="AY150" s="344"/>
      <c r="AZ150" s="344"/>
      <c r="BA150" s="344"/>
      <c r="BB150" s="390">
        <f t="shared" si="37"/>
        <v>0</v>
      </c>
      <c r="BC150" s="345">
        <v>0</v>
      </c>
    </row>
    <row r="151" spans="1:55">
      <c r="A151" s="264"/>
      <c r="B151" s="326"/>
      <c r="C151" s="327"/>
      <c r="D151" s="327"/>
      <c r="E151" s="371">
        <f t="shared" si="38"/>
        <v>337945</v>
      </c>
      <c r="F151" s="372">
        <f t="shared" si="43"/>
        <v>0</v>
      </c>
      <c r="G151" s="264"/>
      <c r="H151" s="328"/>
      <c r="I151" s="329"/>
      <c r="J151" s="330"/>
      <c r="K151" s="375">
        <f t="shared" si="39"/>
        <v>941317</v>
      </c>
      <c r="L151" s="331"/>
      <c r="M151" s="377">
        <f t="shared" si="44"/>
        <v>0</v>
      </c>
      <c r="N151" s="264"/>
      <c r="O151" s="332"/>
      <c r="P151" s="333"/>
      <c r="Q151" s="333"/>
      <c r="R151" s="334"/>
      <c r="S151" s="334"/>
      <c r="T151" s="334"/>
      <c r="U151" s="334"/>
      <c r="V151" s="379">
        <f t="shared" si="34"/>
        <v>14081391</v>
      </c>
      <c r="W151" s="335"/>
      <c r="Y151" s="336"/>
      <c r="Z151" s="337"/>
      <c r="AA151" s="338"/>
      <c r="AB151" s="383">
        <f t="shared" si="35"/>
        <v>638</v>
      </c>
      <c r="AC151" s="339"/>
      <c r="AD151" s="384">
        <f t="shared" si="41"/>
        <v>0</v>
      </c>
      <c r="AE151" s="336"/>
      <c r="AF151" s="329"/>
      <c r="AG151" s="330"/>
      <c r="AH151" s="375">
        <f t="shared" si="36"/>
        <v>320270</v>
      </c>
      <c r="AI151" s="331"/>
      <c r="AJ151" s="377">
        <f t="shared" si="42"/>
        <v>0</v>
      </c>
      <c r="AK151" s="336"/>
      <c r="AL151" s="336"/>
      <c r="AM151" s="336"/>
      <c r="AN151" s="340"/>
      <c r="AO151" s="341"/>
      <c r="AP151" s="341"/>
      <c r="AQ151" s="386">
        <f t="shared" si="40"/>
        <v>199895</v>
      </c>
      <c r="AR151" s="342"/>
      <c r="AS151" s="389">
        <f t="shared" si="45"/>
        <v>0</v>
      </c>
      <c r="AU151" s="343"/>
      <c r="AV151" s="344"/>
      <c r="AW151" s="344"/>
      <c r="AX151" s="344"/>
      <c r="AY151" s="344"/>
      <c r="AZ151" s="344"/>
      <c r="BA151" s="344"/>
      <c r="BB151" s="390">
        <f t="shared" si="37"/>
        <v>0</v>
      </c>
      <c r="BC151" s="345">
        <v>0</v>
      </c>
    </row>
    <row r="152" spans="1:55">
      <c r="A152" s="264"/>
      <c r="B152" s="326"/>
      <c r="C152" s="327"/>
      <c r="D152" s="327"/>
      <c r="E152" s="371">
        <f t="shared" si="38"/>
        <v>337945</v>
      </c>
      <c r="F152" s="372">
        <f t="shared" si="43"/>
        <v>0</v>
      </c>
      <c r="G152" s="264"/>
      <c r="H152" s="328"/>
      <c r="I152" s="329"/>
      <c r="J152" s="330"/>
      <c r="K152" s="375">
        <f t="shared" si="39"/>
        <v>941317</v>
      </c>
      <c r="L152" s="331"/>
      <c r="M152" s="377">
        <f t="shared" si="44"/>
        <v>0</v>
      </c>
      <c r="N152" s="264"/>
      <c r="O152" s="332"/>
      <c r="P152" s="333"/>
      <c r="Q152" s="333"/>
      <c r="R152" s="334"/>
      <c r="S152" s="334"/>
      <c r="T152" s="334"/>
      <c r="U152" s="334"/>
      <c r="V152" s="379">
        <f t="shared" si="34"/>
        <v>14081391</v>
      </c>
      <c r="W152" s="335"/>
      <c r="Y152" s="336"/>
      <c r="Z152" s="337"/>
      <c r="AA152" s="338"/>
      <c r="AB152" s="383">
        <f t="shared" si="35"/>
        <v>638</v>
      </c>
      <c r="AC152" s="339"/>
      <c r="AD152" s="384">
        <f t="shared" si="41"/>
        <v>0</v>
      </c>
      <c r="AE152" s="336"/>
      <c r="AF152" s="329"/>
      <c r="AG152" s="330"/>
      <c r="AH152" s="375">
        <f t="shared" si="36"/>
        <v>320270</v>
      </c>
      <c r="AI152" s="331"/>
      <c r="AJ152" s="377">
        <f t="shared" si="42"/>
        <v>0</v>
      </c>
      <c r="AK152" s="336"/>
      <c r="AL152" s="336"/>
      <c r="AM152" s="336"/>
      <c r="AN152" s="340"/>
      <c r="AO152" s="341"/>
      <c r="AP152" s="341"/>
      <c r="AQ152" s="386">
        <f t="shared" si="40"/>
        <v>199895</v>
      </c>
      <c r="AR152" s="342"/>
      <c r="AS152" s="389">
        <f t="shared" si="45"/>
        <v>0</v>
      </c>
      <c r="AU152" s="343"/>
      <c r="AV152" s="344"/>
      <c r="AW152" s="344"/>
      <c r="AX152" s="344"/>
      <c r="AY152" s="344"/>
      <c r="AZ152" s="344"/>
      <c r="BA152" s="344"/>
      <c r="BB152" s="390">
        <f t="shared" si="37"/>
        <v>0</v>
      </c>
      <c r="BC152" s="345">
        <v>0</v>
      </c>
    </row>
    <row r="153" spans="1:55">
      <c r="A153" s="264"/>
      <c r="B153" s="326"/>
      <c r="C153" s="327"/>
      <c r="D153" s="327"/>
      <c r="E153" s="371">
        <f t="shared" si="38"/>
        <v>337945</v>
      </c>
      <c r="F153" s="372">
        <f t="shared" si="43"/>
        <v>0</v>
      </c>
      <c r="G153" s="264"/>
      <c r="H153" s="328"/>
      <c r="I153" s="329"/>
      <c r="J153" s="330"/>
      <c r="K153" s="375">
        <f t="shared" si="39"/>
        <v>941317</v>
      </c>
      <c r="L153" s="331"/>
      <c r="M153" s="377">
        <f t="shared" si="44"/>
        <v>0</v>
      </c>
      <c r="N153" s="264"/>
      <c r="O153" s="332"/>
      <c r="P153" s="333"/>
      <c r="Q153" s="333"/>
      <c r="R153" s="334"/>
      <c r="S153" s="334"/>
      <c r="T153" s="334"/>
      <c r="U153" s="334"/>
      <c r="V153" s="379">
        <f t="shared" si="34"/>
        <v>14081391</v>
      </c>
      <c r="W153" s="335"/>
      <c r="Y153" s="336"/>
      <c r="Z153" s="337"/>
      <c r="AA153" s="338"/>
      <c r="AB153" s="383">
        <f t="shared" si="35"/>
        <v>638</v>
      </c>
      <c r="AC153" s="339"/>
      <c r="AD153" s="384">
        <f t="shared" si="41"/>
        <v>0</v>
      </c>
      <c r="AE153" s="336"/>
      <c r="AF153" s="329"/>
      <c r="AG153" s="330"/>
      <c r="AH153" s="375">
        <f t="shared" si="36"/>
        <v>320270</v>
      </c>
      <c r="AI153" s="331"/>
      <c r="AJ153" s="377">
        <f t="shared" si="42"/>
        <v>0</v>
      </c>
      <c r="AK153" s="336"/>
      <c r="AL153" s="336"/>
      <c r="AM153" s="336"/>
      <c r="AN153" s="340"/>
      <c r="AO153" s="341"/>
      <c r="AP153" s="341"/>
      <c r="AQ153" s="386">
        <f t="shared" si="40"/>
        <v>199895</v>
      </c>
      <c r="AR153" s="342"/>
      <c r="AS153" s="389">
        <f t="shared" si="45"/>
        <v>0</v>
      </c>
      <c r="AU153" s="343"/>
      <c r="AV153" s="344"/>
      <c r="AW153" s="344"/>
      <c r="AX153" s="344"/>
      <c r="AY153" s="344"/>
      <c r="AZ153" s="344"/>
      <c r="BA153" s="344"/>
      <c r="BB153" s="390">
        <f t="shared" si="37"/>
        <v>0</v>
      </c>
      <c r="BC153" s="345">
        <v>0</v>
      </c>
    </row>
    <row r="154" spans="1:55">
      <c r="A154" s="264"/>
      <c r="B154" s="326"/>
      <c r="C154" s="327"/>
      <c r="D154" s="327"/>
      <c r="E154" s="371">
        <f t="shared" si="38"/>
        <v>337945</v>
      </c>
      <c r="F154" s="372">
        <f t="shared" si="43"/>
        <v>0</v>
      </c>
      <c r="G154" s="264"/>
      <c r="H154" s="328"/>
      <c r="I154" s="329"/>
      <c r="J154" s="330"/>
      <c r="K154" s="375">
        <f t="shared" si="39"/>
        <v>941317</v>
      </c>
      <c r="L154" s="331"/>
      <c r="M154" s="377">
        <f t="shared" si="44"/>
        <v>0</v>
      </c>
      <c r="N154" s="264"/>
      <c r="O154" s="332"/>
      <c r="P154" s="333"/>
      <c r="Q154" s="333"/>
      <c r="R154" s="334"/>
      <c r="S154" s="334"/>
      <c r="T154" s="334"/>
      <c r="U154" s="334"/>
      <c r="V154" s="379">
        <f t="shared" si="34"/>
        <v>14081391</v>
      </c>
      <c r="W154" s="335"/>
      <c r="Y154" s="336"/>
      <c r="Z154" s="337"/>
      <c r="AA154" s="338"/>
      <c r="AB154" s="383">
        <f t="shared" si="35"/>
        <v>638</v>
      </c>
      <c r="AC154" s="339"/>
      <c r="AD154" s="384">
        <f t="shared" si="41"/>
        <v>0</v>
      </c>
      <c r="AE154" s="336"/>
      <c r="AF154" s="329"/>
      <c r="AG154" s="330"/>
      <c r="AH154" s="375">
        <f t="shared" si="36"/>
        <v>320270</v>
      </c>
      <c r="AI154" s="331"/>
      <c r="AJ154" s="377">
        <f t="shared" si="42"/>
        <v>0</v>
      </c>
      <c r="AK154" s="336"/>
      <c r="AL154" s="336"/>
      <c r="AM154" s="336"/>
      <c r="AN154" s="340"/>
      <c r="AO154" s="341"/>
      <c r="AP154" s="341"/>
      <c r="AQ154" s="386">
        <f t="shared" si="40"/>
        <v>199895</v>
      </c>
      <c r="AR154" s="342"/>
      <c r="AS154" s="389">
        <f t="shared" si="45"/>
        <v>0</v>
      </c>
      <c r="AU154" s="343"/>
      <c r="AV154" s="344"/>
      <c r="AW154" s="344"/>
      <c r="AX154" s="344"/>
      <c r="AY154" s="344"/>
      <c r="AZ154" s="344"/>
      <c r="BA154" s="344"/>
      <c r="BB154" s="390">
        <f t="shared" si="37"/>
        <v>0</v>
      </c>
      <c r="BC154" s="345">
        <v>0</v>
      </c>
    </row>
    <row r="155" spans="1:55">
      <c r="A155" s="264"/>
      <c r="B155" s="326"/>
      <c r="C155" s="327"/>
      <c r="D155" s="327"/>
      <c r="E155" s="371">
        <f t="shared" si="38"/>
        <v>337945</v>
      </c>
      <c r="F155" s="372">
        <f t="shared" ref="F155:F190" si="46">C155-D155</f>
        <v>0</v>
      </c>
      <c r="G155" s="264"/>
      <c r="H155" s="328"/>
      <c r="I155" s="329"/>
      <c r="J155" s="330"/>
      <c r="K155" s="375">
        <f t="shared" si="39"/>
        <v>941317</v>
      </c>
      <c r="L155" s="331"/>
      <c r="M155" s="377">
        <f t="shared" ref="M155:M190" si="47">L155-J155</f>
        <v>0</v>
      </c>
      <c r="N155" s="264"/>
      <c r="O155" s="332"/>
      <c r="P155" s="333"/>
      <c r="Q155" s="333"/>
      <c r="R155" s="334"/>
      <c r="S155" s="334"/>
      <c r="T155" s="334"/>
      <c r="U155" s="334"/>
      <c r="V155" s="379">
        <f t="shared" si="34"/>
        <v>14081391</v>
      </c>
      <c r="W155" s="335"/>
      <c r="Y155" s="336"/>
      <c r="Z155" s="337"/>
      <c r="AA155" s="338"/>
      <c r="AB155" s="383">
        <f t="shared" si="35"/>
        <v>638</v>
      </c>
      <c r="AC155" s="339"/>
      <c r="AD155" s="384">
        <f t="shared" si="41"/>
        <v>0</v>
      </c>
      <c r="AE155" s="336"/>
      <c r="AF155" s="329"/>
      <c r="AG155" s="330"/>
      <c r="AH155" s="375">
        <f t="shared" si="36"/>
        <v>320270</v>
      </c>
      <c r="AI155" s="331"/>
      <c r="AJ155" s="377">
        <f t="shared" si="42"/>
        <v>0</v>
      </c>
      <c r="AK155" s="336"/>
      <c r="AL155" s="336"/>
      <c r="AM155" s="336"/>
      <c r="AN155" s="340"/>
      <c r="AO155" s="341"/>
      <c r="AP155" s="341"/>
      <c r="AQ155" s="386">
        <f t="shared" si="40"/>
        <v>199895</v>
      </c>
      <c r="AR155" s="342"/>
      <c r="AS155" s="389">
        <f t="shared" ref="AS155:AS190" si="48">AR155-AO155</f>
        <v>0</v>
      </c>
      <c r="AU155" s="343"/>
      <c r="AV155" s="344"/>
      <c r="AW155" s="344"/>
      <c r="AX155" s="344"/>
      <c r="AY155" s="344"/>
      <c r="AZ155" s="344"/>
      <c r="BA155" s="344"/>
      <c r="BB155" s="390">
        <f t="shared" si="37"/>
        <v>0</v>
      </c>
      <c r="BC155" s="345">
        <v>0</v>
      </c>
    </row>
    <row r="156" spans="1:55">
      <c r="A156" s="264"/>
      <c r="B156" s="326"/>
      <c r="C156" s="327"/>
      <c r="D156" s="327"/>
      <c r="E156" s="371">
        <f t="shared" si="38"/>
        <v>337945</v>
      </c>
      <c r="F156" s="372">
        <f t="shared" si="46"/>
        <v>0</v>
      </c>
      <c r="G156" s="264"/>
      <c r="H156" s="328"/>
      <c r="I156" s="329"/>
      <c r="J156" s="330"/>
      <c r="K156" s="375">
        <f t="shared" si="39"/>
        <v>941317</v>
      </c>
      <c r="L156" s="331"/>
      <c r="M156" s="377">
        <f t="shared" si="47"/>
        <v>0</v>
      </c>
      <c r="N156" s="264"/>
      <c r="O156" s="332"/>
      <c r="P156" s="333"/>
      <c r="Q156" s="333"/>
      <c r="R156" s="334"/>
      <c r="S156" s="334"/>
      <c r="T156" s="334"/>
      <c r="U156" s="334"/>
      <c r="V156" s="379">
        <f t="shared" si="34"/>
        <v>14081391</v>
      </c>
      <c r="W156" s="335"/>
      <c r="Y156" s="336"/>
      <c r="Z156" s="337"/>
      <c r="AA156" s="338"/>
      <c r="AB156" s="383">
        <f t="shared" si="35"/>
        <v>638</v>
      </c>
      <c r="AC156" s="339"/>
      <c r="AD156" s="384">
        <f t="shared" si="41"/>
        <v>0</v>
      </c>
      <c r="AE156" s="336"/>
      <c r="AF156" s="329"/>
      <c r="AG156" s="330"/>
      <c r="AH156" s="375">
        <f t="shared" si="36"/>
        <v>320270</v>
      </c>
      <c r="AI156" s="331"/>
      <c r="AJ156" s="377">
        <f t="shared" si="42"/>
        <v>0</v>
      </c>
      <c r="AK156" s="336"/>
      <c r="AL156" s="336"/>
      <c r="AM156" s="336"/>
      <c r="AN156" s="340"/>
      <c r="AO156" s="341"/>
      <c r="AP156" s="341"/>
      <c r="AQ156" s="386">
        <f t="shared" si="40"/>
        <v>199895</v>
      </c>
      <c r="AR156" s="342"/>
      <c r="AS156" s="389">
        <f t="shared" si="48"/>
        <v>0</v>
      </c>
      <c r="AU156" s="343"/>
      <c r="AV156" s="344"/>
      <c r="AW156" s="344"/>
      <c r="AX156" s="344"/>
      <c r="AY156" s="344"/>
      <c r="AZ156" s="344"/>
      <c r="BA156" s="344"/>
      <c r="BB156" s="390">
        <f t="shared" si="37"/>
        <v>0</v>
      </c>
      <c r="BC156" s="345">
        <v>0</v>
      </c>
    </row>
    <row r="157" spans="1:55">
      <c r="A157" s="264"/>
      <c r="B157" s="326"/>
      <c r="C157" s="327"/>
      <c r="D157" s="327"/>
      <c r="E157" s="371">
        <f t="shared" si="38"/>
        <v>337945</v>
      </c>
      <c r="F157" s="372">
        <f t="shared" si="46"/>
        <v>0</v>
      </c>
      <c r="G157" s="264"/>
      <c r="H157" s="328"/>
      <c r="I157" s="329"/>
      <c r="J157" s="330"/>
      <c r="K157" s="375">
        <f t="shared" si="39"/>
        <v>941317</v>
      </c>
      <c r="L157" s="331"/>
      <c r="M157" s="377">
        <f t="shared" si="47"/>
        <v>0</v>
      </c>
      <c r="N157" s="264"/>
      <c r="O157" s="332"/>
      <c r="P157" s="333"/>
      <c r="Q157" s="333"/>
      <c r="R157" s="334"/>
      <c r="S157" s="334"/>
      <c r="T157" s="334"/>
      <c r="U157" s="334"/>
      <c r="V157" s="379">
        <f t="shared" si="34"/>
        <v>14081391</v>
      </c>
      <c r="W157" s="335"/>
      <c r="Y157" s="336"/>
      <c r="Z157" s="337"/>
      <c r="AA157" s="338"/>
      <c r="AB157" s="383">
        <f t="shared" si="35"/>
        <v>638</v>
      </c>
      <c r="AC157" s="339"/>
      <c r="AD157" s="384">
        <f t="shared" si="41"/>
        <v>0</v>
      </c>
      <c r="AE157" s="336"/>
      <c r="AF157" s="329"/>
      <c r="AG157" s="330"/>
      <c r="AH157" s="375">
        <f t="shared" si="36"/>
        <v>320270</v>
      </c>
      <c r="AI157" s="331"/>
      <c r="AJ157" s="377">
        <f t="shared" si="42"/>
        <v>0</v>
      </c>
      <c r="AK157" s="336"/>
      <c r="AL157" s="336"/>
      <c r="AM157" s="336"/>
      <c r="AN157" s="340"/>
      <c r="AO157" s="341"/>
      <c r="AP157" s="341"/>
      <c r="AQ157" s="386">
        <f t="shared" si="40"/>
        <v>199895</v>
      </c>
      <c r="AR157" s="342"/>
      <c r="AS157" s="389">
        <f t="shared" si="48"/>
        <v>0</v>
      </c>
      <c r="AU157" s="343"/>
      <c r="AV157" s="344"/>
      <c r="AW157" s="344"/>
      <c r="AX157" s="344"/>
      <c r="AY157" s="344"/>
      <c r="AZ157" s="344"/>
      <c r="BA157" s="344"/>
      <c r="BB157" s="390">
        <f t="shared" si="37"/>
        <v>0</v>
      </c>
      <c r="BC157" s="345">
        <v>0</v>
      </c>
    </row>
    <row r="158" spans="1:55">
      <c r="A158" s="264"/>
      <c r="B158" s="326"/>
      <c r="C158" s="327"/>
      <c r="D158" s="327"/>
      <c r="E158" s="371">
        <f t="shared" si="38"/>
        <v>337945</v>
      </c>
      <c r="F158" s="372">
        <f t="shared" si="46"/>
        <v>0</v>
      </c>
      <c r="G158" s="264"/>
      <c r="H158" s="328"/>
      <c r="I158" s="329"/>
      <c r="J158" s="330"/>
      <c r="K158" s="375">
        <f t="shared" si="39"/>
        <v>941317</v>
      </c>
      <c r="L158" s="331"/>
      <c r="M158" s="377">
        <f t="shared" si="47"/>
        <v>0</v>
      </c>
      <c r="N158" s="264"/>
      <c r="O158" s="332"/>
      <c r="P158" s="333"/>
      <c r="Q158" s="333"/>
      <c r="R158" s="334"/>
      <c r="S158" s="334"/>
      <c r="T158" s="334"/>
      <c r="U158" s="334"/>
      <c r="V158" s="379">
        <f t="shared" si="34"/>
        <v>14081391</v>
      </c>
      <c r="W158" s="335"/>
      <c r="Y158" s="336"/>
      <c r="Z158" s="337"/>
      <c r="AA158" s="338"/>
      <c r="AB158" s="383">
        <f t="shared" si="35"/>
        <v>638</v>
      </c>
      <c r="AC158" s="339"/>
      <c r="AD158" s="384">
        <f t="shared" si="41"/>
        <v>0</v>
      </c>
      <c r="AE158" s="336"/>
      <c r="AF158" s="329"/>
      <c r="AG158" s="330"/>
      <c r="AH158" s="375">
        <f t="shared" si="36"/>
        <v>320270</v>
      </c>
      <c r="AI158" s="331"/>
      <c r="AJ158" s="377">
        <f t="shared" si="42"/>
        <v>0</v>
      </c>
      <c r="AK158" s="336"/>
      <c r="AL158" s="336"/>
      <c r="AM158" s="336"/>
      <c r="AN158" s="340"/>
      <c r="AO158" s="341"/>
      <c r="AP158" s="341"/>
      <c r="AQ158" s="386">
        <f t="shared" si="40"/>
        <v>199895</v>
      </c>
      <c r="AR158" s="342"/>
      <c r="AS158" s="389">
        <f t="shared" si="48"/>
        <v>0</v>
      </c>
      <c r="AU158" s="343"/>
      <c r="AV158" s="344"/>
      <c r="AW158" s="344"/>
      <c r="AX158" s="344"/>
      <c r="AY158" s="344"/>
      <c r="AZ158" s="344"/>
      <c r="BA158" s="344"/>
      <c r="BB158" s="390">
        <f t="shared" si="37"/>
        <v>0</v>
      </c>
      <c r="BC158" s="345">
        <v>0</v>
      </c>
    </row>
    <row r="159" spans="1:55">
      <c r="A159" s="264"/>
      <c r="B159" s="326"/>
      <c r="C159" s="327"/>
      <c r="D159" s="327"/>
      <c r="E159" s="371">
        <f t="shared" si="38"/>
        <v>337945</v>
      </c>
      <c r="F159" s="372">
        <f t="shared" si="46"/>
        <v>0</v>
      </c>
      <c r="G159" s="264"/>
      <c r="H159" s="328"/>
      <c r="I159" s="329"/>
      <c r="J159" s="330"/>
      <c r="K159" s="375">
        <f t="shared" si="39"/>
        <v>941317</v>
      </c>
      <c r="L159" s="331"/>
      <c r="M159" s="377">
        <f t="shared" si="47"/>
        <v>0</v>
      </c>
      <c r="N159" s="264"/>
      <c r="O159" s="332"/>
      <c r="P159" s="333"/>
      <c r="Q159" s="333"/>
      <c r="R159" s="334"/>
      <c r="S159" s="334"/>
      <c r="T159" s="334"/>
      <c r="U159" s="334"/>
      <c r="V159" s="379">
        <f t="shared" si="34"/>
        <v>14081391</v>
      </c>
      <c r="W159" s="335"/>
      <c r="Y159" s="336"/>
      <c r="Z159" s="337"/>
      <c r="AA159" s="338"/>
      <c r="AB159" s="383">
        <f t="shared" si="35"/>
        <v>638</v>
      </c>
      <c r="AC159" s="339"/>
      <c r="AD159" s="384">
        <f t="shared" si="41"/>
        <v>0</v>
      </c>
      <c r="AE159" s="336"/>
      <c r="AF159" s="329"/>
      <c r="AG159" s="330"/>
      <c r="AH159" s="375">
        <f t="shared" si="36"/>
        <v>320270</v>
      </c>
      <c r="AI159" s="331"/>
      <c r="AJ159" s="377">
        <f t="shared" si="42"/>
        <v>0</v>
      </c>
      <c r="AK159" s="336"/>
      <c r="AL159" s="336"/>
      <c r="AM159" s="336"/>
      <c r="AN159" s="340"/>
      <c r="AO159" s="341"/>
      <c r="AP159" s="341"/>
      <c r="AQ159" s="386">
        <f t="shared" si="40"/>
        <v>199895</v>
      </c>
      <c r="AR159" s="342"/>
      <c r="AS159" s="389">
        <f t="shared" si="48"/>
        <v>0</v>
      </c>
      <c r="AU159" s="343"/>
      <c r="AV159" s="344"/>
      <c r="AW159" s="344"/>
      <c r="AX159" s="344"/>
      <c r="AY159" s="344"/>
      <c r="AZ159" s="344"/>
      <c r="BA159" s="344"/>
      <c r="BB159" s="390">
        <f t="shared" si="37"/>
        <v>0</v>
      </c>
      <c r="BC159" s="345">
        <v>0</v>
      </c>
    </row>
    <row r="160" spans="1:55">
      <c r="A160" s="264"/>
      <c r="B160" s="326"/>
      <c r="C160" s="327"/>
      <c r="D160" s="327"/>
      <c r="E160" s="371">
        <f t="shared" si="38"/>
        <v>337945</v>
      </c>
      <c r="F160" s="372">
        <f t="shared" si="46"/>
        <v>0</v>
      </c>
      <c r="G160" s="264"/>
      <c r="H160" s="328"/>
      <c r="I160" s="329"/>
      <c r="J160" s="330"/>
      <c r="K160" s="375">
        <f t="shared" si="39"/>
        <v>941317</v>
      </c>
      <c r="L160" s="331"/>
      <c r="M160" s="377">
        <f t="shared" si="47"/>
        <v>0</v>
      </c>
      <c r="N160" s="264"/>
      <c r="O160" s="332"/>
      <c r="P160" s="333"/>
      <c r="Q160" s="333"/>
      <c r="R160" s="334"/>
      <c r="S160" s="334"/>
      <c r="T160" s="334"/>
      <c r="U160" s="334"/>
      <c r="V160" s="379">
        <f t="shared" si="34"/>
        <v>14081391</v>
      </c>
      <c r="W160" s="335"/>
      <c r="Y160" s="336"/>
      <c r="Z160" s="337"/>
      <c r="AA160" s="338"/>
      <c r="AB160" s="383">
        <f t="shared" si="35"/>
        <v>638</v>
      </c>
      <c r="AC160" s="339"/>
      <c r="AD160" s="384">
        <f t="shared" si="41"/>
        <v>0</v>
      </c>
      <c r="AE160" s="336"/>
      <c r="AF160" s="329"/>
      <c r="AG160" s="330"/>
      <c r="AH160" s="375">
        <f t="shared" si="36"/>
        <v>320270</v>
      </c>
      <c r="AI160" s="331"/>
      <c r="AJ160" s="377">
        <f t="shared" si="42"/>
        <v>0</v>
      </c>
      <c r="AK160" s="336"/>
      <c r="AL160" s="336"/>
      <c r="AM160" s="336"/>
      <c r="AN160" s="340"/>
      <c r="AO160" s="341"/>
      <c r="AP160" s="341"/>
      <c r="AQ160" s="386">
        <f t="shared" si="40"/>
        <v>199895</v>
      </c>
      <c r="AR160" s="342"/>
      <c r="AS160" s="389">
        <f t="shared" si="48"/>
        <v>0</v>
      </c>
      <c r="AU160" s="343"/>
      <c r="AV160" s="344"/>
      <c r="AW160" s="344"/>
      <c r="AX160" s="344"/>
      <c r="AY160" s="344"/>
      <c r="AZ160" s="344"/>
      <c r="BA160" s="344"/>
      <c r="BB160" s="390">
        <f t="shared" si="37"/>
        <v>0</v>
      </c>
      <c r="BC160" s="345">
        <v>0</v>
      </c>
    </row>
    <row r="161" spans="1:55">
      <c r="A161" s="264"/>
      <c r="B161" s="326"/>
      <c r="C161" s="327"/>
      <c r="D161" s="327"/>
      <c r="E161" s="371">
        <f t="shared" si="38"/>
        <v>337945</v>
      </c>
      <c r="F161" s="372">
        <f t="shared" si="46"/>
        <v>0</v>
      </c>
      <c r="G161" s="264"/>
      <c r="H161" s="328"/>
      <c r="I161" s="329"/>
      <c r="J161" s="330"/>
      <c r="K161" s="375">
        <f t="shared" ref="K161:K186" si="49">K160+I161-J161</f>
        <v>941317</v>
      </c>
      <c r="L161" s="331"/>
      <c r="M161" s="377">
        <f t="shared" si="47"/>
        <v>0</v>
      </c>
      <c r="N161" s="264"/>
      <c r="O161" s="332"/>
      <c r="P161" s="333"/>
      <c r="Q161" s="333"/>
      <c r="R161" s="334"/>
      <c r="S161" s="334"/>
      <c r="T161" s="334"/>
      <c r="U161" s="334"/>
      <c r="V161" s="379">
        <f t="shared" si="34"/>
        <v>14081391</v>
      </c>
      <c r="W161" s="335"/>
      <c r="Y161" s="336"/>
      <c r="Z161" s="337"/>
      <c r="AA161" s="338"/>
      <c r="AB161" s="383">
        <f t="shared" si="35"/>
        <v>638</v>
      </c>
      <c r="AC161" s="339"/>
      <c r="AD161" s="384">
        <f t="shared" si="41"/>
        <v>0</v>
      </c>
      <c r="AE161" s="336"/>
      <c r="AF161" s="329"/>
      <c r="AG161" s="330"/>
      <c r="AH161" s="375">
        <f t="shared" si="36"/>
        <v>320270</v>
      </c>
      <c r="AI161" s="331"/>
      <c r="AJ161" s="377">
        <f t="shared" si="42"/>
        <v>0</v>
      </c>
      <c r="AK161" s="336"/>
      <c r="AL161" s="336"/>
      <c r="AM161" s="336"/>
      <c r="AN161" s="340"/>
      <c r="AO161" s="341"/>
      <c r="AP161" s="341"/>
      <c r="AQ161" s="386">
        <f t="shared" si="40"/>
        <v>199895</v>
      </c>
      <c r="AR161" s="342"/>
      <c r="AS161" s="389">
        <f t="shared" si="48"/>
        <v>0</v>
      </c>
      <c r="AU161" s="343"/>
      <c r="AV161" s="344"/>
      <c r="AW161" s="344"/>
      <c r="AX161" s="344"/>
      <c r="AY161" s="344"/>
      <c r="AZ161" s="344"/>
      <c r="BA161" s="344"/>
      <c r="BB161" s="390">
        <f t="shared" si="37"/>
        <v>0</v>
      </c>
      <c r="BC161" s="345">
        <v>0</v>
      </c>
    </row>
    <row r="162" spans="1:55">
      <c r="A162" s="264"/>
      <c r="B162" s="326"/>
      <c r="C162" s="327"/>
      <c r="D162" s="327"/>
      <c r="E162" s="371">
        <f t="shared" si="38"/>
        <v>337945</v>
      </c>
      <c r="F162" s="372">
        <f t="shared" si="46"/>
        <v>0</v>
      </c>
      <c r="G162" s="264"/>
      <c r="H162" s="328"/>
      <c r="I162" s="329"/>
      <c r="J162" s="330"/>
      <c r="K162" s="375">
        <f t="shared" si="49"/>
        <v>941317</v>
      </c>
      <c r="L162" s="331"/>
      <c r="M162" s="377">
        <f t="shared" si="47"/>
        <v>0</v>
      </c>
      <c r="N162" s="264"/>
      <c r="O162" s="332"/>
      <c r="P162" s="333"/>
      <c r="Q162" s="333"/>
      <c r="R162" s="334"/>
      <c r="S162" s="334"/>
      <c r="T162" s="334"/>
      <c r="U162" s="334"/>
      <c r="V162" s="379">
        <f t="shared" si="34"/>
        <v>14081391</v>
      </c>
      <c r="W162" s="335"/>
      <c r="Y162" s="336"/>
      <c r="Z162" s="337"/>
      <c r="AA162" s="338"/>
      <c r="AB162" s="383">
        <f t="shared" si="35"/>
        <v>638</v>
      </c>
      <c r="AC162" s="339"/>
      <c r="AD162" s="384">
        <f t="shared" si="41"/>
        <v>0</v>
      </c>
      <c r="AE162" s="336"/>
      <c r="AF162" s="329"/>
      <c r="AG162" s="330"/>
      <c r="AH162" s="375">
        <f t="shared" si="36"/>
        <v>320270</v>
      </c>
      <c r="AI162" s="331"/>
      <c r="AJ162" s="377">
        <f t="shared" si="42"/>
        <v>0</v>
      </c>
      <c r="AK162" s="336"/>
      <c r="AL162" s="336"/>
      <c r="AM162" s="336"/>
      <c r="AN162" s="340"/>
      <c r="AO162" s="341"/>
      <c r="AP162" s="341"/>
      <c r="AQ162" s="386">
        <f t="shared" si="40"/>
        <v>199895</v>
      </c>
      <c r="AR162" s="342"/>
      <c r="AS162" s="389">
        <f t="shared" si="48"/>
        <v>0</v>
      </c>
      <c r="AU162" s="343"/>
      <c r="AV162" s="344"/>
      <c r="AW162" s="344"/>
      <c r="AX162" s="344"/>
      <c r="AY162" s="344"/>
      <c r="AZ162" s="344"/>
      <c r="BA162" s="344"/>
      <c r="BB162" s="390">
        <f t="shared" si="37"/>
        <v>0</v>
      </c>
      <c r="BC162" s="345">
        <v>0</v>
      </c>
    </row>
    <row r="163" spans="1:55">
      <c r="A163" s="264"/>
      <c r="B163" s="326"/>
      <c r="C163" s="327"/>
      <c r="D163" s="327"/>
      <c r="E163" s="371">
        <f t="shared" si="38"/>
        <v>337945</v>
      </c>
      <c r="F163" s="372">
        <f t="shared" si="46"/>
        <v>0</v>
      </c>
      <c r="G163" s="264"/>
      <c r="H163" s="328"/>
      <c r="I163" s="329"/>
      <c r="J163" s="330"/>
      <c r="K163" s="375">
        <f t="shared" si="49"/>
        <v>941317</v>
      </c>
      <c r="L163" s="331"/>
      <c r="M163" s="377">
        <f t="shared" si="47"/>
        <v>0</v>
      </c>
      <c r="N163" s="264"/>
      <c r="O163" s="332"/>
      <c r="P163" s="333"/>
      <c r="Q163" s="333"/>
      <c r="R163" s="334"/>
      <c r="S163" s="334"/>
      <c r="T163" s="334"/>
      <c r="U163" s="334"/>
      <c r="V163" s="379">
        <f t="shared" si="34"/>
        <v>14081391</v>
      </c>
      <c r="W163" s="335"/>
      <c r="Y163" s="336"/>
      <c r="Z163" s="337"/>
      <c r="AA163" s="338"/>
      <c r="AB163" s="383">
        <f t="shared" si="35"/>
        <v>638</v>
      </c>
      <c r="AC163" s="339"/>
      <c r="AD163" s="384">
        <f t="shared" si="41"/>
        <v>0</v>
      </c>
      <c r="AE163" s="336"/>
      <c r="AF163" s="329"/>
      <c r="AG163" s="330"/>
      <c r="AH163" s="375">
        <f t="shared" si="36"/>
        <v>320270</v>
      </c>
      <c r="AI163" s="331"/>
      <c r="AJ163" s="377">
        <f t="shared" si="42"/>
        <v>0</v>
      </c>
      <c r="AK163" s="336"/>
      <c r="AL163" s="336"/>
      <c r="AM163" s="336"/>
      <c r="AN163" s="340"/>
      <c r="AO163" s="341"/>
      <c r="AP163" s="341"/>
      <c r="AQ163" s="386">
        <f t="shared" si="40"/>
        <v>199895</v>
      </c>
      <c r="AR163" s="342"/>
      <c r="AS163" s="389">
        <f t="shared" si="48"/>
        <v>0</v>
      </c>
      <c r="AU163" s="343"/>
      <c r="AV163" s="344"/>
      <c r="AW163" s="344"/>
      <c r="AX163" s="344"/>
      <c r="AY163" s="344"/>
      <c r="AZ163" s="344"/>
      <c r="BA163" s="344"/>
      <c r="BB163" s="390">
        <f t="shared" si="37"/>
        <v>0</v>
      </c>
      <c r="BC163" s="345">
        <v>0</v>
      </c>
    </row>
    <row r="164" spans="1:55">
      <c r="A164" s="264"/>
      <c r="B164" s="326"/>
      <c r="C164" s="327"/>
      <c r="D164" s="327"/>
      <c r="E164" s="371">
        <f t="shared" si="38"/>
        <v>337945</v>
      </c>
      <c r="F164" s="372">
        <f t="shared" si="46"/>
        <v>0</v>
      </c>
      <c r="G164" s="264"/>
      <c r="H164" s="328"/>
      <c r="I164" s="329"/>
      <c r="J164" s="330"/>
      <c r="K164" s="375">
        <f t="shared" si="49"/>
        <v>941317</v>
      </c>
      <c r="L164" s="331"/>
      <c r="M164" s="377">
        <f t="shared" si="47"/>
        <v>0</v>
      </c>
      <c r="N164" s="264"/>
      <c r="O164" s="332"/>
      <c r="P164" s="333"/>
      <c r="Q164" s="333"/>
      <c r="R164" s="334"/>
      <c r="S164" s="334"/>
      <c r="T164" s="334"/>
      <c r="U164" s="334"/>
      <c r="V164" s="379">
        <f t="shared" si="34"/>
        <v>14081391</v>
      </c>
      <c r="W164" s="335"/>
      <c r="Y164" s="336"/>
      <c r="Z164" s="337"/>
      <c r="AA164" s="338"/>
      <c r="AB164" s="383">
        <f t="shared" si="35"/>
        <v>638</v>
      </c>
      <c r="AC164" s="339"/>
      <c r="AD164" s="384">
        <f t="shared" si="41"/>
        <v>0</v>
      </c>
      <c r="AE164" s="336"/>
      <c r="AF164" s="329"/>
      <c r="AG164" s="330"/>
      <c r="AH164" s="375">
        <f t="shared" si="36"/>
        <v>320270</v>
      </c>
      <c r="AI164" s="331"/>
      <c r="AJ164" s="377">
        <f t="shared" si="42"/>
        <v>0</v>
      </c>
      <c r="AK164" s="336"/>
      <c r="AL164" s="336"/>
      <c r="AM164" s="336"/>
      <c r="AN164" s="340"/>
      <c r="AO164" s="341"/>
      <c r="AP164" s="341"/>
      <c r="AQ164" s="386">
        <f t="shared" si="40"/>
        <v>199895</v>
      </c>
      <c r="AR164" s="342"/>
      <c r="AS164" s="389">
        <f t="shared" si="48"/>
        <v>0</v>
      </c>
      <c r="AU164" s="343"/>
      <c r="AV164" s="344"/>
      <c r="AW164" s="344"/>
      <c r="AX164" s="344"/>
      <c r="AY164" s="344"/>
      <c r="AZ164" s="344"/>
      <c r="BA164" s="344"/>
      <c r="BB164" s="390">
        <f t="shared" si="37"/>
        <v>0</v>
      </c>
      <c r="BC164" s="345">
        <v>0</v>
      </c>
    </row>
    <row r="165" spans="1:55">
      <c r="A165" s="264"/>
      <c r="B165" s="326"/>
      <c r="C165" s="327"/>
      <c r="D165" s="327"/>
      <c r="E165" s="371">
        <f t="shared" si="38"/>
        <v>337945</v>
      </c>
      <c r="F165" s="372">
        <f t="shared" si="46"/>
        <v>0</v>
      </c>
      <c r="G165" s="264"/>
      <c r="H165" s="328"/>
      <c r="I165" s="329"/>
      <c r="J165" s="330"/>
      <c r="K165" s="375">
        <f t="shared" si="49"/>
        <v>941317</v>
      </c>
      <c r="L165" s="331"/>
      <c r="M165" s="377">
        <f t="shared" si="47"/>
        <v>0</v>
      </c>
      <c r="N165" s="264"/>
      <c r="O165" s="332"/>
      <c r="P165" s="333"/>
      <c r="Q165" s="333"/>
      <c r="R165" s="334"/>
      <c r="S165" s="334"/>
      <c r="T165" s="334"/>
      <c r="U165" s="334"/>
      <c r="V165" s="379">
        <f t="shared" si="34"/>
        <v>14081391</v>
      </c>
      <c r="W165" s="335"/>
      <c r="Y165" s="336"/>
      <c r="Z165" s="337"/>
      <c r="AA165" s="338"/>
      <c r="AB165" s="383">
        <f t="shared" si="35"/>
        <v>638</v>
      </c>
      <c r="AC165" s="339"/>
      <c r="AD165" s="384">
        <f t="shared" si="41"/>
        <v>0</v>
      </c>
      <c r="AE165" s="336"/>
      <c r="AF165" s="329"/>
      <c r="AG165" s="330"/>
      <c r="AH165" s="375">
        <f t="shared" si="36"/>
        <v>320270</v>
      </c>
      <c r="AI165" s="331"/>
      <c r="AJ165" s="377">
        <f t="shared" si="42"/>
        <v>0</v>
      </c>
      <c r="AK165" s="336"/>
      <c r="AL165" s="336"/>
      <c r="AM165" s="336"/>
      <c r="AN165" s="340"/>
      <c r="AO165" s="341"/>
      <c r="AP165" s="341"/>
      <c r="AQ165" s="386">
        <f t="shared" si="40"/>
        <v>199895</v>
      </c>
      <c r="AR165" s="342"/>
      <c r="AS165" s="389">
        <f t="shared" si="48"/>
        <v>0</v>
      </c>
      <c r="AU165" s="343"/>
      <c r="AV165" s="344"/>
      <c r="AW165" s="344"/>
      <c r="AX165" s="344"/>
      <c r="AY165" s="344"/>
      <c r="AZ165" s="344"/>
      <c r="BA165" s="344"/>
      <c r="BB165" s="390">
        <f t="shared" si="37"/>
        <v>0</v>
      </c>
      <c r="BC165" s="345">
        <v>0</v>
      </c>
    </row>
    <row r="166" spans="1:55">
      <c r="A166" s="264"/>
      <c r="B166" s="326"/>
      <c r="C166" s="327"/>
      <c r="D166" s="327"/>
      <c r="E166" s="371">
        <f t="shared" si="38"/>
        <v>337945</v>
      </c>
      <c r="F166" s="372">
        <f t="shared" si="46"/>
        <v>0</v>
      </c>
      <c r="G166" s="264"/>
      <c r="H166" s="328"/>
      <c r="I166" s="329"/>
      <c r="J166" s="330"/>
      <c r="K166" s="375">
        <f t="shared" si="49"/>
        <v>941317</v>
      </c>
      <c r="L166" s="331"/>
      <c r="M166" s="377">
        <f t="shared" si="47"/>
        <v>0</v>
      </c>
      <c r="N166" s="264"/>
      <c r="O166" s="332"/>
      <c r="P166" s="333"/>
      <c r="Q166" s="333"/>
      <c r="R166" s="334"/>
      <c r="S166" s="334"/>
      <c r="T166" s="334"/>
      <c r="U166" s="334"/>
      <c r="V166" s="379">
        <f t="shared" si="34"/>
        <v>14081391</v>
      </c>
      <c r="W166" s="335"/>
      <c r="Y166" s="336"/>
      <c r="Z166" s="337"/>
      <c r="AA166" s="338"/>
      <c r="AB166" s="383">
        <f t="shared" si="35"/>
        <v>638</v>
      </c>
      <c r="AC166" s="339"/>
      <c r="AD166" s="384">
        <f t="shared" si="41"/>
        <v>0</v>
      </c>
      <c r="AE166" s="336"/>
      <c r="AF166" s="329"/>
      <c r="AG166" s="330"/>
      <c r="AH166" s="375">
        <f t="shared" si="36"/>
        <v>320270</v>
      </c>
      <c r="AI166" s="331"/>
      <c r="AJ166" s="377">
        <f t="shared" si="42"/>
        <v>0</v>
      </c>
      <c r="AK166" s="336"/>
      <c r="AL166" s="336"/>
      <c r="AM166" s="336"/>
      <c r="AN166" s="340"/>
      <c r="AO166" s="341"/>
      <c r="AP166" s="341"/>
      <c r="AQ166" s="386">
        <f t="shared" si="40"/>
        <v>199895</v>
      </c>
      <c r="AR166" s="342"/>
      <c r="AS166" s="389">
        <f t="shared" si="48"/>
        <v>0</v>
      </c>
      <c r="AU166" s="343"/>
      <c r="AV166" s="344"/>
      <c r="AW166" s="344"/>
      <c r="AX166" s="344"/>
      <c r="AY166" s="344"/>
      <c r="AZ166" s="344"/>
      <c r="BA166" s="344"/>
      <c r="BB166" s="390">
        <f t="shared" si="37"/>
        <v>0</v>
      </c>
      <c r="BC166" s="345">
        <v>0</v>
      </c>
    </row>
    <row r="167" spans="1:55">
      <c r="A167" s="264"/>
      <c r="B167" s="326"/>
      <c r="C167" s="327"/>
      <c r="D167" s="327"/>
      <c r="E167" s="371">
        <f t="shared" si="38"/>
        <v>337945</v>
      </c>
      <c r="F167" s="372">
        <f t="shared" si="46"/>
        <v>0</v>
      </c>
      <c r="G167" s="264"/>
      <c r="H167" s="328"/>
      <c r="I167" s="329"/>
      <c r="J167" s="330"/>
      <c r="K167" s="375">
        <f t="shared" si="49"/>
        <v>941317</v>
      </c>
      <c r="L167" s="331"/>
      <c r="M167" s="377">
        <f t="shared" si="47"/>
        <v>0</v>
      </c>
      <c r="N167" s="264"/>
      <c r="O167" s="332"/>
      <c r="P167" s="333"/>
      <c r="Q167" s="333"/>
      <c r="R167" s="334"/>
      <c r="S167" s="334"/>
      <c r="T167" s="334"/>
      <c r="U167" s="334"/>
      <c r="V167" s="379">
        <f t="shared" si="34"/>
        <v>14081391</v>
      </c>
      <c r="W167" s="335"/>
      <c r="Y167" s="336"/>
      <c r="Z167" s="337"/>
      <c r="AA167" s="338"/>
      <c r="AB167" s="383">
        <f t="shared" si="35"/>
        <v>638</v>
      </c>
      <c r="AC167" s="339"/>
      <c r="AD167" s="384">
        <f t="shared" si="41"/>
        <v>0</v>
      </c>
      <c r="AE167" s="336"/>
      <c r="AF167" s="329"/>
      <c r="AG167" s="330"/>
      <c r="AH167" s="375">
        <f t="shared" si="36"/>
        <v>320270</v>
      </c>
      <c r="AI167" s="331"/>
      <c r="AJ167" s="377">
        <f t="shared" si="42"/>
        <v>0</v>
      </c>
      <c r="AK167" s="336"/>
      <c r="AL167" s="336"/>
      <c r="AM167" s="336"/>
      <c r="AN167" s="340"/>
      <c r="AO167" s="341"/>
      <c r="AP167" s="341"/>
      <c r="AQ167" s="386">
        <f t="shared" si="40"/>
        <v>199895</v>
      </c>
      <c r="AR167" s="342"/>
      <c r="AS167" s="389">
        <f t="shared" si="48"/>
        <v>0</v>
      </c>
      <c r="AU167" s="343"/>
      <c r="AV167" s="344"/>
      <c r="AW167" s="344"/>
      <c r="AX167" s="344"/>
      <c r="AY167" s="344"/>
      <c r="AZ167" s="344"/>
      <c r="BA167" s="344"/>
      <c r="BB167" s="390">
        <f t="shared" si="37"/>
        <v>0</v>
      </c>
      <c r="BC167" s="345">
        <v>0</v>
      </c>
    </row>
    <row r="168" spans="1:55">
      <c r="A168" s="264"/>
      <c r="B168" s="326"/>
      <c r="C168" s="327"/>
      <c r="D168" s="327"/>
      <c r="E168" s="371">
        <f t="shared" si="38"/>
        <v>337945</v>
      </c>
      <c r="F168" s="372">
        <f t="shared" si="46"/>
        <v>0</v>
      </c>
      <c r="G168" s="264"/>
      <c r="H168" s="328"/>
      <c r="I168" s="329"/>
      <c r="J168" s="330"/>
      <c r="K168" s="375">
        <f t="shared" si="49"/>
        <v>941317</v>
      </c>
      <c r="L168" s="331"/>
      <c r="M168" s="377">
        <f t="shared" si="47"/>
        <v>0</v>
      </c>
      <c r="N168" s="264"/>
      <c r="O168" s="332"/>
      <c r="P168" s="333"/>
      <c r="Q168" s="333"/>
      <c r="R168" s="334"/>
      <c r="S168" s="334"/>
      <c r="T168" s="334"/>
      <c r="U168" s="334"/>
      <c r="V168" s="379">
        <f t="shared" si="34"/>
        <v>14081391</v>
      </c>
      <c r="W168" s="335"/>
      <c r="Y168" s="336"/>
      <c r="Z168" s="337"/>
      <c r="AA168" s="338"/>
      <c r="AB168" s="383">
        <f t="shared" si="35"/>
        <v>638</v>
      </c>
      <c r="AC168" s="339"/>
      <c r="AD168" s="384">
        <f t="shared" si="41"/>
        <v>0</v>
      </c>
      <c r="AE168" s="336"/>
      <c r="AF168" s="329"/>
      <c r="AG168" s="330"/>
      <c r="AH168" s="375">
        <f t="shared" si="36"/>
        <v>320270</v>
      </c>
      <c r="AI168" s="331"/>
      <c r="AJ168" s="377">
        <f t="shared" si="42"/>
        <v>0</v>
      </c>
      <c r="AK168" s="336"/>
      <c r="AL168" s="336"/>
      <c r="AM168" s="336"/>
      <c r="AN168" s="340"/>
      <c r="AO168" s="341"/>
      <c r="AP168" s="341"/>
      <c r="AQ168" s="386">
        <f t="shared" si="40"/>
        <v>199895</v>
      </c>
      <c r="AR168" s="342"/>
      <c r="AS168" s="389">
        <f t="shared" si="48"/>
        <v>0</v>
      </c>
      <c r="AU168" s="343"/>
      <c r="AV168" s="344"/>
      <c r="AW168" s="344"/>
      <c r="AX168" s="344"/>
      <c r="AY168" s="344"/>
      <c r="AZ168" s="344"/>
      <c r="BA168" s="344"/>
      <c r="BB168" s="390">
        <f t="shared" si="37"/>
        <v>0</v>
      </c>
      <c r="BC168" s="345">
        <v>0</v>
      </c>
    </row>
    <row r="169" spans="1:55">
      <c r="A169" s="264"/>
      <c r="B169" s="326"/>
      <c r="C169" s="327"/>
      <c r="D169" s="327"/>
      <c r="E169" s="371">
        <f t="shared" si="38"/>
        <v>337945</v>
      </c>
      <c r="F169" s="372">
        <f t="shared" si="46"/>
        <v>0</v>
      </c>
      <c r="G169" s="264"/>
      <c r="H169" s="328"/>
      <c r="I169" s="329"/>
      <c r="J169" s="330"/>
      <c r="K169" s="375">
        <f t="shared" si="49"/>
        <v>941317</v>
      </c>
      <c r="L169" s="331"/>
      <c r="M169" s="377">
        <f t="shared" si="47"/>
        <v>0</v>
      </c>
      <c r="N169" s="264"/>
      <c r="O169" s="332"/>
      <c r="P169" s="333"/>
      <c r="Q169" s="333"/>
      <c r="R169" s="334"/>
      <c r="S169" s="334"/>
      <c r="T169" s="334"/>
      <c r="U169" s="334"/>
      <c r="V169" s="379">
        <f t="shared" si="34"/>
        <v>14081391</v>
      </c>
      <c r="W169" s="335"/>
      <c r="Y169" s="336"/>
      <c r="Z169" s="337"/>
      <c r="AA169" s="338"/>
      <c r="AB169" s="383">
        <f t="shared" si="35"/>
        <v>638</v>
      </c>
      <c r="AC169" s="339"/>
      <c r="AD169" s="384">
        <f t="shared" si="41"/>
        <v>0</v>
      </c>
      <c r="AE169" s="336"/>
      <c r="AF169" s="329"/>
      <c r="AG169" s="330"/>
      <c r="AH169" s="375">
        <f t="shared" si="36"/>
        <v>320270</v>
      </c>
      <c r="AI169" s="331"/>
      <c r="AJ169" s="377">
        <f t="shared" si="42"/>
        <v>0</v>
      </c>
      <c r="AK169" s="336"/>
      <c r="AL169" s="336"/>
      <c r="AM169" s="336"/>
      <c r="AN169" s="340"/>
      <c r="AO169" s="341"/>
      <c r="AP169" s="341"/>
      <c r="AQ169" s="386">
        <f t="shared" si="40"/>
        <v>199895</v>
      </c>
      <c r="AR169" s="342"/>
      <c r="AS169" s="389">
        <f t="shared" si="48"/>
        <v>0</v>
      </c>
      <c r="AU169" s="343"/>
      <c r="AV169" s="344"/>
      <c r="AW169" s="344"/>
      <c r="AX169" s="344"/>
      <c r="AY169" s="344"/>
      <c r="AZ169" s="344"/>
      <c r="BA169" s="344"/>
      <c r="BB169" s="390">
        <f t="shared" si="37"/>
        <v>0</v>
      </c>
      <c r="BC169" s="345">
        <v>0</v>
      </c>
    </row>
    <row r="170" spans="1:55">
      <c r="A170" s="264"/>
      <c r="B170" s="326"/>
      <c r="C170" s="327"/>
      <c r="D170" s="327"/>
      <c r="E170" s="371">
        <f t="shared" si="38"/>
        <v>337945</v>
      </c>
      <c r="F170" s="372">
        <f t="shared" si="46"/>
        <v>0</v>
      </c>
      <c r="G170" s="264"/>
      <c r="H170" s="328"/>
      <c r="I170" s="329"/>
      <c r="J170" s="330"/>
      <c r="K170" s="375">
        <f t="shared" si="49"/>
        <v>941317</v>
      </c>
      <c r="L170" s="331"/>
      <c r="M170" s="377">
        <f t="shared" si="47"/>
        <v>0</v>
      </c>
      <c r="N170" s="264"/>
      <c r="O170" s="332"/>
      <c r="P170" s="333"/>
      <c r="Q170" s="333"/>
      <c r="R170" s="334"/>
      <c r="S170" s="334"/>
      <c r="T170" s="334"/>
      <c r="U170" s="334"/>
      <c r="V170" s="379">
        <f t="shared" si="34"/>
        <v>14081391</v>
      </c>
      <c r="W170" s="335"/>
      <c r="Y170" s="336"/>
      <c r="Z170" s="337"/>
      <c r="AA170" s="338"/>
      <c r="AB170" s="383">
        <f t="shared" si="35"/>
        <v>638</v>
      </c>
      <c r="AC170" s="339"/>
      <c r="AD170" s="384">
        <f t="shared" si="41"/>
        <v>0</v>
      </c>
      <c r="AE170" s="336"/>
      <c r="AF170" s="329"/>
      <c r="AG170" s="330"/>
      <c r="AH170" s="375">
        <f t="shared" si="36"/>
        <v>320270</v>
      </c>
      <c r="AI170" s="331"/>
      <c r="AJ170" s="377">
        <f t="shared" si="42"/>
        <v>0</v>
      </c>
      <c r="AK170" s="336"/>
      <c r="AL170" s="336"/>
      <c r="AM170" s="336"/>
      <c r="AN170" s="340"/>
      <c r="AO170" s="341"/>
      <c r="AP170" s="341"/>
      <c r="AQ170" s="386">
        <f t="shared" si="40"/>
        <v>199895</v>
      </c>
      <c r="AR170" s="342"/>
      <c r="AS170" s="389">
        <f t="shared" si="48"/>
        <v>0</v>
      </c>
      <c r="AU170" s="343"/>
      <c r="AV170" s="344"/>
      <c r="AW170" s="344"/>
      <c r="AX170" s="344"/>
      <c r="AY170" s="344"/>
      <c r="AZ170" s="344"/>
      <c r="BA170" s="344"/>
      <c r="BB170" s="390">
        <f t="shared" si="37"/>
        <v>0</v>
      </c>
      <c r="BC170" s="345">
        <v>0</v>
      </c>
    </row>
    <row r="171" spans="1:55">
      <c r="A171" s="264"/>
      <c r="B171" s="326"/>
      <c r="C171" s="327"/>
      <c r="D171" s="327"/>
      <c r="E171" s="371">
        <f t="shared" si="38"/>
        <v>337945</v>
      </c>
      <c r="F171" s="372">
        <f t="shared" si="46"/>
        <v>0</v>
      </c>
      <c r="G171" s="264"/>
      <c r="H171" s="328"/>
      <c r="I171" s="329"/>
      <c r="J171" s="330"/>
      <c r="K171" s="375">
        <f t="shared" si="49"/>
        <v>941317</v>
      </c>
      <c r="L171" s="331"/>
      <c r="M171" s="377">
        <f t="shared" si="47"/>
        <v>0</v>
      </c>
      <c r="N171" s="264"/>
      <c r="O171" s="332"/>
      <c r="P171" s="333"/>
      <c r="Q171" s="333"/>
      <c r="R171" s="334"/>
      <c r="S171" s="334"/>
      <c r="T171" s="334"/>
      <c r="U171" s="334"/>
      <c r="V171" s="379">
        <f t="shared" si="34"/>
        <v>14081391</v>
      </c>
      <c r="W171" s="335"/>
      <c r="Y171" s="336"/>
      <c r="Z171" s="337"/>
      <c r="AA171" s="338"/>
      <c r="AB171" s="383">
        <f t="shared" si="35"/>
        <v>638</v>
      </c>
      <c r="AC171" s="339"/>
      <c r="AD171" s="384">
        <f t="shared" si="41"/>
        <v>0</v>
      </c>
      <c r="AE171" s="336"/>
      <c r="AF171" s="329"/>
      <c r="AG171" s="330"/>
      <c r="AH171" s="375">
        <f t="shared" si="36"/>
        <v>320270</v>
      </c>
      <c r="AI171" s="331"/>
      <c r="AJ171" s="377">
        <f t="shared" si="42"/>
        <v>0</v>
      </c>
      <c r="AK171" s="336"/>
      <c r="AL171" s="336"/>
      <c r="AM171" s="336"/>
      <c r="AN171" s="340"/>
      <c r="AO171" s="341"/>
      <c r="AP171" s="341"/>
      <c r="AQ171" s="386">
        <f t="shared" si="40"/>
        <v>199895</v>
      </c>
      <c r="AR171" s="342"/>
      <c r="AS171" s="389">
        <f t="shared" si="48"/>
        <v>0</v>
      </c>
      <c r="AU171" s="343"/>
      <c r="AV171" s="344"/>
      <c r="AW171" s="344"/>
      <c r="AX171" s="344"/>
      <c r="AY171" s="344"/>
      <c r="AZ171" s="344"/>
      <c r="BA171" s="344"/>
      <c r="BB171" s="390">
        <f t="shared" si="37"/>
        <v>0</v>
      </c>
      <c r="BC171" s="345">
        <v>0</v>
      </c>
    </row>
    <row r="172" spans="1:55">
      <c r="A172" s="264"/>
      <c r="B172" s="326"/>
      <c r="C172" s="327"/>
      <c r="D172" s="327"/>
      <c r="E172" s="371">
        <f t="shared" si="38"/>
        <v>337945</v>
      </c>
      <c r="F172" s="372">
        <f t="shared" si="46"/>
        <v>0</v>
      </c>
      <c r="G172" s="264"/>
      <c r="H172" s="328"/>
      <c r="I172" s="329"/>
      <c r="J172" s="330"/>
      <c r="K172" s="375">
        <f t="shared" si="49"/>
        <v>941317</v>
      </c>
      <c r="L172" s="331"/>
      <c r="M172" s="377">
        <f t="shared" si="47"/>
        <v>0</v>
      </c>
      <c r="N172" s="264"/>
      <c r="O172" s="332"/>
      <c r="P172" s="333"/>
      <c r="Q172" s="333"/>
      <c r="R172" s="334"/>
      <c r="S172" s="334"/>
      <c r="T172" s="334"/>
      <c r="U172" s="334"/>
      <c r="V172" s="379">
        <f t="shared" si="34"/>
        <v>14081391</v>
      </c>
      <c r="W172" s="335"/>
      <c r="Y172" s="336"/>
      <c r="Z172" s="337"/>
      <c r="AA172" s="338"/>
      <c r="AB172" s="383">
        <f t="shared" si="35"/>
        <v>638</v>
      </c>
      <c r="AC172" s="339"/>
      <c r="AD172" s="384">
        <f t="shared" si="41"/>
        <v>0</v>
      </c>
      <c r="AE172" s="336"/>
      <c r="AF172" s="329"/>
      <c r="AG172" s="330"/>
      <c r="AH172" s="375">
        <f t="shared" si="36"/>
        <v>320270</v>
      </c>
      <c r="AI172" s="331"/>
      <c r="AJ172" s="377">
        <f t="shared" si="42"/>
        <v>0</v>
      </c>
      <c r="AK172" s="336"/>
      <c r="AL172" s="336"/>
      <c r="AM172" s="336"/>
      <c r="AN172" s="340"/>
      <c r="AO172" s="341"/>
      <c r="AP172" s="341"/>
      <c r="AQ172" s="386">
        <f t="shared" si="40"/>
        <v>199895</v>
      </c>
      <c r="AR172" s="342"/>
      <c r="AS172" s="389">
        <f t="shared" si="48"/>
        <v>0</v>
      </c>
      <c r="AU172" s="343"/>
      <c r="AV172" s="344"/>
      <c r="AW172" s="344"/>
      <c r="AX172" s="344"/>
      <c r="AY172" s="344"/>
      <c r="AZ172" s="344"/>
      <c r="BA172" s="344"/>
      <c r="BB172" s="390">
        <f t="shared" si="37"/>
        <v>0</v>
      </c>
      <c r="BC172" s="345">
        <v>0</v>
      </c>
    </row>
    <row r="173" spans="1:55">
      <c r="A173" s="264"/>
      <c r="B173" s="326"/>
      <c r="C173" s="327"/>
      <c r="D173" s="327"/>
      <c r="E173" s="371">
        <f t="shared" si="38"/>
        <v>337945</v>
      </c>
      <c r="F173" s="372">
        <f t="shared" si="46"/>
        <v>0</v>
      </c>
      <c r="G173" s="264"/>
      <c r="H173" s="328"/>
      <c r="I173" s="329"/>
      <c r="J173" s="330"/>
      <c r="K173" s="375">
        <f t="shared" si="49"/>
        <v>941317</v>
      </c>
      <c r="L173" s="331"/>
      <c r="M173" s="377">
        <f t="shared" si="47"/>
        <v>0</v>
      </c>
      <c r="N173" s="264"/>
      <c r="O173" s="332"/>
      <c r="P173" s="333"/>
      <c r="Q173" s="333"/>
      <c r="R173" s="334"/>
      <c r="S173" s="334"/>
      <c r="T173" s="334"/>
      <c r="U173" s="334"/>
      <c r="V173" s="379">
        <f t="shared" si="34"/>
        <v>14081391</v>
      </c>
      <c r="W173" s="335"/>
      <c r="Y173" s="336"/>
      <c r="Z173" s="337"/>
      <c r="AA173" s="338"/>
      <c r="AB173" s="383">
        <f t="shared" si="35"/>
        <v>638</v>
      </c>
      <c r="AC173" s="339"/>
      <c r="AD173" s="384">
        <f t="shared" si="41"/>
        <v>0</v>
      </c>
      <c r="AE173" s="336"/>
      <c r="AF173" s="329"/>
      <c r="AG173" s="330"/>
      <c r="AH173" s="375">
        <f t="shared" si="36"/>
        <v>320270</v>
      </c>
      <c r="AI173" s="331"/>
      <c r="AJ173" s="377">
        <f t="shared" si="42"/>
        <v>0</v>
      </c>
      <c r="AK173" s="336"/>
      <c r="AL173" s="336"/>
      <c r="AM173" s="336"/>
      <c r="AN173" s="340"/>
      <c r="AO173" s="341"/>
      <c r="AP173" s="341"/>
      <c r="AQ173" s="386">
        <f t="shared" si="40"/>
        <v>199895</v>
      </c>
      <c r="AR173" s="342"/>
      <c r="AS173" s="389">
        <f t="shared" si="48"/>
        <v>0</v>
      </c>
      <c r="AU173" s="343"/>
      <c r="AV173" s="344"/>
      <c r="AW173" s="344"/>
      <c r="AX173" s="344"/>
      <c r="AY173" s="344"/>
      <c r="AZ173" s="344"/>
      <c r="BA173" s="344"/>
      <c r="BB173" s="390">
        <f t="shared" si="37"/>
        <v>0</v>
      </c>
      <c r="BC173" s="345">
        <v>0</v>
      </c>
    </row>
    <row r="174" spans="1:55">
      <c r="A174" s="264"/>
      <c r="B174" s="326"/>
      <c r="C174" s="327"/>
      <c r="D174" s="327"/>
      <c r="E174" s="371">
        <f t="shared" si="38"/>
        <v>337945</v>
      </c>
      <c r="F174" s="372">
        <f t="shared" si="46"/>
        <v>0</v>
      </c>
      <c r="G174" s="264"/>
      <c r="H174" s="328"/>
      <c r="I174" s="329"/>
      <c r="J174" s="330"/>
      <c r="K174" s="375">
        <f t="shared" si="49"/>
        <v>941317</v>
      </c>
      <c r="L174" s="331"/>
      <c r="M174" s="377">
        <f t="shared" si="47"/>
        <v>0</v>
      </c>
      <c r="N174" s="264"/>
      <c r="O174" s="332"/>
      <c r="P174" s="333"/>
      <c r="Q174" s="333"/>
      <c r="R174" s="334"/>
      <c r="S174" s="334"/>
      <c r="T174" s="334"/>
      <c r="U174" s="334"/>
      <c r="V174" s="379">
        <f t="shared" si="34"/>
        <v>14081391</v>
      </c>
      <c r="W174" s="335"/>
      <c r="Y174" s="336"/>
      <c r="Z174" s="337"/>
      <c r="AA174" s="338"/>
      <c r="AB174" s="383">
        <f t="shared" si="35"/>
        <v>638</v>
      </c>
      <c r="AC174" s="339"/>
      <c r="AD174" s="384">
        <f t="shared" si="41"/>
        <v>0</v>
      </c>
      <c r="AE174" s="336"/>
      <c r="AF174" s="329"/>
      <c r="AG174" s="330"/>
      <c r="AH174" s="375">
        <f t="shared" si="36"/>
        <v>320270</v>
      </c>
      <c r="AI174" s="331"/>
      <c r="AJ174" s="377">
        <f t="shared" si="42"/>
        <v>0</v>
      </c>
      <c r="AK174" s="336"/>
      <c r="AL174" s="336"/>
      <c r="AM174" s="336"/>
      <c r="AN174" s="340"/>
      <c r="AO174" s="341"/>
      <c r="AP174" s="341"/>
      <c r="AQ174" s="386">
        <f t="shared" si="40"/>
        <v>199895</v>
      </c>
      <c r="AR174" s="342"/>
      <c r="AS174" s="389">
        <f t="shared" si="48"/>
        <v>0</v>
      </c>
      <c r="AU174" s="343"/>
      <c r="AV174" s="344"/>
      <c r="AW174" s="344"/>
      <c r="AX174" s="344"/>
      <c r="AY174" s="344"/>
      <c r="AZ174" s="344"/>
      <c r="BA174" s="344"/>
      <c r="BB174" s="390">
        <f t="shared" si="37"/>
        <v>0</v>
      </c>
      <c r="BC174" s="345">
        <v>0</v>
      </c>
    </row>
    <row r="175" spans="1:55">
      <c r="A175" s="264"/>
      <c r="B175" s="326"/>
      <c r="C175" s="327"/>
      <c r="D175" s="327"/>
      <c r="E175" s="371">
        <f t="shared" si="38"/>
        <v>337945</v>
      </c>
      <c r="F175" s="372">
        <f t="shared" si="46"/>
        <v>0</v>
      </c>
      <c r="G175" s="264"/>
      <c r="H175" s="328"/>
      <c r="I175" s="329"/>
      <c r="J175" s="330"/>
      <c r="K175" s="375">
        <f t="shared" si="49"/>
        <v>941317</v>
      </c>
      <c r="L175" s="331"/>
      <c r="M175" s="377">
        <f t="shared" si="47"/>
        <v>0</v>
      </c>
      <c r="N175" s="264"/>
      <c r="O175" s="332"/>
      <c r="P175" s="333"/>
      <c r="Q175" s="333"/>
      <c r="R175" s="334"/>
      <c r="S175" s="334"/>
      <c r="T175" s="334"/>
      <c r="U175" s="334"/>
      <c r="V175" s="379">
        <f t="shared" si="34"/>
        <v>14081391</v>
      </c>
      <c r="W175" s="335"/>
      <c r="Y175" s="336"/>
      <c r="Z175" s="337"/>
      <c r="AA175" s="338"/>
      <c r="AB175" s="383">
        <f t="shared" si="35"/>
        <v>638</v>
      </c>
      <c r="AC175" s="339"/>
      <c r="AD175" s="384">
        <f t="shared" si="41"/>
        <v>0</v>
      </c>
      <c r="AE175" s="336"/>
      <c r="AF175" s="329"/>
      <c r="AG175" s="330"/>
      <c r="AH175" s="375">
        <f t="shared" si="36"/>
        <v>320270</v>
      </c>
      <c r="AI175" s="331"/>
      <c r="AJ175" s="377">
        <f t="shared" si="42"/>
        <v>0</v>
      </c>
      <c r="AK175" s="336"/>
      <c r="AL175" s="336"/>
      <c r="AM175" s="336"/>
      <c r="AN175" s="340"/>
      <c r="AO175" s="341"/>
      <c r="AP175" s="341"/>
      <c r="AQ175" s="386">
        <f t="shared" si="40"/>
        <v>199895</v>
      </c>
      <c r="AR175" s="342"/>
      <c r="AS175" s="389">
        <f t="shared" si="48"/>
        <v>0</v>
      </c>
      <c r="AU175" s="343"/>
      <c r="AV175" s="344"/>
      <c r="AW175" s="344"/>
      <c r="AX175" s="344"/>
      <c r="AY175" s="344"/>
      <c r="AZ175" s="344"/>
      <c r="BA175" s="344"/>
      <c r="BB175" s="390">
        <f t="shared" si="37"/>
        <v>0</v>
      </c>
      <c r="BC175" s="345">
        <v>0</v>
      </c>
    </row>
    <row r="176" spans="1:55">
      <c r="A176" s="264"/>
      <c r="B176" s="326"/>
      <c r="C176" s="327"/>
      <c r="D176" s="327"/>
      <c r="E176" s="371">
        <f t="shared" si="38"/>
        <v>337945</v>
      </c>
      <c r="F176" s="372">
        <f t="shared" si="46"/>
        <v>0</v>
      </c>
      <c r="G176" s="264"/>
      <c r="H176" s="328"/>
      <c r="I176" s="329"/>
      <c r="J176" s="330"/>
      <c r="K176" s="375">
        <f t="shared" si="49"/>
        <v>941317</v>
      </c>
      <c r="L176" s="331"/>
      <c r="M176" s="377">
        <f t="shared" si="47"/>
        <v>0</v>
      </c>
      <c r="N176" s="264"/>
      <c r="O176" s="332"/>
      <c r="P176" s="333"/>
      <c r="Q176" s="333"/>
      <c r="R176" s="334"/>
      <c r="S176" s="334"/>
      <c r="T176" s="334"/>
      <c r="U176" s="334"/>
      <c r="V176" s="379">
        <f t="shared" si="34"/>
        <v>14081391</v>
      </c>
      <c r="W176" s="335"/>
      <c r="Y176" s="336"/>
      <c r="Z176" s="337"/>
      <c r="AA176" s="338"/>
      <c r="AB176" s="383">
        <f t="shared" si="35"/>
        <v>638</v>
      </c>
      <c r="AC176" s="339"/>
      <c r="AD176" s="384">
        <f t="shared" si="41"/>
        <v>0</v>
      </c>
      <c r="AE176" s="336"/>
      <c r="AF176" s="329"/>
      <c r="AG176" s="330"/>
      <c r="AH176" s="375">
        <f t="shared" si="36"/>
        <v>320270</v>
      </c>
      <c r="AI176" s="331"/>
      <c r="AJ176" s="377">
        <f t="shared" si="42"/>
        <v>0</v>
      </c>
      <c r="AK176" s="336"/>
      <c r="AL176" s="336"/>
      <c r="AM176" s="336"/>
      <c r="AN176" s="340"/>
      <c r="AO176" s="341"/>
      <c r="AP176" s="341"/>
      <c r="AQ176" s="386">
        <f t="shared" si="40"/>
        <v>199895</v>
      </c>
      <c r="AR176" s="342"/>
      <c r="AS176" s="389">
        <f t="shared" si="48"/>
        <v>0</v>
      </c>
      <c r="AU176" s="343"/>
      <c r="AV176" s="344"/>
      <c r="AW176" s="344"/>
      <c r="AX176" s="344"/>
      <c r="AY176" s="344"/>
      <c r="AZ176" s="344"/>
      <c r="BA176" s="344"/>
      <c r="BB176" s="390">
        <f t="shared" si="37"/>
        <v>0</v>
      </c>
      <c r="BC176" s="345">
        <v>0</v>
      </c>
    </row>
    <row r="177" spans="1:55">
      <c r="A177" s="264"/>
      <c r="B177" s="326"/>
      <c r="C177" s="327"/>
      <c r="D177" s="327"/>
      <c r="E177" s="371">
        <f t="shared" si="38"/>
        <v>337945</v>
      </c>
      <c r="F177" s="372">
        <f t="shared" si="46"/>
        <v>0</v>
      </c>
      <c r="G177" s="264"/>
      <c r="H177" s="328"/>
      <c r="I177" s="329"/>
      <c r="J177" s="330"/>
      <c r="K177" s="375">
        <f t="shared" si="49"/>
        <v>941317</v>
      </c>
      <c r="L177" s="331"/>
      <c r="M177" s="377">
        <f t="shared" si="47"/>
        <v>0</v>
      </c>
      <c r="N177" s="264"/>
      <c r="O177" s="332"/>
      <c r="P177" s="333"/>
      <c r="Q177" s="333"/>
      <c r="R177" s="334"/>
      <c r="S177" s="334"/>
      <c r="T177" s="334"/>
      <c r="U177" s="334"/>
      <c r="V177" s="379">
        <f t="shared" si="34"/>
        <v>14081391</v>
      </c>
      <c r="W177" s="335"/>
      <c r="Y177" s="336"/>
      <c r="Z177" s="337"/>
      <c r="AA177" s="338"/>
      <c r="AB177" s="383">
        <f t="shared" si="35"/>
        <v>638</v>
      </c>
      <c r="AC177" s="339"/>
      <c r="AD177" s="384">
        <f t="shared" si="41"/>
        <v>0</v>
      </c>
      <c r="AE177" s="336"/>
      <c r="AF177" s="329"/>
      <c r="AG177" s="330"/>
      <c r="AH177" s="375">
        <f t="shared" si="36"/>
        <v>320270</v>
      </c>
      <c r="AI177" s="331"/>
      <c r="AJ177" s="377">
        <f t="shared" si="42"/>
        <v>0</v>
      </c>
      <c r="AK177" s="336"/>
      <c r="AL177" s="336"/>
      <c r="AM177" s="336"/>
      <c r="AN177" s="340"/>
      <c r="AO177" s="341"/>
      <c r="AP177" s="341"/>
      <c r="AQ177" s="386">
        <f t="shared" si="40"/>
        <v>199895</v>
      </c>
      <c r="AR177" s="342"/>
      <c r="AS177" s="389">
        <f t="shared" si="48"/>
        <v>0</v>
      </c>
      <c r="AU177" s="343"/>
      <c r="AV177" s="344"/>
      <c r="AW177" s="344"/>
      <c r="AX177" s="344"/>
      <c r="AY177" s="344"/>
      <c r="AZ177" s="344"/>
      <c r="BA177" s="344"/>
      <c r="BB177" s="390">
        <f t="shared" si="37"/>
        <v>0</v>
      </c>
      <c r="BC177" s="345">
        <v>0</v>
      </c>
    </row>
    <row r="178" spans="1:55">
      <c r="A178" s="264"/>
      <c r="B178" s="326"/>
      <c r="C178" s="327"/>
      <c r="D178" s="327"/>
      <c r="E178" s="371">
        <f t="shared" si="38"/>
        <v>337945</v>
      </c>
      <c r="F178" s="372">
        <f t="shared" si="46"/>
        <v>0</v>
      </c>
      <c r="G178" s="264"/>
      <c r="H178" s="328"/>
      <c r="I178" s="329"/>
      <c r="J178" s="330"/>
      <c r="K178" s="375">
        <f t="shared" si="49"/>
        <v>941317</v>
      </c>
      <c r="L178" s="331"/>
      <c r="M178" s="377">
        <f t="shared" si="47"/>
        <v>0</v>
      </c>
      <c r="N178" s="264"/>
      <c r="O178" s="332"/>
      <c r="P178" s="333"/>
      <c r="Q178" s="333"/>
      <c r="R178" s="334"/>
      <c r="S178" s="334"/>
      <c r="T178" s="334"/>
      <c r="U178" s="334"/>
      <c r="V178" s="379">
        <f t="shared" si="34"/>
        <v>14081391</v>
      </c>
      <c r="W178" s="335"/>
      <c r="Y178" s="336"/>
      <c r="Z178" s="337"/>
      <c r="AA178" s="338"/>
      <c r="AB178" s="383">
        <f t="shared" si="35"/>
        <v>638</v>
      </c>
      <c r="AC178" s="339"/>
      <c r="AD178" s="384">
        <f t="shared" si="41"/>
        <v>0</v>
      </c>
      <c r="AE178" s="336"/>
      <c r="AF178" s="329"/>
      <c r="AG178" s="330"/>
      <c r="AH178" s="375">
        <f t="shared" si="36"/>
        <v>320270</v>
      </c>
      <c r="AI178" s="331"/>
      <c r="AJ178" s="377">
        <f t="shared" si="42"/>
        <v>0</v>
      </c>
      <c r="AK178" s="336"/>
      <c r="AL178" s="336"/>
      <c r="AM178" s="336"/>
      <c r="AN178" s="340"/>
      <c r="AO178" s="341"/>
      <c r="AP178" s="341"/>
      <c r="AQ178" s="386">
        <f t="shared" si="40"/>
        <v>199895</v>
      </c>
      <c r="AR178" s="342"/>
      <c r="AS178" s="389">
        <f t="shared" si="48"/>
        <v>0</v>
      </c>
      <c r="AU178" s="343"/>
      <c r="AV178" s="344"/>
      <c r="AW178" s="344"/>
      <c r="AX178" s="344"/>
      <c r="AY178" s="344"/>
      <c r="AZ178" s="344"/>
      <c r="BA178" s="344"/>
      <c r="BB178" s="390">
        <f t="shared" si="37"/>
        <v>0</v>
      </c>
      <c r="BC178" s="345">
        <v>0</v>
      </c>
    </row>
    <row r="179" spans="1:55">
      <c r="A179" s="264"/>
      <c r="B179" s="326"/>
      <c r="C179" s="327"/>
      <c r="D179" s="327"/>
      <c r="E179" s="371">
        <f t="shared" si="38"/>
        <v>337945</v>
      </c>
      <c r="F179" s="372">
        <f t="shared" si="46"/>
        <v>0</v>
      </c>
      <c r="G179" s="264"/>
      <c r="H179" s="328"/>
      <c r="I179" s="329"/>
      <c r="J179" s="330"/>
      <c r="K179" s="375">
        <f t="shared" si="49"/>
        <v>941317</v>
      </c>
      <c r="L179" s="331"/>
      <c r="M179" s="377">
        <f t="shared" si="47"/>
        <v>0</v>
      </c>
      <c r="N179" s="264"/>
      <c r="O179" s="332"/>
      <c r="P179" s="333"/>
      <c r="Q179" s="333"/>
      <c r="R179" s="334"/>
      <c r="S179" s="334"/>
      <c r="T179" s="334"/>
      <c r="U179" s="334"/>
      <c r="V179" s="379">
        <f t="shared" si="34"/>
        <v>14081391</v>
      </c>
      <c r="W179" s="335"/>
      <c r="Y179" s="336"/>
      <c r="Z179" s="337"/>
      <c r="AA179" s="338"/>
      <c r="AB179" s="383">
        <f t="shared" si="35"/>
        <v>638</v>
      </c>
      <c r="AC179" s="339"/>
      <c r="AD179" s="384">
        <f t="shared" si="41"/>
        <v>0</v>
      </c>
      <c r="AE179" s="336"/>
      <c r="AF179" s="329"/>
      <c r="AG179" s="330"/>
      <c r="AH179" s="375">
        <f t="shared" si="36"/>
        <v>320270</v>
      </c>
      <c r="AI179" s="331"/>
      <c r="AJ179" s="377">
        <f t="shared" si="42"/>
        <v>0</v>
      </c>
      <c r="AK179" s="336"/>
      <c r="AL179" s="336"/>
      <c r="AM179" s="336"/>
      <c r="AN179" s="340"/>
      <c r="AO179" s="341"/>
      <c r="AP179" s="341"/>
      <c r="AQ179" s="386">
        <f t="shared" si="40"/>
        <v>199895</v>
      </c>
      <c r="AR179" s="342"/>
      <c r="AS179" s="389">
        <f t="shared" si="48"/>
        <v>0</v>
      </c>
      <c r="AU179" s="343"/>
      <c r="AV179" s="344"/>
      <c r="AW179" s="344"/>
      <c r="AX179" s="344"/>
      <c r="AY179" s="344"/>
      <c r="AZ179" s="344"/>
      <c r="BA179" s="344"/>
      <c r="BB179" s="390">
        <f t="shared" si="37"/>
        <v>0</v>
      </c>
      <c r="BC179" s="345">
        <v>0</v>
      </c>
    </row>
    <row r="180" spans="1:55">
      <c r="A180" s="264"/>
      <c r="B180" s="326"/>
      <c r="C180" s="327"/>
      <c r="D180" s="327"/>
      <c r="E180" s="371">
        <f t="shared" si="38"/>
        <v>337945</v>
      </c>
      <c r="F180" s="372">
        <f t="shared" si="46"/>
        <v>0</v>
      </c>
      <c r="G180" s="264"/>
      <c r="H180" s="328"/>
      <c r="I180" s="329"/>
      <c r="J180" s="330"/>
      <c r="K180" s="375">
        <f t="shared" si="49"/>
        <v>941317</v>
      </c>
      <c r="L180" s="331"/>
      <c r="M180" s="377">
        <f t="shared" si="47"/>
        <v>0</v>
      </c>
      <c r="N180" s="264"/>
      <c r="O180" s="332"/>
      <c r="P180" s="333"/>
      <c r="Q180" s="333"/>
      <c r="R180" s="334"/>
      <c r="S180" s="334"/>
      <c r="T180" s="334"/>
      <c r="U180" s="334"/>
      <c r="V180" s="379">
        <f t="shared" si="34"/>
        <v>14081391</v>
      </c>
      <c r="W180" s="335"/>
      <c r="Y180" s="336"/>
      <c r="Z180" s="337"/>
      <c r="AA180" s="338"/>
      <c r="AB180" s="383">
        <f t="shared" si="35"/>
        <v>638</v>
      </c>
      <c r="AC180" s="339"/>
      <c r="AD180" s="384">
        <f t="shared" si="41"/>
        <v>0</v>
      </c>
      <c r="AE180" s="336"/>
      <c r="AF180" s="329"/>
      <c r="AG180" s="330"/>
      <c r="AH180" s="375">
        <f t="shared" si="36"/>
        <v>320270</v>
      </c>
      <c r="AI180" s="331"/>
      <c r="AJ180" s="377">
        <f t="shared" si="42"/>
        <v>0</v>
      </c>
      <c r="AK180" s="336"/>
      <c r="AL180" s="336"/>
      <c r="AM180" s="336"/>
      <c r="AN180" s="340"/>
      <c r="AO180" s="341"/>
      <c r="AP180" s="341"/>
      <c r="AQ180" s="386">
        <f t="shared" si="40"/>
        <v>199895</v>
      </c>
      <c r="AR180" s="342"/>
      <c r="AS180" s="389">
        <f t="shared" si="48"/>
        <v>0</v>
      </c>
      <c r="AU180" s="343"/>
      <c r="AV180" s="344"/>
      <c r="AW180" s="344"/>
      <c r="AX180" s="344"/>
      <c r="AY180" s="344"/>
      <c r="AZ180" s="344"/>
      <c r="BA180" s="344"/>
      <c r="BB180" s="390">
        <f t="shared" si="37"/>
        <v>0</v>
      </c>
      <c r="BC180" s="345">
        <v>0</v>
      </c>
    </row>
    <row r="181" spans="1:55">
      <c r="A181" s="264"/>
      <c r="B181" s="326"/>
      <c r="C181" s="327"/>
      <c r="D181" s="327"/>
      <c r="E181" s="371">
        <f t="shared" si="38"/>
        <v>337945</v>
      </c>
      <c r="F181" s="372">
        <f t="shared" si="46"/>
        <v>0</v>
      </c>
      <c r="G181" s="264"/>
      <c r="H181" s="328"/>
      <c r="I181" s="329"/>
      <c r="J181" s="330"/>
      <c r="K181" s="375">
        <f t="shared" si="49"/>
        <v>941317</v>
      </c>
      <c r="L181" s="331"/>
      <c r="M181" s="377">
        <f t="shared" si="47"/>
        <v>0</v>
      </c>
      <c r="N181" s="264"/>
      <c r="O181" s="332"/>
      <c r="P181" s="333"/>
      <c r="Q181" s="333"/>
      <c r="R181" s="334"/>
      <c r="S181" s="334"/>
      <c r="T181" s="334"/>
      <c r="U181" s="334"/>
      <c r="V181" s="379">
        <f t="shared" si="34"/>
        <v>14081391</v>
      </c>
      <c r="W181" s="335"/>
      <c r="Y181" s="336"/>
      <c r="Z181" s="337"/>
      <c r="AA181" s="338"/>
      <c r="AB181" s="383">
        <f t="shared" si="35"/>
        <v>638</v>
      </c>
      <c r="AC181" s="339"/>
      <c r="AD181" s="384">
        <f t="shared" si="41"/>
        <v>0</v>
      </c>
      <c r="AE181" s="336"/>
      <c r="AF181" s="329"/>
      <c r="AG181" s="330"/>
      <c r="AH181" s="375">
        <f t="shared" si="36"/>
        <v>320270</v>
      </c>
      <c r="AI181" s="331"/>
      <c r="AJ181" s="377">
        <f t="shared" si="42"/>
        <v>0</v>
      </c>
      <c r="AK181" s="336"/>
      <c r="AL181" s="336"/>
      <c r="AM181" s="336"/>
      <c r="AN181" s="340"/>
      <c r="AO181" s="341"/>
      <c r="AP181" s="341"/>
      <c r="AQ181" s="386">
        <f t="shared" si="40"/>
        <v>199895</v>
      </c>
      <c r="AR181" s="342"/>
      <c r="AS181" s="389">
        <f t="shared" si="48"/>
        <v>0</v>
      </c>
      <c r="AU181" s="343"/>
      <c r="AV181" s="344"/>
      <c r="AW181" s="344"/>
      <c r="AX181" s="344"/>
      <c r="AY181" s="344"/>
      <c r="AZ181" s="344"/>
      <c r="BA181" s="344"/>
      <c r="BB181" s="390">
        <f t="shared" si="37"/>
        <v>0</v>
      </c>
      <c r="BC181" s="345">
        <v>0</v>
      </c>
    </row>
    <row r="182" spans="1:55">
      <c r="A182" s="264"/>
      <c r="B182" s="326"/>
      <c r="C182" s="327"/>
      <c r="D182" s="327"/>
      <c r="E182" s="371">
        <f t="shared" si="38"/>
        <v>337945</v>
      </c>
      <c r="F182" s="372">
        <f t="shared" si="46"/>
        <v>0</v>
      </c>
      <c r="G182" s="264"/>
      <c r="H182" s="328"/>
      <c r="I182" s="329"/>
      <c r="J182" s="330"/>
      <c r="K182" s="375">
        <f t="shared" si="49"/>
        <v>941317</v>
      </c>
      <c r="L182" s="331"/>
      <c r="M182" s="377">
        <f t="shared" si="47"/>
        <v>0</v>
      </c>
      <c r="N182" s="264"/>
      <c r="O182" s="332"/>
      <c r="P182" s="333"/>
      <c r="Q182" s="333"/>
      <c r="R182" s="334"/>
      <c r="S182" s="334"/>
      <c r="T182" s="334"/>
      <c r="U182" s="334"/>
      <c r="V182" s="379">
        <f t="shared" si="34"/>
        <v>14081391</v>
      </c>
      <c r="W182" s="335"/>
      <c r="Y182" s="336"/>
      <c r="Z182" s="337"/>
      <c r="AA182" s="338"/>
      <c r="AB182" s="383">
        <f t="shared" si="35"/>
        <v>638</v>
      </c>
      <c r="AC182" s="339"/>
      <c r="AD182" s="384">
        <f t="shared" si="41"/>
        <v>0</v>
      </c>
      <c r="AE182" s="336"/>
      <c r="AF182" s="329"/>
      <c r="AG182" s="330"/>
      <c r="AH182" s="375">
        <f t="shared" si="36"/>
        <v>320270</v>
      </c>
      <c r="AI182" s="331"/>
      <c r="AJ182" s="377">
        <f t="shared" si="42"/>
        <v>0</v>
      </c>
      <c r="AK182" s="336"/>
      <c r="AL182" s="336"/>
      <c r="AM182" s="336"/>
      <c r="AN182" s="340"/>
      <c r="AO182" s="341"/>
      <c r="AP182" s="341"/>
      <c r="AQ182" s="386">
        <f t="shared" si="40"/>
        <v>199895</v>
      </c>
      <c r="AR182" s="342"/>
      <c r="AS182" s="389">
        <f t="shared" si="48"/>
        <v>0</v>
      </c>
      <c r="AU182" s="343"/>
      <c r="AV182" s="344"/>
      <c r="AW182" s="344"/>
      <c r="AX182" s="344"/>
      <c r="AY182" s="344"/>
      <c r="AZ182" s="344"/>
      <c r="BA182" s="344"/>
      <c r="BB182" s="390">
        <f t="shared" si="37"/>
        <v>0</v>
      </c>
      <c r="BC182" s="345">
        <v>0</v>
      </c>
    </row>
    <row r="183" spans="1:55">
      <c r="A183" s="264"/>
      <c r="B183" s="326"/>
      <c r="C183" s="327"/>
      <c r="D183" s="327"/>
      <c r="E183" s="371">
        <f t="shared" si="38"/>
        <v>337945</v>
      </c>
      <c r="F183" s="372">
        <f t="shared" si="46"/>
        <v>0</v>
      </c>
      <c r="G183" s="264"/>
      <c r="H183" s="328"/>
      <c r="I183" s="329"/>
      <c r="J183" s="330"/>
      <c r="K183" s="375">
        <f t="shared" si="49"/>
        <v>941317</v>
      </c>
      <c r="L183" s="331"/>
      <c r="M183" s="377">
        <f t="shared" si="47"/>
        <v>0</v>
      </c>
      <c r="N183" s="264"/>
      <c r="O183" s="332"/>
      <c r="P183" s="333"/>
      <c r="Q183" s="333"/>
      <c r="R183" s="334"/>
      <c r="S183" s="334"/>
      <c r="T183" s="334"/>
      <c r="U183" s="334"/>
      <c r="V183" s="379">
        <f t="shared" si="34"/>
        <v>14081391</v>
      </c>
      <c r="W183" s="335"/>
      <c r="Y183" s="336"/>
      <c r="Z183" s="337"/>
      <c r="AA183" s="338"/>
      <c r="AB183" s="383">
        <f t="shared" si="35"/>
        <v>638</v>
      </c>
      <c r="AC183" s="339"/>
      <c r="AD183" s="384">
        <f t="shared" si="41"/>
        <v>0</v>
      </c>
      <c r="AE183" s="336"/>
      <c r="AF183" s="329"/>
      <c r="AG183" s="330"/>
      <c r="AH183" s="375">
        <f t="shared" si="36"/>
        <v>320270</v>
      </c>
      <c r="AI183" s="331"/>
      <c r="AJ183" s="377">
        <f t="shared" si="42"/>
        <v>0</v>
      </c>
      <c r="AK183" s="336"/>
      <c r="AL183" s="336"/>
      <c r="AM183" s="336"/>
      <c r="AN183" s="340"/>
      <c r="AO183" s="341"/>
      <c r="AP183" s="341"/>
      <c r="AQ183" s="386">
        <f t="shared" si="40"/>
        <v>199895</v>
      </c>
      <c r="AR183" s="342"/>
      <c r="AS183" s="389">
        <f t="shared" si="48"/>
        <v>0</v>
      </c>
      <c r="AU183" s="343"/>
      <c r="AV183" s="344"/>
      <c r="AW183" s="344"/>
      <c r="AX183" s="344"/>
      <c r="AY183" s="344"/>
      <c r="AZ183" s="344"/>
      <c r="BA183" s="344"/>
      <c r="BB183" s="390">
        <f t="shared" si="37"/>
        <v>0</v>
      </c>
      <c r="BC183" s="345">
        <v>0</v>
      </c>
    </row>
    <row r="184" spans="1:55">
      <c r="A184" s="264"/>
      <c r="B184" s="326"/>
      <c r="C184" s="327"/>
      <c r="D184" s="327"/>
      <c r="E184" s="371">
        <f t="shared" si="38"/>
        <v>337945</v>
      </c>
      <c r="F184" s="372">
        <f t="shared" si="46"/>
        <v>0</v>
      </c>
      <c r="G184" s="264"/>
      <c r="H184" s="328"/>
      <c r="I184" s="329"/>
      <c r="J184" s="330"/>
      <c r="K184" s="375">
        <f t="shared" si="49"/>
        <v>941317</v>
      </c>
      <c r="L184" s="331"/>
      <c r="M184" s="377">
        <f t="shared" si="47"/>
        <v>0</v>
      </c>
      <c r="N184" s="264"/>
      <c r="O184" s="332"/>
      <c r="P184" s="333"/>
      <c r="Q184" s="333"/>
      <c r="R184" s="334"/>
      <c r="S184" s="334"/>
      <c r="T184" s="334"/>
      <c r="U184" s="334"/>
      <c r="V184" s="379">
        <f t="shared" si="34"/>
        <v>14081391</v>
      </c>
      <c r="W184" s="335"/>
      <c r="Y184" s="336"/>
      <c r="Z184" s="337"/>
      <c r="AA184" s="338"/>
      <c r="AB184" s="383">
        <f t="shared" si="35"/>
        <v>638</v>
      </c>
      <c r="AC184" s="339"/>
      <c r="AD184" s="384">
        <f t="shared" si="41"/>
        <v>0</v>
      </c>
      <c r="AE184" s="336"/>
      <c r="AF184" s="329"/>
      <c r="AG184" s="330"/>
      <c r="AH184" s="375">
        <f t="shared" si="36"/>
        <v>320270</v>
      </c>
      <c r="AI184" s="331"/>
      <c r="AJ184" s="377">
        <f t="shared" si="42"/>
        <v>0</v>
      </c>
      <c r="AK184" s="336"/>
      <c r="AL184" s="336"/>
      <c r="AM184" s="336"/>
      <c r="AN184" s="340"/>
      <c r="AO184" s="341"/>
      <c r="AP184" s="341"/>
      <c r="AQ184" s="386">
        <f t="shared" si="40"/>
        <v>199895</v>
      </c>
      <c r="AR184" s="342"/>
      <c r="AS184" s="389">
        <f t="shared" si="48"/>
        <v>0</v>
      </c>
      <c r="AU184" s="343"/>
      <c r="AV184" s="344"/>
      <c r="AW184" s="344"/>
      <c r="AX184" s="344"/>
      <c r="AY184" s="344"/>
      <c r="AZ184" s="344"/>
      <c r="BA184" s="344"/>
      <c r="BB184" s="390">
        <f t="shared" si="37"/>
        <v>0</v>
      </c>
      <c r="BC184" s="345">
        <v>0</v>
      </c>
    </row>
    <row r="185" spans="1:55">
      <c r="A185" s="264"/>
      <c r="B185" s="326"/>
      <c r="C185" s="327"/>
      <c r="D185" s="327"/>
      <c r="E185" s="371">
        <f t="shared" si="38"/>
        <v>337945</v>
      </c>
      <c r="F185" s="372">
        <f t="shared" si="46"/>
        <v>0</v>
      </c>
      <c r="G185" s="264"/>
      <c r="H185" s="328"/>
      <c r="I185" s="329"/>
      <c r="J185" s="330"/>
      <c r="K185" s="375">
        <f t="shared" si="49"/>
        <v>941317</v>
      </c>
      <c r="L185" s="331"/>
      <c r="M185" s="377">
        <f t="shared" si="47"/>
        <v>0</v>
      </c>
      <c r="N185" s="264"/>
      <c r="O185" s="332"/>
      <c r="P185" s="333"/>
      <c r="Q185" s="333"/>
      <c r="R185" s="334"/>
      <c r="S185" s="334"/>
      <c r="T185" s="334"/>
      <c r="U185" s="334"/>
      <c r="V185" s="379">
        <f t="shared" si="34"/>
        <v>14081391</v>
      </c>
      <c r="W185" s="335"/>
      <c r="Y185" s="336"/>
      <c r="Z185" s="337"/>
      <c r="AA185" s="338"/>
      <c r="AB185" s="383">
        <f t="shared" si="35"/>
        <v>638</v>
      </c>
      <c r="AC185" s="339"/>
      <c r="AD185" s="384">
        <f t="shared" si="41"/>
        <v>0</v>
      </c>
      <c r="AE185" s="336"/>
      <c r="AF185" s="329"/>
      <c r="AG185" s="330"/>
      <c r="AH185" s="375">
        <f t="shared" si="36"/>
        <v>320270</v>
      </c>
      <c r="AI185" s="331"/>
      <c r="AJ185" s="377">
        <f t="shared" si="42"/>
        <v>0</v>
      </c>
      <c r="AK185" s="336"/>
      <c r="AL185" s="336"/>
      <c r="AM185" s="336"/>
      <c r="AN185" s="340"/>
      <c r="AO185" s="341"/>
      <c r="AP185" s="341"/>
      <c r="AQ185" s="386">
        <f t="shared" si="40"/>
        <v>199895</v>
      </c>
      <c r="AR185" s="342"/>
      <c r="AS185" s="389">
        <f t="shared" si="48"/>
        <v>0</v>
      </c>
      <c r="AU185" s="343"/>
      <c r="AV185" s="344"/>
      <c r="AW185" s="344"/>
      <c r="AX185" s="344"/>
      <c r="AY185" s="344"/>
      <c r="AZ185" s="344"/>
      <c r="BA185" s="344"/>
      <c r="BB185" s="390">
        <f t="shared" si="37"/>
        <v>0</v>
      </c>
      <c r="BC185" s="345">
        <v>0</v>
      </c>
    </row>
    <row r="186" spans="1:55">
      <c r="A186" s="264"/>
      <c r="B186" s="326"/>
      <c r="C186" s="327"/>
      <c r="D186" s="327"/>
      <c r="E186" s="371">
        <f t="shared" si="38"/>
        <v>337945</v>
      </c>
      <c r="F186" s="372">
        <f t="shared" si="46"/>
        <v>0</v>
      </c>
      <c r="G186" s="264"/>
      <c r="H186" s="328"/>
      <c r="I186" s="329"/>
      <c r="J186" s="330"/>
      <c r="K186" s="375">
        <f t="shared" si="49"/>
        <v>941317</v>
      </c>
      <c r="L186" s="331"/>
      <c r="M186" s="377">
        <f t="shared" si="47"/>
        <v>0</v>
      </c>
      <c r="N186" s="264"/>
      <c r="O186" s="332"/>
      <c r="P186" s="333"/>
      <c r="Q186" s="333"/>
      <c r="R186" s="334"/>
      <c r="S186" s="334"/>
      <c r="T186" s="334"/>
      <c r="U186" s="334"/>
      <c r="V186" s="379">
        <f t="shared" si="34"/>
        <v>14081391</v>
      </c>
      <c r="W186" s="335"/>
      <c r="Y186" s="336"/>
      <c r="Z186" s="337"/>
      <c r="AA186" s="338"/>
      <c r="AB186" s="383">
        <f t="shared" si="35"/>
        <v>638</v>
      </c>
      <c r="AC186" s="339"/>
      <c r="AD186" s="384">
        <f t="shared" si="41"/>
        <v>0</v>
      </c>
      <c r="AE186" s="336"/>
      <c r="AF186" s="329"/>
      <c r="AG186" s="330"/>
      <c r="AH186" s="375">
        <f t="shared" si="36"/>
        <v>320270</v>
      </c>
      <c r="AI186" s="331"/>
      <c r="AJ186" s="377">
        <f t="shared" si="42"/>
        <v>0</v>
      </c>
      <c r="AK186" s="336"/>
      <c r="AL186" s="336"/>
      <c r="AM186" s="336"/>
      <c r="AN186" s="340"/>
      <c r="AO186" s="341"/>
      <c r="AP186" s="341"/>
      <c r="AQ186" s="386">
        <f t="shared" si="40"/>
        <v>199895</v>
      </c>
      <c r="AR186" s="342"/>
      <c r="AS186" s="389">
        <f t="shared" si="48"/>
        <v>0</v>
      </c>
      <c r="AU186" s="343"/>
      <c r="AV186" s="344"/>
      <c r="AW186" s="344"/>
      <c r="AX186" s="344"/>
      <c r="AY186" s="344"/>
      <c r="AZ186" s="344"/>
      <c r="BA186" s="344"/>
      <c r="BB186" s="390">
        <f t="shared" si="37"/>
        <v>0</v>
      </c>
      <c r="BC186" s="345">
        <v>0</v>
      </c>
    </row>
    <row r="187" spans="1:55">
      <c r="A187" s="264"/>
      <c r="B187" s="326"/>
      <c r="C187" s="327"/>
      <c r="D187" s="327"/>
      <c r="E187" s="371">
        <f t="shared" si="38"/>
        <v>337945</v>
      </c>
      <c r="F187" s="372">
        <f t="shared" si="46"/>
        <v>0</v>
      </c>
      <c r="G187" s="264"/>
      <c r="H187" s="328"/>
      <c r="I187" s="329"/>
      <c r="J187" s="330"/>
      <c r="K187" s="375">
        <f>K186+I187-J187</f>
        <v>941317</v>
      </c>
      <c r="L187" s="331"/>
      <c r="M187" s="377">
        <f t="shared" si="47"/>
        <v>0</v>
      </c>
      <c r="N187" s="264"/>
      <c r="O187" s="332"/>
      <c r="P187" s="333"/>
      <c r="Q187" s="333"/>
      <c r="R187" s="334"/>
      <c r="S187" s="334"/>
      <c r="T187" s="334"/>
      <c r="U187" s="334"/>
      <c r="V187" s="379">
        <f t="shared" si="34"/>
        <v>14081391</v>
      </c>
      <c r="W187" s="335"/>
      <c r="Y187" s="336"/>
      <c r="Z187" s="337"/>
      <c r="AA187" s="338"/>
      <c r="AB187" s="383">
        <f t="shared" si="35"/>
        <v>638</v>
      </c>
      <c r="AC187" s="339"/>
      <c r="AD187" s="384">
        <f t="shared" si="41"/>
        <v>0</v>
      </c>
      <c r="AE187" s="336"/>
      <c r="AF187" s="329"/>
      <c r="AG187" s="330"/>
      <c r="AH187" s="375">
        <f t="shared" si="36"/>
        <v>320270</v>
      </c>
      <c r="AI187" s="331"/>
      <c r="AJ187" s="377">
        <f t="shared" si="42"/>
        <v>0</v>
      </c>
      <c r="AK187" s="336"/>
      <c r="AL187" s="336"/>
      <c r="AM187" s="336"/>
      <c r="AN187" s="340"/>
      <c r="AO187" s="341"/>
      <c r="AP187" s="341"/>
      <c r="AQ187" s="386">
        <f t="shared" si="40"/>
        <v>199895</v>
      </c>
      <c r="AR187" s="342"/>
      <c r="AS187" s="389">
        <f t="shared" si="48"/>
        <v>0</v>
      </c>
      <c r="AU187" s="343"/>
      <c r="AV187" s="344"/>
      <c r="AW187" s="344"/>
      <c r="AX187" s="344"/>
      <c r="AY187" s="344"/>
      <c r="AZ187" s="344"/>
      <c r="BA187" s="344"/>
      <c r="BB187" s="390">
        <f t="shared" si="37"/>
        <v>0</v>
      </c>
      <c r="BC187" s="345">
        <v>0</v>
      </c>
    </row>
    <row r="188" spans="1:55">
      <c r="A188" s="264"/>
      <c r="B188" s="326"/>
      <c r="C188" s="327"/>
      <c r="D188" s="327"/>
      <c r="E188" s="371">
        <f t="shared" si="38"/>
        <v>337945</v>
      </c>
      <c r="F188" s="372">
        <f t="shared" si="46"/>
        <v>0</v>
      </c>
      <c r="G188" s="264"/>
      <c r="H188" s="328"/>
      <c r="I188" s="329"/>
      <c r="J188" s="330"/>
      <c r="K188" s="375">
        <f>K187+I188-J188</f>
        <v>941317</v>
      </c>
      <c r="L188" s="331"/>
      <c r="M188" s="377">
        <f t="shared" si="47"/>
        <v>0</v>
      </c>
      <c r="N188" s="264"/>
      <c r="O188" s="332"/>
      <c r="P188" s="333"/>
      <c r="Q188" s="333"/>
      <c r="R188" s="334"/>
      <c r="S188" s="334"/>
      <c r="T188" s="334"/>
      <c r="U188" s="334"/>
      <c r="V188" s="379">
        <f t="shared" si="34"/>
        <v>14081391</v>
      </c>
      <c r="W188" s="335"/>
      <c r="Y188" s="336"/>
      <c r="Z188" s="337"/>
      <c r="AA188" s="338"/>
      <c r="AB188" s="383">
        <f t="shared" si="35"/>
        <v>638</v>
      </c>
      <c r="AC188" s="339"/>
      <c r="AD188" s="384">
        <f t="shared" si="41"/>
        <v>0</v>
      </c>
      <c r="AE188" s="336"/>
      <c r="AF188" s="329"/>
      <c r="AG188" s="330"/>
      <c r="AH188" s="375">
        <f t="shared" si="36"/>
        <v>320270</v>
      </c>
      <c r="AI188" s="331"/>
      <c r="AJ188" s="377">
        <f t="shared" si="42"/>
        <v>0</v>
      </c>
      <c r="AK188" s="336"/>
      <c r="AL188" s="336"/>
      <c r="AM188" s="336"/>
      <c r="AN188" s="340"/>
      <c r="AO188" s="341"/>
      <c r="AP188" s="341"/>
      <c r="AQ188" s="386">
        <f t="shared" si="40"/>
        <v>199895</v>
      </c>
      <c r="AR188" s="342"/>
      <c r="AS188" s="389">
        <f t="shared" si="48"/>
        <v>0</v>
      </c>
      <c r="AU188" s="343"/>
      <c r="AV188" s="344"/>
      <c r="AW188" s="344"/>
      <c r="AX188" s="344"/>
      <c r="AY188" s="344"/>
      <c r="AZ188" s="344"/>
      <c r="BA188" s="344"/>
      <c r="BB188" s="390">
        <f t="shared" si="37"/>
        <v>0</v>
      </c>
      <c r="BC188" s="345">
        <v>0</v>
      </c>
    </row>
    <row r="189" spans="1:55">
      <c r="A189" s="264"/>
      <c r="B189" s="326"/>
      <c r="C189" s="327"/>
      <c r="D189" s="327"/>
      <c r="E189" s="371">
        <f t="shared" si="38"/>
        <v>337945</v>
      </c>
      <c r="F189" s="372">
        <f t="shared" si="46"/>
        <v>0</v>
      </c>
      <c r="G189" s="264"/>
      <c r="H189" s="328"/>
      <c r="I189" s="329"/>
      <c r="J189" s="330"/>
      <c r="K189" s="375">
        <f>K188+I189-J189</f>
        <v>941317</v>
      </c>
      <c r="L189" s="331"/>
      <c r="M189" s="377">
        <f t="shared" si="47"/>
        <v>0</v>
      </c>
      <c r="N189" s="264"/>
      <c r="O189" s="332"/>
      <c r="P189" s="333"/>
      <c r="Q189" s="333"/>
      <c r="R189" s="334"/>
      <c r="S189" s="334"/>
      <c r="T189" s="334"/>
      <c r="U189" s="334"/>
      <c r="V189" s="379">
        <f t="shared" si="34"/>
        <v>14081391</v>
      </c>
      <c r="W189" s="335"/>
      <c r="Y189" s="336"/>
      <c r="Z189" s="337"/>
      <c r="AA189" s="338"/>
      <c r="AB189" s="383">
        <f t="shared" si="35"/>
        <v>638</v>
      </c>
      <c r="AC189" s="339"/>
      <c r="AD189" s="384">
        <f t="shared" si="41"/>
        <v>0</v>
      </c>
      <c r="AE189" s="336"/>
      <c r="AF189" s="329"/>
      <c r="AG189" s="330"/>
      <c r="AH189" s="375">
        <f t="shared" si="36"/>
        <v>320270</v>
      </c>
      <c r="AI189" s="331"/>
      <c r="AJ189" s="377">
        <f t="shared" si="42"/>
        <v>0</v>
      </c>
      <c r="AK189" s="336"/>
      <c r="AL189" s="336"/>
      <c r="AM189" s="336"/>
      <c r="AN189" s="340"/>
      <c r="AO189" s="341"/>
      <c r="AP189" s="341"/>
      <c r="AQ189" s="386">
        <f t="shared" si="40"/>
        <v>199895</v>
      </c>
      <c r="AR189" s="342"/>
      <c r="AS189" s="389">
        <f t="shared" si="48"/>
        <v>0</v>
      </c>
      <c r="AU189" s="343"/>
      <c r="AV189" s="344"/>
      <c r="AW189" s="344"/>
      <c r="AX189" s="344"/>
      <c r="AY189" s="344"/>
      <c r="AZ189" s="344"/>
      <c r="BA189" s="344"/>
      <c r="BB189" s="390">
        <f t="shared" si="37"/>
        <v>0</v>
      </c>
      <c r="BC189" s="345">
        <v>0</v>
      </c>
    </row>
    <row r="190" spans="1:55">
      <c r="A190" s="264"/>
      <c r="B190" s="326"/>
      <c r="C190" s="327"/>
      <c r="D190" s="327"/>
      <c r="E190" s="371">
        <f t="shared" si="38"/>
        <v>337945</v>
      </c>
      <c r="F190" s="372">
        <f t="shared" si="46"/>
        <v>0</v>
      </c>
      <c r="G190" s="264"/>
      <c r="H190" s="328"/>
      <c r="I190" s="329"/>
      <c r="J190" s="330"/>
      <c r="K190" s="375">
        <f>K189+I190-J190</f>
        <v>941317</v>
      </c>
      <c r="L190" s="331"/>
      <c r="M190" s="377">
        <f t="shared" si="47"/>
        <v>0</v>
      </c>
      <c r="N190" s="264"/>
      <c r="O190" s="332"/>
      <c r="P190" s="333"/>
      <c r="Q190" s="333"/>
      <c r="R190" s="334"/>
      <c r="S190" s="334"/>
      <c r="T190" s="334"/>
      <c r="U190" s="334"/>
      <c r="V190" s="379">
        <f>V189+O190+P190-Q190-R190-S190-T190+U190</f>
        <v>14081391</v>
      </c>
      <c r="W190" s="335"/>
      <c r="Y190" s="336"/>
      <c r="Z190" s="337"/>
      <c r="AA190" s="338"/>
      <c r="AB190" s="383">
        <f t="shared" si="35"/>
        <v>638</v>
      </c>
      <c r="AC190" s="339"/>
      <c r="AD190" s="384">
        <f t="shared" si="41"/>
        <v>0</v>
      </c>
      <c r="AE190" s="336"/>
      <c r="AF190" s="329"/>
      <c r="AG190" s="330"/>
      <c r="AH190" s="375">
        <f t="shared" si="36"/>
        <v>320270</v>
      </c>
      <c r="AI190" s="331"/>
      <c r="AJ190" s="377">
        <f t="shared" si="42"/>
        <v>0</v>
      </c>
      <c r="AK190" s="336"/>
      <c r="AL190" s="336"/>
      <c r="AM190" s="336"/>
      <c r="AN190" s="340"/>
      <c r="AO190" s="341"/>
      <c r="AP190" s="341"/>
      <c r="AQ190" s="386">
        <f t="shared" si="40"/>
        <v>199895</v>
      </c>
      <c r="AR190" s="342"/>
      <c r="AS190" s="389">
        <f t="shared" si="48"/>
        <v>0</v>
      </c>
      <c r="AU190" s="343"/>
      <c r="AV190" s="344"/>
      <c r="AW190" s="344"/>
      <c r="AX190" s="344"/>
      <c r="AY190" s="344"/>
      <c r="AZ190" s="344"/>
      <c r="BA190" s="344"/>
      <c r="BB190" s="390">
        <f t="shared" si="37"/>
        <v>0</v>
      </c>
      <c r="BC190" s="345">
        <v>0</v>
      </c>
    </row>
    <row r="191" spans="1:55">
      <c r="E191" s="373"/>
      <c r="F191" s="374">
        <f>SUM(F6:F190)</f>
        <v>0</v>
      </c>
      <c r="H191" s="328"/>
      <c r="M191" s="378">
        <f>SUM(M6:M190)</f>
        <v>0</v>
      </c>
      <c r="T191" s="381">
        <f>SUM(T6:T190)</f>
        <v>0</v>
      </c>
      <c r="U191" s="380">
        <f>SUM(U6:U190)</f>
        <v>0</v>
      </c>
      <c r="W191" s="380">
        <f>SUM(W6:W190)</f>
        <v>0</v>
      </c>
      <c r="Y191" s="362"/>
      <c r="AD191" s="385">
        <f>SUM(AD6:AD190)</f>
        <v>0</v>
      </c>
      <c r="AE191" s="362"/>
      <c r="AJ191" s="378">
        <f>SUM(AJ6:AJ190)</f>
        <v>0</v>
      </c>
      <c r="AK191" s="362"/>
      <c r="AL191" s="362"/>
      <c r="AM191" s="336"/>
      <c r="AP191" s="387">
        <f>SUM(AP6:AP190)</f>
        <v>0</v>
      </c>
      <c r="AS191" s="387">
        <f>SUM(AS6:AS190)</f>
        <v>0</v>
      </c>
      <c r="BA191" s="391">
        <f>SUM(BA6:BA190)</f>
        <v>0</v>
      </c>
      <c r="BC191" s="392">
        <f>SUM(BC6:BC190)</f>
        <v>0</v>
      </c>
    </row>
    <row r="192" spans="1:55">
      <c r="F192" s="366"/>
      <c r="H192" s="328"/>
      <c r="M192" s="367"/>
      <c r="W192" s="361"/>
      <c r="Y192" s="362"/>
      <c r="AD192" s="368"/>
      <c r="AE192" s="362"/>
      <c r="AJ192" s="367"/>
      <c r="AK192" s="362"/>
      <c r="AL192" s="362"/>
      <c r="AM192" s="362"/>
      <c r="AS192" s="364"/>
    </row>
    <row r="193" spans="2:55">
      <c r="W193" s="360"/>
      <c r="BB193" s="393" t="s">
        <v>237</v>
      </c>
      <c r="BC193" s="394">
        <f>F191+M191+U191+W191+AD191+AJ191+AP191+AS191+BA191+BC191</f>
        <v>0</v>
      </c>
    </row>
    <row r="197" spans="2:55">
      <c r="B197" s="1358" t="s">
        <v>50</v>
      </c>
      <c r="C197" s="1358"/>
      <c r="D197" s="1358"/>
      <c r="E197" s="1358"/>
      <c r="F197" s="1358"/>
      <c r="H197" s="369"/>
      <c r="I197" s="1337" t="s">
        <v>51</v>
      </c>
      <c r="J197" s="1337"/>
      <c r="K197" s="1337"/>
      <c r="L197" s="1337"/>
      <c r="M197" s="1337"/>
      <c r="O197" s="1359" t="s">
        <v>52</v>
      </c>
      <c r="P197" s="1359"/>
      <c r="Q197" s="1359"/>
      <c r="R197" s="1359"/>
      <c r="S197" s="1359"/>
      <c r="T197" s="1359"/>
      <c r="U197" s="1359"/>
      <c r="V197" s="1359"/>
      <c r="W197" s="1359"/>
      <c r="Y197" s="370"/>
      <c r="Z197" s="1355" t="s">
        <v>111</v>
      </c>
      <c r="AA197" s="1355"/>
      <c r="AB197" s="1355"/>
      <c r="AC197" s="1355"/>
      <c r="AD197" s="1355"/>
      <c r="AE197" s="370"/>
      <c r="AF197" s="1337" t="s">
        <v>112</v>
      </c>
      <c r="AG197" s="1337"/>
      <c r="AH197" s="1337"/>
      <c r="AI197" s="1337"/>
      <c r="AJ197" s="1337"/>
      <c r="AK197" s="370"/>
      <c r="AL197" s="370"/>
      <c r="AN197" s="1338" t="s">
        <v>9</v>
      </c>
      <c r="AO197" s="1338"/>
      <c r="AP197" s="1338"/>
      <c r="AQ197" s="1338"/>
      <c r="AR197" s="1338"/>
      <c r="AS197" s="1338"/>
      <c r="AU197" s="1342" t="s">
        <v>16</v>
      </c>
      <c r="AV197" s="1342"/>
      <c r="AW197" s="1342"/>
      <c r="AX197" s="1342"/>
      <c r="AY197" s="1342"/>
      <c r="AZ197" s="1342"/>
      <c r="BA197" s="1342"/>
      <c r="BB197" s="1342"/>
      <c r="BC197" s="1342"/>
    </row>
  </sheetData>
  <sheetProtection password="DC1E" sheet="1" objects="1" scenarios="1"/>
  <mergeCells count="18">
    <mergeCell ref="BE4:BG4"/>
    <mergeCell ref="BE13:BG13"/>
    <mergeCell ref="B197:F197"/>
    <mergeCell ref="O197:W197"/>
    <mergeCell ref="I197:M197"/>
    <mergeCell ref="BE25:BI25"/>
    <mergeCell ref="BF36:BI36"/>
    <mergeCell ref="B3:F3"/>
    <mergeCell ref="O3:W3"/>
    <mergeCell ref="I3:M3"/>
    <mergeCell ref="Z3:AD3"/>
    <mergeCell ref="Z197:AD197"/>
    <mergeCell ref="AF3:AJ3"/>
    <mergeCell ref="AF197:AJ197"/>
    <mergeCell ref="AN197:AS197"/>
    <mergeCell ref="AN3:AS3"/>
    <mergeCell ref="AU197:BC197"/>
    <mergeCell ref="AU3:BC3"/>
  </mergeCells>
  <pageMargins left="0.7" right="0.7" top="0.75" bottom="0.75" header="0.3" footer="0.3"/>
  <pageSetup paperSize="5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197"/>
  <sheetViews>
    <sheetView topLeftCell="AU1" zoomScale="80" zoomScaleNormal="80" zoomScaleSheetLayoutView="80" workbookViewId="0">
      <selection activeCell="Z6" sqref="Z6"/>
    </sheetView>
  </sheetViews>
  <sheetFormatPr defaultColWidth="8.88671875" defaultRowHeight="14.4"/>
  <cols>
    <col min="1" max="1" width="9.5546875" style="263" customWidth="1"/>
    <col min="2" max="2" width="12" style="263" customWidth="1"/>
    <col min="3" max="3" width="12.44140625" style="263" customWidth="1"/>
    <col min="4" max="4" width="1.5546875" style="263" customWidth="1"/>
    <col min="5" max="5" width="14.33203125" style="357" customWidth="1"/>
    <col min="6" max="6" width="13.33203125" style="357" customWidth="1"/>
    <col min="7" max="7" width="12" style="357" customWidth="1"/>
    <col min="8" max="8" width="14.44140625" style="357" customWidth="1"/>
    <col min="9" max="9" width="15.44140625" style="357" customWidth="1"/>
    <col min="10" max="10" width="1.109375" style="263" customWidth="1"/>
    <col min="11" max="11" width="13.44140625" style="422" customWidth="1"/>
    <col min="12" max="12" width="14.109375" style="422" customWidth="1"/>
    <col min="13" max="14" width="14.33203125" style="422" customWidth="1"/>
    <col min="15" max="15" width="15.88671875" style="422" customWidth="1"/>
    <col min="16" max="16" width="1.44140625" style="264" customWidth="1"/>
    <col min="17" max="17" width="1.5546875" style="263" customWidth="1"/>
    <col min="18" max="19" width="15.6640625" style="423" customWidth="1"/>
    <col min="20" max="20" width="14.44140625" style="423" customWidth="1"/>
    <col min="21" max="24" width="13.6640625" style="423" customWidth="1"/>
    <col min="25" max="25" width="15.33203125" style="423" customWidth="1"/>
    <col min="26" max="26" width="13.33203125" style="423" customWidth="1"/>
    <col min="27" max="27" width="1.5546875" style="265" customWidth="1"/>
    <col min="28" max="28" width="13.44140625" style="266" customWidth="1"/>
    <col min="29" max="29" width="14.109375" style="266" customWidth="1"/>
    <col min="30" max="31" width="14.33203125" style="266" customWidth="1"/>
    <col min="32" max="32" width="13.33203125" style="266" customWidth="1"/>
    <col min="33" max="33" width="1.6640625" style="265" customWidth="1"/>
    <col min="34" max="34" width="13.44140625" style="358" customWidth="1"/>
    <col min="35" max="35" width="14.109375" style="358" customWidth="1"/>
    <col min="36" max="37" width="14.33203125" style="358" customWidth="1"/>
    <col min="38" max="38" width="13.33203125" style="358" customWidth="1"/>
    <col min="39" max="39" width="0.6640625" style="265" customWidth="1"/>
    <col min="40" max="40" width="1" style="265" customWidth="1"/>
    <col min="41" max="41" width="0.88671875" style="265" customWidth="1"/>
    <col min="42" max="43" width="13" style="363" customWidth="1"/>
    <col min="44" max="44" width="12.5546875" style="363" customWidth="1"/>
    <col min="45" max="46" width="13.44140625" style="363" customWidth="1"/>
    <col min="47" max="47" width="15.6640625" style="363" customWidth="1"/>
    <col min="48" max="48" width="0.88671875" style="263" customWidth="1"/>
    <col min="49" max="49" width="12" style="365" customWidth="1"/>
    <col min="50" max="50" width="11" style="365" customWidth="1"/>
    <col min="51" max="51" width="11.33203125" style="365" customWidth="1"/>
    <col min="52" max="52" width="12.6640625" style="365" customWidth="1"/>
    <col min="53" max="53" width="15.6640625" style="365" customWidth="1"/>
    <col min="54" max="54" width="7.109375" style="263" customWidth="1"/>
    <col min="55" max="55" width="18.33203125" style="263" customWidth="1"/>
    <col min="56" max="56" width="17.6640625" style="263" customWidth="1"/>
    <col min="57" max="57" width="17.88671875" style="263" customWidth="1"/>
    <col min="58" max="58" width="17.6640625" style="263" customWidth="1"/>
    <col min="59" max="59" width="21.33203125" style="263" customWidth="1"/>
    <col min="60" max="16384" width="8.88671875" style="263"/>
  </cols>
  <sheetData>
    <row r="1" spans="1:59">
      <c r="E1" s="263"/>
      <c r="F1" s="263"/>
      <c r="G1" s="263"/>
      <c r="H1" s="263"/>
      <c r="I1" s="263"/>
      <c r="K1" s="263"/>
      <c r="L1" s="263"/>
      <c r="M1" s="263"/>
      <c r="N1" s="263"/>
      <c r="O1" s="263"/>
      <c r="R1" s="265"/>
      <c r="S1" s="265"/>
      <c r="T1" s="265"/>
      <c r="U1" s="265"/>
      <c r="V1" s="265"/>
      <c r="W1" s="265"/>
      <c r="X1" s="265"/>
      <c r="Y1" s="265"/>
      <c r="Z1" s="265"/>
      <c r="AH1" s="263"/>
      <c r="AI1" s="263"/>
      <c r="AJ1" s="263"/>
      <c r="AK1" s="263"/>
      <c r="AL1" s="263"/>
      <c r="AP1" s="263"/>
      <c r="AQ1" s="263"/>
      <c r="AR1" s="263"/>
      <c r="AS1" s="263"/>
      <c r="AT1" s="263"/>
      <c r="AU1" s="263"/>
      <c r="AW1" s="263"/>
      <c r="AX1" s="263"/>
      <c r="AY1" s="263"/>
      <c r="AZ1" s="263"/>
      <c r="BA1" s="263"/>
    </row>
    <row r="2" spans="1:59" s="267" customFormat="1" ht="15" thickBot="1">
      <c r="E2" s="268"/>
      <c r="F2" s="268"/>
      <c r="G2" s="268"/>
      <c r="H2" s="268"/>
      <c r="I2" s="268"/>
      <c r="P2" s="269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1"/>
      <c r="AC2" s="271"/>
      <c r="AD2" s="271"/>
      <c r="AE2" s="271"/>
      <c r="AF2" s="271"/>
      <c r="AG2" s="270"/>
      <c r="AH2" s="268"/>
      <c r="AI2" s="268"/>
      <c r="AJ2" s="268"/>
      <c r="AK2" s="268"/>
      <c r="AL2" s="268"/>
      <c r="AM2" s="270"/>
      <c r="AN2" s="270"/>
      <c r="AO2" s="270"/>
      <c r="AP2" s="268"/>
      <c r="AQ2" s="268"/>
      <c r="AR2" s="268"/>
      <c r="AS2" s="268"/>
      <c r="AT2" s="268"/>
      <c r="AU2" s="268"/>
      <c r="AW2" s="268"/>
      <c r="AX2" s="268"/>
      <c r="AY2" s="268"/>
      <c r="AZ2" s="268"/>
      <c r="BA2" s="268"/>
    </row>
    <row r="3" spans="1:59" s="274" customFormat="1" ht="50.25" customHeight="1" thickBot="1">
      <c r="A3" s="1376" t="s">
        <v>24</v>
      </c>
      <c r="B3" s="1377"/>
      <c r="C3" s="1378"/>
      <c r="D3" s="272"/>
      <c r="E3" s="1379" t="s">
        <v>176</v>
      </c>
      <c r="F3" s="1380"/>
      <c r="G3" s="1380"/>
      <c r="H3" s="1380"/>
      <c r="I3" s="1381"/>
      <c r="J3" s="272"/>
      <c r="K3" s="1382" t="s">
        <v>71</v>
      </c>
      <c r="L3" s="1383"/>
      <c r="M3" s="1383"/>
      <c r="N3" s="1383"/>
      <c r="O3" s="1384"/>
      <c r="P3" s="273"/>
      <c r="R3" s="1385" t="s">
        <v>165</v>
      </c>
      <c r="S3" s="1386"/>
      <c r="T3" s="1386"/>
      <c r="U3" s="1386"/>
      <c r="V3" s="1386"/>
      <c r="W3" s="1386"/>
      <c r="X3" s="1386"/>
      <c r="Y3" s="1386"/>
      <c r="Z3" s="1387"/>
      <c r="AA3" s="275"/>
      <c r="AB3" s="1388" t="s">
        <v>177</v>
      </c>
      <c r="AC3" s="1389"/>
      <c r="AD3" s="1389"/>
      <c r="AE3" s="1389"/>
      <c r="AF3" s="1390"/>
      <c r="AG3" s="275"/>
      <c r="AH3" s="1367" t="s">
        <v>197</v>
      </c>
      <c r="AI3" s="1368"/>
      <c r="AJ3" s="1368"/>
      <c r="AK3" s="1368"/>
      <c r="AL3" s="1369"/>
      <c r="AM3" s="275"/>
      <c r="AN3" s="275"/>
      <c r="AO3" s="276"/>
      <c r="AP3" s="1370" t="s">
        <v>178</v>
      </c>
      <c r="AQ3" s="1371"/>
      <c r="AR3" s="1371"/>
      <c r="AS3" s="1371"/>
      <c r="AT3" s="1371"/>
      <c r="AU3" s="1372"/>
      <c r="AW3" s="1373" t="s">
        <v>44</v>
      </c>
      <c r="AX3" s="1374"/>
      <c r="AY3" s="1374"/>
      <c r="AZ3" s="1374"/>
      <c r="BA3" s="1375"/>
    </row>
    <row r="4" spans="1:59" s="290" customFormat="1" ht="29.4" thickBot="1">
      <c r="A4" s="442" t="s">
        <v>43</v>
      </c>
      <c r="B4" s="443" t="s">
        <v>42</v>
      </c>
      <c r="C4" s="444"/>
      <c r="D4" s="277"/>
      <c r="E4" s="445" t="s">
        <v>30</v>
      </c>
      <c r="F4" s="446" t="s">
        <v>77</v>
      </c>
      <c r="G4" s="446" t="s">
        <v>32</v>
      </c>
      <c r="H4" s="446" t="s">
        <v>29</v>
      </c>
      <c r="I4" s="447" t="s">
        <v>20</v>
      </c>
      <c r="J4" s="277"/>
      <c r="K4" s="448" t="s">
        <v>79</v>
      </c>
      <c r="L4" s="449" t="s">
        <v>28</v>
      </c>
      <c r="M4" s="450" t="s">
        <v>29</v>
      </c>
      <c r="N4" s="451" t="s">
        <v>78</v>
      </c>
      <c r="O4" s="452" t="s">
        <v>20</v>
      </c>
      <c r="P4" s="277"/>
      <c r="R4" s="453" t="s">
        <v>30</v>
      </c>
      <c r="S4" s="454" t="s">
        <v>75</v>
      </c>
      <c r="T4" s="455" t="s">
        <v>163</v>
      </c>
      <c r="U4" s="455" t="s">
        <v>37</v>
      </c>
      <c r="V4" s="455" t="s">
        <v>27</v>
      </c>
      <c r="W4" s="455" t="s">
        <v>164</v>
      </c>
      <c r="X4" s="456" t="s">
        <v>38</v>
      </c>
      <c r="Y4" s="455" t="s">
        <v>29</v>
      </c>
      <c r="Z4" s="457" t="s">
        <v>20</v>
      </c>
      <c r="AA4" s="291"/>
      <c r="AB4" s="458" t="s">
        <v>79</v>
      </c>
      <c r="AC4" s="459" t="s">
        <v>28</v>
      </c>
      <c r="AD4" s="459" t="s">
        <v>29</v>
      </c>
      <c r="AE4" s="460" t="s">
        <v>78</v>
      </c>
      <c r="AF4" s="460" t="s">
        <v>20</v>
      </c>
      <c r="AG4" s="291"/>
      <c r="AH4" s="461" t="s">
        <v>79</v>
      </c>
      <c r="AI4" s="462" t="s">
        <v>28</v>
      </c>
      <c r="AJ4" s="462" t="s">
        <v>29</v>
      </c>
      <c r="AK4" s="463" t="s">
        <v>78</v>
      </c>
      <c r="AL4" s="463" t="s">
        <v>20</v>
      </c>
      <c r="AM4" s="291"/>
      <c r="AN4" s="291"/>
      <c r="AO4" s="291"/>
      <c r="AP4" s="464" t="s">
        <v>30</v>
      </c>
      <c r="AQ4" s="465" t="s">
        <v>34</v>
      </c>
      <c r="AR4" s="465" t="s">
        <v>36</v>
      </c>
      <c r="AS4" s="465" t="s">
        <v>29</v>
      </c>
      <c r="AT4" s="466" t="s">
        <v>80</v>
      </c>
      <c r="AU4" s="467" t="s">
        <v>20</v>
      </c>
      <c r="AW4" s="468" t="s">
        <v>30</v>
      </c>
      <c r="AX4" s="469" t="s">
        <v>31</v>
      </c>
      <c r="AY4" s="469" t="s">
        <v>32</v>
      </c>
      <c r="AZ4" s="469" t="s">
        <v>29</v>
      </c>
      <c r="BA4" s="470" t="s">
        <v>20</v>
      </c>
    </row>
    <row r="5" spans="1:59" s="267" customFormat="1" ht="15.6" thickTop="1" thickBot="1">
      <c r="A5" s="402"/>
      <c r="B5" s="403"/>
      <c r="C5" s="404"/>
      <c r="E5" s="302"/>
      <c r="F5" s="303"/>
      <c r="G5" s="303"/>
      <c r="H5" s="303">
        <f>'TABEL INPUT'!F4</f>
        <v>341717</v>
      </c>
      <c r="I5" s="427"/>
      <c r="K5" s="405"/>
      <c r="L5" s="406"/>
      <c r="M5" s="406">
        <f>'TABEL INPUT'!F9</f>
        <v>975218</v>
      </c>
      <c r="N5" s="407"/>
      <c r="O5" s="429">
        <f>N5-L5</f>
        <v>0</v>
      </c>
      <c r="P5" s="305"/>
      <c r="R5" s="408"/>
      <c r="S5" s="409"/>
      <c r="T5" s="410"/>
      <c r="U5" s="410"/>
      <c r="V5" s="410"/>
      <c r="W5" s="410"/>
      <c r="X5" s="410"/>
      <c r="Y5" s="410">
        <f>'TABEL INPUT'!F5</f>
        <v>5000000</v>
      </c>
      <c r="Z5" s="411"/>
      <c r="AA5" s="313"/>
      <c r="AB5" s="314"/>
      <c r="AC5" s="315"/>
      <c r="AD5" s="315">
        <f>'TABEL INPUT'!F8</f>
        <v>528915</v>
      </c>
      <c r="AE5" s="316"/>
      <c r="AF5" s="382">
        <f>AE5-AC5</f>
        <v>0</v>
      </c>
      <c r="AG5" s="313"/>
      <c r="AH5" s="306"/>
      <c r="AI5" s="307"/>
      <c r="AJ5" s="307">
        <f>'TABEL INPUT'!F10</f>
        <v>376533</v>
      </c>
      <c r="AK5" s="308"/>
      <c r="AL5" s="376">
        <f>AK5-AI5</f>
        <v>0</v>
      </c>
      <c r="AM5" s="313"/>
      <c r="AN5" s="313"/>
      <c r="AO5" s="313"/>
      <c r="AP5" s="317"/>
      <c r="AQ5" s="318"/>
      <c r="AR5" s="318"/>
      <c r="AS5" s="318">
        <f>'TABEL INPUT'!F7</f>
        <v>208871</v>
      </c>
      <c r="AT5" s="319"/>
      <c r="AU5" s="388">
        <f>AT5-AQ5</f>
        <v>0</v>
      </c>
      <c r="AW5" s="321"/>
      <c r="AX5" s="322"/>
      <c r="AY5" s="322"/>
      <c r="AZ5" s="322">
        <v>0</v>
      </c>
      <c r="BA5" s="437"/>
      <c r="BC5" s="1360" t="s">
        <v>100</v>
      </c>
      <c r="BD5" s="1361"/>
      <c r="BE5" s="1361"/>
      <c r="BF5" s="1361"/>
      <c r="BG5" s="1362"/>
    </row>
    <row r="6" spans="1:59">
      <c r="A6" s="412"/>
      <c r="B6" s="413"/>
      <c r="C6" s="404"/>
      <c r="E6" s="326"/>
      <c r="F6" s="327"/>
      <c r="G6" s="327"/>
      <c r="H6" s="371">
        <f>H5+E6-G6</f>
        <v>341717</v>
      </c>
      <c r="I6" s="372">
        <f>F6-G6</f>
        <v>0</v>
      </c>
      <c r="K6" s="414"/>
      <c r="L6" s="415"/>
      <c r="M6" s="428">
        <f>SUM(M5+K6-L6)</f>
        <v>975218</v>
      </c>
      <c r="N6" s="416"/>
      <c r="O6" s="430">
        <f t="shared" ref="O6:O69" si="0">N6-L6</f>
        <v>0</v>
      </c>
      <c r="P6" s="328"/>
      <c r="R6" s="417"/>
      <c r="S6" s="418"/>
      <c r="T6" s="419"/>
      <c r="U6" s="419"/>
      <c r="V6" s="419"/>
      <c r="W6" s="419"/>
      <c r="X6" s="419"/>
      <c r="Y6" s="432">
        <f t="shared" ref="Y6:Y70" si="1">Y5+R6+S6-T6-U6-V6-W6+X6</f>
        <v>5000000</v>
      </c>
      <c r="Z6" s="420">
        <f>'TABEL INPUT'!F32</f>
        <v>0</v>
      </c>
      <c r="AA6" s="336"/>
      <c r="AB6" s="337"/>
      <c r="AC6" s="338"/>
      <c r="AD6" s="383">
        <f>AD5+AB6-AC6</f>
        <v>528915</v>
      </c>
      <c r="AE6" s="339"/>
      <c r="AF6" s="384">
        <f t="shared" ref="AF6:AF12" si="2">AE6-AC6</f>
        <v>0</v>
      </c>
      <c r="AG6" s="336"/>
      <c r="AH6" s="329"/>
      <c r="AI6" s="330"/>
      <c r="AJ6" s="375">
        <f>AJ5+AH6-AI6</f>
        <v>376533</v>
      </c>
      <c r="AK6" s="331"/>
      <c r="AL6" s="377">
        <f t="shared" ref="AL6:AL12" si="3">AK6-AI6</f>
        <v>0</v>
      </c>
      <c r="AM6" s="336"/>
      <c r="AN6" s="336"/>
      <c r="AO6" s="336"/>
      <c r="AP6" s="340"/>
      <c r="AQ6" s="341"/>
      <c r="AR6" s="341"/>
      <c r="AS6" s="386">
        <f>AS5+AP6-AQ6+AR6</f>
        <v>208871</v>
      </c>
      <c r="AT6" s="342"/>
      <c r="AU6" s="389">
        <f t="shared" ref="AU6:AU69" si="4">AT6-AQ6</f>
        <v>0</v>
      </c>
      <c r="AW6" s="343"/>
      <c r="AX6" s="344"/>
      <c r="AY6" s="344"/>
      <c r="AZ6" s="435">
        <f t="shared" ref="AZ6:AZ69" si="5">AZ5+AW6-AY6</f>
        <v>0</v>
      </c>
      <c r="BA6" s="438">
        <f t="shared" ref="BA6:BA70" si="6">AX6-AY6</f>
        <v>0</v>
      </c>
      <c r="BC6" s="395" t="s">
        <v>337</v>
      </c>
      <c r="BD6" s="349">
        <f>'TABEL INPUT'!F43</f>
        <v>0</v>
      </c>
      <c r="BE6" s="350"/>
      <c r="BF6" s="350"/>
      <c r="BG6" s="439">
        <f>SUM(BD6:BF6)</f>
        <v>0</v>
      </c>
    </row>
    <row r="7" spans="1:59">
      <c r="A7" s="412"/>
      <c r="B7" s="413"/>
      <c r="C7" s="404"/>
      <c r="E7" s="326"/>
      <c r="F7" s="327"/>
      <c r="G7" s="327"/>
      <c r="H7" s="371">
        <f t="shared" ref="H7:H70" si="7">H6+E7-G7</f>
        <v>341717</v>
      </c>
      <c r="I7" s="372">
        <f t="shared" ref="I7:I70" si="8">F7-G7</f>
        <v>0</v>
      </c>
      <c r="K7" s="414"/>
      <c r="L7" s="415"/>
      <c r="M7" s="428">
        <f>SUM(M6+K7-L7)</f>
        <v>975218</v>
      </c>
      <c r="N7" s="416"/>
      <c r="O7" s="430">
        <f t="shared" si="0"/>
        <v>0</v>
      </c>
      <c r="P7" s="328"/>
      <c r="R7" s="417"/>
      <c r="S7" s="418"/>
      <c r="T7" s="419"/>
      <c r="U7" s="419"/>
      <c r="V7" s="419"/>
      <c r="W7" s="419"/>
      <c r="X7" s="419"/>
      <c r="Y7" s="432">
        <f t="shared" si="1"/>
        <v>5000000</v>
      </c>
      <c r="Z7" s="420">
        <f>'TABEL INPUT'!F33</f>
        <v>0</v>
      </c>
      <c r="AA7" s="336"/>
      <c r="AB7" s="337"/>
      <c r="AC7" s="338"/>
      <c r="AD7" s="383">
        <f t="shared" ref="AD7:AD70" si="9">AD6+AB7-AC7</f>
        <v>528915</v>
      </c>
      <c r="AE7" s="339"/>
      <c r="AF7" s="384">
        <f t="shared" si="2"/>
        <v>0</v>
      </c>
      <c r="AG7" s="336"/>
      <c r="AH7" s="329"/>
      <c r="AI7" s="330"/>
      <c r="AJ7" s="375">
        <f t="shared" ref="AJ7:AJ70" si="10">AJ6+AH7-AI7</f>
        <v>376533</v>
      </c>
      <c r="AK7" s="331"/>
      <c r="AL7" s="377">
        <f t="shared" si="3"/>
        <v>0</v>
      </c>
      <c r="AM7" s="336"/>
      <c r="AN7" s="336"/>
      <c r="AO7" s="336"/>
      <c r="AP7" s="340"/>
      <c r="AQ7" s="341"/>
      <c r="AR7" s="341"/>
      <c r="AS7" s="386">
        <f>AS6+AP7-AQ7+AR7</f>
        <v>208871</v>
      </c>
      <c r="AT7" s="342"/>
      <c r="AU7" s="389">
        <f t="shared" si="4"/>
        <v>0</v>
      </c>
      <c r="AW7" s="343"/>
      <c r="AX7" s="344"/>
      <c r="AY7" s="344"/>
      <c r="AZ7" s="435">
        <f t="shared" si="5"/>
        <v>0</v>
      </c>
      <c r="BA7" s="438">
        <f t="shared" si="6"/>
        <v>0</v>
      </c>
      <c r="BC7" s="396" t="s">
        <v>353</v>
      </c>
      <c r="BD7" s="351">
        <f>'TABEL INPUT'!F44</f>
        <v>0</v>
      </c>
      <c r="BE7" s="352"/>
      <c r="BF7" s="352"/>
      <c r="BG7" s="440">
        <f t="shared" ref="BG7:BG14" si="11">SUM(BD7:BF7)</f>
        <v>0</v>
      </c>
    </row>
    <row r="8" spans="1:59">
      <c r="A8" s="412"/>
      <c r="B8" s="413"/>
      <c r="C8" s="404"/>
      <c r="E8" s="326"/>
      <c r="F8" s="327"/>
      <c r="G8" s="327"/>
      <c r="H8" s="371">
        <f t="shared" si="7"/>
        <v>341717</v>
      </c>
      <c r="I8" s="372">
        <f t="shared" si="8"/>
        <v>0</v>
      </c>
      <c r="K8" s="414"/>
      <c r="L8" s="415"/>
      <c r="M8" s="428">
        <f>SUM(M7+K8-L8)</f>
        <v>975218</v>
      </c>
      <c r="N8" s="416"/>
      <c r="O8" s="430">
        <f t="shared" si="0"/>
        <v>0</v>
      </c>
      <c r="P8" s="328"/>
      <c r="R8" s="417"/>
      <c r="S8" s="418"/>
      <c r="T8" s="419"/>
      <c r="U8" s="419"/>
      <c r="V8" s="419"/>
      <c r="W8" s="419"/>
      <c r="X8" s="419"/>
      <c r="Y8" s="432">
        <f t="shared" si="1"/>
        <v>5000000</v>
      </c>
      <c r="Z8" s="420">
        <f>'TABEL INPUT'!F34</f>
        <v>0</v>
      </c>
      <c r="AA8" s="336"/>
      <c r="AB8" s="337"/>
      <c r="AC8" s="338"/>
      <c r="AD8" s="383">
        <f t="shared" si="9"/>
        <v>528915</v>
      </c>
      <c r="AE8" s="339"/>
      <c r="AF8" s="384">
        <f t="shared" si="2"/>
        <v>0</v>
      </c>
      <c r="AG8" s="336"/>
      <c r="AH8" s="329"/>
      <c r="AI8" s="330"/>
      <c r="AJ8" s="375">
        <f t="shared" si="10"/>
        <v>376533</v>
      </c>
      <c r="AK8" s="331"/>
      <c r="AL8" s="377">
        <f t="shared" si="3"/>
        <v>0</v>
      </c>
      <c r="AM8" s="336"/>
      <c r="AN8" s="336"/>
      <c r="AO8" s="336"/>
      <c r="AP8" s="340"/>
      <c r="AQ8" s="341"/>
      <c r="AR8" s="341"/>
      <c r="AS8" s="386">
        <f t="shared" ref="AS8:AS71" si="12">AS7+AP8-AQ8+AR8</f>
        <v>208871</v>
      </c>
      <c r="AT8" s="342"/>
      <c r="AU8" s="389">
        <f t="shared" si="4"/>
        <v>0</v>
      </c>
      <c r="AW8" s="343"/>
      <c r="AX8" s="344"/>
      <c r="AY8" s="344"/>
      <c r="AZ8" s="435">
        <f t="shared" si="5"/>
        <v>0</v>
      </c>
      <c r="BA8" s="438">
        <f t="shared" si="6"/>
        <v>0</v>
      </c>
      <c r="BC8" s="396" t="s">
        <v>245</v>
      </c>
      <c r="BD8" s="351">
        <f>'TABEL INPUT'!F45</f>
        <v>0</v>
      </c>
      <c r="BE8" s="352"/>
      <c r="BF8" s="352"/>
      <c r="BG8" s="440">
        <f t="shared" si="11"/>
        <v>0</v>
      </c>
    </row>
    <row r="9" spans="1:59">
      <c r="A9" s="412"/>
      <c r="B9" s="413"/>
      <c r="C9" s="404"/>
      <c r="E9" s="326"/>
      <c r="F9" s="327"/>
      <c r="G9" s="327"/>
      <c r="H9" s="371">
        <f t="shared" si="7"/>
        <v>341717</v>
      </c>
      <c r="I9" s="372">
        <f t="shared" si="8"/>
        <v>0</v>
      </c>
      <c r="K9" s="421"/>
      <c r="L9" s="415"/>
      <c r="M9" s="428">
        <f>SUM(M8+K9-L9)</f>
        <v>975218</v>
      </c>
      <c r="N9" s="416"/>
      <c r="O9" s="430">
        <f t="shared" si="0"/>
        <v>0</v>
      </c>
      <c r="P9" s="328"/>
      <c r="R9" s="417"/>
      <c r="S9" s="418"/>
      <c r="T9" s="419"/>
      <c r="U9" s="419"/>
      <c r="V9" s="419"/>
      <c r="W9" s="419"/>
      <c r="X9" s="419"/>
      <c r="Y9" s="432">
        <f t="shared" si="1"/>
        <v>5000000</v>
      </c>
      <c r="Z9" s="420">
        <f>'TABEL INPUT'!F35</f>
        <v>0</v>
      </c>
      <c r="AA9" s="336"/>
      <c r="AB9" s="337"/>
      <c r="AC9" s="338"/>
      <c r="AD9" s="383">
        <f t="shared" si="9"/>
        <v>528915</v>
      </c>
      <c r="AE9" s="339"/>
      <c r="AF9" s="384">
        <f t="shared" si="2"/>
        <v>0</v>
      </c>
      <c r="AG9" s="336"/>
      <c r="AH9" s="329"/>
      <c r="AI9" s="330"/>
      <c r="AJ9" s="375">
        <f t="shared" si="10"/>
        <v>376533</v>
      </c>
      <c r="AK9" s="331"/>
      <c r="AL9" s="377">
        <f t="shared" si="3"/>
        <v>0</v>
      </c>
      <c r="AM9" s="336"/>
      <c r="AN9" s="336"/>
      <c r="AO9" s="336">
        <v>0</v>
      </c>
      <c r="AP9" s="340"/>
      <c r="AQ9" s="341"/>
      <c r="AR9" s="341"/>
      <c r="AS9" s="386">
        <f t="shared" si="12"/>
        <v>208871</v>
      </c>
      <c r="AT9" s="342"/>
      <c r="AU9" s="389">
        <f t="shared" si="4"/>
        <v>0</v>
      </c>
      <c r="AW9" s="343"/>
      <c r="AX9" s="344"/>
      <c r="AY9" s="344"/>
      <c r="AZ9" s="435">
        <f t="shared" si="5"/>
        <v>0</v>
      </c>
      <c r="BA9" s="438">
        <f t="shared" si="6"/>
        <v>0</v>
      </c>
      <c r="BC9" s="396" t="s">
        <v>349</v>
      </c>
      <c r="BD9" s="351">
        <f>'TABEL INPUT'!F46</f>
        <v>0</v>
      </c>
      <c r="BE9" s="352"/>
      <c r="BF9" s="352"/>
      <c r="BG9" s="440">
        <f t="shared" si="11"/>
        <v>0</v>
      </c>
    </row>
    <row r="10" spans="1:59">
      <c r="A10" s="412"/>
      <c r="B10" s="413"/>
      <c r="C10" s="404"/>
      <c r="E10" s="326"/>
      <c r="F10" s="327"/>
      <c r="G10" s="327"/>
      <c r="H10" s="371">
        <f t="shared" si="7"/>
        <v>341717</v>
      </c>
      <c r="I10" s="372">
        <f t="shared" si="8"/>
        <v>0</v>
      </c>
      <c r="K10" s="414"/>
      <c r="L10" s="415"/>
      <c r="M10" s="428">
        <f>SUM(M9+K10-L10)</f>
        <v>975218</v>
      </c>
      <c r="N10" s="416"/>
      <c r="O10" s="430">
        <f t="shared" si="0"/>
        <v>0</v>
      </c>
      <c r="P10" s="328"/>
      <c r="R10" s="417"/>
      <c r="S10" s="418"/>
      <c r="T10" s="419"/>
      <c r="U10" s="419"/>
      <c r="V10" s="419"/>
      <c r="W10" s="419"/>
      <c r="X10" s="419"/>
      <c r="Y10" s="432">
        <f t="shared" si="1"/>
        <v>5000000</v>
      </c>
      <c r="Z10" s="420">
        <f>'TABEL INPUT'!F36</f>
        <v>0</v>
      </c>
      <c r="AA10" s="336"/>
      <c r="AB10" s="337"/>
      <c r="AC10" s="338"/>
      <c r="AD10" s="383">
        <f t="shared" si="9"/>
        <v>528915</v>
      </c>
      <c r="AE10" s="339"/>
      <c r="AF10" s="384">
        <f t="shared" si="2"/>
        <v>0</v>
      </c>
      <c r="AG10" s="336"/>
      <c r="AH10" s="329"/>
      <c r="AI10" s="330"/>
      <c r="AJ10" s="375">
        <f t="shared" si="10"/>
        <v>376533</v>
      </c>
      <c r="AK10" s="331"/>
      <c r="AL10" s="377">
        <f t="shared" si="3"/>
        <v>0</v>
      </c>
      <c r="AM10" s="336"/>
      <c r="AN10" s="336"/>
      <c r="AO10" s="336"/>
      <c r="AP10" s="340"/>
      <c r="AQ10" s="341"/>
      <c r="AR10" s="341"/>
      <c r="AS10" s="386">
        <f t="shared" si="12"/>
        <v>208871</v>
      </c>
      <c r="AT10" s="342"/>
      <c r="AU10" s="389">
        <f t="shared" si="4"/>
        <v>0</v>
      </c>
      <c r="AW10" s="343"/>
      <c r="AX10" s="344"/>
      <c r="AY10" s="344"/>
      <c r="AZ10" s="435">
        <f t="shared" si="5"/>
        <v>0</v>
      </c>
      <c r="BA10" s="438">
        <f t="shared" si="6"/>
        <v>0</v>
      </c>
      <c r="BC10" s="396" t="s">
        <v>247</v>
      </c>
      <c r="BD10" s="351">
        <f>'TABEL INPUT'!F47</f>
        <v>0</v>
      </c>
      <c r="BE10" s="352"/>
      <c r="BF10" s="352"/>
      <c r="BG10" s="440">
        <f t="shared" si="11"/>
        <v>0</v>
      </c>
    </row>
    <row r="11" spans="1:59">
      <c r="A11" s="412"/>
      <c r="B11" s="413"/>
      <c r="C11" s="404"/>
      <c r="E11" s="326"/>
      <c r="F11" s="327"/>
      <c r="G11" s="327"/>
      <c r="H11" s="371">
        <f t="shared" si="7"/>
        <v>341717</v>
      </c>
      <c r="I11" s="372">
        <f t="shared" si="8"/>
        <v>0</v>
      </c>
      <c r="K11" s="414"/>
      <c r="L11" s="415"/>
      <c r="M11" s="428">
        <f t="shared" ref="M11:M74" si="13">SUM(M10+K11-L11)</f>
        <v>975218</v>
      </c>
      <c r="N11" s="416"/>
      <c r="O11" s="430">
        <f t="shared" si="0"/>
        <v>0</v>
      </c>
      <c r="P11" s="328"/>
      <c r="R11" s="417"/>
      <c r="S11" s="418"/>
      <c r="T11" s="419"/>
      <c r="U11" s="419"/>
      <c r="V11" s="419"/>
      <c r="W11" s="419"/>
      <c r="X11" s="419"/>
      <c r="Y11" s="432">
        <f t="shared" si="1"/>
        <v>5000000</v>
      </c>
      <c r="Z11" s="420">
        <f>'TABEL INPUT'!F37</f>
        <v>0</v>
      </c>
      <c r="AA11" s="336"/>
      <c r="AB11" s="337"/>
      <c r="AC11" s="338"/>
      <c r="AD11" s="383">
        <f t="shared" si="9"/>
        <v>528915</v>
      </c>
      <c r="AE11" s="339"/>
      <c r="AF11" s="384">
        <f t="shared" si="2"/>
        <v>0</v>
      </c>
      <c r="AG11" s="336"/>
      <c r="AH11" s="329"/>
      <c r="AI11" s="330"/>
      <c r="AJ11" s="375">
        <f t="shared" si="10"/>
        <v>376533</v>
      </c>
      <c r="AK11" s="331"/>
      <c r="AL11" s="377">
        <f t="shared" si="3"/>
        <v>0</v>
      </c>
      <c r="AM11" s="336"/>
      <c r="AN11" s="336"/>
      <c r="AO11" s="336"/>
      <c r="AP11" s="340"/>
      <c r="AQ11" s="341"/>
      <c r="AR11" s="341"/>
      <c r="AS11" s="386">
        <f t="shared" si="12"/>
        <v>208871</v>
      </c>
      <c r="AT11" s="342"/>
      <c r="AU11" s="389">
        <f t="shared" si="4"/>
        <v>0</v>
      </c>
      <c r="AW11" s="343"/>
      <c r="AX11" s="344"/>
      <c r="AY11" s="344"/>
      <c r="AZ11" s="435">
        <f t="shared" si="5"/>
        <v>0</v>
      </c>
      <c r="BA11" s="438">
        <f t="shared" si="6"/>
        <v>0</v>
      </c>
      <c r="BC11" s="396" t="s">
        <v>187</v>
      </c>
      <c r="BD11" s="351">
        <f>'TABEL INPUT'!F48</f>
        <v>0</v>
      </c>
      <c r="BE11" s="352"/>
      <c r="BF11" s="352"/>
      <c r="BG11" s="440">
        <f t="shared" si="11"/>
        <v>0</v>
      </c>
    </row>
    <row r="12" spans="1:59">
      <c r="A12" s="412"/>
      <c r="B12" s="413"/>
      <c r="C12" s="404"/>
      <c r="E12" s="326"/>
      <c r="F12" s="327"/>
      <c r="G12" s="327"/>
      <c r="H12" s="371">
        <f t="shared" si="7"/>
        <v>341717</v>
      </c>
      <c r="I12" s="372">
        <f t="shared" si="8"/>
        <v>0</v>
      </c>
      <c r="K12" s="414"/>
      <c r="L12" s="415"/>
      <c r="M12" s="428">
        <f t="shared" si="13"/>
        <v>975218</v>
      </c>
      <c r="N12" s="416"/>
      <c r="O12" s="430">
        <f t="shared" si="0"/>
        <v>0</v>
      </c>
      <c r="P12" s="328"/>
      <c r="R12" s="417"/>
      <c r="S12" s="418"/>
      <c r="T12" s="419"/>
      <c r="U12" s="419"/>
      <c r="V12" s="419"/>
      <c r="W12" s="419"/>
      <c r="X12" s="419"/>
      <c r="Y12" s="432">
        <f t="shared" si="1"/>
        <v>5000000</v>
      </c>
      <c r="Z12" s="420">
        <f>'TABEL INPUT'!F38</f>
        <v>0</v>
      </c>
      <c r="AA12" s="336"/>
      <c r="AB12" s="337"/>
      <c r="AC12" s="338"/>
      <c r="AD12" s="383">
        <f t="shared" si="9"/>
        <v>528915</v>
      </c>
      <c r="AE12" s="339"/>
      <c r="AF12" s="384">
        <f t="shared" si="2"/>
        <v>0</v>
      </c>
      <c r="AG12" s="336"/>
      <c r="AH12" s="329"/>
      <c r="AI12" s="330"/>
      <c r="AJ12" s="375">
        <f t="shared" si="10"/>
        <v>376533</v>
      </c>
      <c r="AK12" s="331"/>
      <c r="AL12" s="377">
        <f t="shared" si="3"/>
        <v>0</v>
      </c>
      <c r="AM12" s="336"/>
      <c r="AN12" s="336"/>
      <c r="AO12" s="336"/>
      <c r="AP12" s="340"/>
      <c r="AQ12" s="341"/>
      <c r="AR12" s="341"/>
      <c r="AS12" s="386">
        <f t="shared" si="12"/>
        <v>208871</v>
      </c>
      <c r="AT12" s="342"/>
      <c r="AU12" s="389">
        <f t="shared" si="4"/>
        <v>0</v>
      </c>
      <c r="AW12" s="343"/>
      <c r="AX12" s="344"/>
      <c r="AY12" s="344"/>
      <c r="AZ12" s="435">
        <f t="shared" si="5"/>
        <v>0</v>
      </c>
      <c r="BA12" s="438">
        <f t="shared" si="6"/>
        <v>0</v>
      </c>
      <c r="BC12" s="396" t="s">
        <v>246</v>
      </c>
      <c r="BD12" s="351">
        <f>'TABEL INPUT'!F49</f>
        <v>0</v>
      </c>
      <c r="BE12" s="352"/>
      <c r="BF12" s="352"/>
      <c r="BG12" s="440">
        <f t="shared" si="11"/>
        <v>0</v>
      </c>
    </row>
    <row r="13" spans="1:59">
      <c r="A13" s="412"/>
      <c r="B13" s="413"/>
      <c r="C13" s="404"/>
      <c r="E13" s="326"/>
      <c r="F13" s="327"/>
      <c r="G13" s="327"/>
      <c r="H13" s="371">
        <f t="shared" si="7"/>
        <v>341717</v>
      </c>
      <c r="I13" s="372">
        <f t="shared" si="8"/>
        <v>0</v>
      </c>
      <c r="K13" s="414"/>
      <c r="L13" s="415"/>
      <c r="M13" s="428">
        <f t="shared" si="13"/>
        <v>975218</v>
      </c>
      <c r="N13" s="416"/>
      <c r="O13" s="430">
        <f t="shared" si="0"/>
        <v>0</v>
      </c>
      <c r="P13" s="328"/>
      <c r="R13" s="417"/>
      <c r="S13" s="418"/>
      <c r="T13" s="419"/>
      <c r="U13" s="419"/>
      <c r="V13" s="419"/>
      <c r="W13" s="419"/>
      <c r="X13" s="419"/>
      <c r="Y13" s="432">
        <f t="shared" si="1"/>
        <v>5000000</v>
      </c>
      <c r="Z13" s="420"/>
      <c r="AA13" s="336"/>
      <c r="AB13" s="337"/>
      <c r="AC13" s="338"/>
      <c r="AD13" s="383">
        <f t="shared" si="9"/>
        <v>528915</v>
      </c>
      <c r="AE13" s="339"/>
      <c r="AF13" s="384">
        <f>AE13-AC13</f>
        <v>0</v>
      </c>
      <c r="AG13" s="336"/>
      <c r="AH13" s="329"/>
      <c r="AI13" s="330"/>
      <c r="AJ13" s="375">
        <f t="shared" si="10"/>
        <v>376533</v>
      </c>
      <c r="AK13" s="331"/>
      <c r="AL13" s="377">
        <f>AK13-AI13</f>
        <v>0</v>
      </c>
      <c r="AM13" s="336"/>
      <c r="AN13" s="336"/>
      <c r="AO13" s="336"/>
      <c r="AP13" s="340"/>
      <c r="AQ13" s="341"/>
      <c r="AR13" s="341"/>
      <c r="AS13" s="386">
        <f t="shared" si="12"/>
        <v>208871</v>
      </c>
      <c r="AT13" s="342"/>
      <c r="AU13" s="389">
        <f t="shared" si="4"/>
        <v>0</v>
      </c>
      <c r="AW13" s="343"/>
      <c r="AX13" s="344"/>
      <c r="AY13" s="344"/>
      <c r="AZ13" s="435">
        <f t="shared" si="5"/>
        <v>0</v>
      </c>
      <c r="BA13" s="438">
        <f t="shared" si="6"/>
        <v>0</v>
      </c>
      <c r="BC13" s="396" t="s">
        <v>334</v>
      </c>
      <c r="BD13" s="351">
        <f>'TABEL INPUT'!F50</f>
        <v>0</v>
      </c>
      <c r="BE13" s="352"/>
      <c r="BF13" s="352"/>
      <c r="BG13" s="440">
        <f t="shared" si="11"/>
        <v>0</v>
      </c>
    </row>
    <row r="14" spans="1:59">
      <c r="A14" s="412"/>
      <c r="B14" s="413"/>
      <c r="C14" s="404"/>
      <c r="E14" s="326"/>
      <c r="F14" s="327"/>
      <c r="G14" s="327"/>
      <c r="H14" s="371">
        <f t="shared" si="7"/>
        <v>341717</v>
      </c>
      <c r="I14" s="372">
        <f t="shared" si="8"/>
        <v>0</v>
      </c>
      <c r="K14" s="414"/>
      <c r="L14" s="415"/>
      <c r="M14" s="428">
        <f t="shared" si="13"/>
        <v>975218</v>
      </c>
      <c r="N14" s="416"/>
      <c r="O14" s="430">
        <f t="shared" si="0"/>
        <v>0</v>
      </c>
      <c r="P14" s="328"/>
      <c r="R14" s="417"/>
      <c r="S14" s="418"/>
      <c r="T14" s="419"/>
      <c r="U14" s="419"/>
      <c r="V14" s="419"/>
      <c r="W14" s="419"/>
      <c r="X14" s="419"/>
      <c r="Y14" s="432">
        <f t="shared" si="1"/>
        <v>5000000</v>
      </c>
      <c r="Z14" s="420"/>
      <c r="AA14" s="336"/>
      <c r="AB14" s="337"/>
      <c r="AC14" s="338"/>
      <c r="AD14" s="383">
        <f t="shared" si="9"/>
        <v>528915</v>
      </c>
      <c r="AE14" s="339"/>
      <c r="AF14" s="384">
        <f t="shared" ref="AF14:AF77" si="14">AE14-AC14</f>
        <v>0</v>
      </c>
      <c r="AG14" s="336"/>
      <c r="AH14" s="329"/>
      <c r="AI14" s="330"/>
      <c r="AJ14" s="375">
        <f t="shared" si="10"/>
        <v>376533</v>
      </c>
      <c r="AK14" s="331"/>
      <c r="AL14" s="377">
        <f t="shared" ref="AL14:AL77" si="15">AK14-AI14</f>
        <v>0</v>
      </c>
      <c r="AM14" s="336"/>
      <c r="AN14" s="336"/>
      <c r="AO14" s="336"/>
      <c r="AP14" s="340"/>
      <c r="AQ14" s="341"/>
      <c r="AR14" s="341"/>
      <c r="AS14" s="386">
        <f t="shared" si="12"/>
        <v>208871</v>
      </c>
      <c r="AT14" s="342"/>
      <c r="AU14" s="389">
        <f t="shared" si="4"/>
        <v>0</v>
      </c>
      <c r="AW14" s="343"/>
      <c r="AX14" s="344"/>
      <c r="AY14" s="344"/>
      <c r="AZ14" s="435">
        <f t="shared" si="5"/>
        <v>0</v>
      </c>
      <c r="BA14" s="438">
        <f t="shared" si="6"/>
        <v>0</v>
      </c>
      <c r="BC14" s="396" t="s">
        <v>27</v>
      </c>
      <c r="BD14" s="351">
        <f>'TABEL INPUT'!F52</f>
        <v>0</v>
      </c>
      <c r="BE14" s="352"/>
      <c r="BF14" s="352"/>
      <c r="BG14" s="440">
        <f t="shared" si="11"/>
        <v>0</v>
      </c>
    </row>
    <row r="15" spans="1:59" ht="15" thickBot="1">
      <c r="A15" s="412"/>
      <c r="B15" s="413"/>
      <c r="C15" s="404"/>
      <c r="E15" s="326"/>
      <c r="F15" s="327"/>
      <c r="G15" s="327"/>
      <c r="H15" s="371">
        <f t="shared" si="7"/>
        <v>341717</v>
      </c>
      <c r="I15" s="372">
        <f t="shared" si="8"/>
        <v>0</v>
      </c>
      <c r="K15" s="414"/>
      <c r="L15" s="415"/>
      <c r="M15" s="428">
        <f t="shared" si="13"/>
        <v>975218</v>
      </c>
      <c r="N15" s="416"/>
      <c r="O15" s="430">
        <f t="shared" si="0"/>
        <v>0</v>
      </c>
      <c r="P15" s="328"/>
      <c r="R15" s="417"/>
      <c r="S15" s="418"/>
      <c r="T15" s="419"/>
      <c r="U15" s="419"/>
      <c r="V15" s="419"/>
      <c r="W15" s="419"/>
      <c r="X15" s="419"/>
      <c r="Y15" s="432">
        <f t="shared" si="1"/>
        <v>5000000</v>
      </c>
      <c r="Z15" s="420"/>
      <c r="AA15" s="336"/>
      <c r="AB15" s="337"/>
      <c r="AC15" s="338"/>
      <c r="AD15" s="383">
        <f t="shared" si="9"/>
        <v>528915</v>
      </c>
      <c r="AE15" s="339"/>
      <c r="AF15" s="384">
        <f t="shared" si="14"/>
        <v>0</v>
      </c>
      <c r="AG15" s="336"/>
      <c r="AH15" s="329"/>
      <c r="AI15" s="348"/>
      <c r="AJ15" s="375">
        <f t="shared" si="10"/>
        <v>376533</v>
      </c>
      <c r="AK15" s="331"/>
      <c r="AL15" s="377">
        <f t="shared" si="15"/>
        <v>0</v>
      </c>
      <c r="AM15" s="336"/>
      <c r="AN15" s="336"/>
      <c r="AO15" s="336"/>
      <c r="AP15" s="340"/>
      <c r="AQ15" s="341"/>
      <c r="AR15" s="341"/>
      <c r="AS15" s="386">
        <f t="shared" si="12"/>
        <v>208871</v>
      </c>
      <c r="AT15" s="342"/>
      <c r="AU15" s="389">
        <f t="shared" si="4"/>
        <v>0</v>
      </c>
      <c r="AW15" s="343"/>
      <c r="AX15" s="344"/>
      <c r="AY15" s="344"/>
      <c r="AZ15" s="435">
        <f t="shared" si="5"/>
        <v>0</v>
      </c>
      <c r="BA15" s="438">
        <f t="shared" si="6"/>
        <v>0</v>
      </c>
      <c r="BC15" s="397"/>
      <c r="BD15" s="354"/>
      <c r="BE15" s="355"/>
      <c r="BF15" s="355"/>
      <c r="BG15" s="441"/>
    </row>
    <row r="16" spans="1:59" ht="15" thickBot="1">
      <c r="A16" s="412"/>
      <c r="B16" s="413"/>
      <c r="C16" s="404"/>
      <c r="E16" s="326"/>
      <c r="F16" s="327"/>
      <c r="G16" s="327"/>
      <c r="H16" s="371">
        <f t="shared" si="7"/>
        <v>341717</v>
      </c>
      <c r="I16" s="372">
        <f t="shared" si="8"/>
        <v>0</v>
      </c>
      <c r="K16" s="414"/>
      <c r="L16" s="415"/>
      <c r="M16" s="428">
        <f t="shared" si="13"/>
        <v>975218</v>
      </c>
      <c r="N16" s="416"/>
      <c r="O16" s="430">
        <f t="shared" si="0"/>
        <v>0</v>
      </c>
      <c r="P16" s="328"/>
      <c r="R16" s="417"/>
      <c r="S16" s="418"/>
      <c r="T16" s="419"/>
      <c r="U16" s="419"/>
      <c r="V16" s="419"/>
      <c r="W16" s="419"/>
      <c r="X16" s="419"/>
      <c r="Y16" s="432">
        <f t="shared" si="1"/>
        <v>5000000</v>
      </c>
      <c r="Z16" s="420"/>
      <c r="AA16" s="336"/>
      <c r="AB16" s="337"/>
      <c r="AC16" s="338"/>
      <c r="AD16" s="383">
        <f t="shared" si="9"/>
        <v>528915</v>
      </c>
      <c r="AE16" s="339"/>
      <c r="AF16" s="384">
        <f t="shared" si="14"/>
        <v>0</v>
      </c>
      <c r="AG16" s="336"/>
      <c r="AH16" s="329"/>
      <c r="AI16" s="330"/>
      <c r="AJ16" s="375">
        <f t="shared" si="10"/>
        <v>376533</v>
      </c>
      <c r="AK16" s="331"/>
      <c r="AL16" s="377">
        <f t="shared" si="15"/>
        <v>0</v>
      </c>
      <c r="AM16" s="336"/>
      <c r="AN16" s="336"/>
      <c r="AO16" s="336"/>
      <c r="AP16" s="340"/>
      <c r="AQ16" s="341"/>
      <c r="AR16" s="341"/>
      <c r="AS16" s="386">
        <f t="shared" si="12"/>
        <v>208871</v>
      </c>
      <c r="AT16" s="342"/>
      <c r="AU16" s="389">
        <f t="shared" si="4"/>
        <v>0</v>
      </c>
      <c r="AW16" s="343"/>
      <c r="AX16" s="344"/>
      <c r="AY16" s="344"/>
      <c r="AZ16" s="435">
        <f t="shared" si="5"/>
        <v>0</v>
      </c>
      <c r="BA16" s="438">
        <f t="shared" si="6"/>
        <v>0</v>
      </c>
      <c r="BC16" s="398" t="s">
        <v>13</v>
      </c>
      <c r="BD16" s="1363">
        <f>BG6+BG7+BG8+BG9+BG10+BG11+BG12+BG13+BG14</f>
        <v>0</v>
      </c>
      <c r="BE16" s="1363"/>
      <c r="BF16" s="1363"/>
      <c r="BG16" s="1364"/>
    </row>
    <row r="17" spans="1:59" ht="15" thickTop="1">
      <c r="A17" s="412"/>
      <c r="B17" s="413"/>
      <c r="C17" s="404"/>
      <c r="E17" s="326"/>
      <c r="F17" s="327"/>
      <c r="G17" s="327"/>
      <c r="H17" s="371">
        <f t="shared" si="7"/>
        <v>341717</v>
      </c>
      <c r="I17" s="372">
        <f t="shared" si="8"/>
        <v>0</v>
      </c>
      <c r="K17" s="414"/>
      <c r="L17" s="415"/>
      <c r="M17" s="428">
        <f t="shared" si="13"/>
        <v>975218</v>
      </c>
      <c r="N17" s="416"/>
      <c r="O17" s="430">
        <f t="shared" si="0"/>
        <v>0</v>
      </c>
      <c r="P17" s="328"/>
      <c r="R17" s="417"/>
      <c r="S17" s="418"/>
      <c r="T17" s="419"/>
      <c r="U17" s="419"/>
      <c r="V17" s="419"/>
      <c r="W17" s="419"/>
      <c r="X17" s="419"/>
      <c r="Y17" s="432">
        <f t="shared" si="1"/>
        <v>5000000</v>
      </c>
      <c r="Z17" s="420"/>
      <c r="AA17" s="336"/>
      <c r="AB17" s="337"/>
      <c r="AC17" s="338"/>
      <c r="AD17" s="383">
        <f t="shared" si="9"/>
        <v>528915</v>
      </c>
      <c r="AE17" s="339"/>
      <c r="AF17" s="384">
        <f t="shared" si="14"/>
        <v>0</v>
      </c>
      <c r="AG17" s="336"/>
      <c r="AH17" s="329"/>
      <c r="AI17" s="330"/>
      <c r="AJ17" s="375">
        <f t="shared" si="10"/>
        <v>376533</v>
      </c>
      <c r="AK17" s="331"/>
      <c r="AL17" s="377">
        <f t="shared" si="15"/>
        <v>0</v>
      </c>
      <c r="AM17" s="336"/>
      <c r="AN17" s="336"/>
      <c r="AO17" s="336"/>
      <c r="AP17" s="340"/>
      <c r="AQ17" s="341"/>
      <c r="AR17" s="341"/>
      <c r="AS17" s="386">
        <f t="shared" si="12"/>
        <v>208871</v>
      </c>
      <c r="AT17" s="342"/>
      <c r="AU17" s="389">
        <f t="shared" si="4"/>
        <v>0</v>
      </c>
      <c r="AW17" s="343"/>
      <c r="AX17" s="344"/>
      <c r="AY17" s="344"/>
      <c r="AZ17" s="435">
        <f t="shared" si="5"/>
        <v>0</v>
      </c>
      <c r="BA17" s="438">
        <f t="shared" si="6"/>
        <v>0</v>
      </c>
      <c r="BC17" s="267"/>
      <c r="BD17" s="267"/>
      <c r="BE17" s="267"/>
      <c r="BF17" s="267"/>
      <c r="BG17" s="267"/>
    </row>
    <row r="18" spans="1:59">
      <c r="A18" s="412"/>
      <c r="B18" s="413"/>
      <c r="C18" s="404"/>
      <c r="E18" s="326"/>
      <c r="F18" s="327"/>
      <c r="G18" s="327"/>
      <c r="H18" s="371">
        <f t="shared" si="7"/>
        <v>341717</v>
      </c>
      <c r="I18" s="372">
        <f t="shared" si="8"/>
        <v>0</v>
      </c>
      <c r="K18" s="414"/>
      <c r="L18" s="415"/>
      <c r="M18" s="428">
        <f t="shared" si="13"/>
        <v>975218</v>
      </c>
      <c r="N18" s="416"/>
      <c r="O18" s="430">
        <f t="shared" si="0"/>
        <v>0</v>
      </c>
      <c r="P18" s="328"/>
      <c r="R18" s="417"/>
      <c r="S18" s="418"/>
      <c r="T18" s="419"/>
      <c r="U18" s="419"/>
      <c r="V18" s="419"/>
      <c r="W18" s="419"/>
      <c r="X18" s="419"/>
      <c r="Y18" s="432">
        <f t="shared" si="1"/>
        <v>5000000</v>
      </c>
      <c r="Z18" s="420"/>
      <c r="AA18" s="336"/>
      <c r="AB18" s="337"/>
      <c r="AC18" s="338"/>
      <c r="AD18" s="383">
        <f t="shared" si="9"/>
        <v>528915</v>
      </c>
      <c r="AE18" s="339"/>
      <c r="AF18" s="384">
        <f t="shared" si="14"/>
        <v>0</v>
      </c>
      <c r="AG18" s="336"/>
      <c r="AH18" s="329"/>
      <c r="AI18" s="330"/>
      <c r="AJ18" s="375">
        <f t="shared" si="10"/>
        <v>376533</v>
      </c>
      <c r="AK18" s="331"/>
      <c r="AL18" s="377">
        <f t="shared" si="15"/>
        <v>0</v>
      </c>
      <c r="AM18" s="336"/>
      <c r="AN18" s="336"/>
      <c r="AO18" s="336"/>
      <c r="AP18" s="340"/>
      <c r="AQ18" s="341"/>
      <c r="AR18" s="341"/>
      <c r="AS18" s="386">
        <f t="shared" si="12"/>
        <v>208871</v>
      </c>
      <c r="AT18" s="342"/>
      <c r="AU18" s="389">
        <f t="shared" si="4"/>
        <v>0</v>
      </c>
      <c r="AW18" s="343"/>
      <c r="AX18" s="344"/>
      <c r="AY18" s="344"/>
      <c r="AZ18" s="435">
        <f t="shared" si="5"/>
        <v>0</v>
      </c>
      <c r="BA18" s="438">
        <f t="shared" si="6"/>
        <v>0</v>
      </c>
    </row>
    <row r="19" spans="1:59">
      <c r="A19" s="412"/>
      <c r="B19" s="413"/>
      <c r="C19" s="404"/>
      <c r="E19" s="326"/>
      <c r="F19" s="327"/>
      <c r="G19" s="327"/>
      <c r="H19" s="371">
        <f t="shared" si="7"/>
        <v>341717</v>
      </c>
      <c r="I19" s="372">
        <f t="shared" si="8"/>
        <v>0</v>
      </c>
      <c r="K19" s="414"/>
      <c r="L19" s="415"/>
      <c r="M19" s="428">
        <f t="shared" si="13"/>
        <v>975218</v>
      </c>
      <c r="N19" s="416"/>
      <c r="O19" s="430">
        <f t="shared" si="0"/>
        <v>0</v>
      </c>
      <c r="P19" s="328"/>
      <c r="R19" s="417"/>
      <c r="S19" s="418"/>
      <c r="T19" s="419"/>
      <c r="U19" s="419"/>
      <c r="V19" s="419"/>
      <c r="W19" s="419"/>
      <c r="X19" s="419"/>
      <c r="Y19" s="432">
        <f t="shared" si="1"/>
        <v>5000000</v>
      </c>
      <c r="Z19" s="420"/>
      <c r="AA19" s="336"/>
      <c r="AB19" s="337"/>
      <c r="AC19" s="338"/>
      <c r="AD19" s="383">
        <f t="shared" si="9"/>
        <v>528915</v>
      </c>
      <c r="AE19" s="339"/>
      <c r="AF19" s="384">
        <f t="shared" si="14"/>
        <v>0</v>
      </c>
      <c r="AG19" s="336"/>
      <c r="AH19" s="329"/>
      <c r="AI19" s="330"/>
      <c r="AJ19" s="375">
        <f t="shared" si="10"/>
        <v>376533</v>
      </c>
      <c r="AK19" s="331"/>
      <c r="AL19" s="377">
        <f t="shared" si="15"/>
        <v>0</v>
      </c>
      <c r="AM19" s="336"/>
      <c r="AN19" s="336"/>
      <c r="AO19" s="336"/>
      <c r="AP19" s="340"/>
      <c r="AQ19" s="341"/>
      <c r="AR19" s="341"/>
      <c r="AS19" s="386">
        <f t="shared" si="12"/>
        <v>208871</v>
      </c>
      <c r="AT19" s="342"/>
      <c r="AU19" s="389">
        <f t="shared" si="4"/>
        <v>0</v>
      </c>
      <c r="AW19" s="343"/>
      <c r="AX19" s="344"/>
      <c r="AY19" s="344"/>
      <c r="AZ19" s="435">
        <f t="shared" si="5"/>
        <v>0</v>
      </c>
      <c r="BA19" s="438">
        <f t="shared" si="6"/>
        <v>0</v>
      </c>
    </row>
    <row r="20" spans="1:59">
      <c r="A20" s="412"/>
      <c r="B20" s="413"/>
      <c r="C20" s="404"/>
      <c r="E20" s="326"/>
      <c r="F20" s="327"/>
      <c r="G20" s="327"/>
      <c r="H20" s="371">
        <f>H19+E20-G20</f>
        <v>341717</v>
      </c>
      <c r="I20" s="372">
        <f>F20-G20</f>
        <v>0</v>
      </c>
      <c r="K20" s="414"/>
      <c r="L20" s="415"/>
      <c r="M20" s="428">
        <f t="shared" si="13"/>
        <v>975218</v>
      </c>
      <c r="N20" s="416"/>
      <c r="O20" s="430">
        <f t="shared" si="0"/>
        <v>0</v>
      </c>
      <c r="P20" s="328"/>
      <c r="R20" s="417"/>
      <c r="S20" s="418"/>
      <c r="T20" s="419"/>
      <c r="U20" s="419"/>
      <c r="V20" s="419"/>
      <c r="W20" s="419"/>
      <c r="X20" s="419"/>
      <c r="Y20" s="432">
        <f t="shared" si="1"/>
        <v>5000000</v>
      </c>
      <c r="Z20" s="420"/>
      <c r="AA20" s="336"/>
      <c r="AB20" s="337"/>
      <c r="AC20" s="338"/>
      <c r="AD20" s="383">
        <f t="shared" si="9"/>
        <v>528915</v>
      </c>
      <c r="AE20" s="339"/>
      <c r="AF20" s="384">
        <f t="shared" si="14"/>
        <v>0</v>
      </c>
      <c r="AG20" s="336"/>
      <c r="AH20" s="329"/>
      <c r="AI20" s="330"/>
      <c r="AJ20" s="375">
        <f t="shared" si="10"/>
        <v>376533</v>
      </c>
      <c r="AK20" s="331"/>
      <c r="AL20" s="377">
        <f t="shared" si="15"/>
        <v>0</v>
      </c>
      <c r="AM20" s="336"/>
      <c r="AN20" s="336"/>
      <c r="AO20" s="336"/>
      <c r="AP20" s="340"/>
      <c r="AQ20" s="341"/>
      <c r="AR20" s="341"/>
      <c r="AS20" s="386">
        <f t="shared" si="12"/>
        <v>208871</v>
      </c>
      <c r="AT20" s="342"/>
      <c r="AU20" s="389">
        <f t="shared" si="4"/>
        <v>0</v>
      </c>
      <c r="AW20" s="343"/>
      <c r="AX20" s="344"/>
      <c r="AY20" s="344"/>
      <c r="AZ20" s="435">
        <f t="shared" si="5"/>
        <v>0</v>
      </c>
      <c r="BA20" s="438">
        <f t="shared" si="6"/>
        <v>0</v>
      </c>
    </row>
    <row r="21" spans="1:59">
      <c r="A21" s="412"/>
      <c r="B21" s="413"/>
      <c r="C21" s="404"/>
      <c r="E21" s="326"/>
      <c r="F21" s="327"/>
      <c r="G21" s="327"/>
      <c r="H21" s="371">
        <f>H20+E21-G21</f>
        <v>341717</v>
      </c>
      <c r="I21" s="372">
        <f>F21-G21</f>
        <v>0</v>
      </c>
      <c r="K21" s="414"/>
      <c r="L21" s="415"/>
      <c r="M21" s="428">
        <f t="shared" si="13"/>
        <v>975218</v>
      </c>
      <c r="N21" s="416"/>
      <c r="O21" s="430">
        <f t="shared" si="0"/>
        <v>0</v>
      </c>
      <c r="P21" s="328"/>
      <c r="R21" s="417"/>
      <c r="S21" s="418"/>
      <c r="T21" s="419"/>
      <c r="U21" s="419"/>
      <c r="V21" s="419"/>
      <c r="W21" s="419"/>
      <c r="X21" s="419"/>
      <c r="Y21" s="432">
        <f t="shared" si="1"/>
        <v>5000000</v>
      </c>
      <c r="Z21" s="420"/>
      <c r="AA21" s="336"/>
      <c r="AB21" s="337"/>
      <c r="AC21" s="338"/>
      <c r="AD21" s="383">
        <f t="shared" si="9"/>
        <v>528915</v>
      </c>
      <c r="AE21" s="339"/>
      <c r="AF21" s="384">
        <f t="shared" si="14"/>
        <v>0</v>
      </c>
      <c r="AG21" s="336"/>
      <c r="AH21" s="329"/>
      <c r="AI21" s="330"/>
      <c r="AJ21" s="375">
        <f t="shared" si="10"/>
        <v>376533</v>
      </c>
      <c r="AK21" s="331"/>
      <c r="AL21" s="377">
        <f t="shared" si="15"/>
        <v>0</v>
      </c>
      <c r="AM21" s="336"/>
      <c r="AN21" s="336"/>
      <c r="AO21" s="336"/>
      <c r="AP21" s="340"/>
      <c r="AQ21" s="341"/>
      <c r="AR21" s="341"/>
      <c r="AS21" s="386">
        <f t="shared" si="12"/>
        <v>208871</v>
      </c>
      <c r="AT21" s="342"/>
      <c r="AU21" s="389">
        <f t="shared" si="4"/>
        <v>0</v>
      </c>
      <c r="AW21" s="343"/>
      <c r="AX21" s="344"/>
      <c r="AY21" s="344"/>
      <c r="AZ21" s="435">
        <f t="shared" si="5"/>
        <v>0</v>
      </c>
      <c r="BA21" s="438">
        <f t="shared" si="6"/>
        <v>0</v>
      </c>
    </row>
    <row r="22" spans="1:59">
      <c r="A22" s="412"/>
      <c r="B22" s="413"/>
      <c r="C22" s="404"/>
      <c r="E22" s="326"/>
      <c r="F22" s="327"/>
      <c r="G22" s="327"/>
      <c r="H22" s="371">
        <f t="shared" si="7"/>
        <v>341717</v>
      </c>
      <c r="I22" s="372">
        <f t="shared" si="8"/>
        <v>0</v>
      </c>
      <c r="K22" s="414"/>
      <c r="L22" s="415"/>
      <c r="M22" s="428">
        <f t="shared" si="13"/>
        <v>975218</v>
      </c>
      <c r="N22" s="416"/>
      <c r="O22" s="430">
        <f t="shared" si="0"/>
        <v>0</v>
      </c>
      <c r="P22" s="328"/>
      <c r="R22" s="417"/>
      <c r="S22" s="418"/>
      <c r="T22" s="419"/>
      <c r="U22" s="419"/>
      <c r="V22" s="419"/>
      <c r="W22" s="419"/>
      <c r="X22" s="419"/>
      <c r="Y22" s="432">
        <f t="shared" si="1"/>
        <v>5000000</v>
      </c>
      <c r="Z22" s="420"/>
      <c r="AA22" s="336"/>
      <c r="AB22" s="337"/>
      <c r="AC22" s="338"/>
      <c r="AD22" s="383">
        <f t="shared" si="9"/>
        <v>528915</v>
      </c>
      <c r="AE22" s="339"/>
      <c r="AF22" s="384">
        <f t="shared" si="14"/>
        <v>0</v>
      </c>
      <c r="AG22" s="336"/>
      <c r="AH22" s="329"/>
      <c r="AI22" s="330"/>
      <c r="AJ22" s="375">
        <f t="shared" si="10"/>
        <v>376533</v>
      </c>
      <c r="AK22" s="331"/>
      <c r="AL22" s="377">
        <f t="shared" si="15"/>
        <v>0</v>
      </c>
      <c r="AM22" s="336"/>
      <c r="AN22" s="336"/>
      <c r="AO22" s="336"/>
      <c r="AP22" s="340"/>
      <c r="AQ22" s="341"/>
      <c r="AR22" s="341"/>
      <c r="AS22" s="386">
        <f t="shared" si="12"/>
        <v>208871</v>
      </c>
      <c r="AT22" s="342"/>
      <c r="AU22" s="389">
        <f t="shared" si="4"/>
        <v>0</v>
      </c>
      <c r="AW22" s="343"/>
      <c r="AX22" s="344"/>
      <c r="AY22" s="344"/>
      <c r="AZ22" s="435">
        <f t="shared" si="5"/>
        <v>0</v>
      </c>
      <c r="BA22" s="438">
        <f t="shared" si="6"/>
        <v>0</v>
      </c>
    </row>
    <row r="23" spans="1:59">
      <c r="A23" s="412"/>
      <c r="B23" s="413"/>
      <c r="C23" s="404"/>
      <c r="E23" s="326"/>
      <c r="F23" s="327"/>
      <c r="G23" s="327"/>
      <c r="H23" s="371">
        <f t="shared" si="7"/>
        <v>341717</v>
      </c>
      <c r="I23" s="372">
        <f t="shared" si="8"/>
        <v>0</v>
      </c>
      <c r="K23" s="414"/>
      <c r="L23" s="415"/>
      <c r="M23" s="428">
        <f t="shared" si="13"/>
        <v>975218</v>
      </c>
      <c r="N23" s="416"/>
      <c r="O23" s="430">
        <f t="shared" si="0"/>
        <v>0</v>
      </c>
      <c r="P23" s="328"/>
      <c r="R23" s="417"/>
      <c r="S23" s="418"/>
      <c r="T23" s="419"/>
      <c r="U23" s="419"/>
      <c r="V23" s="419"/>
      <c r="W23" s="419"/>
      <c r="X23" s="419"/>
      <c r="Y23" s="432">
        <f t="shared" si="1"/>
        <v>5000000</v>
      </c>
      <c r="Z23" s="420"/>
      <c r="AA23" s="336"/>
      <c r="AB23" s="337"/>
      <c r="AC23" s="338"/>
      <c r="AD23" s="383">
        <f t="shared" si="9"/>
        <v>528915</v>
      </c>
      <c r="AE23" s="339"/>
      <c r="AF23" s="384">
        <f t="shared" si="14"/>
        <v>0</v>
      </c>
      <c r="AG23" s="336"/>
      <c r="AH23" s="329"/>
      <c r="AI23" s="330"/>
      <c r="AJ23" s="375">
        <f t="shared" si="10"/>
        <v>376533</v>
      </c>
      <c r="AK23" s="331"/>
      <c r="AL23" s="377">
        <f t="shared" si="15"/>
        <v>0</v>
      </c>
      <c r="AM23" s="336"/>
      <c r="AN23" s="336"/>
      <c r="AO23" s="336"/>
      <c r="AP23" s="340"/>
      <c r="AQ23" s="341"/>
      <c r="AR23" s="341"/>
      <c r="AS23" s="386">
        <f t="shared" si="12"/>
        <v>208871</v>
      </c>
      <c r="AT23" s="342"/>
      <c r="AU23" s="389">
        <f t="shared" si="4"/>
        <v>0</v>
      </c>
      <c r="AW23" s="343"/>
      <c r="AX23" s="344"/>
      <c r="AY23" s="344"/>
      <c r="AZ23" s="435">
        <f t="shared" si="5"/>
        <v>0</v>
      </c>
      <c r="BA23" s="438">
        <f t="shared" si="6"/>
        <v>0</v>
      </c>
    </row>
    <row r="24" spans="1:59">
      <c r="A24" s="412"/>
      <c r="B24" s="413"/>
      <c r="C24" s="404"/>
      <c r="E24" s="326"/>
      <c r="F24" s="327"/>
      <c r="G24" s="327"/>
      <c r="H24" s="371">
        <f t="shared" si="7"/>
        <v>341717</v>
      </c>
      <c r="I24" s="372">
        <f t="shared" si="8"/>
        <v>0</v>
      </c>
      <c r="K24" s="414"/>
      <c r="L24" s="415"/>
      <c r="M24" s="428">
        <f t="shared" si="13"/>
        <v>975218</v>
      </c>
      <c r="N24" s="416"/>
      <c r="O24" s="430">
        <f t="shared" si="0"/>
        <v>0</v>
      </c>
      <c r="P24" s="328"/>
      <c r="R24" s="417"/>
      <c r="S24" s="418"/>
      <c r="T24" s="419"/>
      <c r="U24" s="419"/>
      <c r="V24" s="419"/>
      <c r="W24" s="419"/>
      <c r="X24" s="419"/>
      <c r="Y24" s="432">
        <f t="shared" si="1"/>
        <v>5000000</v>
      </c>
      <c r="Z24" s="420"/>
      <c r="AA24" s="336"/>
      <c r="AB24" s="337"/>
      <c r="AC24" s="338"/>
      <c r="AD24" s="383">
        <f t="shared" si="9"/>
        <v>528915</v>
      </c>
      <c r="AE24" s="339"/>
      <c r="AF24" s="384">
        <f t="shared" si="14"/>
        <v>0</v>
      </c>
      <c r="AG24" s="336"/>
      <c r="AH24" s="329"/>
      <c r="AI24" s="330"/>
      <c r="AJ24" s="375">
        <f t="shared" si="10"/>
        <v>376533</v>
      </c>
      <c r="AK24" s="331"/>
      <c r="AL24" s="377">
        <f t="shared" si="15"/>
        <v>0</v>
      </c>
      <c r="AM24" s="336"/>
      <c r="AN24" s="336"/>
      <c r="AO24" s="336"/>
      <c r="AP24" s="340"/>
      <c r="AQ24" s="341"/>
      <c r="AR24" s="341"/>
      <c r="AS24" s="386">
        <f t="shared" si="12"/>
        <v>208871</v>
      </c>
      <c r="AT24" s="342"/>
      <c r="AU24" s="389">
        <f t="shared" si="4"/>
        <v>0</v>
      </c>
      <c r="AW24" s="343"/>
      <c r="AX24" s="344"/>
      <c r="AY24" s="344"/>
      <c r="AZ24" s="435">
        <f t="shared" si="5"/>
        <v>0</v>
      </c>
      <c r="BA24" s="438">
        <f t="shared" si="6"/>
        <v>0</v>
      </c>
    </row>
    <row r="25" spans="1:59">
      <c r="A25" s="412"/>
      <c r="B25" s="413"/>
      <c r="C25" s="404"/>
      <c r="E25" s="326"/>
      <c r="F25" s="327"/>
      <c r="G25" s="327"/>
      <c r="H25" s="371">
        <f t="shared" si="7"/>
        <v>341717</v>
      </c>
      <c r="I25" s="372">
        <f t="shared" si="8"/>
        <v>0</v>
      </c>
      <c r="K25" s="414"/>
      <c r="L25" s="415"/>
      <c r="M25" s="428">
        <f t="shared" si="13"/>
        <v>975218</v>
      </c>
      <c r="N25" s="416"/>
      <c r="O25" s="430">
        <f t="shared" si="0"/>
        <v>0</v>
      </c>
      <c r="P25" s="328"/>
      <c r="R25" s="417"/>
      <c r="S25" s="418"/>
      <c r="T25" s="419"/>
      <c r="U25" s="419"/>
      <c r="V25" s="419"/>
      <c r="W25" s="419"/>
      <c r="X25" s="419"/>
      <c r="Y25" s="432">
        <f t="shared" si="1"/>
        <v>5000000</v>
      </c>
      <c r="Z25" s="420"/>
      <c r="AA25" s="336"/>
      <c r="AB25" s="337"/>
      <c r="AC25" s="338"/>
      <c r="AD25" s="383">
        <f t="shared" si="9"/>
        <v>528915</v>
      </c>
      <c r="AE25" s="339"/>
      <c r="AF25" s="384">
        <f t="shared" si="14"/>
        <v>0</v>
      </c>
      <c r="AG25" s="336"/>
      <c r="AH25" s="329"/>
      <c r="AI25" s="330"/>
      <c r="AJ25" s="375">
        <f t="shared" si="10"/>
        <v>376533</v>
      </c>
      <c r="AK25" s="331"/>
      <c r="AL25" s="377">
        <f t="shared" si="15"/>
        <v>0</v>
      </c>
      <c r="AM25" s="336"/>
      <c r="AN25" s="336"/>
      <c r="AO25" s="336"/>
      <c r="AP25" s="340"/>
      <c r="AQ25" s="341"/>
      <c r="AR25" s="341"/>
      <c r="AS25" s="386">
        <f t="shared" si="12"/>
        <v>208871</v>
      </c>
      <c r="AT25" s="342"/>
      <c r="AU25" s="389">
        <f t="shared" si="4"/>
        <v>0</v>
      </c>
      <c r="AW25" s="343"/>
      <c r="AX25" s="344"/>
      <c r="AY25" s="344"/>
      <c r="AZ25" s="435">
        <f t="shared" si="5"/>
        <v>0</v>
      </c>
      <c r="BA25" s="438">
        <f t="shared" si="6"/>
        <v>0</v>
      </c>
    </row>
    <row r="26" spans="1:59">
      <c r="A26" s="412"/>
      <c r="B26" s="413"/>
      <c r="C26" s="404"/>
      <c r="E26" s="326"/>
      <c r="F26" s="327"/>
      <c r="G26" s="327"/>
      <c r="H26" s="371">
        <f t="shared" si="7"/>
        <v>341717</v>
      </c>
      <c r="I26" s="372">
        <f t="shared" si="8"/>
        <v>0</v>
      </c>
      <c r="K26" s="414"/>
      <c r="L26" s="415"/>
      <c r="M26" s="428">
        <f t="shared" si="13"/>
        <v>975218</v>
      </c>
      <c r="N26" s="416"/>
      <c r="O26" s="430">
        <f t="shared" si="0"/>
        <v>0</v>
      </c>
      <c r="P26" s="328"/>
      <c r="R26" s="417"/>
      <c r="S26" s="418"/>
      <c r="T26" s="419"/>
      <c r="U26" s="419"/>
      <c r="V26" s="419"/>
      <c r="W26" s="419"/>
      <c r="X26" s="419"/>
      <c r="Y26" s="432">
        <f t="shared" si="1"/>
        <v>5000000</v>
      </c>
      <c r="Z26" s="420"/>
      <c r="AA26" s="336"/>
      <c r="AB26" s="337"/>
      <c r="AC26" s="338"/>
      <c r="AD26" s="383">
        <f t="shared" si="9"/>
        <v>528915</v>
      </c>
      <c r="AE26" s="339"/>
      <c r="AF26" s="384">
        <f t="shared" si="14"/>
        <v>0</v>
      </c>
      <c r="AG26" s="336"/>
      <c r="AH26" s="329"/>
      <c r="AI26" s="330"/>
      <c r="AJ26" s="375">
        <f t="shared" si="10"/>
        <v>376533</v>
      </c>
      <c r="AK26" s="331"/>
      <c r="AL26" s="377">
        <f t="shared" si="15"/>
        <v>0</v>
      </c>
      <c r="AM26" s="336"/>
      <c r="AN26" s="336"/>
      <c r="AO26" s="336"/>
      <c r="AP26" s="340"/>
      <c r="AQ26" s="341"/>
      <c r="AR26" s="341"/>
      <c r="AS26" s="386">
        <f t="shared" si="12"/>
        <v>208871</v>
      </c>
      <c r="AT26" s="342"/>
      <c r="AU26" s="389">
        <f t="shared" si="4"/>
        <v>0</v>
      </c>
      <c r="AW26" s="343"/>
      <c r="AX26" s="344"/>
      <c r="AY26" s="344"/>
      <c r="AZ26" s="435">
        <f t="shared" si="5"/>
        <v>0</v>
      </c>
      <c r="BA26" s="438">
        <f t="shared" si="6"/>
        <v>0</v>
      </c>
    </row>
    <row r="27" spans="1:59">
      <c r="A27" s="412"/>
      <c r="B27" s="413"/>
      <c r="C27" s="404"/>
      <c r="E27" s="326"/>
      <c r="F27" s="327"/>
      <c r="G27" s="327"/>
      <c r="H27" s="371">
        <f t="shared" si="7"/>
        <v>341717</v>
      </c>
      <c r="I27" s="372">
        <f t="shared" si="8"/>
        <v>0</v>
      </c>
      <c r="K27" s="414"/>
      <c r="L27" s="415"/>
      <c r="M27" s="428">
        <f t="shared" si="13"/>
        <v>975218</v>
      </c>
      <c r="N27" s="416"/>
      <c r="O27" s="430">
        <f t="shared" si="0"/>
        <v>0</v>
      </c>
      <c r="P27" s="328"/>
      <c r="R27" s="417"/>
      <c r="S27" s="418"/>
      <c r="T27" s="419"/>
      <c r="U27" s="419"/>
      <c r="V27" s="419"/>
      <c r="W27" s="419"/>
      <c r="X27" s="419"/>
      <c r="Y27" s="432">
        <f t="shared" si="1"/>
        <v>5000000</v>
      </c>
      <c r="Z27" s="420"/>
      <c r="AA27" s="336"/>
      <c r="AB27" s="337"/>
      <c r="AC27" s="338"/>
      <c r="AD27" s="383">
        <f t="shared" si="9"/>
        <v>528915</v>
      </c>
      <c r="AE27" s="339"/>
      <c r="AF27" s="384">
        <f t="shared" si="14"/>
        <v>0</v>
      </c>
      <c r="AG27" s="336"/>
      <c r="AH27" s="329"/>
      <c r="AI27" s="330"/>
      <c r="AJ27" s="375">
        <f t="shared" si="10"/>
        <v>376533</v>
      </c>
      <c r="AK27" s="331"/>
      <c r="AL27" s="377">
        <f t="shared" si="15"/>
        <v>0</v>
      </c>
      <c r="AM27" s="336"/>
      <c r="AN27" s="336"/>
      <c r="AO27" s="336"/>
      <c r="AP27" s="340"/>
      <c r="AQ27" s="341"/>
      <c r="AR27" s="341"/>
      <c r="AS27" s="386">
        <f t="shared" si="12"/>
        <v>208871</v>
      </c>
      <c r="AT27" s="342"/>
      <c r="AU27" s="389">
        <f t="shared" si="4"/>
        <v>0</v>
      </c>
      <c r="AW27" s="343"/>
      <c r="AX27" s="344"/>
      <c r="AY27" s="344"/>
      <c r="AZ27" s="435">
        <f t="shared" si="5"/>
        <v>0</v>
      </c>
      <c r="BA27" s="438">
        <f t="shared" si="6"/>
        <v>0</v>
      </c>
    </row>
    <row r="28" spans="1:59">
      <c r="A28" s="412"/>
      <c r="B28" s="413"/>
      <c r="C28" s="404"/>
      <c r="E28" s="326"/>
      <c r="F28" s="327"/>
      <c r="G28" s="327"/>
      <c r="H28" s="371">
        <f t="shared" si="7"/>
        <v>341717</v>
      </c>
      <c r="I28" s="372">
        <f t="shared" si="8"/>
        <v>0</v>
      </c>
      <c r="K28" s="414"/>
      <c r="L28" s="415"/>
      <c r="M28" s="428">
        <f t="shared" si="13"/>
        <v>975218</v>
      </c>
      <c r="N28" s="416"/>
      <c r="O28" s="430">
        <f t="shared" si="0"/>
        <v>0</v>
      </c>
      <c r="P28" s="328"/>
      <c r="R28" s="417"/>
      <c r="S28" s="418"/>
      <c r="T28" s="419"/>
      <c r="U28" s="419"/>
      <c r="V28" s="419"/>
      <c r="W28" s="419"/>
      <c r="X28" s="419"/>
      <c r="Y28" s="432">
        <f t="shared" si="1"/>
        <v>5000000</v>
      </c>
      <c r="Z28" s="420"/>
      <c r="AA28" s="336"/>
      <c r="AB28" s="337"/>
      <c r="AC28" s="338"/>
      <c r="AD28" s="383">
        <f t="shared" si="9"/>
        <v>528915</v>
      </c>
      <c r="AE28" s="339"/>
      <c r="AF28" s="384">
        <f t="shared" si="14"/>
        <v>0</v>
      </c>
      <c r="AG28" s="336"/>
      <c r="AH28" s="329"/>
      <c r="AI28" s="330"/>
      <c r="AJ28" s="375">
        <f t="shared" si="10"/>
        <v>376533</v>
      </c>
      <c r="AK28" s="331"/>
      <c r="AL28" s="377">
        <f t="shared" si="15"/>
        <v>0</v>
      </c>
      <c r="AM28" s="336"/>
      <c r="AN28" s="336"/>
      <c r="AO28" s="336"/>
      <c r="AP28" s="340"/>
      <c r="AQ28" s="341"/>
      <c r="AR28" s="341"/>
      <c r="AS28" s="386">
        <f t="shared" si="12"/>
        <v>208871</v>
      </c>
      <c r="AT28" s="342"/>
      <c r="AU28" s="389">
        <f t="shared" si="4"/>
        <v>0</v>
      </c>
      <c r="AW28" s="343"/>
      <c r="AX28" s="344"/>
      <c r="AY28" s="344"/>
      <c r="AZ28" s="435">
        <f t="shared" si="5"/>
        <v>0</v>
      </c>
      <c r="BA28" s="438">
        <f t="shared" si="6"/>
        <v>0</v>
      </c>
    </row>
    <row r="29" spans="1:59">
      <c r="A29" s="412"/>
      <c r="B29" s="413"/>
      <c r="C29" s="404"/>
      <c r="E29" s="326"/>
      <c r="F29" s="327"/>
      <c r="G29" s="327"/>
      <c r="H29" s="371">
        <f t="shared" si="7"/>
        <v>341717</v>
      </c>
      <c r="I29" s="372">
        <f t="shared" si="8"/>
        <v>0</v>
      </c>
      <c r="K29" s="414"/>
      <c r="L29" s="415"/>
      <c r="M29" s="428">
        <f t="shared" si="13"/>
        <v>975218</v>
      </c>
      <c r="N29" s="416"/>
      <c r="O29" s="430">
        <f t="shared" si="0"/>
        <v>0</v>
      </c>
      <c r="P29" s="328"/>
      <c r="R29" s="417"/>
      <c r="S29" s="418"/>
      <c r="T29" s="419"/>
      <c r="U29" s="419"/>
      <c r="V29" s="419"/>
      <c r="W29" s="419"/>
      <c r="X29" s="419"/>
      <c r="Y29" s="432">
        <f t="shared" si="1"/>
        <v>5000000</v>
      </c>
      <c r="Z29" s="420"/>
      <c r="AA29" s="336"/>
      <c r="AB29" s="337"/>
      <c r="AC29" s="338"/>
      <c r="AD29" s="383">
        <f t="shared" si="9"/>
        <v>528915</v>
      </c>
      <c r="AE29" s="339"/>
      <c r="AF29" s="384">
        <f t="shared" si="14"/>
        <v>0</v>
      </c>
      <c r="AG29" s="336"/>
      <c r="AH29" s="329"/>
      <c r="AI29" s="330"/>
      <c r="AJ29" s="375">
        <f t="shared" si="10"/>
        <v>376533</v>
      </c>
      <c r="AK29" s="331"/>
      <c r="AL29" s="377">
        <f t="shared" si="15"/>
        <v>0</v>
      </c>
      <c r="AM29" s="336"/>
      <c r="AN29" s="336"/>
      <c r="AO29" s="336"/>
      <c r="AP29" s="340"/>
      <c r="AQ29" s="341"/>
      <c r="AR29" s="341"/>
      <c r="AS29" s="386">
        <f t="shared" si="12"/>
        <v>208871</v>
      </c>
      <c r="AT29" s="342"/>
      <c r="AU29" s="389">
        <f t="shared" si="4"/>
        <v>0</v>
      </c>
      <c r="AW29" s="343"/>
      <c r="AX29" s="344"/>
      <c r="AY29" s="344"/>
      <c r="AZ29" s="435">
        <f t="shared" si="5"/>
        <v>0</v>
      </c>
      <c r="BA29" s="438">
        <f t="shared" si="6"/>
        <v>0</v>
      </c>
    </row>
    <row r="30" spans="1:59">
      <c r="A30" s="412"/>
      <c r="B30" s="413"/>
      <c r="C30" s="404"/>
      <c r="E30" s="326"/>
      <c r="F30" s="327"/>
      <c r="G30" s="327"/>
      <c r="H30" s="371">
        <f>H29+E30-G30</f>
        <v>341717</v>
      </c>
      <c r="I30" s="372">
        <f>F30-G30</f>
        <v>0</v>
      </c>
      <c r="K30" s="414"/>
      <c r="L30" s="415"/>
      <c r="M30" s="428">
        <f t="shared" si="13"/>
        <v>975218</v>
      </c>
      <c r="N30" s="416"/>
      <c r="O30" s="430">
        <f t="shared" si="0"/>
        <v>0</v>
      </c>
      <c r="P30" s="328"/>
      <c r="R30" s="417"/>
      <c r="S30" s="418"/>
      <c r="T30" s="419"/>
      <c r="U30" s="419"/>
      <c r="V30" s="419"/>
      <c r="W30" s="419"/>
      <c r="X30" s="419"/>
      <c r="Y30" s="432">
        <f t="shared" si="1"/>
        <v>5000000</v>
      </c>
      <c r="Z30" s="420"/>
      <c r="AA30" s="336"/>
      <c r="AB30" s="337"/>
      <c r="AC30" s="338"/>
      <c r="AD30" s="383">
        <f t="shared" si="9"/>
        <v>528915</v>
      </c>
      <c r="AE30" s="339"/>
      <c r="AF30" s="384">
        <f t="shared" si="14"/>
        <v>0</v>
      </c>
      <c r="AG30" s="336"/>
      <c r="AH30" s="329"/>
      <c r="AI30" s="330"/>
      <c r="AJ30" s="375">
        <f t="shared" si="10"/>
        <v>376533</v>
      </c>
      <c r="AK30" s="331"/>
      <c r="AL30" s="377">
        <f t="shared" si="15"/>
        <v>0</v>
      </c>
      <c r="AM30" s="336"/>
      <c r="AN30" s="336"/>
      <c r="AO30" s="336"/>
      <c r="AP30" s="340"/>
      <c r="AQ30" s="341"/>
      <c r="AR30" s="341"/>
      <c r="AS30" s="386">
        <f t="shared" si="12"/>
        <v>208871</v>
      </c>
      <c r="AT30" s="342"/>
      <c r="AU30" s="389">
        <f t="shared" si="4"/>
        <v>0</v>
      </c>
      <c r="AW30" s="343"/>
      <c r="AX30" s="344"/>
      <c r="AY30" s="344"/>
      <c r="AZ30" s="435">
        <f t="shared" si="5"/>
        <v>0</v>
      </c>
      <c r="BA30" s="438">
        <f t="shared" si="6"/>
        <v>0</v>
      </c>
    </row>
    <row r="31" spans="1:59">
      <c r="A31" s="412"/>
      <c r="B31" s="413"/>
      <c r="C31" s="404"/>
      <c r="E31" s="326"/>
      <c r="F31" s="327"/>
      <c r="G31" s="327"/>
      <c r="H31" s="371">
        <f>H30+E31-G31</f>
        <v>341717</v>
      </c>
      <c r="I31" s="372">
        <f t="shared" si="8"/>
        <v>0</v>
      </c>
      <c r="K31" s="414"/>
      <c r="L31" s="415"/>
      <c r="M31" s="428">
        <f t="shared" si="13"/>
        <v>975218</v>
      </c>
      <c r="N31" s="416"/>
      <c r="O31" s="430">
        <f t="shared" si="0"/>
        <v>0</v>
      </c>
      <c r="P31" s="328"/>
      <c r="R31" s="417"/>
      <c r="S31" s="418"/>
      <c r="T31" s="419"/>
      <c r="U31" s="419"/>
      <c r="V31" s="419"/>
      <c r="W31" s="419"/>
      <c r="X31" s="419"/>
      <c r="Y31" s="432">
        <f t="shared" si="1"/>
        <v>5000000</v>
      </c>
      <c r="Z31" s="420"/>
      <c r="AA31" s="336"/>
      <c r="AB31" s="337"/>
      <c r="AC31" s="338"/>
      <c r="AD31" s="383">
        <f t="shared" si="9"/>
        <v>528915</v>
      </c>
      <c r="AE31" s="339"/>
      <c r="AF31" s="384">
        <f t="shared" si="14"/>
        <v>0</v>
      </c>
      <c r="AG31" s="336"/>
      <c r="AH31" s="329"/>
      <c r="AI31" s="330"/>
      <c r="AJ31" s="375">
        <f t="shared" si="10"/>
        <v>376533</v>
      </c>
      <c r="AK31" s="331"/>
      <c r="AL31" s="377">
        <f t="shared" si="15"/>
        <v>0</v>
      </c>
      <c r="AM31" s="336"/>
      <c r="AN31" s="336"/>
      <c r="AO31" s="336"/>
      <c r="AP31" s="340"/>
      <c r="AQ31" s="341"/>
      <c r="AR31" s="341"/>
      <c r="AS31" s="386">
        <f t="shared" si="12"/>
        <v>208871</v>
      </c>
      <c r="AT31" s="342"/>
      <c r="AU31" s="389">
        <f t="shared" si="4"/>
        <v>0</v>
      </c>
      <c r="AW31" s="343"/>
      <c r="AX31" s="344"/>
      <c r="AY31" s="344"/>
      <c r="AZ31" s="435">
        <f t="shared" si="5"/>
        <v>0</v>
      </c>
      <c r="BA31" s="438">
        <f t="shared" si="6"/>
        <v>0</v>
      </c>
    </row>
    <row r="32" spans="1:59">
      <c r="A32" s="412"/>
      <c r="B32" s="413"/>
      <c r="C32" s="404"/>
      <c r="E32" s="326"/>
      <c r="F32" s="327"/>
      <c r="G32" s="327"/>
      <c r="H32" s="371">
        <f t="shared" si="7"/>
        <v>341717</v>
      </c>
      <c r="I32" s="372">
        <f t="shared" si="8"/>
        <v>0</v>
      </c>
      <c r="K32" s="414"/>
      <c r="L32" s="415"/>
      <c r="M32" s="428">
        <f t="shared" si="13"/>
        <v>975218</v>
      </c>
      <c r="N32" s="416"/>
      <c r="O32" s="430">
        <f t="shared" si="0"/>
        <v>0</v>
      </c>
      <c r="P32" s="328"/>
      <c r="R32" s="417"/>
      <c r="S32" s="418"/>
      <c r="T32" s="419"/>
      <c r="U32" s="419"/>
      <c r="V32" s="419"/>
      <c r="W32" s="419"/>
      <c r="X32" s="419"/>
      <c r="Y32" s="432">
        <f t="shared" si="1"/>
        <v>5000000</v>
      </c>
      <c r="Z32" s="420"/>
      <c r="AA32" s="336"/>
      <c r="AB32" s="337"/>
      <c r="AC32" s="338"/>
      <c r="AD32" s="383">
        <f t="shared" si="9"/>
        <v>528915</v>
      </c>
      <c r="AE32" s="339"/>
      <c r="AF32" s="384">
        <f t="shared" si="14"/>
        <v>0</v>
      </c>
      <c r="AG32" s="336"/>
      <c r="AH32" s="329"/>
      <c r="AI32" s="330"/>
      <c r="AJ32" s="375">
        <f t="shared" si="10"/>
        <v>376533</v>
      </c>
      <c r="AK32" s="331"/>
      <c r="AL32" s="377">
        <f t="shared" si="15"/>
        <v>0</v>
      </c>
      <c r="AM32" s="336"/>
      <c r="AN32" s="336"/>
      <c r="AO32" s="336"/>
      <c r="AP32" s="340"/>
      <c r="AQ32" s="341"/>
      <c r="AR32" s="341"/>
      <c r="AS32" s="386">
        <f t="shared" si="12"/>
        <v>208871</v>
      </c>
      <c r="AT32" s="342"/>
      <c r="AU32" s="389">
        <f t="shared" si="4"/>
        <v>0</v>
      </c>
      <c r="AW32" s="343"/>
      <c r="AX32" s="344"/>
      <c r="AY32" s="344"/>
      <c r="AZ32" s="435">
        <f t="shared" si="5"/>
        <v>0</v>
      </c>
      <c r="BA32" s="438">
        <f t="shared" si="6"/>
        <v>0</v>
      </c>
      <c r="BB32" s="347"/>
    </row>
    <row r="33" spans="1:53">
      <c r="A33" s="412"/>
      <c r="B33" s="413"/>
      <c r="C33" s="404"/>
      <c r="E33" s="326"/>
      <c r="F33" s="327"/>
      <c r="G33" s="327"/>
      <c r="H33" s="371">
        <f t="shared" si="7"/>
        <v>341717</v>
      </c>
      <c r="I33" s="372">
        <f t="shared" si="8"/>
        <v>0</v>
      </c>
      <c r="K33" s="414"/>
      <c r="L33" s="415"/>
      <c r="M33" s="428">
        <f t="shared" si="13"/>
        <v>975218</v>
      </c>
      <c r="N33" s="416"/>
      <c r="O33" s="430">
        <f t="shared" si="0"/>
        <v>0</v>
      </c>
      <c r="P33" s="328"/>
      <c r="R33" s="417"/>
      <c r="S33" s="418"/>
      <c r="T33" s="419"/>
      <c r="U33" s="419"/>
      <c r="V33" s="419"/>
      <c r="W33" s="419"/>
      <c r="X33" s="419"/>
      <c r="Y33" s="432">
        <f t="shared" si="1"/>
        <v>5000000</v>
      </c>
      <c r="Z33" s="420"/>
      <c r="AA33" s="336"/>
      <c r="AB33" s="337"/>
      <c r="AC33" s="338"/>
      <c r="AD33" s="383">
        <f t="shared" si="9"/>
        <v>528915</v>
      </c>
      <c r="AE33" s="339"/>
      <c r="AF33" s="384">
        <f t="shared" si="14"/>
        <v>0</v>
      </c>
      <c r="AG33" s="336"/>
      <c r="AH33" s="329"/>
      <c r="AI33" s="330"/>
      <c r="AJ33" s="375">
        <f t="shared" si="10"/>
        <v>376533</v>
      </c>
      <c r="AK33" s="331"/>
      <c r="AL33" s="377">
        <f t="shared" si="15"/>
        <v>0</v>
      </c>
      <c r="AM33" s="336"/>
      <c r="AN33" s="336"/>
      <c r="AO33" s="336"/>
      <c r="AP33" s="340"/>
      <c r="AQ33" s="341"/>
      <c r="AR33" s="341"/>
      <c r="AS33" s="386">
        <f t="shared" si="12"/>
        <v>208871</v>
      </c>
      <c r="AT33" s="342"/>
      <c r="AU33" s="389">
        <f t="shared" si="4"/>
        <v>0</v>
      </c>
      <c r="AW33" s="343"/>
      <c r="AX33" s="344"/>
      <c r="AY33" s="344"/>
      <c r="AZ33" s="435">
        <f t="shared" si="5"/>
        <v>0</v>
      </c>
      <c r="BA33" s="438">
        <f t="shared" si="6"/>
        <v>0</v>
      </c>
    </row>
    <row r="34" spans="1:53">
      <c r="A34" s="412"/>
      <c r="B34" s="413"/>
      <c r="C34" s="404"/>
      <c r="E34" s="326"/>
      <c r="F34" s="327"/>
      <c r="G34" s="327"/>
      <c r="H34" s="371">
        <f t="shared" si="7"/>
        <v>341717</v>
      </c>
      <c r="I34" s="372">
        <f t="shared" si="8"/>
        <v>0</v>
      </c>
      <c r="K34" s="414"/>
      <c r="L34" s="415"/>
      <c r="M34" s="428">
        <f t="shared" si="13"/>
        <v>975218</v>
      </c>
      <c r="N34" s="416"/>
      <c r="O34" s="430">
        <f t="shared" si="0"/>
        <v>0</v>
      </c>
      <c r="P34" s="328"/>
      <c r="R34" s="417"/>
      <c r="S34" s="418"/>
      <c r="T34" s="419"/>
      <c r="U34" s="419"/>
      <c r="V34" s="419"/>
      <c r="W34" s="419"/>
      <c r="X34" s="419"/>
      <c r="Y34" s="432">
        <f t="shared" si="1"/>
        <v>5000000</v>
      </c>
      <c r="Z34" s="420"/>
      <c r="AA34" s="336"/>
      <c r="AB34" s="337"/>
      <c r="AC34" s="338"/>
      <c r="AD34" s="383">
        <f t="shared" si="9"/>
        <v>528915</v>
      </c>
      <c r="AE34" s="339"/>
      <c r="AF34" s="384">
        <f t="shared" si="14"/>
        <v>0</v>
      </c>
      <c r="AG34" s="336"/>
      <c r="AH34" s="329"/>
      <c r="AI34" s="330"/>
      <c r="AJ34" s="375">
        <f t="shared" si="10"/>
        <v>376533</v>
      </c>
      <c r="AK34" s="331"/>
      <c r="AL34" s="377">
        <f t="shared" si="15"/>
        <v>0</v>
      </c>
      <c r="AM34" s="336"/>
      <c r="AN34" s="336"/>
      <c r="AO34" s="336"/>
      <c r="AP34" s="340"/>
      <c r="AQ34" s="341"/>
      <c r="AR34" s="341"/>
      <c r="AS34" s="386">
        <f t="shared" si="12"/>
        <v>208871</v>
      </c>
      <c r="AT34" s="342"/>
      <c r="AU34" s="389">
        <f t="shared" si="4"/>
        <v>0</v>
      </c>
      <c r="AW34" s="343"/>
      <c r="AX34" s="344"/>
      <c r="AY34" s="344"/>
      <c r="AZ34" s="435">
        <f t="shared" si="5"/>
        <v>0</v>
      </c>
      <c r="BA34" s="438">
        <f t="shared" si="6"/>
        <v>0</v>
      </c>
    </row>
    <row r="35" spans="1:53">
      <c r="A35" s="412"/>
      <c r="B35" s="413"/>
      <c r="C35" s="404"/>
      <c r="E35" s="326"/>
      <c r="F35" s="327"/>
      <c r="G35" s="327"/>
      <c r="H35" s="371">
        <f t="shared" si="7"/>
        <v>341717</v>
      </c>
      <c r="I35" s="372">
        <f t="shared" si="8"/>
        <v>0</v>
      </c>
      <c r="K35" s="414"/>
      <c r="L35" s="415"/>
      <c r="M35" s="428">
        <f t="shared" si="13"/>
        <v>975218</v>
      </c>
      <c r="N35" s="416"/>
      <c r="O35" s="430">
        <f t="shared" si="0"/>
        <v>0</v>
      </c>
      <c r="P35" s="328"/>
      <c r="R35" s="417"/>
      <c r="S35" s="418"/>
      <c r="T35" s="419"/>
      <c r="U35" s="419"/>
      <c r="V35" s="419"/>
      <c r="W35" s="419"/>
      <c r="X35" s="419"/>
      <c r="Y35" s="432">
        <f t="shared" si="1"/>
        <v>5000000</v>
      </c>
      <c r="Z35" s="420"/>
      <c r="AA35" s="336"/>
      <c r="AB35" s="337"/>
      <c r="AC35" s="338"/>
      <c r="AD35" s="383">
        <f t="shared" si="9"/>
        <v>528915</v>
      </c>
      <c r="AE35" s="339"/>
      <c r="AF35" s="384">
        <f t="shared" si="14"/>
        <v>0</v>
      </c>
      <c r="AG35" s="336"/>
      <c r="AH35" s="329"/>
      <c r="AI35" s="330"/>
      <c r="AJ35" s="375">
        <f t="shared" si="10"/>
        <v>376533</v>
      </c>
      <c r="AK35" s="331"/>
      <c r="AL35" s="377">
        <f t="shared" si="15"/>
        <v>0</v>
      </c>
      <c r="AM35" s="336"/>
      <c r="AN35" s="336"/>
      <c r="AO35" s="336"/>
      <c r="AP35" s="340"/>
      <c r="AQ35" s="341"/>
      <c r="AR35" s="341"/>
      <c r="AS35" s="386">
        <f t="shared" si="12"/>
        <v>208871</v>
      </c>
      <c r="AT35" s="342"/>
      <c r="AU35" s="389">
        <f t="shared" si="4"/>
        <v>0</v>
      </c>
      <c r="AW35" s="343"/>
      <c r="AX35" s="344"/>
      <c r="AY35" s="344"/>
      <c r="AZ35" s="435">
        <f t="shared" si="5"/>
        <v>0</v>
      </c>
      <c r="BA35" s="438">
        <f t="shared" si="6"/>
        <v>0</v>
      </c>
    </row>
    <row r="36" spans="1:53">
      <c r="A36" s="412"/>
      <c r="B36" s="413"/>
      <c r="C36" s="404"/>
      <c r="E36" s="326"/>
      <c r="F36" s="327"/>
      <c r="G36" s="327"/>
      <c r="H36" s="371">
        <f t="shared" si="7"/>
        <v>341717</v>
      </c>
      <c r="I36" s="372">
        <f t="shared" si="8"/>
        <v>0</v>
      </c>
      <c r="K36" s="414"/>
      <c r="L36" s="415"/>
      <c r="M36" s="428">
        <f t="shared" si="13"/>
        <v>975218</v>
      </c>
      <c r="N36" s="416"/>
      <c r="O36" s="430">
        <f t="shared" si="0"/>
        <v>0</v>
      </c>
      <c r="P36" s="328"/>
      <c r="R36" s="417"/>
      <c r="S36" s="418"/>
      <c r="T36" s="419"/>
      <c r="U36" s="419"/>
      <c r="V36" s="419"/>
      <c r="W36" s="419"/>
      <c r="X36" s="419"/>
      <c r="Y36" s="432">
        <f t="shared" si="1"/>
        <v>5000000</v>
      </c>
      <c r="Z36" s="420"/>
      <c r="AA36" s="336"/>
      <c r="AB36" s="337"/>
      <c r="AC36" s="338"/>
      <c r="AD36" s="383">
        <f t="shared" si="9"/>
        <v>528915</v>
      </c>
      <c r="AE36" s="339"/>
      <c r="AF36" s="384">
        <f t="shared" si="14"/>
        <v>0</v>
      </c>
      <c r="AG36" s="336"/>
      <c r="AH36" s="329"/>
      <c r="AI36" s="330"/>
      <c r="AJ36" s="375">
        <f t="shared" si="10"/>
        <v>376533</v>
      </c>
      <c r="AK36" s="331"/>
      <c r="AL36" s="377">
        <f t="shared" si="15"/>
        <v>0</v>
      </c>
      <c r="AM36" s="336"/>
      <c r="AN36" s="336"/>
      <c r="AO36" s="336"/>
      <c r="AP36" s="340"/>
      <c r="AQ36" s="341"/>
      <c r="AR36" s="341"/>
      <c r="AS36" s="386">
        <f t="shared" si="12"/>
        <v>208871</v>
      </c>
      <c r="AT36" s="342"/>
      <c r="AU36" s="389">
        <f t="shared" si="4"/>
        <v>0</v>
      </c>
      <c r="AW36" s="343"/>
      <c r="AX36" s="344"/>
      <c r="AY36" s="344"/>
      <c r="AZ36" s="435">
        <f t="shared" si="5"/>
        <v>0</v>
      </c>
      <c r="BA36" s="438">
        <f t="shared" si="6"/>
        <v>0</v>
      </c>
    </row>
    <row r="37" spans="1:53">
      <c r="A37" s="412"/>
      <c r="B37" s="413"/>
      <c r="C37" s="404"/>
      <c r="E37" s="326"/>
      <c r="F37" s="327"/>
      <c r="G37" s="327"/>
      <c r="H37" s="371">
        <f t="shared" si="7"/>
        <v>341717</v>
      </c>
      <c r="I37" s="372">
        <f t="shared" si="8"/>
        <v>0</v>
      </c>
      <c r="K37" s="414"/>
      <c r="L37" s="415"/>
      <c r="M37" s="428">
        <f t="shared" si="13"/>
        <v>975218</v>
      </c>
      <c r="N37" s="416"/>
      <c r="O37" s="430">
        <f t="shared" si="0"/>
        <v>0</v>
      </c>
      <c r="P37" s="328"/>
      <c r="R37" s="417"/>
      <c r="S37" s="418"/>
      <c r="T37" s="419"/>
      <c r="U37" s="419"/>
      <c r="V37" s="419"/>
      <c r="W37" s="419"/>
      <c r="X37" s="419"/>
      <c r="Y37" s="432">
        <f t="shared" si="1"/>
        <v>5000000</v>
      </c>
      <c r="Z37" s="420"/>
      <c r="AA37" s="336"/>
      <c r="AB37" s="337"/>
      <c r="AC37" s="338"/>
      <c r="AD37" s="383">
        <f t="shared" si="9"/>
        <v>528915</v>
      </c>
      <c r="AE37" s="339"/>
      <c r="AF37" s="384">
        <f t="shared" si="14"/>
        <v>0</v>
      </c>
      <c r="AG37" s="336"/>
      <c r="AH37" s="329"/>
      <c r="AI37" s="330"/>
      <c r="AJ37" s="375">
        <f t="shared" si="10"/>
        <v>376533</v>
      </c>
      <c r="AK37" s="331"/>
      <c r="AL37" s="377">
        <f t="shared" si="15"/>
        <v>0</v>
      </c>
      <c r="AM37" s="336"/>
      <c r="AN37" s="336"/>
      <c r="AO37" s="336"/>
      <c r="AP37" s="340"/>
      <c r="AQ37" s="341"/>
      <c r="AR37" s="341"/>
      <c r="AS37" s="386">
        <f t="shared" si="12"/>
        <v>208871</v>
      </c>
      <c r="AT37" s="342"/>
      <c r="AU37" s="389">
        <f t="shared" si="4"/>
        <v>0</v>
      </c>
      <c r="AW37" s="343"/>
      <c r="AX37" s="344"/>
      <c r="AY37" s="344"/>
      <c r="AZ37" s="435">
        <f t="shared" si="5"/>
        <v>0</v>
      </c>
      <c r="BA37" s="438">
        <f t="shared" si="6"/>
        <v>0</v>
      </c>
    </row>
    <row r="38" spans="1:53">
      <c r="A38" s="412"/>
      <c r="B38" s="413"/>
      <c r="C38" s="404"/>
      <c r="E38" s="326"/>
      <c r="F38" s="327"/>
      <c r="G38" s="327"/>
      <c r="H38" s="371">
        <f t="shared" si="7"/>
        <v>341717</v>
      </c>
      <c r="I38" s="372">
        <f t="shared" si="8"/>
        <v>0</v>
      </c>
      <c r="K38" s="414"/>
      <c r="L38" s="415"/>
      <c r="M38" s="428">
        <f t="shared" si="13"/>
        <v>975218</v>
      </c>
      <c r="N38" s="416"/>
      <c r="O38" s="430">
        <f t="shared" si="0"/>
        <v>0</v>
      </c>
      <c r="P38" s="328"/>
      <c r="R38" s="417"/>
      <c r="S38" s="418"/>
      <c r="T38" s="419"/>
      <c r="U38" s="419"/>
      <c r="V38" s="419"/>
      <c r="W38" s="419"/>
      <c r="X38" s="419"/>
      <c r="Y38" s="432">
        <f t="shared" si="1"/>
        <v>5000000</v>
      </c>
      <c r="Z38" s="420"/>
      <c r="AA38" s="336"/>
      <c r="AB38" s="337"/>
      <c r="AC38" s="338"/>
      <c r="AD38" s="383">
        <f t="shared" si="9"/>
        <v>528915</v>
      </c>
      <c r="AE38" s="339"/>
      <c r="AF38" s="384">
        <f t="shared" si="14"/>
        <v>0</v>
      </c>
      <c r="AG38" s="336"/>
      <c r="AH38" s="329"/>
      <c r="AI38" s="330"/>
      <c r="AJ38" s="375">
        <f t="shared" si="10"/>
        <v>376533</v>
      </c>
      <c r="AK38" s="331"/>
      <c r="AL38" s="377">
        <f t="shared" si="15"/>
        <v>0</v>
      </c>
      <c r="AM38" s="336"/>
      <c r="AN38" s="336"/>
      <c r="AO38" s="336"/>
      <c r="AP38" s="340"/>
      <c r="AQ38" s="341"/>
      <c r="AR38" s="341"/>
      <c r="AS38" s="386">
        <f t="shared" si="12"/>
        <v>208871</v>
      </c>
      <c r="AT38" s="342"/>
      <c r="AU38" s="389">
        <f t="shared" si="4"/>
        <v>0</v>
      </c>
      <c r="AW38" s="343"/>
      <c r="AX38" s="344"/>
      <c r="AY38" s="344"/>
      <c r="AZ38" s="435">
        <f t="shared" si="5"/>
        <v>0</v>
      </c>
      <c r="BA38" s="438">
        <f t="shared" si="6"/>
        <v>0</v>
      </c>
    </row>
    <row r="39" spans="1:53">
      <c r="A39" s="412"/>
      <c r="B39" s="413"/>
      <c r="C39" s="404"/>
      <c r="E39" s="326"/>
      <c r="F39" s="327"/>
      <c r="G39" s="327"/>
      <c r="H39" s="371">
        <f t="shared" si="7"/>
        <v>341717</v>
      </c>
      <c r="I39" s="372">
        <f t="shared" si="8"/>
        <v>0</v>
      </c>
      <c r="K39" s="414"/>
      <c r="L39" s="415"/>
      <c r="M39" s="428">
        <f t="shared" si="13"/>
        <v>975218</v>
      </c>
      <c r="N39" s="416"/>
      <c r="O39" s="430">
        <f t="shared" si="0"/>
        <v>0</v>
      </c>
      <c r="P39" s="328"/>
      <c r="R39" s="417"/>
      <c r="S39" s="418"/>
      <c r="T39" s="419"/>
      <c r="U39" s="419"/>
      <c r="V39" s="419"/>
      <c r="W39" s="419"/>
      <c r="X39" s="419"/>
      <c r="Y39" s="432">
        <f t="shared" si="1"/>
        <v>5000000</v>
      </c>
      <c r="Z39" s="420"/>
      <c r="AA39" s="336"/>
      <c r="AB39" s="337"/>
      <c r="AC39" s="338"/>
      <c r="AD39" s="383">
        <f t="shared" si="9"/>
        <v>528915</v>
      </c>
      <c r="AE39" s="339"/>
      <c r="AF39" s="384">
        <f t="shared" si="14"/>
        <v>0</v>
      </c>
      <c r="AG39" s="336"/>
      <c r="AH39" s="329"/>
      <c r="AI39" s="330"/>
      <c r="AJ39" s="375">
        <f t="shared" si="10"/>
        <v>376533</v>
      </c>
      <c r="AK39" s="331"/>
      <c r="AL39" s="377">
        <f t="shared" si="15"/>
        <v>0</v>
      </c>
      <c r="AM39" s="336"/>
      <c r="AN39" s="336"/>
      <c r="AO39" s="336"/>
      <c r="AP39" s="340"/>
      <c r="AQ39" s="341"/>
      <c r="AR39" s="341"/>
      <c r="AS39" s="386">
        <f t="shared" si="12"/>
        <v>208871</v>
      </c>
      <c r="AT39" s="342"/>
      <c r="AU39" s="389">
        <f t="shared" si="4"/>
        <v>0</v>
      </c>
      <c r="AW39" s="343"/>
      <c r="AX39" s="344"/>
      <c r="AY39" s="344"/>
      <c r="AZ39" s="435">
        <f t="shared" si="5"/>
        <v>0</v>
      </c>
      <c r="BA39" s="438">
        <f t="shared" si="6"/>
        <v>0</v>
      </c>
    </row>
    <row r="40" spans="1:53">
      <c r="A40" s="412"/>
      <c r="B40" s="413"/>
      <c r="C40" s="404"/>
      <c r="E40" s="326"/>
      <c r="F40" s="327"/>
      <c r="G40" s="327"/>
      <c r="H40" s="371">
        <f t="shared" si="7"/>
        <v>341717</v>
      </c>
      <c r="I40" s="372">
        <f t="shared" si="8"/>
        <v>0</v>
      </c>
      <c r="K40" s="414"/>
      <c r="L40" s="415"/>
      <c r="M40" s="428">
        <f t="shared" si="13"/>
        <v>975218</v>
      </c>
      <c r="N40" s="416"/>
      <c r="O40" s="430">
        <f t="shared" si="0"/>
        <v>0</v>
      </c>
      <c r="P40" s="328"/>
      <c r="R40" s="417"/>
      <c r="S40" s="418"/>
      <c r="T40" s="419"/>
      <c r="U40" s="419"/>
      <c r="V40" s="419"/>
      <c r="W40" s="419"/>
      <c r="X40" s="419"/>
      <c r="Y40" s="432">
        <f t="shared" si="1"/>
        <v>5000000</v>
      </c>
      <c r="Z40" s="420"/>
      <c r="AA40" s="336"/>
      <c r="AB40" s="337"/>
      <c r="AC40" s="338"/>
      <c r="AD40" s="383">
        <f t="shared" si="9"/>
        <v>528915</v>
      </c>
      <c r="AE40" s="339"/>
      <c r="AF40" s="384">
        <f t="shared" si="14"/>
        <v>0</v>
      </c>
      <c r="AG40" s="336"/>
      <c r="AH40" s="329"/>
      <c r="AI40" s="330"/>
      <c r="AJ40" s="375">
        <f t="shared" si="10"/>
        <v>376533</v>
      </c>
      <c r="AK40" s="331"/>
      <c r="AL40" s="377">
        <f t="shared" si="15"/>
        <v>0</v>
      </c>
      <c r="AM40" s="336"/>
      <c r="AN40" s="336"/>
      <c r="AO40" s="336"/>
      <c r="AP40" s="340"/>
      <c r="AQ40" s="341"/>
      <c r="AR40" s="341"/>
      <c r="AS40" s="386">
        <f t="shared" si="12"/>
        <v>208871</v>
      </c>
      <c r="AT40" s="342"/>
      <c r="AU40" s="389">
        <f t="shared" si="4"/>
        <v>0</v>
      </c>
      <c r="AW40" s="343"/>
      <c r="AX40" s="344"/>
      <c r="AY40" s="344"/>
      <c r="AZ40" s="435">
        <f t="shared" si="5"/>
        <v>0</v>
      </c>
      <c r="BA40" s="438">
        <f t="shared" si="6"/>
        <v>0</v>
      </c>
    </row>
    <row r="41" spans="1:53">
      <c r="A41" s="412"/>
      <c r="B41" s="413"/>
      <c r="C41" s="404"/>
      <c r="E41" s="326"/>
      <c r="F41" s="327"/>
      <c r="G41" s="327"/>
      <c r="H41" s="371">
        <f t="shared" si="7"/>
        <v>341717</v>
      </c>
      <c r="I41" s="372">
        <f t="shared" si="8"/>
        <v>0</v>
      </c>
      <c r="K41" s="414"/>
      <c r="L41" s="415"/>
      <c r="M41" s="428">
        <f t="shared" si="13"/>
        <v>975218</v>
      </c>
      <c r="N41" s="416"/>
      <c r="O41" s="430">
        <f t="shared" si="0"/>
        <v>0</v>
      </c>
      <c r="P41" s="328"/>
      <c r="R41" s="417"/>
      <c r="S41" s="418"/>
      <c r="T41" s="419"/>
      <c r="U41" s="419"/>
      <c r="V41" s="419"/>
      <c r="W41" s="419"/>
      <c r="X41" s="419"/>
      <c r="Y41" s="432">
        <f t="shared" si="1"/>
        <v>5000000</v>
      </c>
      <c r="Z41" s="420"/>
      <c r="AA41" s="336"/>
      <c r="AB41" s="337"/>
      <c r="AC41" s="338"/>
      <c r="AD41" s="383">
        <f t="shared" si="9"/>
        <v>528915</v>
      </c>
      <c r="AE41" s="339"/>
      <c r="AF41" s="384">
        <f t="shared" si="14"/>
        <v>0</v>
      </c>
      <c r="AG41" s="336"/>
      <c r="AH41" s="329"/>
      <c r="AI41" s="330"/>
      <c r="AJ41" s="375">
        <f t="shared" si="10"/>
        <v>376533</v>
      </c>
      <c r="AK41" s="331"/>
      <c r="AL41" s="377">
        <f t="shared" si="15"/>
        <v>0</v>
      </c>
      <c r="AM41" s="336"/>
      <c r="AN41" s="336"/>
      <c r="AO41" s="336"/>
      <c r="AP41" s="340"/>
      <c r="AQ41" s="341"/>
      <c r="AR41" s="341"/>
      <c r="AS41" s="386">
        <f t="shared" si="12"/>
        <v>208871</v>
      </c>
      <c r="AT41" s="342"/>
      <c r="AU41" s="389">
        <f t="shared" si="4"/>
        <v>0</v>
      </c>
      <c r="AW41" s="343"/>
      <c r="AX41" s="344"/>
      <c r="AY41" s="344"/>
      <c r="AZ41" s="435">
        <f t="shared" si="5"/>
        <v>0</v>
      </c>
      <c r="BA41" s="438">
        <f t="shared" si="6"/>
        <v>0</v>
      </c>
    </row>
    <row r="42" spans="1:53">
      <c r="A42" s="412"/>
      <c r="B42" s="413"/>
      <c r="C42" s="404"/>
      <c r="E42" s="326"/>
      <c r="F42" s="327"/>
      <c r="G42" s="327"/>
      <c r="H42" s="371">
        <f t="shared" si="7"/>
        <v>341717</v>
      </c>
      <c r="I42" s="372">
        <f t="shared" si="8"/>
        <v>0</v>
      </c>
      <c r="K42" s="414"/>
      <c r="L42" s="415"/>
      <c r="M42" s="428">
        <f t="shared" si="13"/>
        <v>975218</v>
      </c>
      <c r="N42" s="416"/>
      <c r="O42" s="430">
        <f t="shared" si="0"/>
        <v>0</v>
      </c>
      <c r="P42" s="328"/>
      <c r="R42" s="417"/>
      <c r="S42" s="418"/>
      <c r="T42" s="419"/>
      <c r="U42" s="419"/>
      <c r="V42" s="419"/>
      <c r="W42" s="419"/>
      <c r="X42" s="419"/>
      <c r="Y42" s="432">
        <f t="shared" si="1"/>
        <v>5000000</v>
      </c>
      <c r="Z42" s="420"/>
      <c r="AA42" s="336"/>
      <c r="AB42" s="337"/>
      <c r="AC42" s="338"/>
      <c r="AD42" s="383">
        <f t="shared" si="9"/>
        <v>528915</v>
      </c>
      <c r="AE42" s="339"/>
      <c r="AF42" s="384">
        <f t="shared" si="14"/>
        <v>0</v>
      </c>
      <c r="AG42" s="336"/>
      <c r="AH42" s="329"/>
      <c r="AI42" s="330"/>
      <c r="AJ42" s="375">
        <f t="shared" si="10"/>
        <v>376533</v>
      </c>
      <c r="AK42" s="331"/>
      <c r="AL42" s="377">
        <f t="shared" si="15"/>
        <v>0</v>
      </c>
      <c r="AM42" s="336"/>
      <c r="AN42" s="336"/>
      <c r="AO42" s="336"/>
      <c r="AP42" s="340"/>
      <c r="AQ42" s="341"/>
      <c r="AR42" s="341"/>
      <c r="AS42" s="386">
        <f t="shared" si="12"/>
        <v>208871</v>
      </c>
      <c r="AT42" s="342"/>
      <c r="AU42" s="389">
        <f t="shared" si="4"/>
        <v>0</v>
      </c>
      <c r="AW42" s="343"/>
      <c r="AX42" s="344"/>
      <c r="AY42" s="344"/>
      <c r="AZ42" s="435">
        <f t="shared" si="5"/>
        <v>0</v>
      </c>
      <c r="BA42" s="438">
        <f t="shared" si="6"/>
        <v>0</v>
      </c>
    </row>
    <row r="43" spans="1:53">
      <c r="A43" s="412"/>
      <c r="B43" s="413"/>
      <c r="C43" s="404"/>
      <c r="E43" s="326"/>
      <c r="F43" s="327"/>
      <c r="G43" s="327"/>
      <c r="H43" s="371">
        <f t="shared" si="7"/>
        <v>341717</v>
      </c>
      <c r="I43" s="372">
        <f t="shared" si="8"/>
        <v>0</v>
      </c>
      <c r="K43" s="414"/>
      <c r="L43" s="415"/>
      <c r="M43" s="428">
        <f t="shared" si="13"/>
        <v>975218</v>
      </c>
      <c r="N43" s="416"/>
      <c r="O43" s="430">
        <f t="shared" si="0"/>
        <v>0</v>
      </c>
      <c r="P43" s="328"/>
      <c r="R43" s="417"/>
      <c r="S43" s="418"/>
      <c r="T43" s="419"/>
      <c r="U43" s="419"/>
      <c r="V43" s="419"/>
      <c r="W43" s="419"/>
      <c r="X43" s="419"/>
      <c r="Y43" s="432">
        <f t="shared" si="1"/>
        <v>5000000</v>
      </c>
      <c r="Z43" s="420"/>
      <c r="AA43" s="336"/>
      <c r="AB43" s="337"/>
      <c r="AC43" s="338"/>
      <c r="AD43" s="383">
        <f t="shared" si="9"/>
        <v>528915</v>
      </c>
      <c r="AE43" s="339"/>
      <c r="AF43" s="384">
        <f t="shared" si="14"/>
        <v>0</v>
      </c>
      <c r="AG43" s="336"/>
      <c r="AH43" s="329"/>
      <c r="AI43" s="330"/>
      <c r="AJ43" s="375">
        <f t="shared" si="10"/>
        <v>376533</v>
      </c>
      <c r="AK43" s="331"/>
      <c r="AL43" s="377">
        <f t="shared" si="15"/>
        <v>0</v>
      </c>
      <c r="AM43" s="336"/>
      <c r="AN43" s="336"/>
      <c r="AO43" s="336"/>
      <c r="AP43" s="340"/>
      <c r="AQ43" s="341"/>
      <c r="AR43" s="341"/>
      <c r="AS43" s="386">
        <f t="shared" si="12"/>
        <v>208871</v>
      </c>
      <c r="AT43" s="342"/>
      <c r="AU43" s="389">
        <f t="shared" si="4"/>
        <v>0</v>
      </c>
      <c r="AW43" s="343"/>
      <c r="AX43" s="344"/>
      <c r="AY43" s="344"/>
      <c r="AZ43" s="435">
        <f t="shared" si="5"/>
        <v>0</v>
      </c>
      <c r="BA43" s="438">
        <f t="shared" si="6"/>
        <v>0</v>
      </c>
    </row>
    <row r="44" spans="1:53">
      <c r="A44" s="412"/>
      <c r="B44" s="413"/>
      <c r="C44" s="404"/>
      <c r="E44" s="326"/>
      <c r="F44" s="327"/>
      <c r="G44" s="327"/>
      <c r="H44" s="371">
        <f t="shared" si="7"/>
        <v>341717</v>
      </c>
      <c r="I44" s="372">
        <f t="shared" si="8"/>
        <v>0</v>
      </c>
      <c r="K44" s="414"/>
      <c r="L44" s="415"/>
      <c r="M44" s="428">
        <f t="shared" si="13"/>
        <v>975218</v>
      </c>
      <c r="N44" s="416"/>
      <c r="O44" s="430">
        <f t="shared" si="0"/>
        <v>0</v>
      </c>
      <c r="P44" s="328"/>
      <c r="R44" s="417"/>
      <c r="S44" s="418"/>
      <c r="T44" s="419"/>
      <c r="U44" s="419"/>
      <c r="V44" s="419"/>
      <c r="W44" s="419"/>
      <c r="X44" s="419"/>
      <c r="Y44" s="432">
        <f t="shared" si="1"/>
        <v>5000000</v>
      </c>
      <c r="Z44" s="420"/>
      <c r="AA44" s="336"/>
      <c r="AB44" s="337"/>
      <c r="AC44" s="338"/>
      <c r="AD44" s="383">
        <f t="shared" si="9"/>
        <v>528915</v>
      </c>
      <c r="AE44" s="339"/>
      <c r="AF44" s="384">
        <f t="shared" si="14"/>
        <v>0</v>
      </c>
      <c r="AG44" s="336"/>
      <c r="AH44" s="329"/>
      <c r="AI44" s="330"/>
      <c r="AJ44" s="375">
        <f t="shared" si="10"/>
        <v>376533</v>
      </c>
      <c r="AK44" s="331"/>
      <c r="AL44" s="377">
        <f t="shared" si="15"/>
        <v>0</v>
      </c>
      <c r="AM44" s="336"/>
      <c r="AN44" s="336"/>
      <c r="AO44" s="336"/>
      <c r="AP44" s="340"/>
      <c r="AQ44" s="341"/>
      <c r="AR44" s="341"/>
      <c r="AS44" s="386">
        <f t="shared" si="12"/>
        <v>208871</v>
      </c>
      <c r="AT44" s="342"/>
      <c r="AU44" s="389">
        <f t="shared" si="4"/>
        <v>0</v>
      </c>
      <c r="AW44" s="343"/>
      <c r="AX44" s="344"/>
      <c r="AY44" s="344"/>
      <c r="AZ44" s="435">
        <f t="shared" si="5"/>
        <v>0</v>
      </c>
      <c r="BA44" s="438">
        <f t="shared" si="6"/>
        <v>0</v>
      </c>
    </row>
    <row r="45" spans="1:53">
      <c r="A45" s="412"/>
      <c r="B45" s="413"/>
      <c r="C45" s="404"/>
      <c r="E45" s="326"/>
      <c r="F45" s="327"/>
      <c r="G45" s="327"/>
      <c r="H45" s="371">
        <f t="shared" si="7"/>
        <v>341717</v>
      </c>
      <c r="I45" s="372">
        <f t="shared" si="8"/>
        <v>0</v>
      </c>
      <c r="K45" s="414"/>
      <c r="L45" s="415"/>
      <c r="M45" s="428">
        <f t="shared" si="13"/>
        <v>975218</v>
      </c>
      <c r="N45" s="416"/>
      <c r="O45" s="430">
        <f t="shared" si="0"/>
        <v>0</v>
      </c>
      <c r="P45" s="328"/>
      <c r="R45" s="417"/>
      <c r="S45" s="418"/>
      <c r="T45" s="419"/>
      <c r="U45" s="419"/>
      <c r="V45" s="419"/>
      <c r="W45" s="419"/>
      <c r="X45" s="419"/>
      <c r="Y45" s="432">
        <f t="shared" si="1"/>
        <v>5000000</v>
      </c>
      <c r="Z45" s="420"/>
      <c r="AA45" s="336"/>
      <c r="AB45" s="337"/>
      <c r="AC45" s="338"/>
      <c r="AD45" s="383">
        <f t="shared" si="9"/>
        <v>528915</v>
      </c>
      <c r="AE45" s="339"/>
      <c r="AF45" s="384">
        <f t="shared" si="14"/>
        <v>0</v>
      </c>
      <c r="AG45" s="336"/>
      <c r="AH45" s="329"/>
      <c r="AI45" s="330"/>
      <c r="AJ45" s="375">
        <f t="shared" si="10"/>
        <v>376533</v>
      </c>
      <c r="AK45" s="331"/>
      <c r="AL45" s="377">
        <f t="shared" si="15"/>
        <v>0</v>
      </c>
      <c r="AM45" s="336"/>
      <c r="AN45" s="336"/>
      <c r="AO45" s="336"/>
      <c r="AP45" s="340"/>
      <c r="AQ45" s="341"/>
      <c r="AR45" s="341"/>
      <c r="AS45" s="386">
        <f t="shared" si="12"/>
        <v>208871</v>
      </c>
      <c r="AT45" s="342"/>
      <c r="AU45" s="389">
        <f t="shared" si="4"/>
        <v>0</v>
      </c>
      <c r="AW45" s="343"/>
      <c r="AX45" s="344"/>
      <c r="AY45" s="344"/>
      <c r="AZ45" s="435">
        <f t="shared" si="5"/>
        <v>0</v>
      </c>
      <c r="BA45" s="438">
        <f t="shared" si="6"/>
        <v>0</v>
      </c>
    </row>
    <row r="46" spans="1:53">
      <c r="A46" s="412"/>
      <c r="B46" s="413"/>
      <c r="C46" s="404"/>
      <c r="E46" s="326"/>
      <c r="F46" s="327"/>
      <c r="G46" s="327"/>
      <c r="H46" s="371">
        <f t="shared" si="7"/>
        <v>341717</v>
      </c>
      <c r="I46" s="372">
        <f t="shared" si="8"/>
        <v>0</v>
      </c>
      <c r="K46" s="414"/>
      <c r="L46" s="415"/>
      <c r="M46" s="428">
        <f t="shared" si="13"/>
        <v>975218</v>
      </c>
      <c r="N46" s="416"/>
      <c r="O46" s="430">
        <f t="shared" si="0"/>
        <v>0</v>
      </c>
      <c r="P46" s="328"/>
      <c r="R46" s="417"/>
      <c r="S46" s="418"/>
      <c r="T46" s="419"/>
      <c r="U46" s="419"/>
      <c r="V46" s="419"/>
      <c r="W46" s="419"/>
      <c r="X46" s="419"/>
      <c r="Y46" s="432">
        <f t="shared" si="1"/>
        <v>5000000</v>
      </c>
      <c r="Z46" s="420"/>
      <c r="AA46" s="336"/>
      <c r="AB46" s="337"/>
      <c r="AC46" s="338"/>
      <c r="AD46" s="383">
        <f t="shared" si="9"/>
        <v>528915</v>
      </c>
      <c r="AE46" s="339"/>
      <c r="AF46" s="384">
        <f t="shared" si="14"/>
        <v>0</v>
      </c>
      <c r="AG46" s="336"/>
      <c r="AH46" s="329"/>
      <c r="AI46" s="330"/>
      <c r="AJ46" s="375">
        <f t="shared" si="10"/>
        <v>376533</v>
      </c>
      <c r="AK46" s="331"/>
      <c r="AL46" s="377">
        <f t="shared" si="15"/>
        <v>0</v>
      </c>
      <c r="AM46" s="336"/>
      <c r="AN46" s="336"/>
      <c r="AO46" s="336"/>
      <c r="AP46" s="340"/>
      <c r="AQ46" s="341"/>
      <c r="AR46" s="341"/>
      <c r="AS46" s="386">
        <f t="shared" si="12"/>
        <v>208871</v>
      </c>
      <c r="AT46" s="342"/>
      <c r="AU46" s="389">
        <f t="shared" si="4"/>
        <v>0</v>
      </c>
      <c r="AW46" s="343"/>
      <c r="AX46" s="344"/>
      <c r="AY46" s="344"/>
      <c r="AZ46" s="435">
        <f t="shared" si="5"/>
        <v>0</v>
      </c>
      <c r="BA46" s="438">
        <f t="shared" si="6"/>
        <v>0</v>
      </c>
    </row>
    <row r="47" spans="1:53">
      <c r="A47" s="412"/>
      <c r="B47" s="413"/>
      <c r="C47" s="404"/>
      <c r="E47" s="326"/>
      <c r="F47" s="327"/>
      <c r="G47" s="327"/>
      <c r="H47" s="371">
        <f t="shared" si="7"/>
        <v>341717</v>
      </c>
      <c r="I47" s="372">
        <f t="shared" si="8"/>
        <v>0</v>
      </c>
      <c r="K47" s="414"/>
      <c r="L47" s="415"/>
      <c r="M47" s="428">
        <f t="shared" si="13"/>
        <v>975218</v>
      </c>
      <c r="N47" s="416"/>
      <c r="O47" s="430">
        <f t="shared" si="0"/>
        <v>0</v>
      </c>
      <c r="P47" s="328"/>
      <c r="R47" s="417"/>
      <c r="S47" s="418"/>
      <c r="T47" s="419"/>
      <c r="U47" s="419"/>
      <c r="V47" s="419"/>
      <c r="W47" s="419"/>
      <c r="X47" s="419"/>
      <c r="Y47" s="432">
        <f t="shared" si="1"/>
        <v>5000000</v>
      </c>
      <c r="Z47" s="420"/>
      <c r="AA47" s="336"/>
      <c r="AB47" s="337"/>
      <c r="AC47" s="338"/>
      <c r="AD47" s="383">
        <f t="shared" si="9"/>
        <v>528915</v>
      </c>
      <c r="AE47" s="339"/>
      <c r="AF47" s="384">
        <f t="shared" si="14"/>
        <v>0</v>
      </c>
      <c r="AG47" s="336"/>
      <c r="AH47" s="329"/>
      <c r="AI47" s="330"/>
      <c r="AJ47" s="375">
        <f t="shared" si="10"/>
        <v>376533</v>
      </c>
      <c r="AK47" s="331"/>
      <c r="AL47" s="377">
        <f t="shared" si="15"/>
        <v>0</v>
      </c>
      <c r="AM47" s="336"/>
      <c r="AN47" s="336"/>
      <c r="AO47" s="336"/>
      <c r="AP47" s="340"/>
      <c r="AQ47" s="341"/>
      <c r="AR47" s="341"/>
      <c r="AS47" s="386">
        <f t="shared" si="12"/>
        <v>208871</v>
      </c>
      <c r="AT47" s="342"/>
      <c r="AU47" s="389">
        <f t="shared" si="4"/>
        <v>0</v>
      </c>
      <c r="AW47" s="343"/>
      <c r="AX47" s="344"/>
      <c r="AY47" s="344"/>
      <c r="AZ47" s="435">
        <f t="shared" si="5"/>
        <v>0</v>
      </c>
      <c r="BA47" s="438">
        <f t="shared" si="6"/>
        <v>0</v>
      </c>
    </row>
    <row r="48" spans="1:53">
      <c r="A48" s="412"/>
      <c r="B48" s="413"/>
      <c r="C48" s="404"/>
      <c r="E48" s="326"/>
      <c r="F48" s="327"/>
      <c r="G48" s="327"/>
      <c r="H48" s="371">
        <f t="shared" si="7"/>
        <v>341717</v>
      </c>
      <c r="I48" s="372">
        <f t="shared" si="8"/>
        <v>0</v>
      </c>
      <c r="K48" s="414"/>
      <c r="L48" s="415"/>
      <c r="M48" s="428">
        <f t="shared" si="13"/>
        <v>975218</v>
      </c>
      <c r="N48" s="416"/>
      <c r="O48" s="430">
        <f t="shared" si="0"/>
        <v>0</v>
      </c>
      <c r="P48" s="328"/>
      <c r="R48" s="417"/>
      <c r="S48" s="418"/>
      <c r="T48" s="419"/>
      <c r="U48" s="419"/>
      <c r="V48" s="419"/>
      <c r="W48" s="419"/>
      <c r="X48" s="419"/>
      <c r="Y48" s="432">
        <f t="shared" si="1"/>
        <v>5000000</v>
      </c>
      <c r="Z48" s="420"/>
      <c r="AA48" s="336"/>
      <c r="AB48" s="337"/>
      <c r="AC48" s="338"/>
      <c r="AD48" s="383">
        <f t="shared" si="9"/>
        <v>528915</v>
      </c>
      <c r="AE48" s="339"/>
      <c r="AF48" s="384">
        <f t="shared" si="14"/>
        <v>0</v>
      </c>
      <c r="AG48" s="336"/>
      <c r="AH48" s="329"/>
      <c r="AI48" s="330"/>
      <c r="AJ48" s="375">
        <f t="shared" si="10"/>
        <v>376533</v>
      </c>
      <c r="AK48" s="331"/>
      <c r="AL48" s="377">
        <f t="shared" si="15"/>
        <v>0</v>
      </c>
      <c r="AM48" s="336"/>
      <c r="AN48" s="336"/>
      <c r="AO48" s="336"/>
      <c r="AP48" s="340"/>
      <c r="AQ48" s="341"/>
      <c r="AR48" s="341"/>
      <c r="AS48" s="386">
        <f t="shared" si="12"/>
        <v>208871</v>
      </c>
      <c r="AT48" s="342"/>
      <c r="AU48" s="389">
        <f t="shared" si="4"/>
        <v>0</v>
      </c>
      <c r="AW48" s="343"/>
      <c r="AX48" s="344"/>
      <c r="AY48" s="344"/>
      <c r="AZ48" s="435">
        <f t="shared" si="5"/>
        <v>0</v>
      </c>
      <c r="BA48" s="438">
        <f t="shared" si="6"/>
        <v>0</v>
      </c>
    </row>
    <row r="49" spans="1:53">
      <c r="A49" s="412"/>
      <c r="B49" s="413"/>
      <c r="C49" s="404"/>
      <c r="E49" s="326"/>
      <c r="F49" s="327"/>
      <c r="G49" s="327"/>
      <c r="H49" s="371">
        <f t="shared" si="7"/>
        <v>341717</v>
      </c>
      <c r="I49" s="372">
        <f t="shared" si="8"/>
        <v>0</v>
      </c>
      <c r="K49" s="414"/>
      <c r="L49" s="415"/>
      <c r="M49" s="428">
        <f t="shared" si="13"/>
        <v>975218</v>
      </c>
      <c r="N49" s="416"/>
      <c r="O49" s="430">
        <f t="shared" si="0"/>
        <v>0</v>
      </c>
      <c r="P49" s="328"/>
      <c r="R49" s="417"/>
      <c r="S49" s="418"/>
      <c r="T49" s="419"/>
      <c r="U49" s="419"/>
      <c r="V49" s="419"/>
      <c r="W49" s="419"/>
      <c r="X49" s="419"/>
      <c r="Y49" s="432">
        <f t="shared" si="1"/>
        <v>5000000</v>
      </c>
      <c r="Z49" s="420"/>
      <c r="AA49" s="336"/>
      <c r="AB49" s="337"/>
      <c r="AC49" s="338"/>
      <c r="AD49" s="383">
        <f t="shared" si="9"/>
        <v>528915</v>
      </c>
      <c r="AE49" s="339"/>
      <c r="AF49" s="384">
        <f t="shared" si="14"/>
        <v>0</v>
      </c>
      <c r="AG49" s="336"/>
      <c r="AH49" s="329"/>
      <c r="AI49" s="330"/>
      <c r="AJ49" s="375">
        <f t="shared" si="10"/>
        <v>376533</v>
      </c>
      <c r="AK49" s="331"/>
      <c r="AL49" s="377">
        <f t="shared" si="15"/>
        <v>0</v>
      </c>
      <c r="AM49" s="336"/>
      <c r="AN49" s="336"/>
      <c r="AO49" s="336"/>
      <c r="AP49" s="340"/>
      <c r="AQ49" s="341"/>
      <c r="AR49" s="341"/>
      <c r="AS49" s="386">
        <f t="shared" si="12"/>
        <v>208871</v>
      </c>
      <c r="AT49" s="342"/>
      <c r="AU49" s="389">
        <f t="shared" si="4"/>
        <v>0</v>
      </c>
      <c r="AW49" s="343"/>
      <c r="AX49" s="344"/>
      <c r="AY49" s="344"/>
      <c r="AZ49" s="435">
        <f t="shared" si="5"/>
        <v>0</v>
      </c>
      <c r="BA49" s="438">
        <f t="shared" si="6"/>
        <v>0</v>
      </c>
    </row>
    <row r="50" spans="1:53">
      <c r="A50" s="412"/>
      <c r="B50" s="413"/>
      <c r="C50" s="404"/>
      <c r="E50" s="326"/>
      <c r="F50" s="327"/>
      <c r="G50" s="327"/>
      <c r="H50" s="371">
        <f t="shared" si="7"/>
        <v>341717</v>
      </c>
      <c r="I50" s="372">
        <f t="shared" si="8"/>
        <v>0</v>
      </c>
      <c r="K50" s="414"/>
      <c r="L50" s="415"/>
      <c r="M50" s="428">
        <f t="shared" si="13"/>
        <v>975218</v>
      </c>
      <c r="N50" s="416"/>
      <c r="O50" s="430">
        <f t="shared" si="0"/>
        <v>0</v>
      </c>
      <c r="P50" s="328"/>
      <c r="R50" s="417"/>
      <c r="S50" s="418"/>
      <c r="T50" s="419"/>
      <c r="U50" s="419"/>
      <c r="V50" s="419"/>
      <c r="W50" s="419"/>
      <c r="X50" s="419"/>
      <c r="Y50" s="432">
        <f t="shared" si="1"/>
        <v>5000000</v>
      </c>
      <c r="Z50" s="420"/>
      <c r="AA50" s="336"/>
      <c r="AB50" s="337"/>
      <c r="AC50" s="338"/>
      <c r="AD50" s="383">
        <f t="shared" si="9"/>
        <v>528915</v>
      </c>
      <c r="AE50" s="339"/>
      <c r="AF50" s="384">
        <f t="shared" si="14"/>
        <v>0</v>
      </c>
      <c r="AG50" s="336"/>
      <c r="AH50" s="329"/>
      <c r="AI50" s="330"/>
      <c r="AJ50" s="375">
        <f t="shared" si="10"/>
        <v>376533</v>
      </c>
      <c r="AK50" s="331"/>
      <c r="AL50" s="377">
        <f t="shared" si="15"/>
        <v>0</v>
      </c>
      <c r="AM50" s="336"/>
      <c r="AN50" s="336"/>
      <c r="AO50" s="336"/>
      <c r="AP50" s="340"/>
      <c r="AQ50" s="341"/>
      <c r="AR50" s="341"/>
      <c r="AS50" s="386">
        <f t="shared" si="12"/>
        <v>208871</v>
      </c>
      <c r="AT50" s="342"/>
      <c r="AU50" s="389">
        <f t="shared" si="4"/>
        <v>0</v>
      </c>
      <c r="AW50" s="343"/>
      <c r="AX50" s="344"/>
      <c r="AY50" s="344"/>
      <c r="AZ50" s="435">
        <f t="shared" si="5"/>
        <v>0</v>
      </c>
      <c r="BA50" s="438">
        <f t="shared" si="6"/>
        <v>0</v>
      </c>
    </row>
    <row r="51" spans="1:53">
      <c r="A51" s="412"/>
      <c r="B51" s="413"/>
      <c r="C51" s="404"/>
      <c r="E51" s="326"/>
      <c r="F51" s="327"/>
      <c r="G51" s="327"/>
      <c r="H51" s="371">
        <f t="shared" si="7"/>
        <v>341717</v>
      </c>
      <c r="I51" s="372">
        <f t="shared" si="8"/>
        <v>0</v>
      </c>
      <c r="K51" s="414"/>
      <c r="L51" s="415"/>
      <c r="M51" s="428">
        <f t="shared" si="13"/>
        <v>975218</v>
      </c>
      <c r="N51" s="416"/>
      <c r="O51" s="430">
        <f t="shared" si="0"/>
        <v>0</v>
      </c>
      <c r="P51" s="328"/>
      <c r="R51" s="417"/>
      <c r="S51" s="418"/>
      <c r="T51" s="419"/>
      <c r="U51" s="419"/>
      <c r="V51" s="419"/>
      <c r="W51" s="419"/>
      <c r="X51" s="419"/>
      <c r="Y51" s="432">
        <f t="shared" si="1"/>
        <v>5000000</v>
      </c>
      <c r="Z51" s="420"/>
      <c r="AA51" s="336"/>
      <c r="AB51" s="337"/>
      <c r="AC51" s="338"/>
      <c r="AD51" s="383">
        <f t="shared" si="9"/>
        <v>528915</v>
      </c>
      <c r="AE51" s="339"/>
      <c r="AF51" s="384">
        <f t="shared" si="14"/>
        <v>0</v>
      </c>
      <c r="AG51" s="336"/>
      <c r="AH51" s="329"/>
      <c r="AI51" s="330"/>
      <c r="AJ51" s="375">
        <f t="shared" si="10"/>
        <v>376533</v>
      </c>
      <c r="AK51" s="331"/>
      <c r="AL51" s="377">
        <f t="shared" si="15"/>
        <v>0</v>
      </c>
      <c r="AM51" s="336"/>
      <c r="AN51" s="336"/>
      <c r="AO51" s="336"/>
      <c r="AP51" s="340"/>
      <c r="AQ51" s="341"/>
      <c r="AR51" s="341"/>
      <c r="AS51" s="386">
        <f t="shared" si="12"/>
        <v>208871</v>
      </c>
      <c r="AT51" s="342"/>
      <c r="AU51" s="389">
        <f t="shared" si="4"/>
        <v>0</v>
      </c>
      <c r="AW51" s="343"/>
      <c r="AX51" s="344"/>
      <c r="AY51" s="344"/>
      <c r="AZ51" s="436">
        <f t="shared" si="5"/>
        <v>0</v>
      </c>
      <c r="BA51" s="438">
        <f t="shared" si="6"/>
        <v>0</v>
      </c>
    </row>
    <row r="52" spans="1:53">
      <c r="A52" s="412"/>
      <c r="B52" s="413"/>
      <c r="C52" s="404"/>
      <c r="E52" s="326"/>
      <c r="F52" s="327"/>
      <c r="G52" s="327"/>
      <c r="H52" s="371">
        <f t="shared" si="7"/>
        <v>341717</v>
      </c>
      <c r="I52" s="372">
        <f t="shared" si="8"/>
        <v>0</v>
      </c>
      <c r="K52" s="414"/>
      <c r="L52" s="415"/>
      <c r="M52" s="428">
        <f t="shared" si="13"/>
        <v>975218</v>
      </c>
      <c r="N52" s="416"/>
      <c r="O52" s="430">
        <f t="shared" si="0"/>
        <v>0</v>
      </c>
      <c r="P52" s="328"/>
      <c r="R52" s="417"/>
      <c r="S52" s="418"/>
      <c r="T52" s="419"/>
      <c r="U52" s="419"/>
      <c r="V52" s="419"/>
      <c r="W52" s="419"/>
      <c r="X52" s="419"/>
      <c r="Y52" s="432">
        <f t="shared" si="1"/>
        <v>5000000</v>
      </c>
      <c r="Z52" s="420"/>
      <c r="AA52" s="336"/>
      <c r="AB52" s="337"/>
      <c r="AC52" s="338"/>
      <c r="AD52" s="383">
        <f t="shared" si="9"/>
        <v>528915</v>
      </c>
      <c r="AE52" s="339"/>
      <c r="AF52" s="384">
        <f t="shared" si="14"/>
        <v>0</v>
      </c>
      <c r="AG52" s="336"/>
      <c r="AH52" s="329"/>
      <c r="AI52" s="330"/>
      <c r="AJ52" s="375">
        <f t="shared" si="10"/>
        <v>376533</v>
      </c>
      <c r="AK52" s="331"/>
      <c r="AL52" s="377">
        <f t="shared" si="15"/>
        <v>0</v>
      </c>
      <c r="AM52" s="336"/>
      <c r="AN52" s="336"/>
      <c r="AO52" s="336"/>
      <c r="AP52" s="340"/>
      <c r="AQ52" s="341"/>
      <c r="AR52" s="341"/>
      <c r="AS52" s="386">
        <f t="shared" si="12"/>
        <v>208871</v>
      </c>
      <c r="AT52" s="342"/>
      <c r="AU52" s="389">
        <f t="shared" si="4"/>
        <v>0</v>
      </c>
      <c r="AW52" s="343"/>
      <c r="AX52" s="344"/>
      <c r="AY52" s="344"/>
      <c r="AZ52" s="435">
        <f t="shared" si="5"/>
        <v>0</v>
      </c>
      <c r="BA52" s="438">
        <f t="shared" si="6"/>
        <v>0</v>
      </c>
    </row>
    <row r="53" spans="1:53">
      <c r="A53" s="412"/>
      <c r="B53" s="413"/>
      <c r="C53" s="404"/>
      <c r="E53" s="326"/>
      <c r="F53" s="327"/>
      <c r="G53" s="327"/>
      <c r="H53" s="371">
        <f t="shared" si="7"/>
        <v>341717</v>
      </c>
      <c r="I53" s="372">
        <f t="shared" si="8"/>
        <v>0</v>
      </c>
      <c r="K53" s="414"/>
      <c r="L53" s="415"/>
      <c r="M53" s="428">
        <f t="shared" si="13"/>
        <v>975218</v>
      </c>
      <c r="N53" s="416"/>
      <c r="O53" s="430">
        <f t="shared" si="0"/>
        <v>0</v>
      </c>
      <c r="P53" s="328"/>
      <c r="R53" s="417"/>
      <c r="S53" s="418"/>
      <c r="T53" s="419"/>
      <c r="U53" s="419"/>
      <c r="V53" s="419"/>
      <c r="W53" s="419"/>
      <c r="X53" s="419"/>
      <c r="Y53" s="432">
        <f t="shared" si="1"/>
        <v>5000000</v>
      </c>
      <c r="Z53" s="420"/>
      <c r="AA53" s="336"/>
      <c r="AB53" s="337"/>
      <c r="AC53" s="338"/>
      <c r="AD53" s="383">
        <f t="shared" si="9"/>
        <v>528915</v>
      </c>
      <c r="AE53" s="339"/>
      <c r="AF53" s="384">
        <f t="shared" si="14"/>
        <v>0</v>
      </c>
      <c r="AG53" s="336"/>
      <c r="AH53" s="329"/>
      <c r="AI53" s="330"/>
      <c r="AJ53" s="375">
        <f t="shared" si="10"/>
        <v>376533</v>
      </c>
      <c r="AK53" s="331"/>
      <c r="AL53" s="377">
        <f t="shared" si="15"/>
        <v>0</v>
      </c>
      <c r="AM53" s="336"/>
      <c r="AN53" s="336"/>
      <c r="AO53" s="336"/>
      <c r="AP53" s="340"/>
      <c r="AQ53" s="341"/>
      <c r="AR53" s="341"/>
      <c r="AS53" s="386">
        <f t="shared" si="12"/>
        <v>208871</v>
      </c>
      <c r="AT53" s="342"/>
      <c r="AU53" s="389">
        <f t="shared" si="4"/>
        <v>0</v>
      </c>
      <c r="AW53" s="343"/>
      <c r="AX53" s="344"/>
      <c r="AY53" s="344"/>
      <c r="AZ53" s="435">
        <f t="shared" si="5"/>
        <v>0</v>
      </c>
      <c r="BA53" s="438">
        <f t="shared" si="6"/>
        <v>0</v>
      </c>
    </row>
    <row r="54" spans="1:53">
      <c r="A54" s="412"/>
      <c r="B54" s="413"/>
      <c r="C54" s="404"/>
      <c r="E54" s="326"/>
      <c r="F54" s="327"/>
      <c r="G54" s="327"/>
      <c r="H54" s="371">
        <f t="shared" si="7"/>
        <v>341717</v>
      </c>
      <c r="I54" s="372">
        <f t="shared" si="8"/>
        <v>0</v>
      </c>
      <c r="K54" s="414"/>
      <c r="L54" s="415"/>
      <c r="M54" s="428">
        <f t="shared" si="13"/>
        <v>975218</v>
      </c>
      <c r="N54" s="416"/>
      <c r="O54" s="430">
        <f t="shared" si="0"/>
        <v>0</v>
      </c>
      <c r="P54" s="328"/>
      <c r="R54" s="417"/>
      <c r="S54" s="418"/>
      <c r="T54" s="419"/>
      <c r="U54" s="419"/>
      <c r="V54" s="419"/>
      <c r="W54" s="419"/>
      <c r="X54" s="419"/>
      <c r="Y54" s="432">
        <f t="shared" si="1"/>
        <v>5000000</v>
      </c>
      <c r="Z54" s="420"/>
      <c r="AA54" s="336"/>
      <c r="AB54" s="337"/>
      <c r="AC54" s="338"/>
      <c r="AD54" s="383">
        <f t="shared" si="9"/>
        <v>528915</v>
      </c>
      <c r="AE54" s="339"/>
      <c r="AF54" s="384">
        <f t="shared" si="14"/>
        <v>0</v>
      </c>
      <c r="AG54" s="336"/>
      <c r="AH54" s="329"/>
      <c r="AI54" s="330"/>
      <c r="AJ54" s="375">
        <f t="shared" si="10"/>
        <v>376533</v>
      </c>
      <c r="AK54" s="331"/>
      <c r="AL54" s="377">
        <f t="shared" si="15"/>
        <v>0</v>
      </c>
      <c r="AM54" s="336"/>
      <c r="AN54" s="336"/>
      <c r="AO54" s="336"/>
      <c r="AP54" s="340"/>
      <c r="AQ54" s="341"/>
      <c r="AR54" s="341"/>
      <c r="AS54" s="386">
        <f t="shared" si="12"/>
        <v>208871</v>
      </c>
      <c r="AT54" s="342"/>
      <c r="AU54" s="389">
        <f t="shared" si="4"/>
        <v>0</v>
      </c>
      <c r="AW54" s="343"/>
      <c r="AX54" s="344"/>
      <c r="AY54" s="344"/>
      <c r="AZ54" s="435">
        <f t="shared" si="5"/>
        <v>0</v>
      </c>
      <c r="BA54" s="438">
        <f t="shared" si="6"/>
        <v>0</v>
      </c>
    </row>
    <row r="55" spans="1:53">
      <c r="A55" s="412"/>
      <c r="B55" s="413"/>
      <c r="C55" s="404"/>
      <c r="E55" s="326"/>
      <c r="F55" s="327"/>
      <c r="G55" s="327"/>
      <c r="H55" s="371">
        <f t="shared" si="7"/>
        <v>341717</v>
      </c>
      <c r="I55" s="372">
        <f t="shared" si="8"/>
        <v>0</v>
      </c>
      <c r="K55" s="414"/>
      <c r="L55" s="415"/>
      <c r="M55" s="428">
        <f t="shared" si="13"/>
        <v>975218</v>
      </c>
      <c r="N55" s="416"/>
      <c r="O55" s="430">
        <f t="shared" si="0"/>
        <v>0</v>
      </c>
      <c r="P55" s="328"/>
      <c r="R55" s="417"/>
      <c r="S55" s="418"/>
      <c r="T55" s="419"/>
      <c r="U55" s="419"/>
      <c r="V55" s="419"/>
      <c r="W55" s="419"/>
      <c r="X55" s="419"/>
      <c r="Y55" s="432">
        <f t="shared" si="1"/>
        <v>5000000</v>
      </c>
      <c r="Z55" s="420"/>
      <c r="AA55" s="336"/>
      <c r="AB55" s="337"/>
      <c r="AC55" s="338"/>
      <c r="AD55" s="383">
        <f t="shared" si="9"/>
        <v>528915</v>
      </c>
      <c r="AE55" s="339"/>
      <c r="AF55" s="384">
        <f t="shared" si="14"/>
        <v>0</v>
      </c>
      <c r="AG55" s="336"/>
      <c r="AH55" s="329"/>
      <c r="AI55" s="330"/>
      <c r="AJ55" s="375">
        <f t="shared" si="10"/>
        <v>376533</v>
      </c>
      <c r="AK55" s="331"/>
      <c r="AL55" s="377">
        <f t="shared" si="15"/>
        <v>0</v>
      </c>
      <c r="AM55" s="336"/>
      <c r="AN55" s="336"/>
      <c r="AO55" s="336"/>
      <c r="AP55" s="340"/>
      <c r="AQ55" s="341"/>
      <c r="AR55" s="341"/>
      <c r="AS55" s="386">
        <f t="shared" si="12"/>
        <v>208871</v>
      </c>
      <c r="AT55" s="342"/>
      <c r="AU55" s="389">
        <f t="shared" si="4"/>
        <v>0</v>
      </c>
      <c r="AW55" s="343"/>
      <c r="AX55" s="344"/>
      <c r="AY55" s="344"/>
      <c r="AZ55" s="435">
        <f t="shared" si="5"/>
        <v>0</v>
      </c>
      <c r="BA55" s="438">
        <f t="shared" si="6"/>
        <v>0</v>
      </c>
    </row>
    <row r="56" spans="1:53">
      <c r="A56" s="412"/>
      <c r="B56" s="413"/>
      <c r="C56" s="404"/>
      <c r="E56" s="326"/>
      <c r="F56" s="327"/>
      <c r="G56" s="327"/>
      <c r="H56" s="371">
        <f t="shared" si="7"/>
        <v>341717</v>
      </c>
      <c r="I56" s="372">
        <f t="shared" si="8"/>
        <v>0</v>
      </c>
      <c r="K56" s="414"/>
      <c r="L56" s="415"/>
      <c r="M56" s="428">
        <f t="shared" si="13"/>
        <v>975218</v>
      </c>
      <c r="N56" s="416"/>
      <c r="O56" s="430">
        <f t="shared" si="0"/>
        <v>0</v>
      </c>
      <c r="P56" s="328"/>
      <c r="R56" s="417"/>
      <c r="S56" s="418"/>
      <c r="T56" s="419"/>
      <c r="U56" s="419"/>
      <c r="V56" s="419"/>
      <c r="W56" s="419"/>
      <c r="X56" s="419"/>
      <c r="Y56" s="432">
        <f t="shared" si="1"/>
        <v>5000000</v>
      </c>
      <c r="Z56" s="420"/>
      <c r="AA56" s="336"/>
      <c r="AB56" s="337"/>
      <c r="AC56" s="338"/>
      <c r="AD56" s="383">
        <f t="shared" si="9"/>
        <v>528915</v>
      </c>
      <c r="AE56" s="339"/>
      <c r="AF56" s="384">
        <f t="shared" si="14"/>
        <v>0</v>
      </c>
      <c r="AG56" s="336"/>
      <c r="AH56" s="329"/>
      <c r="AI56" s="330"/>
      <c r="AJ56" s="375">
        <f t="shared" si="10"/>
        <v>376533</v>
      </c>
      <c r="AK56" s="331"/>
      <c r="AL56" s="377">
        <f t="shared" si="15"/>
        <v>0</v>
      </c>
      <c r="AM56" s="336"/>
      <c r="AN56" s="336"/>
      <c r="AO56" s="336"/>
      <c r="AP56" s="340"/>
      <c r="AQ56" s="341"/>
      <c r="AR56" s="341"/>
      <c r="AS56" s="386">
        <f t="shared" si="12"/>
        <v>208871</v>
      </c>
      <c r="AT56" s="342"/>
      <c r="AU56" s="389">
        <f t="shared" si="4"/>
        <v>0</v>
      </c>
      <c r="AW56" s="343"/>
      <c r="AX56" s="344"/>
      <c r="AY56" s="344"/>
      <c r="AZ56" s="435">
        <f t="shared" si="5"/>
        <v>0</v>
      </c>
      <c r="BA56" s="438">
        <f t="shared" si="6"/>
        <v>0</v>
      </c>
    </row>
    <row r="57" spans="1:53">
      <c r="A57" s="412"/>
      <c r="B57" s="413"/>
      <c r="C57" s="404"/>
      <c r="E57" s="326"/>
      <c r="F57" s="327"/>
      <c r="G57" s="327"/>
      <c r="H57" s="371">
        <f t="shared" si="7"/>
        <v>341717</v>
      </c>
      <c r="I57" s="372">
        <f t="shared" si="8"/>
        <v>0</v>
      </c>
      <c r="K57" s="414"/>
      <c r="L57" s="415"/>
      <c r="M57" s="428">
        <f t="shared" si="13"/>
        <v>975218</v>
      </c>
      <c r="N57" s="416"/>
      <c r="O57" s="430">
        <f t="shared" si="0"/>
        <v>0</v>
      </c>
      <c r="P57" s="328"/>
      <c r="R57" s="417"/>
      <c r="S57" s="418"/>
      <c r="T57" s="419"/>
      <c r="U57" s="419"/>
      <c r="V57" s="419"/>
      <c r="W57" s="419"/>
      <c r="X57" s="419"/>
      <c r="Y57" s="432">
        <f t="shared" si="1"/>
        <v>5000000</v>
      </c>
      <c r="Z57" s="420"/>
      <c r="AA57" s="336"/>
      <c r="AB57" s="337"/>
      <c r="AC57" s="338"/>
      <c r="AD57" s="383">
        <f t="shared" si="9"/>
        <v>528915</v>
      </c>
      <c r="AE57" s="339"/>
      <c r="AF57" s="384">
        <f t="shared" si="14"/>
        <v>0</v>
      </c>
      <c r="AG57" s="336"/>
      <c r="AH57" s="329"/>
      <c r="AI57" s="330"/>
      <c r="AJ57" s="375">
        <f t="shared" si="10"/>
        <v>376533</v>
      </c>
      <c r="AK57" s="331"/>
      <c r="AL57" s="377">
        <f t="shared" si="15"/>
        <v>0</v>
      </c>
      <c r="AM57" s="336"/>
      <c r="AN57" s="336"/>
      <c r="AO57" s="336"/>
      <c r="AP57" s="340"/>
      <c r="AQ57" s="341"/>
      <c r="AR57" s="341"/>
      <c r="AS57" s="386">
        <f t="shared" si="12"/>
        <v>208871</v>
      </c>
      <c r="AT57" s="342"/>
      <c r="AU57" s="389">
        <f t="shared" si="4"/>
        <v>0</v>
      </c>
      <c r="AW57" s="343"/>
      <c r="AX57" s="344"/>
      <c r="AY57" s="344"/>
      <c r="AZ57" s="435">
        <f t="shared" si="5"/>
        <v>0</v>
      </c>
      <c r="BA57" s="438">
        <f t="shared" si="6"/>
        <v>0</v>
      </c>
    </row>
    <row r="58" spans="1:53">
      <c r="A58" s="412"/>
      <c r="B58" s="413"/>
      <c r="C58" s="404"/>
      <c r="E58" s="326"/>
      <c r="F58" s="327"/>
      <c r="G58" s="327"/>
      <c r="H58" s="371">
        <f t="shared" si="7"/>
        <v>341717</v>
      </c>
      <c r="I58" s="372">
        <f t="shared" si="8"/>
        <v>0</v>
      </c>
      <c r="K58" s="414"/>
      <c r="L58" s="415"/>
      <c r="M58" s="428">
        <f t="shared" si="13"/>
        <v>975218</v>
      </c>
      <c r="N58" s="416"/>
      <c r="O58" s="430">
        <f t="shared" si="0"/>
        <v>0</v>
      </c>
      <c r="P58" s="328"/>
      <c r="R58" s="417"/>
      <c r="S58" s="418"/>
      <c r="T58" s="419"/>
      <c r="U58" s="419"/>
      <c r="V58" s="419"/>
      <c r="W58" s="419"/>
      <c r="X58" s="419"/>
      <c r="Y58" s="432">
        <f t="shared" si="1"/>
        <v>5000000</v>
      </c>
      <c r="Z58" s="420"/>
      <c r="AA58" s="336"/>
      <c r="AB58" s="337"/>
      <c r="AC58" s="338"/>
      <c r="AD58" s="383">
        <f t="shared" si="9"/>
        <v>528915</v>
      </c>
      <c r="AE58" s="339"/>
      <c r="AF58" s="384">
        <f t="shared" si="14"/>
        <v>0</v>
      </c>
      <c r="AG58" s="336"/>
      <c r="AH58" s="329"/>
      <c r="AI58" s="330"/>
      <c r="AJ58" s="375">
        <f t="shared" si="10"/>
        <v>376533</v>
      </c>
      <c r="AK58" s="331"/>
      <c r="AL58" s="377">
        <f t="shared" si="15"/>
        <v>0</v>
      </c>
      <c r="AM58" s="336"/>
      <c r="AN58" s="336"/>
      <c r="AO58" s="336"/>
      <c r="AP58" s="340"/>
      <c r="AQ58" s="341"/>
      <c r="AR58" s="341"/>
      <c r="AS58" s="386">
        <f t="shared" si="12"/>
        <v>208871</v>
      </c>
      <c r="AT58" s="342"/>
      <c r="AU58" s="389">
        <f t="shared" si="4"/>
        <v>0</v>
      </c>
      <c r="AW58" s="343"/>
      <c r="AX58" s="344"/>
      <c r="AY58" s="344"/>
      <c r="AZ58" s="435">
        <f t="shared" si="5"/>
        <v>0</v>
      </c>
      <c r="BA58" s="438">
        <f t="shared" si="6"/>
        <v>0</v>
      </c>
    </row>
    <row r="59" spans="1:53">
      <c r="A59" s="412"/>
      <c r="B59" s="413"/>
      <c r="C59" s="404"/>
      <c r="E59" s="326"/>
      <c r="F59" s="327"/>
      <c r="G59" s="327"/>
      <c r="H59" s="371">
        <f t="shared" si="7"/>
        <v>341717</v>
      </c>
      <c r="I59" s="372">
        <f t="shared" si="8"/>
        <v>0</v>
      </c>
      <c r="K59" s="414"/>
      <c r="L59" s="415"/>
      <c r="M59" s="428">
        <f t="shared" si="13"/>
        <v>975218</v>
      </c>
      <c r="N59" s="416"/>
      <c r="O59" s="430">
        <f t="shared" si="0"/>
        <v>0</v>
      </c>
      <c r="P59" s="328"/>
      <c r="R59" s="417"/>
      <c r="S59" s="418"/>
      <c r="T59" s="419"/>
      <c r="U59" s="419"/>
      <c r="V59" s="419"/>
      <c r="W59" s="419"/>
      <c r="X59" s="419"/>
      <c r="Y59" s="432">
        <f t="shared" si="1"/>
        <v>5000000</v>
      </c>
      <c r="Z59" s="420"/>
      <c r="AA59" s="336"/>
      <c r="AB59" s="337"/>
      <c r="AC59" s="338"/>
      <c r="AD59" s="383">
        <f t="shared" si="9"/>
        <v>528915</v>
      </c>
      <c r="AE59" s="339"/>
      <c r="AF59" s="384">
        <f t="shared" si="14"/>
        <v>0</v>
      </c>
      <c r="AG59" s="336"/>
      <c r="AH59" s="329"/>
      <c r="AI59" s="330"/>
      <c r="AJ59" s="375">
        <f t="shared" si="10"/>
        <v>376533</v>
      </c>
      <c r="AK59" s="331"/>
      <c r="AL59" s="377">
        <f t="shared" si="15"/>
        <v>0</v>
      </c>
      <c r="AM59" s="336"/>
      <c r="AN59" s="336"/>
      <c r="AO59" s="336"/>
      <c r="AP59" s="340"/>
      <c r="AQ59" s="341"/>
      <c r="AR59" s="341"/>
      <c r="AS59" s="386">
        <f t="shared" si="12"/>
        <v>208871</v>
      </c>
      <c r="AT59" s="342"/>
      <c r="AU59" s="389">
        <f t="shared" si="4"/>
        <v>0</v>
      </c>
      <c r="AW59" s="343"/>
      <c r="AX59" s="344"/>
      <c r="AY59" s="344"/>
      <c r="AZ59" s="435">
        <f t="shared" si="5"/>
        <v>0</v>
      </c>
      <c r="BA59" s="438">
        <f t="shared" si="6"/>
        <v>0</v>
      </c>
    </row>
    <row r="60" spans="1:53">
      <c r="A60" s="412"/>
      <c r="B60" s="413"/>
      <c r="C60" s="404"/>
      <c r="E60" s="326"/>
      <c r="F60" s="327"/>
      <c r="G60" s="327"/>
      <c r="H60" s="371">
        <f t="shared" si="7"/>
        <v>341717</v>
      </c>
      <c r="I60" s="372">
        <f t="shared" si="8"/>
        <v>0</v>
      </c>
      <c r="K60" s="414"/>
      <c r="L60" s="415"/>
      <c r="M60" s="428">
        <f t="shared" si="13"/>
        <v>975218</v>
      </c>
      <c r="N60" s="416"/>
      <c r="O60" s="430">
        <f t="shared" si="0"/>
        <v>0</v>
      </c>
      <c r="P60" s="328"/>
      <c r="R60" s="417"/>
      <c r="S60" s="418"/>
      <c r="T60" s="419"/>
      <c r="U60" s="419"/>
      <c r="V60" s="419"/>
      <c r="W60" s="419"/>
      <c r="X60" s="419"/>
      <c r="Y60" s="432">
        <f t="shared" si="1"/>
        <v>5000000</v>
      </c>
      <c r="Z60" s="420"/>
      <c r="AA60" s="336"/>
      <c r="AB60" s="337"/>
      <c r="AC60" s="338"/>
      <c r="AD60" s="383">
        <f t="shared" si="9"/>
        <v>528915</v>
      </c>
      <c r="AE60" s="339"/>
      <c r="AF60" s="384">
        <f t="shared" si="14"/>
        <v>0</v>
      </c>
      <c r="AG60" s="336"/>
      <c r="AH60" s="329"/>
      <c r="AI60" s="330"/>
      <c r="AJ60" s="375">
        <f t="shared" si="10"/>
        <v>376533</v>
      </c>
      <c r="AK60" s="331"/>
      <c r="AL60" s="377">
        <f t="shared" si="15"/>
        <v>0</v>
      </c>
      <c r="AM60" s="336"/>
      <c r="AN60" s="336"/>
      <c r="AO60" s="336"/>
      <c r="AP60" s="340"/>
      <c r="AQ60" s="341"/>
      <c r="AR60" s="341"/>
      <c r="AS60" s="386">
        <f t="shared" si="12"/>
        <v>208871</v>
      </c>
      <c r="AT60" s="342"/>
      <c r="AU60" s="389">
        <f t="shared" si="4"/>
        <v>0</v>
      </c>
      <c r="AW60" s="343"/>
      <c r="AX60" s="344"/>
      <c r="AY60" s="344"/>
      <c r="AZ60" s="435">
        <f t="shared" si="5"/>
        <v>0</v>
      </c>
      <c r="BA60" s="438">
        <f t="shared" si="6"/>
        <v>0</v>
      </c>
    </row>
    <row r="61" spans="1:53">
      <c r="A61" s="412"/>
      <c r="B61" s="413"/>
      <c r="C61" s="404"/>
      <c r="E61" s="326"/>
      <c r="F61" s="327"/>
      <c r="G61" s="327"/>
      <c r="H61" s="371">
        <f t="shared" si="7"/>
        <v>341717</v>
      </c>
      <c r="I61" s="372">
        <f t="shared" si="8"/>
        <v>0</v>
      </c>
      <c r="K61" s="414"/>
      <c r="L61" s="415"/>
      <c r="M61" s="428">
        <f t="shared" si="13"/>
        <v>975218</v>
      </c>
      <c r="N61" s="416"/>
      <c r="O61" s="430">
        <f t="shared" si="0"/>
        <v>0</v>
      </c>
      <c r="P61" s="328"/>
      <c r="R61" s="417"/>
      <c r="S61" s="418"/>
      <c r="T61" s="419"/>
      <c r="U61" s="419"/>
      <c r="V61" s="419"/>
      <c r="W61" s="419"/>
      <c r="X61" s="419"/>
      <c r="Y61" s="432">
        <f t="shared" si="1"/>
        <v>5000000</v>
      </c>
      <c r="Z61" s="420"/>
      <c r="AA61" s="336"/>
      <c r="AB61" s="337"/>
      <c r="AC61" s="338"/>
      <c r="AD61" s="383">
        <f t="shared" si="9"/>
        <v>528915</v>
      </c>
      <c r="AE61" s="339"/>
      <c r="AF61" s="384">
        <f t="shared" si="14"/>
        <v>0</v>
      </c>
      <c r="AG61" s="336"/>
      <c r="AH61" s="329"/>
      <c r="AI61" s="330"/>
      <c r="AJ61" s="375">
        <f t="shared" si="10"/>
        <v>376533</v>
      </c>
      <c r="AK61" s="331"/>
      <c r="AL61" s="377">
        <f t="shared" si="15"/>
        <v>0</v>
      </c>
      <c r="AM61" s="336"/>
      <c r="AN61" s="336"/>
      <c r="AO61" s="336"/>
      <c r="AP61" s="340"/>
      <c r="AQ61" s="341"/>
      <c r="AR61" s="341"/>
      <c r="AS61" s="386">
        <f t="shared" si="12"/>
        <v>208871</v>
      </c>
      <c r="AT61" s="342"/>
      <c r="AU61" s="389">
        <f t="shared" si="4"/>
        <v>0</v>
      </c>
      <c r="AW61" s="343"/>
      <c r="AX61" s="344"/>
      <c r="AY61" s="344"/>
      <c r="AZ61" s="435">
        <f t="shared" si="5"/>
        <v>0</v>
      </c>
      <c r="BA61" s="438">
        <f t="shared" si="6"/>
        <v>0</v>
      </c>
    </row>
    <row r="62" spans="1:53">
      <c r="A62" s="412"/>
      <c r="B62" s="413"/>
      <c r="C62" s="404"/>
      <c r="E62" s="326"/>
      <c r="F62" s="327"/>
      <c r="G62" s="327"/>
      <c r="H62" s="371">
        <f t="shared" si="7"/>
        <v>341717</v>
      </c>
      <c r="I62" s="372">
        <f t="shared" si="8"/>
        <v>0</v>
      </c>
      <c r="K62" s="414"/>
      <c r="L62" s="415"/>
      <c r="M62" s="428">
        <f t="shared" si="13"/>
        <v>975218</v>
      </c>
      <c r="N62" s="416"/>
      <c r="O62" s="430">
        <f t="shared" si="0"/>
        <v>0</v>
      </c>
      <c r="P62" s="328"/>
      <c r="R62" s="417"/>
      <c r="S62" s="418"/>
      <c r="T62" s="419"/>
      <c r="U62" s="419"/>
      <c r="V62" s="419"/>
      <c r="W62" s="419"/>
      <c r="X62" s="419"/>
      <c r="Y62" s="432">
        <f t="shared" si="1"/>
        <v>5000000</v>
      </c>
      <c r="Z62" s="420"/>
      <c r="AA62" s="336"/>
      <c r="AB62" s="337"/>
      <c r="AC62" s="338"/>
      <c r="AD62" s="383">
        <f t="shared" si="9"/>
        <v>528915</v>
      </c>
      <c r="AE62" s="339"/>
      <c r="AF62" s="384">
        <f t="shared" si="14"/>
        <v>0</v>
      </c>
      <c r="AG62" s="336"/>
      <c r="AH62" s="329"/>
      <c r="AI62" s="330"/>
      <c r="AJ62" s="375">
        <f t="shared" si="10"/>
        <v>376533</v>
      </c>
      <c r="AK62" s="331"/>
      <c r="AL62" s="377">
        <f t="shared" si="15"/>
        <v>0</v>
      </c>
      <c r="AM62" s="336"/>
      <c r="AN62" s="336"/>
      <c r="AO62" s="336"/>
      <c r="AP62" s="340"/>
      <c r="AQ62" s="341"/>
      <c r="AR62" s="341"/>
      <c r="AS62" s="386">
        <f t="shared" si="12"/>
        <v>208871</v>
      </c>
      <c r="AT62" s="342"/>
      <c r="AU62" s="389">
        <f t="shared" si="4"/>
        <v>0</v>
      </c>
      <c r="AW62" s="343"/>
      <c r="AX62" s="344"/>
      <c r="AY62" s="344"/>
      <c r="AZ62" s="435">
        <f t="shared" si="5"/>
        <v>0</v>
      </c>
      <c r="BA62" s="438">
        <f t="shared" si="6"/>
        <v>0</v>
      </c>
    </row>
    <row r="63" spans="1:53">
      <c r="A63" s="412"/>
      <c r="B63" s="413"/>
      <c r="C63" s="404"/>
      <c r="E63" s="326"/>
      <c r="F63" s="327"/>
      <c r="G63" s="327"/>
      <c r="H63" s="371">
        <f t="shared" si="7"/>
        <v>341717</v>
      </c>
      <c r="I63" s="372">
        <f t="shared" si="8"/>
        <v>0</v>
      </c>
      <c r="K63" s="414"/>
      <c r="L63" s="415"/>
      <c r="M63" s="428">
        <f t="shared" si="13"/>
        <v>975218</v>
      </c>
      <c r="N63" s="416"/>
      <c r="O63" s="430">
        <f t="shared" si="0"/>
        <v>0</v>
      </c>
      <c r="P63" s="328"/>
      <c r="R63" s="417"/>
      <c r="S63" s="418"/>
      <c r="T63" s="419"/>
      <c r="U63" s="419"/>
      <c r="V63" s="419"/>
      <c r="W63" s="419"/>
      <c r="X63" s="419"/>
      <c r="Y63" s="432">
        <f t="shared" si="1"/>
        <v>5000000</v>
      </c>
      <c r="Z63" s="420"/>
      <c r="AA63" s="336"/>
      <c r="AB63" s="337"/>
      <c r="AC63" s="338"/>
      <c r="AD63" s="383">
        <f t="shared" si="9"/>
        <v>528915</v>
      </c>
      <c r="AE63" s="339"/>
      <c r="AF63" s="384">
        <f t="shared" si="14"/>
        <v>0</v>
      </c>
      <c r="AG63" s="336"/>
      <c r="AH63" s="329"/>
      <c r="AI63" s="330"/>
      <c r="AJ63" s="375">
        <f t="shared" si="10"/>
        <v>376533</v>
      </c>
      <c r="AK63" s="331"/>
      <c r="AL63" s="377">
        <f t="shared" si="15"/>
        <v>0</v>
      </c>
      <c r="AM63" s="336"/>
      <c r="AN63" s="336"/>
      <c r="AO63" s="336"/>
      <c r="AP63" s="340"/>
      <c r="AQ63" s="341"/>
      <c r="AR63" s="341"/>
      <c r="AS63" s="386">
        <f t="shared" si="12"/>
        <v>208871</v>
      </c>
      <c r="AT63" s="342"/>
      <c r="AU63" s="389">
        <f t="shared" si="4"/>
        <v>0</v>
      </c>
      <c r="AW63" s="343"/>
      <c r="AX63" s="344"/>
      <c r="AY63" s="344"/>
      <c r="AZ63" s="435">
        <f t="shared" si="5"/>
        <v>0</v>
      </c>
      <c r="BA63" s="438">
        <f t="shared" si="6"/>
        <v>0</v>
      </c>
    </row>
    <row r="64" spans="1:53">
      <c r="A64" s="412"/>
      <c r="B64" s="413"/>
      <c r="C64" s="404"/>
      <c r="E64" s="326"/>
      <c r="F64" s="327"/>
      <c r="G64" s="327"/>
      <c r="H64" s="371">
        <f t="shared" si="7"/>
        <v>341717</v>
      </c>
      <c r="I64" s="372">
        <f t="shared" si="8"/>
        <v>0</v>
      </c>
      <c r="K64" s="414"/>
      <c r="L64" s="415"/>
      <c r="M64" s="428">
        <f t="shared" si="13"/>
        <v>975218</v>
      </c>
      <c r="N64" s="416"/>
      <c r="O64" s="430">
        <f t="shared" si="0"/>
        <v>0</v>
      </c>
      <c r="P64" s="328"/>
      <c r="R64" s="417"/>
      <c r="S64" s="418"/>
      <c r="T64" s="419"/>
      <c r="U64" s="419"/>
      <c r="V64" s="419"/>
      <c r="W64" s="419"/>
      <c r="X64" s="419"/>
      <c r="Y64" s="432">
        <f t="shared" si="1"/>
        <v>5000000</v>
      </c>
      <c r="Z64" s="420"/>
      <c r="AA64" s="336"/>
      <c r="AB64" s="337"/>
      <c r="AC64" s="338"/>
      <c r="AD64" s="383">
        <f t="shared" si="9"/>
        <v>528915</v>
      </c>
      <c r="AE64" s="339"/>
      <c r="AF64" s="384">
        <f t="shared" si="14"/>
        <v>0</v>
      </c>
      <c r="AG64" s="336"/>
      <c r="AH64" s="329"/>
      <c r="AI64" s="330"/>
      <c r="AJ64" s="375">
        <f t="shared" si="10"/>
        <v>376533</v>
      </c>
      <c r="AK64" s="331"/>
      <c r="AL64" s="377">
        <f t="shared" si="15"/>
        <v>0</v>
      </c>
      <c r="AM64" s="336"/>
      <c r="AN64" s="336"/>
      <c r="AO64" s="336"/>
      <c r="AP64" s="340"/>
      <c r="AQ64" s="341"/>
      <c r="AR64" s="341"/>
      <c r="AS64" s="386">
        <f t="shared" si="12"/>
        <v>208871</v>
      </c>
      <c r="AT64" s="342"/>
      <c r="AU64" s="389">
        <f t="shared" si="4"/>
        <v>0</v>
      </c>
      <c r="AW64" s="343"/>
      <c r="AX64" s="344"/>
      <c r="AY64" s="344"/>
      <c r="AZ64" s="435">
        <f t="shared" si="5"/>
        <v>0</v>
      </c>
      <c r="BA64" s="438">
        <f t="shared" si="6"/>
        <v>0</v>
      </c>
    </row>
    <row r="65" spans="1:53">
      <c r="A65" s="412"/>
      <c r="B65" s="413"/>
      <c r="C65" s="404"/>
      <c r="E65" s="326"/>
      <c r="F65" s="327"/>
      <c r="G65" s="327"/>
      <c r="H65" s="371">
        <f t="shared" si="7"/>
        <v>341717</v>
      </c>
      <c r="I65" s="372">
        <f t="shared" si="8"/>
        <v>0</v>
      </c>
      <c r="K65" s="414"/>
      <c r="L65" s="415"/>
      <c r="M65" s="428">
        <f t="shared" si="13"/>
        <v>975218</v>
      </c>
      <c r="N65" s="416"/>
      <c r="O65" s="430">
        <f t="shared" si="0"/>
        <v>0</v>
      </c>
      <c r="P65" s="328"/>
      <c r="R65" s="417"/>
      <c r="S65" s="418"/>
      <c r="T65" s="419"/>
      <c r="U65" s="419"/>
      <c r="V65" s="419"/>
      <c r="W65" s="419"/>
      <c r="X65" s="419"/>
      <c r="Y65" s="432">
        <f t="shared" si="1"/>
        <v>5000000</v>
      </c>
      <c r="Z65" s="420"/>
      <c r="AA65" s="336"/>
      <c r="AB65" s="337"/>
      <c r="AC65" s="338"/>
      <c r="AD65" s="383">
        <f t="shared" si="9"/>
        <v>528915</v>
      </c>
      <c r="AE65" s="339"/>
      <c r="AF65" s="384">
        <f t="shared" si="14"/>
        <v>0</v>
      </c>
      <c r="AG65" s="336"/>
      <c r="AH65" s="329"/>
      <c r="AI65" s="330"/>
      <c r="AJ65" s="375">
        <f t="shared" si="10"/>
        <v>376533</v>
      </c>
      <c r="AK65" s="331"/>
      <c r="AL65" s="377">
        <f t="shared" si="15"/>
        <v>0</v>
      </c>
      <c r="AM65" s="336"/>
      <c r="AN65" s="336"/>
      <c r="AO65" s="336"/>
      <c r="AP65" s="340"/>
      <c r="AQ65" s="341"/>
      <c r="AR65" s="341"/>
      <c r="AS65" s="386">
        <f t="shared" si="12"/>
        <v>208871</v>
      </c>
      <c r="AT65" s="342"/>
      <c r="AU65" s="389">
        <f t="shared" si="4"/>
        <v>0</v>
      </c>
      <c r="AW65" s="343"/>
      <c r="AX65" s="344"/>
      <c r="AY65" s="344"/>
      <c r="AZ65" s="435">
        <f t="shared" si="5"/>
        <v>0</v>
      </c>
      <c r="BA65" s="438">
        <f t="shared" si="6"/>
        <v>0</v>
      </c>
    </row>
    <row r="66" spans="1:53">
      <c r="A66" s="412"/>
      <c r="B66" s="413"/>
      <c r="C66" s="404"/>
      <c r="E66" s="326"/>
      <c r="F66" s="327"/>
      <c r="G66" s="327"/>
      <c r="H66" s="371">
        <f t="shared" si="7"/>
        <v>341717</v>
      </c>
      <c r="I66" s="372">
        <f t="shared" si="8"/>
        <v>0</v>
      </c>
      <c r="K66" s="414"/>
      <c r="L66" s="415"/>
      <c r="M66" s="428">
        <f t="shared" si="13"/>
        <v>975218</v>
      </c>
      <c r="N66" s="416"/>
      <c r="O66" s="430">
        <f t="shared" si="0"/>
        <v>0</v>
      </c>
      <c r="P66" s="328"/>
      <c r="R66" s="417"/>
      <c r="S66" s="418"/>
      <c r="T66" s="419"/>
      <c r="U66" s="419"/>
      <c r="V66" s="419"/>
      <c r="W66" s="419"/>
      <c r="X66" s="419"/>
      <c r="Y66" s="432">
        <f t="shared" si="1"/>
        <v>5000000</v>
      </c>
      <c r="Z66" s="420"/>
      <c r="AA66" s="336"/>
      <c r="AB66" s="337"/>
      <c r="AC66" s="338"/>
      <c r="AD66" s="383">
        <f t="shared" si="9"/>
        <v>528915</v>
      </c>
      <c r="AE66" s="339"/>
      <c r="AF66" s="384">
        <f t="shared" si="14"/>
        <v>0</v>
      </c>
      <c r="AG66" s="336"/>
      <c r="AH66" s="329"/>
      <c r="AI66" s="330"/>
      <c r="AJ66" s="375">
        <f t="shared" si="10"/>
        <v>376533</v>
      </c>
      <c r="AK66" s="331"/>
      <c r="AL66" s="377">
        <f t="shared" si="15"/>
        <v>0</v>
      </c>
      <c r="AM66" s="336"/>
      <c r="AN66" s="336"/>
      <c r="AO66" s="336"/>
      <c r="AP66" s="340"/>
      <c r="AQ66" s="341"/>
      <c r="AR66" s="341"/>
      <c r="AS66" s="386">
        <f t="shared" si="12"/>
        <v>208871</v>
      </c>
      <c r="AT66" s="342"/>
      <c r="AU66" s="389">
        <f t="shared" si="4"/>
        <v>0</v>
      </c>
      <c r="AW66" s="343"/>
      <c r="AX66" s="344"/>
      <c r="AY66" s="344"/>
      <c r="AZ66" s="435">
        <f t="shared" si="5"/>
        <v>0</v>
      </c>
      <c r="BA66" s="438">
        <f t="shared" si="6"/>
        <v>0</v>
      </c>
    </row>
    <row r="67" spans="1:53">
      <c r="A67" s="412"/>
      <c r="B67" s="413"/>
      <c r="C67" s="404"/>
      <c r="E67" s="326"/>
      <c r="F67" s="327"/>
      <c r="G67" s="327"/>
      <c r="H67" s="371">
        <f t="shared" si="7"/>
        <v>341717</v>
      </c>
      <c r="I67" s="372">
        <f t="shared" si="8"/>
        <v>0</v>
      </c>
      <c r="K67" s="414"/>
      <c r="L67" s="415"/>
      <c r="M67" s="428">
        <f t="shared" si="13"/>
        <v>975218</v>
      </c>
      <c r="N67" s="416"/>
      <c r="O67" s="430">
        <f t="shared" si="0"/>
        <v>0</v>
      </c>
      <c r="P67" s="328"/>
      <c r="R67" s="417"/>
      <c r="S67" s="418"/>
      <c r="T67" s="419"/>
      <c r="U67" s="419"/>
      <c r="V67" s="419"/>
      <c r="W67" s="419"/>
      <c r="X67" s="419"/>
      <c r="Y67" s="432">
        <f t="shared" si="1"/>
        <v>5000000</v>
      </c>
      <c r="Z67" s="420"/>
      <c r="AA67" s="336"/>
      <c r="AB67" s="337"/>
      <c r="AC67" s="338"/>
      <c r="AD67" s="383">
        <f t="shared" si="9"/>
        <v>528915</v>
      </c>
      <c r="AE67" s="339"/>
      <c r="AF67" s="384">
        <f t="shared" si="14"/>
        <v>0</v>
      </c>
      <c r="AG67" s="336"/>
      <c r="AH67" s="329"/>
      <c r="AI67" s="330"/>
      <c r="AJ67" s="375">
        <f t="shared" si="10"/>
        <v>376533</v>
      </c>
      <c r="AK67" s="331"/>
      <c r="AL67" s="377">
        <f t="shared" si="15"/>
        <v>0</v>
      </c>
      <c r="AM67" s="336"/>
      <c r="AN67" s="336"/>
      <c r="AO67" s="336"/>
      <c r="AP67" s="340"/>
      <c r="AQ67" s="341"/>
      <c r="AR67" s="341"/>
      <c r="AS67" s="386">
        <f t="shared" si="12"/>
        <v>208871</v>
      </c>
      <c r="AT67" s="342"/>
      <c r="AU67" s="389">
        <f t="shared" si="4"/>
        <v>0</v>
      </c>
      <c r="AW67" s="343"/>
      <c r="AX67" s="344"/>
      <c r="AY67" s="344"/>
      <c r="AZ67" s="435">
        <f t="shared" si="5"/>
        <v>0</v>
      </c>
      <c r="BA67" s="438">
        <f t="shared" si="6"/>
        <v>0</v>
      </c>
    </row>
    <row r="68" spans="1:53">
      <c r="A68" s="412"/>
      <c r="B68" s="413"/>
      <c r="C68" s="404"/>
      <c r="E68" s="326"/>
      <c r="F68" s="327"/>
      <c r="G68" s="327"/>
      <c r="H68" s="371">
        <f t="shared" si="7"/>
        <v>341717</v>
      </c>
      <c r="I68" s="372">
        <f t="shared" si="8"/>
        <v>0</v>
      </c>
      <c r="K68" s="414"/>
      <c r="L68" s="415"/>
      <c r="M68" s="428">
        <f t="shared" si="13"/>
        <v>975218</v>
      </c>
      <c r="N68" s="416"/>
      <c r="O68" s="430">
        <f t="shared" si="0"/>
        <v>0</v>
      </c>
      <c r="P68" s="328"/>
      <c r="R68" s="417"/>
      <c r="S68" s="418"/>
      <c r="T68" s="419"/>
      <c r="U68" s="419"/>
      <c r="V68" s="419"/>
      <c r="W68" s="419"/>
      <c r="X68" s="419"/>
      <c r="Y68" s="432">
        <f t="shared" si="1"/>
        <v>5000000</v>
      </c>
      <c r="Z68" s="420"/>
      <c r="AA68" s="336"/>
      <c r="AB68" s="337"/>
      <c r="AC68" s="338"/>
      <c r="AD68" s="383">
        <f t="shared" si="9"/>
        <v>528915</v>
      </c>
      <c r="AE68" s="339"/>
      <c r="AF68" s="384">
        <f t="shared" si="14"/>
        <v>0</v>
      </c>
      <c r="AG68" s="336"/>
      <c r="AH68" s="329"/>
      <c r="AI68" s="330"/>
      <c r="AJ68" s="375">
        <f t="shared" si="10"/>
        <v>376533</v>
      </c>
      <c r="AK68" s="331"/>
      <c r="AL68" s="377">
        <f t="shared" si="15"/>
        <v>0</v>
      </c>
      <c r="AM68" s="336"/>
      <c r="AN68" s="336"/>
      <c r="AO68" s="336"/>
      <c r="AP68" s="340"/>
      <c r="AQ68" s="341"/>
      <c r="AR68" s="341"/>
      <c r="AS68" s="386">
        <f t="shared" si="12"/>
        <v>208871</v>
      </c>
      <c r="AT68" s="342"/>
      <c r="AU68" s="389">
        <f t="shared" si="4"/>
        <v>0</v>
      </c>
      <c r="AW68" s="343"/>
      <c r="AX68" s="344"/>
      <c r="AY68" s="344"/>
      <c r="AZ68" s="435">
        <f t="shared" si="5"/>
        <v>0</v>
      </c>
      <c r="BA68" s="438">
        <f t="shared" si="6"/>
        <v>0</v>
      </c>
    </row>
    <row r="69" spans="1:53">
      <c r="A69" s="412"/>
      <c r="B69" s="413"/>
      <c r="C69" s="404"/>
      <c r="E69" s="326"/>
      <c r="F69" s="327"/>
      <c r="G69" s="327"/>
      <c r="H69" s="371">
        <f t="shared" si="7"/>
        <v>341717</v>
      </c>
      <c r="I69" s="372">
        <f t="shared" si="8"/>
        <v>0</v>
      </c>
      <c r="K69" s="414"/>
      <c r="L69" s="415"/>
      <c r="M69" s="428">
        <f t="shared" si="13"/>
        <v>975218</v>
      </c>
      <c r="N69" s="416"/>
      <c r="O69" s="430">
        <f t="shared" si="0"/>
        <v>0</v>
      </c>
      <c r="P69" s="328"/>
      <c r="R69" s="417"/>
      <c r="S69" s="418"/>
      <c r="T69" s="419"/>
      <c r="U69" s="419"/>
      <c r="V69" s="419"/>
      <c r="W69" s="419"/>
      <c r="X69" s="419"/>
      <c r="Y69" s="432">
        <f t="shared" si="1"/>
        <v>5000000</v>
      </c>
      <c r="Z69" s="420"/>
      <c r="AA69" s="336"/>
      <c r="AB69" s="337"/>
      <c r="AC69" s="338"/>
      <c r="AD69" s="383">
        <f t="shared" si="9"/>
        <v>528915</v>
      </c>
      <c r="AE69" s="339"/>
      <c r="AF69" s="384">
        <f t="shared" si="14"/>
        <v>0</v>
      </c>
      <c r="AG69" s="336"/>
      <c r="AH69" s="329"/>
      <c r="AI69" s="330"/>
      <c r="AJ69" s="375">
        <f t="shared" si="10"/>
        <v>376533</v>
      </c>
      <c r="AK69" s="331"/>
      <c r="AL69" s="377">
        <f t="shared" si="15"/>
        <v>0</v>
      </c>
      <c r="AM69" s="336"/>
      <c r="AN69" s="336"/>
      <c r="AO69" s="336"/>
      <c r="AP69" s="340"/>
      <c r="AQ69" s="341"/>
      <c r="AR69" s="341"/>
      <c r="AS69" s="386">
        <f t="shared" si="12"/>
        <v>208871</v>
      </c>
      <c r="AT69" s="342"/>
      <c r="AU69" s="389">
        <f t="shared" si="4"/>
        <v>0</v>
      </c>
      <c r="AW69" s="343"/>
      <c r="AX69" s="344"/>
      <c r="AY69" s="344"/>
      <c r="AZ69" s="435">
        <f t="shared" si="5"/>
        <v>0</v>
      </c>
      <c r="BA69" s="438">
        <f t="shared" si="6"/>
        <v>0</v>
      </c>
    </row>
    <row r="70" spans="1:53">
      <c r="A70" s="412"/>
      <c r="B70" s="413"/>
      <c r="C70" s="404"/>
      <c r="E70" s="326"/>
      <c r="F70" s="327"/>
      <c r="G70" s="327"/>
      <c r="H70" s="371">
        <f t="shared" si="7"/>
        <v>341717</v>
      </c>
      <c r="I70" s="372">
        <f t="shared" si="8"/>
        <v>0</v>
      </c>
      <c r="K70" s="414"/>
      <c r="L70" s="415"/>
      <c r="M70" s="428">
        <f t="shared" si="13"/>
        <v>975218</v>
      </c>
      <c r="N70" s="416"/>
      <c r="O70" s="430">
        <f t="shared" ref="O70:O133" si="16">N70-L70</f>
        <v>0</v>
      </c>
      <c r="P70" s="328"/>
      <c r="R70" s="417"/>
      <c r="S70" s="418"/>
      <c r="T70" s="419"/>
      <c r="U70" s="419"/>
      <c r="V70" s="419"/>
      <c r="W70" s="419"/>
      <c r="X70" s="419"/>
      <c r="Y70" s="432">
        <f t="shared" si="1"/>
        <v>5000000</v>
      </c>
      <c r="Z70" s="420"/>
      <c r="AA70" s="336"/>
      <c r="AB70" s="337"/>
      <c r="AC70" s="338"/>
      <c r="AD70" s="383">
        <f t="shared" si="9"/>
        <v>528915</v>
      </c>
      <c r="AE70" s="339"/>
      <c r="AF70" s="384">
        <f t="shared" si="14"/>
        <v>0</v>
      </c>
      <c r="AG70" s="336"/>
      <c r="AH70" s="329"/>
      <c r="AI70" s="330"/>
      <c r="AJ70" s="375">
        <f t="shared" si="10"/>
        <v>376533</v>
      </c>
      <c r="AK70" s="331"/>
      <c r="AL70" s="377">
        <f t="shared" si="15"/>
        <v>0</v>
      </c>
      <c r="AM70" s="336"/>
      <c r="AN70" s="336"/>
      <c r="AO70" s="336"/>
      <c r="AP70" s="340"/>
      <c r="AQ70" s="341"/>
      <c r="AR70" s="341"/>
      <c r="AS70" s="386">
        <f t="shared" si="12"/>
        <v>208871</v>
      </c>
      <c r="AT70" s="342"/>
      <c r="AU70" s="389">
        <f t="shared" ref="AU70:AU133" si="17">AT70-AQ70</f>
        <v>0</v>
      </c>
      <c r="AW70" s="343"/>
      <c r="AX70" s="344"/>
      <c r="AY70" s="344"/>
      <c r="AZ70" s="435">
        <f t="shared" ref="AZ70:AZ133" si="18">AZ69+AW70-AY70</f>
        <v>0</v>
      </c>
      <c r="BA70" s="438">
        <f t="shared" si="6"/>
        <v>0</v>
      </c>
    </row>
    <row r="71" spans="1:53">
      <c r="A71" s="412"/>
      <c r="B71" s="413"/>
      <c r="C71" s="404"/>
      <c r="E71" s="326"/>
      <c r="F71" s="327"/>
      <c r="G71" s="327"/>
      <c r="H71" s="371">
        <f t="shared" ref="H71:H134" si="19">H70+E71-G71</f>
        <v>341717</v>
      </c>
      <c r="I71" s="372">
        <f t="shared" ref="I71:I134" si="20">F71-G71</f>
        <v>0</v>
      </c>
      <c r="K71" s="414"/>
      <c r="L71" s="415"/>
      <c r="M71" s="428">
        <f t="shared" si="13"/>
        <v>975218</v>
      </c>
      <c r="N71" s="416"/>
      <c r="O71" s="430">
        <f t="shared" si="16"/>
        <v>0</v>
      </c>
      <c r="P71" s="328"/>
      <c r="R71" s="417"/>
      <c r="S71" s="418"/>
      <c r="T71" s="419"/>
      <c r="U71" s="419"/>
      <c r="V71" s="419"/>
      <c r="W71" s="419"/>
      <c r="X71" s="419"/>
      <c r="Y71" s="432">
        <f t="shared" ref="Y71:Y134" si="21">Y70+R71+S71-T71-U71-V71-W71+X71</f>
        <v>5000000</v>
      </c>
      <c r="Z71" s="420"/>
      <c r="AA71" s="336"/>
      <c r="AB71" s="337"/>
      <c r="AC71" s="338"/>
      <c r="AD71" s="383">
        <f t="shared" ref="AD71:AD134" si="22">AD70+AB71-AC71</f>
        <v>528915</v>
      </c>
      <c r="AE71" s="339"/>
      <c r="AF71" s="384">
        <f t="shared" si="14"/>
        <v>0</v>
      </c>
      <c r="AG71" s="336"/>
      <c r="AH71" s="329"/>
      <c r="AI71" s="330"/>
      <c r="AJ71" s="375">
        <f t="shared" ref="AJ71:AJ134" si="23">AJ70+AH71-AI71</f>
        <v>376533</v>
      </c>
      <c r="AK71" s="331"/>
      <c r="AL71" s="377">
        <f t="shared" si="15"/>
        <v>0</v>
      </c>
      <c r="AM71" s="336"/>
      <c r="AN71" s="336"/>
      <c r="AO71" s="336"/>
      <c r="AP71" s="340"/>
      <c r="AQ71" s="341"/>
      <c r="AR71" s="341"/>
      <c r="AS71" s="386">
        <f t="shared" si="12"/>
        <v>208871</v>
      </c>
      <c r="AT71" s="342"/>
      <c r="AU71" s="389">
        <f t="shared" si="17"/>
        <v>0</v>
      </c>
      <c r="AW71" s="343"/>
      <c r="AX71" s="344"/>
      <c r="AY71" s="344"/>
      <c r="AZ71" s="435">
        <f t="shared" si="18"/>
        <v>0</v>
      </c>
      <c r="BA71" s="438">
        <f t="shared" ref="BA71:BA134" si="24">AX71-AY71</f>
        <v>0</v>
      </c>
    </row>
    <row r="72" spans="1:53">
      <c r="A72" s="412"/>
      <c r="B72" s="413"/>
      <c r="C72" s="404"/>
      <c r="E72" s="326"/>
      <c r="F72" s="327"/>
      <c r="G72" s="327"/>
      <c r="H72" s="371">
        <f t="shared" si="19"/>
        <v>341717</v>
      </c>
      <c r="I72" s="372">
        <f t="shared" si="20"/>
        <v>0</v>
      </c>
      <c r="K72" s="414"/>
      <c r="L72" s="415"/>
      <c r="M72" s="428">
        <f t="shared" si="13"/>
        <v>975218</v>
      </c>
      <c r="N72" s="416"/>
      <c r="O72" s="430">
        <f t="shared" si="16"/>
        <v>0</v>
      </c>
      <c r="P72" s="328"/>
      <c r="R72" s="417"/>
      <c r="S72" s="418"/>
      <c r="T72" s="419"/>
      <c r="U72" s="419"/>
      <c r="V72" s="419"/>
      <c r="W72" s="419"/>
      <c r="X72" s="419"/>
      <c r="Y72" s="432">
        <f t="shared" si="21"/>
        <v>5000000</v>
      </c>
      <c r="Z72" s="420"/>
      <c r="AA72" s="336"/>
      <c r="AB72" s="337"/>
      <c r="AC72" s="338"/>
      <c r="AD72" s="383">
        <f t="shared" si="22"/>
        <v>528915</v>
      </c>
      <c r="AE72" s="339"/>
      <c r="AF72" s="384">
        <f t="shared" si="14"/>
        <v>0</v>
      </c>
      <c r="AG72" s="336"/>
      <c r="AH72" s="329"/>
      <c r="AI72" s="330"/>
      <c r="AJ72" s="375">
        <f t="shared" si="23"/>
        <v>376533</v>
      </c>
      <c r="AK72" s="331"/>
      <c r="AL72" s="377">
        <f t="shared" si="15"/>
        <v>0</v>
      </c>
      <c r="AM72" s="336"/>
      <c r="AN72" s="336"/>
      <c r="AO72" s="336"/>
      <c r="AP72" s="340"/>
      <c r="AQ72" s="341"/>
      <c r="AR72" s="341"/>
      <c r="AS72" s="386">
        <f t="shared" ref="AS72:AS135" si="25">AS71+AP72-AQ72+AR72</f>
        <v>208871</v>
      </c>
      <c r="AT72" s="342"/>
      <c r="AU72" s="389">
        <f t="shared" si="17"/>
        <v>0</v>
      </c>
      <c r="AW72" s="343"/>
      <c r="AX72" s="344"/>
      <c r="AY72" s="344"/>
      <c r="AZ72" s="435">
        <f t="shared" si="18"/>
        <v>0</v>
      </c>
      <c r="BA72" s="438">
        <f t="shared" si="24"/>
        <v>0</v>
      </c>
    </row>
    <row r="73" spans="1:53">
      <c r="A73" s="412"/>
      <c r="B73" s="413"/>
      <c r="C73" s="404"/>
      <c r="E73" s="326"/>
      <c r="F73" s="327"/>
      <c r="G73" s="327"/>
      <c r="H73" s="371">
        <f t="shared" si="19"/>
        <v>341717</v>
      </c>
      <c r="I73" s="372">
        <f t="shared" si="20"/>
        <v>0</v>
      </c>
      <c r="K73" s="414"/>
      <c r="L73" s="415"/>
      <c r="M73" s="428">
        <f t="shared" si="13"/>
        <v>975218</v>
      </c>
      <c r="N73" s="416"/>
      <c r="O73" s="430">
        <f t="shared" si="16"/>
        <v>0</v>
      </c>
      <c r="P73" s="328"/>
      <c r="R73" s="417"/>
      <c r="S73" s="418"/>
      <c r="T73" s="419"/>
      <c r="U73" s="419"/>
      <c r="V73" s="419"/>
      <c r="W73" s="419"/>
      <c r="X73" s="419"/>
      <c r="Y73" s="432">
        <f t="shared" si="21"/>
        <v>5000000</v>
      </c>
      <c r="Z73" s="420"/>
      <c r="AA73" s="336"/>
      <c r="AB73" s="337"/>
      <c r="AC73" s="338"/>
      <c r="AD73" s="383">
        <f t="shared" si="22"/>
        <v>528915</v>
      </c>
      <c r="AE73" s="339"/>
      <c r="AF73" s="384">
        <f t="shared" si="14"/>
        <v>0</v>
      </c>
      <c r="AG73" s="336"/>
      <c r="AH73" s="329"/>
      <c r="AI73" s="330"/>
      <c r="AJ73" s="375">
        <f t="shared" si="23"/>
        <v>376533</v>
      </c>
      <c r="AK73" s="331"/>
      <c r="AL73" s="377">
        <f t="shared" si="15"/>
        <v>0</v>
      </c>
      <c r="AM73" s="336"/>
      <c r="AN73" s="336"/>
      <c r="AO73" s="336"/>
      <c r="AP73" s="340"/>
      <c r="AQ73" s="341"/>
      <c r="AR73" s="341"/>
      <c r="AS73" s="386">
        <f t="shared" si="25"/>
        <v>208871</v>
      </c>
      <c r="AT73" s="342"/>
      <c r="AU73" s="389">
        <f t="shared" si="17"/>
        <v>0</v>
      </c>
      <c r="AW73" s="343"/>
      <c r="AX73" s="344"/>
      <c r="AY73" s="344"/>
      <c r="AZ73" s="435">
        <f t="shared" si="18"/>
        <v>0</v>
      </c>
      <c r="BA73" s="438">
        <f t="shared" si="24"/>
        <v>0</v>
      </c>
    </row>
    <row r="74" spans="1:53">
      <c r="A74" s="412"/>
      <c r="B74" s="413"/>
      <c r="C74" s="404"/>
      <c r="E74" s="326"/>
      <c r="F74" s="327"/>
      <c r="G74" s="327"/>
      <c r="H74" s="371">
        <f t="shared" si="19"/>
        <v>341717</v>
      </c>
      <c r="I74" s="372">
        <f t="shared" si="20"/>
        <v>0</v>
      </c>
      <c r="K74" s="414"/>
      <c r="L74" s="415"/>
      <c r="M74" s="428">
        <f t="shared" si="13"/>
        <v>975218</v>
      </c>
      <c r="N74" s="416"/>
      <c r="O74" s="430">
        <f t="shared" si="16"/>
        <v>0</v>
      </c>
      <c r="P74" s="328"/>
      <c r="R74" s="417"/>
      <c r="S74" s="418"/>
      <c r="T74" s="419"/>
      <c r="U74" s="419"/>
      <c r="V74" s="419"/>
      <c r="W74" s="419"/>
      <c r="X74" s="419"/>
      <c r="Y74" s="432">
        <f t="shared" si="21"/>
        <v>5000000</v>
      </c>
      <c r="Z74" s="420"/>
      <c r="AA74" s="336"/>
      <c r="AB74" s="337"/>
      <c r="AC74" s="338"/>
      <c r="AD74" s="383">
        <f t="shared" si="22"/>
        <v>528915</v>
      </c>
      <c r="AE74" s="339"/>
      <c r="AF74" s="384">
        <f t="shared" si="14"/>
        <v>0</v>
      </c>
      <c r="AG74" s="336"/>
      <c r="AH74" s="329"/>
      <c r="AI74" s="330"/>
      <c r="AJ74" s="375">
        <f t="shared" si="23"/>
        <v>376533</v>
      </c>
      <c r="AK74" s="331"/>
      <c r="AL74" s="377">
        <f t="shared" si="15"/>
        <v>0</v>
      </c>
      <c r="AM74" s="336"/>
      <c r="AN74" s="336"/>
      <c r="AO74" s="336"/>
      <c r="AP74" s="340"/>
      <c r="AQ74" s="341"/>
      <c r="AR74" s="341"/>
      <c r="AS74" s="386">
        <f t="shared" si="25"/>
        <v>208871</v>
      </c>
      <c r="AT74" s="342"/>
      <c r="AU74" s="389">
        <f t="shared" si="17"/>
        <v>0</v>
      </c>
      <c r="AW74" s="343"/>
      <c r="AX74" s="344"/>
      <c r="AY74" s="344"/>
      <c r="AZ74" s="435">
        <f t="shared" si="18"/>
        <v>0</v>
      </c>
      <c r="BA74" s="438">
        <f t="shared" si="24"/>
        <v>0</v>
      </c>
    </row>
    <row r="75" spans="1:53">
      <c r="A75" s="412"/>
      <c r="B75" s="413"/>
      <c r="C75" s="404"/>
      <c r="E75" s="326"/>
      <c r="F75" s="327"/>
      <c r="G75" s="327"/>
      <c r="H75" s="371">
        <f t="shared" si="19"/>
        <v>341717</v>
      </c>
      <c r="I75" s="372">
        <f t="shared" si="20"/>
        <v>0</v>
      </c>
      <c r="K75" s="414"/>
      <c r="L75" s="415"/>
      <c r="M75" s="428">
        <f t="shared" ref="M75:M138" si="26">SUM(M74+K75-L75)</f>
        <v>975218</v>
      </c>
      <c r="N75" s="416"/>
      <c r="O75" s="430">
        <f t="shared" si="16"/>
        <v>0</v>
      </c>
      <c r="P75" s="328"/>
      <c r="R75" s="417"/>
      <c r="S75" s="418"/>
      <c r="T75" s="419"/>
      <c r="U75" s="419"/>
      <c r="V75" s="419"/>
      <c r="W75" s="419"/>
      <c r="X75" s="419"/>
      <c r="Y75" s="432">
        <f t="shared" si="21"/>
        <v>5000000</v>
      </c>
      <c r="Z75" s="420"/>
      <c r="AA75" s="336"/>
      <c r="AB75" s="337"/>
      <c r="AC75" s="338"/>
      <c r="AD75" s="383">
        <f t="shared" si="22"/>
        <v>528915</v>
      </c>
      <c r="AE75" s="339"/>
      <c r="AF75" s="384">
        <f t="shared" si="14"/>
        <v>0</v>
      </c>
      <c r="AG75" s="336"/>
      <c r="AH75" s="329"/>
      <c r="AI75" s="330"/>
      <c r="AJ75" s="375">
        <f t="shared" si="23"/>
        <v>376533</v>
      </c>
      <c r="AK75" s="331"/>
      <c r="AL75" s="377">
        <f t="shared" si="15"/>
        <v>0</v>
      </c>
      <c r="AM75" s="336"/>
      <c r="AN75" s="336"/>
      <c r="AO75" s="336"/>
      <c r="AP75" s="340"/>
      <c r="AQ75" s="341"/>
      <c r="AR75" s="341"/>
      <c r="AS75" s="386">
        <f t="shared" si="25"/>
        <v>208871</v>
      </c>
      <c r="AT75" s="342"/>
      <c r="AU75" s="389">
        <f t="shared" si="17"/>
        <v>0</v>
      </c>
      <c r="AW75" s="343"/>
      <c r="AX75" s="344"/>
      <c r="AY75" s="344"/>
      <c r="AZ75" s="435">
        <f t="shared" si="18"/>
        <v>0</v>
      </c>
      <c r="BA75" s="438">
        <f t="shared" si="24"/>
        <v>0</v>
      </c>
    </row>
    <row r="76" spans="1:53">
      <c r="A76" s="412"/>
      <c r="B76" s="413"/>
      <c r="C76" s="404"/>
      <c r="E76" s="326"/>
      <c r="F76" s="327"/>
      <c r="G76" s="327"/>
      <c r="H76" s="371">
        <f t="shared" si="19"/>
        <v>341717</v>
      </c>
      <c r="I76" s="372">
        <f t="shared" si="20"/>
        <v>0</v>
      </c>
      <c r="K76" s="414"/>
      <c r="L76" s="415"/>
      <c r="M76" s="428">
        <f t="shared" si="26"/>
        <v>975218</v>
      </c>
      <c r="N76" s="416"/>
      <c r="O76" s="430">
        <f t="shared" si="16"/>
        <v>0</v>
      </c>
      <c r="P76" s="328"/>
      <c r="R76" s="417"/>
      <c r="S76" s="418"/>
      <c r="T76" s="419"/>
      <c r="U76" s="419"/>
      <c r="V76" s="419"/>
      <c r="W76" s="419"/>
      <c r="X76" s="419"/>
      <c r="Y76" s="432">
        <f t="shared" si="21"/>
        <v>5000000</v>
      </c>
      <c r="Z76" s="420"/>
      <c r="AA76" s="336"/>
      <c r="AB76" s="337"/>
      <c r="AC76" s="338"/>
      <c r="AD76" s="383">
        <f t="shared" si="22"/>
        <v>528915</v>
      </c>
      <c r="AE76" s="339"/>
      <c r="AF76" s="384">
        <f t="shared" si="14"/>
        <v>0</v>
      </c>
      <c r="AG76" s="336"/>
      <c r="AH76" s="329"/>
      <c r="AI76" s="330"/>
      <c r="AJ76" s="375">
        <f t="shared" si="23"/>
        <v>376533</v>
      </c>
      <c r="AK76" s="331"/>
      <c r="AL76" s="377">
        <f t="shared" si="15"/>
        <v>0</v>
      </c>
      <c r="AM76" s="336"/>
      <c r="AN76" s="336"/>
      <c r="AO76" s="336"/>
      <c r="AP76" s="340"/>
      <c r="AQ76" s="341"/>
      <c r="AR76" s="341"/>
      <c r="AS76" s="386">
        <f t="shared" si="25"/>
        <v>208871</v>
      </c>
      <c r="AT76" s="342"/>
      <c r="AU76" s="389">
        <f t="shared" si="17"/>
        <v>0</v>
      </c>
      <c r="AW76" s="343"/>
      <c r="AX76" s="344"/>
      <c r="AY76" s="344"/>
      <c r="AZ76" s="435">
        <f t="shared" si="18"/>
        <v>0</v>
      </c>
      <c r="BA76" s="438">
        <f t="shared" si="24"/>
        <v>0</v>
      </c>
    </row>
    <row r="77" spans="1:53">
      <c r="A77" s="412"/>
      <c r="B77" s="413"/>
      <c r="C77" s="404"/>
      <c r="E77" s="326"/>
      <c r="F77" s="327"/>
      <c r="G77" s="327"/>
      <c r="H77" s="371">
        <f t="shared" si="19"/>
        <v>341717</v>
      </c>
      <c r="I77" s="372">
        <f t="shared" si="20"/>
        <v>0</v>
      </c>
      <c r="K77" s="414"/>
      <c r="L77" s="415"/>
      <c r="M77" s="428">
        <f t="shared" si="26"/>
        <v>975218</v>
      </c>
      <c r="N77" s="416"/>
      <c r="O77" s="430">
        <f t="shared" si="16"/>
        <v>0</v>
      </c>
      <c r="P77" s="328"/>
      <c r="R77" s="417"/>
      <c r="S77" s="418"/>
      <c r="T77" s="419"/>
      <c r="U77" s="419"/>
      <c r="V77" s="419"/>
      <c r="W77" s="419"/>
      <c r="X77" s="419"/>
      <c r="Y77" s="432">
        <f t="shared" si="21"/>
        <v>5000000</v>
      </c>
      <c r="Z77" s="420"/>
      <c r="AA77" s="336"/>
      <c r="AB77" s="337"/>
      <c r="AC77" s="338"/>
      <c r="AD77" s="383">
        <f t="shared" si="22"/>
        <v>528915</v>
      </c>
      <c r="AE77" s="339"/>
      <c r="AF77" s="384">
        <f t="shared" si="14"/>
        <v>0</v>
      </c>
      <c r="AG77" s="336"/>
      <c r="AH77" s="329"/>
      <c r="AI77" s="330"/>
      <c r="AJ77" s="375">
        <f t="shared" si="23"/>
        <v>376533</v>
      </c>
      <c r="AK77" s="331"/>
      <c r="AL77" s="377">
        <f t="shared" si="15"/>
        <v>0</v>
      </c>
      <c r="AM77" s="336"/>
      <c r="AN77" s="336"/>
      <c r="AO77" s="336"/>
      <c r="AP77" s="340"/>
      <c r="AQ77" s="341"/>
      <c r="AR77" s="341"/>
      <c r="AS77" s="386">
        <f t="shared" si="25"/>
        <v>208871</v>
      </c>
      <c r="AT77" s="342"/>
      <c r="AU77" s="389">
        <f t="shared" si="17"/>
        <v>0</v>
      </c>
      <c r="AW77" s="343"/>
      <c r="AX77" s="344"/>
      <c r="AY77" s="344"/>
      <c r="AZ77" s="435">
        <f t="shared" si="18"/>
        <v>0</v>
      </c>
      <c r="BA77" s="438">
        <f t="shared" si="24"/>
        <v>0</v>
      </c>
    </row>
    <row r="78" spans="1:53">
      <c r="A78" s="412"/>
      <c r="B78" s="413"/>
      <c r="C78" s="404"/>
      <c r="E78" s="326"/>
      <c r="F78" s="327"/>
      <c r="G78" s="327"/>
      <c r="H78" s="371">
        <f t="shared" si="19"/>
        <v>341717</v>
      </c>
      <c r="I78" s="372">
        <f t="shared" si="20"/>
        <v>0</v>
      </c>
      <c r="K78" s="414"/>
      <c r="L78" s="415"/>
      <c r="M78" s="428">
        <f t="shared" si="26"/>
        <v>975218</v>
      </c>
      <c r="N78" s="416"/>
      <c r="O78" s="430">
        <f t="shared" si="16"/>
        <v>0</v>
      </c>
      <c r="P78" s="328"/>
      <c r="R78" s="417"/>
      <c r="S78" s="418"/>
      <c r="T78" s="419"/>
      <c r="U78" s="419"/>
      <c r="V78" s="419"/>
      <c r="W78" s="419"/>
      <c r="X78" s="419"/>
      <c r="Y78" s="432">
        <f t="shared" si="21"/>
        <v>5000000</v>
      </c>
      <c r="Z78" s="420"/>
      <c r="AA78" s="336"/>
      <c r="AB78" s="337"/>
      <c r="AC78" s="338"/>
      <c r="AD78" s="383">
        <f t="shared" si="22"/>
        <v>528915</v>
      </c>
      <c r="AE78" s="339"/>
      <c r="AF78" s="384">
        <f t="shared" ref="AF78:AF141" si="27">AE78-AC78</f>
        <v>0</v>
      </c>
      <c r="AG78" s="336"/>
      <c r="AH78" s="329"/>
      <c r="AI78" s="330"/>
      <c r="AJ78" s="375">
        <f t="shared" si="23"/>
        <v>376533</v>
      </c>
      <c r="AK78" s="331"/>
      <c r="AL78" s="377">
        <f t="shared" ref="AL78:AL141" si="28">AK78-AI78</f>
        <v>0</v>
      </c>
      <c r="AM78" s="336"/>
      <c r="AN78" s="336"/>
      <c r="AO78" s="336"/>
      <c r="AP78" s="340"/>
      <c r="AQ78" s="341"/>
      <c r="AR78" s="341"/>
      <c r="AS78" s="386">
        <f t="shared" si="25"/>
        <v>208871</v>
      </c>
      <c r="AT78" s="342"/>
      <c r="AU78" s="389">
        <f t="shared" si="17"/>
        <v>0</v>
      </c>
      <c r="AW78" s="343"/>
      <c r="AX78" s="344"/>
      <c r="AY78" s="344"/>
      <c r="AZ78" s="435">
        <f t="shared" si="18"/>
        <v>0</v>
      </c>
      <c r="BA78" s="438">
        <f t="shared" si="24"/>
        <v>0</v>
      </c>
    </row>
    <row r="79" spans="1:53">
      <c r="A79" s="412"/>
      <c r="B79" s="413"/>
      <c r="C79" s="404"/>
      <c r="E79" s="326"/>
      <c r="F79" s="327"/>
      <c r="G79" s="327"/>
      <c r="H79" s="371">
        <f t="shared" si="19"/>
        <v>341717</v>
      </c>
      <c r="I79" s="372">
        <f t="shared" si="20"/>
        <v>0</v>
      </c>
      <c r="K79" s="414"/>
      <c r="L79" s="415"/>
      <c r="M79" s="428">
        <f t="shared" si="26"/>
        <v>975218</v>
      </c>
      <c r="N79" s="416"/>
      <c r="O79" s="430">
        <f t="shared" si="16"/>
        <v>0</v>
      </c>
      <c r="P79" s="328"/>
      <c r="R79" s="417"/>
      <c r="S79" s="418"/>
      <c r="T79" s="419"/>
      <c r="U79" s="419"/>
      <c r="V79" s="419"/>
      <c r="W79" s="419"/>
      <c r="X79" s="419"/>
      <c r="Y79" s="432">
        <f t="shared" si="21"/>
        <v>5000000</v>
      </c>
      <c r="Z79" s="420"/>
      <c r="AA79" s="336"/>
      <c r="AB79" s="337"/>
      <c r="AC79" s="338"/>
      <c r="AD79" s="383">
        <f t="shared" si="22"/>
        <v>528915</v>
      </c>
      <c r="AE79" s="339"/>
      <c r="AF79" s="384">
        <f t="shared" si="27"/>
        <v>0</v>
      </c>
      <c r="AG79" s="336"/>
      <c r="AH79" s="329"/>
      <c r="AI79" s="330"/>
      <c r="AJ79" s="375">
        <f t="shared" si="23"/>
        <v>376533</v>
      </c>
      <c r="AK79" s="331"/>
      <c r="AL79" s="377">
        <f t="shared" si="28"/>
        <v>0</v>
      </c>
      <c r="AM79" s="336"/>
      <c r="AN79" s="336"/>
      <c r="AO79" s="336"/>
      <c r="AP79" s="340"/>
      <c r="AQ79" s="341"/>
      <c r="AR79" s="341"/>
      <c r="AS79" s="386">
        <f t="shared" si="25"/>
        <v>208871</v>
      </c>
      <c r="AT79" s="342"/>
      <c r="AU79" s="389">
        <f t="shared" si="17"/>
        <v>0</v>
      </c>
      <c r="AW79" s="343"/>
      <c r="AX79" s="344"/>
      <c r="AY79" s="344"/>
      <c r="AZ79" s="435">
        <f t="shared" si="18"/>
        <v>0</v>
      </c>
      <c r="BA79" s="438">
        <f t="shared" si="24"/>
        <v>0</v>
      </c>
    </row>
    <row r="80" spans="1:53">
      <c r="A80" s="412"/>
      <c r="B80" s="413"/>
      <c r="C80" s="404"/>
      <c r="E80" s="326"/>
      <c r="F80" s="327"/>
      <c r="G80" s="327"/>
      <c r="H80" s="371">
        <f t="shared" si="19"/>
        <v>341717</v>
      </c>
      <c r="I80" s="372">
        <f t="shared" si="20"/>
        <v>0</v>
      </c>
      <c r="K80" s="414"/>
      <c r="L80" s="415"/>
      <c r="M80" s="428">
        <f t="shared" si="26"/>
        <v>975218</v>
      </c>
      <c r="N80" s="416"/>
      <c r="O80" s="430">
        <f t="shared" si="16"/>
        <v>0</v>
      </c>
      <c r="P80" s="328"/>
      <c r="R80" s="417"/>
      <c r="S80" s="418"/>
      <c r="T80" s="419"/>
      <c r="U80" s="419"/>
      <c r="V80" s="419"/>
      <c r="W80" s="419"/>
      <c r="X80" s="419"/>
      <c r="Y80" s="432">
        <f t="shared" si="21"/>
        <v>5000000</v>
      </c>
      <c r="Z80" s="420"/>
      <c r="AA80" s="336"/>
      <c r="AB80" s="337"/>
      <c r="AC80" s="338"/>
      <c r="AD80" s="383">
        <f t="shared" si="22"/>
        <v>528915</v>
      </c>
      <c r="AE80" s="339"/>
      <c r="AF80" s="384">
        <f t="shared" si="27"/>
        <v>0</v>
      </c>
      <c r="AG80" s="336"/>
      <c r="AH80" s="329"/>
      <c r="AI80" s="330"/>
      <c r="AJ80" s="375">
        <f t="shared" si="23"/>
        <v>376533</v>
      </c>
      <c r="AK80" s="331"/>
      <c r="AL80" s="377">
        <f t="shared" si="28"/>
        <v>0</v>
      </c>
      <c r="AM80" s="336"/>
      <c r="AN80" s="336"/>
      <c r="AO80" s="336"/>
      <c r="AP80" s="340"/>
      <c r="AQ80" s="341"/>
      <c r="AR80" s="341"/>
      <c r="AS80" s="386">
        <f t="shared" si="25"/>
        <v>208871</v>
      </c>
      <c r="AT80" s="342"/>
      <c r="AU80" s="389">
        <f t="shared" si="17"/>
        <v>0</v>
      </c>
      <c r="AW80" s="343"/>
      <c r="AX80" s="344"/>
      <c r="AY80" s="344"/>
      <c r="AZ80" s="435">
        <f t="shared" si="18"/>
        <v>0</v>
      </c>
      <c r="BA80" s="438">
        <f t="shared" si="24"/>
        <v>0</v>
      </c>
    </row>
    <row r="81" spans="1:53">
      <c r="A81" s="412"/>
      <c r="B81" s="413"/>
      <c r="C81" s="404"/>
      <c r="E81" s="326"/>
      <c r="F81" s="327"/>
      <c r="G81" s="327"/>
      <c r="H81" s="371">
        <f t="shared" si="19"/>
        <v>341717</v>
      </c>
      <c r="I81" s="372">
        <f t="shared" si="20"/>
        <v>0</v>
      </c>
      <c r="K81" s="414"/>
      <c r="L81" s="415"/>
      <c r="M81" s="428">
        <f t="shared" si="26"/>
        <v>975218</v>
      </c>
      <c r="N81" s="416"/>
      <c r="O81" s="430">
        <f t="shared" si="16"/>
        <v>0</v>
      </c>
      <c r="P81" s="328"/>
      <c r="R81" s="417"/>
      <c r="S81" s="418"/>
      <c r="T81" s="419"/>
      <c r="U81" s="419"/>
      <c r="V81" s="419"/>
      <c r="W81" s="419"/>
      <c r="X81" s="419"/>
      <c r="Y81" s="432">
        <f t="shared" si="21"/>
        <v>5000000</v>
      </c>
      <c r="Z81" s="420"/>
      <c r="AA81" s="336"/>
      <c r="AB81" s="337"/>
      <c r="AC81" s="338"/>
      <c r="AD81" s="383">
        <f t="shared" si="22"/>
        <v>528915</v>
      </c>
      <c r="AE81" s="339"/>
      <c r="AF81" s="384">
        <f t="shared" si="27"/>
        <v>0</v>
      </c>
      <c r="AG81" s="336"/>
      <c r="AH81" s="329"/>
      <c r="AI81" s="330"/>
      <c r="AJ81" s="375">
        <f t="shared" si="23"/>
        <v>376533</v>
      </c>
      <c r="AK81" s="331"/>
      <c r="AL81" s="377">
        <f t="shared" si="28"/>
        <v>0</v>
      </c>
      <c r="AM81" s="336"/>
      <c r="AN81" s="336"/>
      <c r="AO81" s="336"/>
      <c r="AP81" s="340"/>
      <c r="AQ81" s="341"/>
      <c r="AR81" s="341"/>
      <c r="AS81" s="386">
        <f t="shared" si="25"/>
        <v>208871</v>
      </c>
      <c r="AT81" s="342"/>
      <c r="AU81" s="389">
        <f t="shared" si="17"/>
        <v>0</v>
      </c>
      <c r="AW81" s="343"/>
      <c r="AX81" s="344"/>
      <c r="AY81" s="344"/>
      <c r="AZ81" s="435">
        <f t="shared" si="18"/>
        <v>0</v>
      </c>
      <c r="BA81" s="438">
        <f t="shared" si="24"/>
        <v>0</v>
      </c>
    </row>
    <row r="82" spans="1:53">
      <c r="A82" s="412"/>
      <c r="B82" s="413"/>
      <c r="C82" s="404"/>
      <c r="E82" s="326"/>
      <c r="F82" s="327"/>
      <c r="G82" s="327"/>
      <c r="H82" s="371">
        <f t="shared" si="19"/>
        <v>341717</v>
      </c>
      <c r="I82" s="372">
        <f t="shared" si="20"/>
        <v>0</v>
      </c>
      <c r="K82" s="414"/>
      <c r="L82" s="415"/>
      <c r="M82" s="428">
        <f t="shared" si="26"/>
        <v>975218</v>
      </c>
      <c r="N82" s="416"/>
      <c r="O82" s="430">
        <f t="shared" si="16"/>
        <v>0</v>
      </c>
      <c r="P82" s="328"/>
      <c r="R82" s="417"/>
      <c r="S82" s="418"/>
      <c r="T82" s="419"/>
      <c r="U82" s="419"/>
      <c r="V82" s="419"/>
      <c r="W82" s="419"/>
      <c r="X82" s="419"/>
      <c r="Y82" s="432">
        <f t="shared" si="21"/>
        <v>5000000</v>
      </c>
      <c r="Z82" s="420"/>
      <c r="AA82" s="336"/>
      <c r="AB82" s="337"/>
      <c r="AC82" s="338"/>
      <c r="AD82" s="383">
        <f t="shared" si="22"/>
        <v>528915</v>
      </c>
      <c r="AE82" s="339"/>
      <c r="AF82" s="384">
        <f t="shared" si="27"/>
        <v>0</v>
      </c>
      <c r="AG82" s="336"/>
      <c r="AH82" s="329"/>
      <c r="AI82" s="330"/>
      <c r="AJ82" s="375">
        <f t="shared" si="23"/>
        <v>376533</v>
      </c>
      <c r="AK82" s="331"/>
      <c r="AL82" s="377">
        <f t="shared" si="28"/>
        <v>0</v>
      </c>
      <c r="AM82" s="336"/>
      <c r="AN82" s="336"/>
      <c r="AO82" s="336"/>
      <c r="AP82" s="340"/>
      <c r="AQ82" s="341"/>
      <c r="AR82" s="341"/>
      <c r="AS82" s="386">
        <f t="shared" si="25"/>
        <v>208871</v>
      </c>
      <c r="AT82" s="342"/>
      <c r="AU82" s="389">
        <f t="shared" si="17"/>
        <v>0</v>
      </c>
      <c r="AW82" s="343"/>
      <c r="AX82" s="344"/>
      <c r="AY82" s="344"/>
      <c r="AZ82" s="435">
        <f t="shared" si="18"/>
        <v>0</v>
      </c>
      <c r="BA82" s="438">
        <f t="shared" si="24"/>
        <v>0</v>
      </c>
    </row>
    <row r="83" spans="1:53">
      <c r="A83" s="412"/>
      <c r="B83" s="413"/>
      <c r="C83" s="404"/>
      <c r="E83" s="326"/>
      <c r="F83" s="327"/>
      <c r="G83" s="327"/>
      <c r="H83" s="371">
        <f t="shared" si="19"/>
        <v>341717</v>
      </c>
      <c r="I83" s="372">
        <f t="shared" si="20"/>
        <v>0</v>
      </c>
      <c r="K83" s="414"/>
      <c r="L83" s="415"/>
      <c r="M83" s="428">
        <f t="shared" si="26"/>
        <v>975218</v>
      </c>
      <c r="N83" s="416"/>
      <c r="O83" s="430">
        <f t="shared" si="16"/>
        <v>0</v>
      </c>
      <c r="P83" s="328"/>
      <c r="R83" s="417"/>
      <c r="S83" s="418"/>
      <c r="T83" s="419"/>
      <c r="U83" s="419"/>
      <c r="V83" s="419"/>
      <c r="W83" s="419"/>
      <c r="X83" s="419"/>
      <c r="Y83" s="432">
        <f t="shared" si="21"/>
        <v>5000000</v>
      </c>
      <c r="Z83" s="420"/>
      <c r="AA83" s="336"/>
      <c r="AB83" s="337"/>
      <c r="AC83" s="338"/>
      <c r="AD83" s="383">
        <f t="shared" si="22"/>
        <v>528915</v>
      </c>
      <c r="AE83" s="339"/>
      <c r="AF83" s="384">
        <f t="shared" si="27"/>
        <v>0</v>
      </c>
      <c r="AG83" s="336"/>
      <c r="AH83" s="329"/>
      <c r="AI83" s="330"/>
      <c r="AJ83" s="375">
        <f t="shared" si="23"/>
        <v>376533</v>
      </c>
      <c r="AK83" s="331"/>
      <c r="AL83" s="377">
        <f t="shared" si="28"/>
        <v>0</v>
      </c>
      <c r="AM83" s="336"/>
      <c r="AN83" s="336"/>
      <c r="AO83" s="336"/>
      <c r="AP83" s="340"/>
      <c r="AQ83" s="341"/>
      <c r="AR83" s="341"/>
      <c r="AS83" s="386">
        <f t="shared" si="25"/>
        <v>208871</v>
      </c>
      <c r="AT83" s="342"/>
      <c r="AU83" s="389">
        <f t="shared" si="17"/>
        <v>0</v>
      </c>
      <c r="AW83" s="343"/>
      <c r="AX83" s="344"/>
      <c r="AY83" s="344"/>
      <c r="AZ83" s="435">
        <f t="shared" si="18"/>
        <v>0</v>
      </c>
      <c r="BA83" s="438">
        <f t="shared" si="24"/>
        <v>0</v>
      </c>
    </row>
    <row r="84" spans="1:53">
      <c r="A84" s="412"/>
      <c r="B84" s="413"/>
      <c r="C84" s="404"/>
      <c r="E84" s="326"/>
      <c r="F84" s="327"/>
      <c r="G84" s="327"/>
      <c r="H84" s="371">
        <f t="shared" si="19"/>
        <v>341717</v>
      </c>
      <c r="I84" s="372">
        <f t="shared" si="20"/>
        <v>0</v>
      </c>
      <c r="K84" s="414"/>
      <c r="L84" s="415"/>
      <c r="M84" s="428">
        <f t="shared" si="26"/>
        <v>975218</v>
      </c>
      <c r="N84" s="416"/>
      <c r="O84" s="430">
        <f t="shared" si="16"/>
        <v>0</v>
      </c>
      <c r="P84" s="328"/>
      <c r="R84" s="417"/>
      <c r="S84" s="418"/>
      <c r="T84" s="419"/>
      <c r="U84" s="419"/>
      <c r="V84" s="419"/>
      <c r="W84" s="419"/>
      <c r="X84" s="419"/>
      <c r="Y84" s="432">
        <f t="shared" si="21"/>
        <v>5000000</v>
      </c>
      <c r="Z84" s="420"/>
      <c r="AA84" s="336"/>
      <c r="AB84" s="337"/>
      <c r="AC84" s="338"/>
      <c r="AD84" s="383">
        <f t="shared" si="22"/>
        <v>528915</v>
      </c>
      <c r="AE84" s="339"/>
      <c r="AF84" s="384">
        <f t="shared" si="27"/>
        <v>0</v>
      </c>
      <c r="AG84" s="336"/>
      <c r="AH84" s="329"/>
      <c r="AI84" s="330"/>
      <c r="AJ84" s="375">
        <f t="shared" si="23"/>
        <v>376533</v>
      </c>
      <c r="AK84" s="331"/>
      <c r="AL84" s="377">
        <f t="shared" si="28"/>
        <v>0</v>
      </c>
      <c r="AM84" s="336"/>
      <c r="AN84" s="336"/>
      <c r="AO84" s="336"/>
      <c r="AP84" s="340"/>
      <c r="AQ84" s="341"/>
      <c r="AR84" s="341"/>
      <c r="AS84" s="386">
        <f t="shared" si="25"/>
        <v>208871</v>
      </c>
      <c r="AT84" s="342"/>
      <c r="AU84" s="389">
        <f t="shared" si="17"/>
        <v>0</v>
      </c>
      <c r="AW84" s="343"/>
      <c r="AX84" s="344"/>
      <c r="AY84" s="344"/>
      <c r="AZ84" s="435">
        <f t="shared" si="18"/>
        <v>0</v>
      </c>
      <c r="BA84" s="438">
        <f t="shared" si="24"/>
        <v>0</v>
      </c>
    </row>
    <row r="85" spans="1:53">
      <c r="A85" s="412"/>
      <c r="B85" s="413"/>
      <c r="C85" s="404"/>
      <c r="E85" s="326"/>
      <c r="F85" s="327"/>
      <c r="G85" s="327"/>
      <c r="H85" s="371">
        <f t="shared" si="19"/>
        <v>341717</v>
      </c>
      <c r="I85" s="372">
        <f t="shared" si="20"/>
        <v>0</v>
      </c>
      <c r="K85" s="414"/>
      <c r="L85" s="415"/>
      <c r="M85" s="428">
        <f t="shared" si="26"/>
        <v>975218</v>
      </c>
      <c r="N85" s="416"/>
      <c r="O85" s="430">
        <f t="shared" si="16"/>
        <v>0</v>
      </c>
      <c r="P85" s="328"/>
      <c r="R85" s="417"/>
      <c r="S85" s="418"/>
      <c r="T85" s="419"/>
      <c r="U85" s="419"/>
      <c r="V85" s="419"/>
      <c r="W85" s="419"/>
      <c r="X85" s="419"/>
      <c r="Y85" s="432">
        <f t="shared" si="21"/>
        <v>5000000</v>
      </c>
      <c r="Z85" s="420"/>
      <c r="AA85" s="336"/>
      <c r="AB85" s="337"/>
      <c r="AC85" s="338"/>
      <c r="AD85" s="383">
        <f t="shared" si="22"/>
        <v>528915</v>
      </c>
      <c r="AE85" s="339"/>
      <c r="AF85" s="384">
        <f t="shared" si="27"/>
        <v>0</v>
      </c>
      <c r="AG85" s="336"/>
      <c r="AH85" s="329"/>
      <c r="AI85" s="330"/>
      <c r="AJ85" s="375">
        <f t="shared" si="23"/>
        <v>376533</v>
      </c>
      <c r="AK85" s="331"/>
      <c r="AL85" s="377">
        <f t="shared" si="28"/>
        <v>0</v>
      </c>
      <c r="AM85" s="336"/>
      <c r="AN85" s="336"/>
      <c r="AO85" s="336"/>
      <c r="AP85" s="340"/>
      <c r="AQ85" s="341"/>
      <c r="AR85" s="341"/>
      <c r="AS85" s="386">
        <f t="shared" si="25"/>
        <v>208871</v>
      </c>
      <c r="AT85" s="342"/>
      <c r="AU85" s="389">
        <f t="shared" si="17"/>
        <v>0</v>
      </c>
      <c r="AW85" s="343"/>
      <c r="AX85" s="344"/>
      <c r="AY85" s="344"/>
      <c r="AZ85" s="435">
        <f t="shared" si="18"/>
        <v>0</v>
      </c>
      <c r="BA85" s="438">
        <f t="shared" si="24"/>
        <v>0</v>
      </c>
    </row>
    <row r="86" spans="1:53">
      <c r="A86" s="412"/>
      <c r="B86" s="413"/>
      <c r="C86" s="404"/>
      <c r="E86" s="326"/>
      <c r="F86" s="327"/>
      <c r="G86" s="327"/>
      <c r="H86" s="371">
        <f t="shared" si="19"/>
        <v>341717</v>
      </c>
      <c r="I86" s="372">
        <f t="shared" si="20"/>
        <v>0</v>
      </c>
      <c r="K86" s="414"/>
      <c r="L86" s="415"/>
      <c r="M86" s="428">
        <f t="shared" si="26"/>
        <v>975218</v>
      </c>
      <c r="N86" s="416"/>
      <c r="O86" s="430">
        <f t="shared" si="16"/>
        <v>0</v>
      </c>
      <c r="P86" s="328"/>
      <c r="R86" s="417"/>
      <c r="S86" s="418"/>
      <c r="T86" s="419"/>
      <c r="U86" s="419"/>
      <c r="V86" s="419"/>
      <c r="W86" s="419"/>
      <c r="X86" s="419"/>
      <c r="Y86" s="432">
        <f t="shared" si="21"/>
        <v>5000000</v>
      </c>
      <c r="Z86" s="420"/>
      <c r="AA86" s="336"/>
      <c r="AB86" s="337"/>
      <c r="AC86" s="338"/>
      <c r="AD86" s="383">
        <f t="shared" si="22"/>
        <v>528915</v>
      </c>
      <c r="AE86" s="339"/>
      <c r="AF86" s="384">
        <f t="shared" si="27"/>
        <v>0</v>
      </c>
      <c r="AG86" s="336"/>
      <c r="AH86" s="329"/>
      <c r="AI86" s="330"/>
      <c r="AJ86" s="375">
        <f t="shared" si="23"/>
        <v>376533</v>
      </c>
      <c r="AK86" s="331"/>
      <c r="AL86" s="377">
        <f t="shared" si="28"/>
        <v>0</v>
      </c>
      <c r="AM86" s="336"/>
      <c r="AN86" s="336"/>
      <c r="AO86" s="336"/>
      <c r="AP86" s="340"/>
      <c r="AQ86" s="341"/>
      <c r="AR86" s="341"/>
      <c r="AS86" s="386">
        <f t="shared" si="25"/>
        <v>208871</v>
      </c>
      <c r="AT86" s="342"/>
      <c r="AU86" s="389">
        <f t="shared" si="17"/>
        <v>0</v>
      </c>
      <c r="AW86" s="343"/>
      <c r="AX86" s="344"/>
      <c r="AY86" s="344"/>
      <c r="AZ86" s="435">
        <f t="shared" si="18"/>
        <v>0</v>
      </c>
      <c r="BA86" s="438">
        <f t="shared" si="24"/>
        <v>0</v>
      </c>
    </row>
    <row r="87" spans="1:53">
      <c r="A87" s="412"/>
      <c r="B87" s="413"/>
      <c r="C87" s="404"/>
      <c r="E87" s="326"/>
      <c r="F87" s="327"/>
      <c r="G87" s="327"/>
      <c r="H87" s="371">
        <f t="shared" si="19"/>
        <v>341717</v>
      </c>
      <c r="I87" s="372">
        <f t="shared" si="20"/>
        <v>0</v>
      </c>
      <c r="K87" s="414"/>
      <c r="L87" s="415"/>
      <c r="M87" s="428">
        <f t="shared" si="26"/>
        <v>975218</v>
      </c>
      <c r="N87" s="416"/>
      <c r="O87" s="430">
        <f t="shared" si="16"/>
        <v>0</v>
      </c>
      <c r="P87" s="328"/>
      <c r="R87" s="417"/>
      <c r="S87" s="418"/>
      <c r="T87" s="419"/>
      <c r="U87" s="419"/>
      <c r="V87" s="419"/>
      <c r="W87" s="419"/>
      <c r="X87" s="419"/>
      <c r="Y87" s="432">
        <f t="shared" si="21"/>
        <v>5000000</v>
      </c>
      <c r="Z87" s="420"/>
      <c r="AA87" s="336"/>
      <c r="AB87" s="337"/>
      <c r="AC87" s="338"/>
      <c r="AD87" s="383">
        <f t="shared" si="22"/>
        <v>528915</v>
      </c>
      <c r="AE87" s="339"/>
      <c r="AF87" s="384">
        <f t="shared" si="27"/>
        <v>0</v>
      </c>
      <c r="AG87" s="336"/>
      <c r="AH87" s="329"/>
      <c r="AI87" s="330"/>
      <c r="AJ87" s="375">
        <f t="shared" si="23"/>
        <v>376533</v>
      </c>
      <c r="AK87" s="331"/>
      <c r="AL87" s="377">
        <f t="shared" si="28"/>
        <v>0</v>
      </c>
      <c r="AM87" s="336"/>
      <c r="AN87" s="336"/>
      <c r="AO87" s="336"/>
      <c r="AP87" s="340"/>
      <c r="AQ87" s="341"/>
      <c r="AR87" s="341"/>
      <c r="AS87" s="386">
        <f t="shared" si="25"/>
        <v>208871</v>
      </c>
      <c r="AT87" s="342"/>
      <c r="AU87" s="389">
        <f t="shared" si="17"/>
        <v>0</v>
      </c>
      <c r="AW87" s="343"/>
      <c r="AX87" s="344"/>
      <c r="AY87" s="344"/>
      <c r="AZ87" s="435">
        <f t="shared" si="18"/>
        <v>0</v>
      </c>
      <c r="BA87" s="438">
        <f t="shared" si="24"/>
        <v>0</v>
      </c>
    </row>
    <row r="88" spans="1:53">
      <c r="A88" s="412"/>
      <c r="B88" s="413"/>
      <c r="C88" s="404"/>
      <c r="E88" s="326"/>
      <c r="F88" s="327"/>
      <c r="G88" s="327"/>
      <c r="H88" s="371">
        <f t="shared" si="19"/>
        <v>341717</v>
      </c>
      <c r="I88" s="372">
        <f t="shared" si="20"/>
        <v>0</v>
      </c>
      <c r="K88" s="414"/>
      <c r="L88" s="415"/>
      <c r="M88" s="428">
        <f t="shared" si="26"/>
        <v>975218</v>
      </c>
      <c r="N88" s="416"/>
      <c r="O88" s="430">
        <f t="shared" si="16"/>
        <v>0</v>
      </c>
      <c r="P88" s="328"/>
      <c r="R88" s="417"/>
      <c r="S88" s="418"/>
      <c r="T88" s="419"/>
      <c r="U88" s="419"/>
      <c r="V88" s="419"/>
      <c r="W88" s="419"/>
      <c r="X88" s="419"/>
      <c r="Y88" s="432">
        <f t="shared" si="21"/>
        <v>5000000</v>
      </c>
      <c r="Z88" s="420"/>
      <c r="AA88" s="336"/>
      <c r="AB88" s="337"/>
      <c r="AC88" s="338"/>
      <c r="AD88" s="383">
        <f t="shared" si="22"/>
        <v>528915</v>
      </c>
      <c r="AE88" s="339"/>
      <c r="AF88" s="384">
        <f t="shared" si="27"/>
        <v>0</v>
      </c>
      <c r="AG88" s="336"/>
      <c r="AH88" s="329"/>
      <c r="AI88" s="330"/>
      <c r="AJ88" s="375">
        <f t="shared" si="23"/>
        <v>376533</v>
      </c>
      <c r="AK88" s="331"/>
      <c r="AL88" s="377">
        <f t="shared" si="28"/>
        <v>0</v>
      </c>
      <c r="AM88" s="336"/>
      <c r="AN88" s="336"/>
      <c r="AO88" s="336"/>
      <c r="AP88" s="340"/>
      <c r="AQ88" s="341"/>
      <c r="AR88" s="341"/>
      <c r="AS88" s="386">
        <f t="shared" si="25"/>
        <v>208871</v>
      </c>
      <c r="AT88" s="342"/>
      <c r="AU88" s="389">
        <f t="shared" si="17"/>
        <v>0</v>
      </c>
      <c r="AW88" s="343"/>
      <c r="AX88" s="344"/>
      <c r="AY88" s="344"/>
      <c r="AZ88" s="435">
        <f t="shared" si="18"/>
        <v>0</v>
      </c>
      <c r="BA88" s="438">
        <f t="shared" si="24"/>
        <v>0</v>
      </c>
    </row>
    <row r="89" spans="1:53">
      <c r="A89" s="412"/>
      <c r="B89" s="413"/>
      <c r="C89" s="404"/>
      <c r="E89" s="326"/>
      <c r="F89" s="327"/>
      <c r="G89" s="327"/>
      <c r="H89" s="371">
        <f t="shared" si="19"/>
        <v>341717</v>
      </c>
      <c r="I89" s="372">
        <f t="shared" si="20"/>
        <v>0</v>
      </c>
      <c r="K89" s="414"/>
      <c r="L89" s="415"/>
      <c r="M89" s="428">
        <f t="shared" si="26"/>
        <v>975218</v>
      </c>
      <c r="N89" s="416"/>
      <c r="O89" s="430">
        <f t="shared" si="16"/>
        <v>0</v>
      </c>
      <c r="P89" s="328"/>
      <c r="R89" s="417"/>
      <c r="S89" s="418"/>
      <c r="T89" s="419"/>
      <c r="U89" s="419"/>
      <c r="V89" s="419"/>
      <c r="W89" s="419"/>
      <c r="X89" s="419"/>
      <c r="Y89" s="432">
        <f t="shared" si="21"/>
        <v>5000000</v>
      </c>
      <c r="Z89" s="420"/>
      <c r="AA89" s="336"/>
      <c r="AB89" s="337"/>
      <c r="AC89" s="338"/>
      <c r="AD89" s="383">
        <f t="shared" si="22"/>
        <v>528915</v>
      </c>
      <c r="AE89" s="339"/>
      <c r="AF89" s="384">
        <f t="shared" si="27"/>
        <v>0</v>
      </c>
      <c r="AG89" s="336"/>
      <c r="AH89" s="329"/>
      <c r="AI89" s="330"/>
      <c r="AJ89" s="375">
        <f t="shared" si="23"/>
        <v>376533</v>
      </c>
      <c r="AK89" s="331"/>
      <c r="AL89" s="377">
        <f t="shared" si="28"/>
        <v>0</v>
      </c>
      <c r="AM89" s="336"/>
      <c r="AN89" s="336"/>
      <c r="AO89" s="336"/>
      <c r="AP89" s="340"/>
      <c r="AQ89" s="341"/>
      <c r="AR89" s="341"/>
      <c r="AS89" s="386">
        <f t="shared" si="25"/>
        <v>208871</v>
      </c>
      <c r="AT89" s="342"/>
      <c r="AU89" s="389">
        <f t="shared" si="17"/>
        <v>0</v>
      </c>
      <c r="AW89" s="343"/>
      <c r="AX89" s="344"/>
      <c r="AY89" s="344"/>
      <c r="AZ89" s="435">
        <f t="shared" si="18"/>
        <v>0</v>
      </c>
      <c r="BA89" s="438">
        <f t="shared" si="24"/>
        <v>0</v>
      </c>
    </row>
    <row r="90" spans="1:53">
      <c r="A90" s="412"/>
      <c r="B90" s="413"/>
      <c r="C90" s="404"/>
      <c r="E90" s="326"/>
      <c r="F90" s="327"/>
      <c r="G90" s="327"/>
      <c r="H90" s="371">
        <f t="shared" si="19"/>
        <v>341717</v>
      </c>
      <c r="I90" s="372">
        <f t="shared" si="20"/>
        <v>0</v>
      </c>
      <c r="K90" s="414"/>
      <c r="L90" s="415"/>
      <c r="M90" s="428">
        <f t="shared" si="26"/>
        <v>975218</v>
      </c>
      <c r="N90" s="416"/>
      <c r="O90" s="430">
        <f t="shared" si="16"/>
        <v>0</v>
      </c>
      <c r="P90" s="328"/>
      <c r="R90" s="417"/>
      <c r="S90" s="418"/>
      <c r="T90" s="419"/>
      <c r="U90" s="419"/>
      <c r="V90" s="419"/>
      <c r="W90" s="419"/>
      <c r="X90" s="419"/>
      <c r="Y90" s="432">
        <f t="shared" si="21"/>
        <v>5000000</v>
      </c>
      <c r="Z90" s="420"/>
      <c r="AA90" s="336"/>
      <c r="AB90" s="337"/>
      <c r="AC90" s="338"/>
      <c r="AD90" s="383">
        <f t="shared" si="22"/>
        <v>528915</v>
      </c>
      <c r="AE90" s="339"/>
      <c r="AF90" s="384">
        <f t="shared" si="27"/>
        <v>0</v>
      </c>
      <c r="AG90" s="336"/>
      <c r="AH90" s="329"/>
      <c r="AI90" s="330"/>
      <c r="AJ90" s="375">
        <f t="shared" si="23"/>
        <v>376533</v>
      </c>
      <c r="AK90" s="331"/>
      <c r="AL90" s="377">
        <f t="shared" si="28"/>
        <v>0</v>
      </c>
      <c r="AM90" s="336"/>
      <c r="AN90" s="336"/>
      <c r="AO90" s="336"/>
      <c r="AP90" s="340"/>
      <c r="AQ90" s="341"/>
      <c r="AR90" s="341"/>
      <c r="AS90" s="386">
        <f t="shared" si="25"/>
        <v>208871</v>
      </c>
      <c r="AT90" s="342"/>
      <c r="AU90" s="389">
        <f t="shared" si="17"/>
        <v>0</v>
      </c>
      <c r="AW90" s="343"/>
      <c r="AX90" s="344"/>
      <c r="AY90" s="344"/>
      <c r="AZ90" s="435">
        <f t="shared" si="18"/>
        <v>0</v>
      </c>
      <c r="BA90" s="438">
        <f t="shared" si="24"/>
        <v>0</v>
      </c>
    </row>
    <row r="91" spans="1:53">
      <c r="A91" s="412"/>
      <c r="B91" s="413"/>
      <c r="C91" s="404"/>
      <c r="E91" s="326"/>
      <c r="F91" s="327"/>
      <c r="G91" s="327"/>
      <c r="H91" s="371">
        <f t="shared" si="19"/>
        <v>341717</v>
      </c>
      <c r="I91" s="372">
        <f t="shared" si="20"/>
        <v>0</v>
      </c>
      <c r="K91" s="414"/>
      <c r="L91" s="415"/>
      <c r="M91" s="428">
        <f t="shared" si="26"/>
        <v>975218</v>
      </c>
      <c r="N91" s="416"/>
      <c r="O91" s="430">
        <f t="shared" si="16"/>
        <v>0</v>
      </c>
      <c r="P91" s="328"/>
      <c r="R91" s="417"/>
      <c r="S91" s="418"/>
      <c r="T91" s="419"/>
      <c r="U91" s="419"/>
      <c r="V91" s="419"/>
      <c r="W91" s="419"/>
      <c r="X91" s="419"/>
      <c r="Y91" s="432">
        <f t="shared" si="21"/>
        <v>5000000</v>
      </c>
      <c r="Z91" s="420"/>
      <c r="AA91" s="336"/>
      <c r="AB91" s="337"/>
      <c r="AC91" s="338"/>
      <c r="AD91" s="383">
        <f t="shared" si="22"/>
        <v>528915</v>
      </c>
      <c r="AE91" s="339"/>
      <c r="AF91" s="384">
        <f t="shared" si="27"/>
        <v>0</v>
      </c>
      <c r="AG91" s="336"/>
      <c r="AH91" s="329"/>
      <c r="AI91" s="330"/>
      <c r="AJ91" s="375">
        <f t="shared" si="23"/>
        <v>376533</v>
      </c>
      <c r="AK91" s="331"/>
      <c r="AL91" s="377">
        <f t="shared" si="28"/>
        <v>0</v>
      </c>
      <c r="AM91" s="336"/>
      <c r="AN91" s="336"/>
      <c r="AO91" s="336"/>
      <c r="AP91" s="340"/>
      <c r="AQ91" s="341"/>
      <c r="AR91" s="341"/>
      <c r="AS91" s="386">
        <f t="shared" si="25"/>
        <v>208871</v>
      </c>
      <c r="AT91" s="342"/>
      <c r="AU91" s="389">
        <f t="shared" si="17"/>
        <v>0</v>
      </c>
      <c r="AW91" s="343"/>
      <c r="AX91" s="344"/>
      <c r="AY91" s="344"/>
      <c r="AZ91" s="435">
        <f t="shared" si="18"/>
        <v>0</v>
      </c>
      <c r="BA91" s="438">
        <f t="shared" si="24"/>
        <v>0</v>
      </c>
    </row>
    <row r="92" spans="1:53">
      <c r="A92" s="412"/>
      <c r="B92" s="413"/>
      <c r="C92" s="404"/>
      <c r="E92" s="326"/>
      <c r="F92" s="327"/>
      <c r="G92" s="327"/>
      <c r="H92" s="371">
        <f t="shared" si="19"/>
        <v>341717</v>
      </c>
      <c r="I92" s="372">
        <f t="shared" si="20"/>
        <v>0</v>
      </c>
      <c r="K92" s="414"/>
      <c r="L92" s="415"/>
      <c r="M92" s="428">
        <f t="shared" si="26"/>
        <v>975218</v>
      </c>
      <c r="N92" s="416"/>
      <c r="O92" s="430">
        <f t="shared" si="16"/>
        <v>0</v>
      </c>
      <c r="P92" s="328"/>
      <c r="R92" s="417"/>
      <c r="S92" s="418"/>
      <c r="T92" s="419"/>
      <c r="U92" s="419"/>
      <c r="V92" s="419"/>
      <c r="W92" s="419"/>
      <c r="X92" s="419"/>
      <c r="Y92" s="432">
        <f t="shared" si="21"/>
        <v>5000000</v>
      </c>
      <c r="Z92" s="420"/>
      <c r="AA92" s="336"/>
      <c r="AB92" s="337"/>
      <c r="AC92" s="338"/>
      <c r="AD92" s="383">
        <f t="shared" si="22"/>
        <v>528915</v>
      </c>
      <c r="AE92" s="339"/>
      <c r="AF92" s="384">
        <f t="shared" si="27"/>
        <v>0</v>
      </c>
      <c r="AG92" s="336"/>
      <c r="AH92" s="329"/>
      <c r="AI92" s="330"/>
      <c r="AJ92" s="375">
        <f t="shared" si="23"/>
        <v>376533</v>
      </c>
      <c r="AK92" s="331"/>
      <c r="AL92" s="377">
        <f t="shared" si="28"/>
        <v>0</v>
      </c>
      <c r="AM92" s="336"/>
      <c r="AN92" s="336"/>
      <c r="AO92" s="336"/>
      <c r="AP92" s="340"/>
      <c r="AQ92" s="341"/>
      <c r="AR92" s="341"/>
      <c r="AS92" s="386">
        <f t="shared" si="25"/>
        <v>208871</v>
      </c>
      <c r="AT92" s="342"/>
      <c r="AU92" s="389">
        <f t="shared" si="17"/>
        <v>0</v>
      </c>
      <c r="AW92" s="343"/>
      <c r="AX92" s="344"/>
      <c r="AY92" s="344"/>
      <c r="AZ92" s="435">
        <f t="shared" si="18"/>
        <v>0</v>
      </c>
      <c r="BA92" s="438">
        <f t="shared" si="24"/>
        <v>0</v>
      </c>
    </row>
    <row r="93" spans="1:53">
      <c r="A93" s="412"/>
      <c r="B93" s="413"/>
      <c r="C93" s="404"/>
      <c r="E93" s="326"/>
      <c r="F93" s="327"/>
      <c r="G93" s="327"/>
      <c r="H93" s="371">
        <f t="shared" si="19"/>
        <v>341717</v>
      </c>
      <c r="I93" s="372">
        <f t="shared" si="20"/>
        <v>0</v>
      </c>
      <c r="K93" s="414"/>
      <c r="L93" s="415"/>
      <c r="M93" s="428">
        <f t="shared" si="26"/>
        <v>975218</v>
      </c>
      <c r="N93" s="416"/>
      <c r="O93" s="430">
        <f t="shared" si="16"/>
        <v>0</v>
      </c>
      <c r="P93" s="328"/>
      <c r="R93" s="417"/>
      <c r="S93" s="418"/>
      <c r="T93" s="419"/>
      <c r="U93" s="419"/>
      <c r="V93" s="419"/>
      <c r="W93" s="419"/>
      <c r="X93" s="419"/>
      <c r="Y93" s="432">
        <f t="shared" si="21"/>
        <v>5000000</v>
      </c>
      <c r="Z93" s="420"/>
      <c r="AA93" s="336"/>
      <c r="AB93" s="337"/>
      <c r="AC93" s="338"/>
      <c r="AD93" s="383">
        <f t="shared" si="22"/>
        <v>528915</v>
      </c>
      <c r="AE93" s="339"/>
      <c r="AF93" s="384">
        <f t="shared" si="27"/>
        <v>0</v>
      </c>
      <c r="AG93" s="336"/>
      <c r="AH93" s="329"/>
      <c r="AI93" s="330"/>
      <c r="AJ93" s="375">
        <f t="shared" si="23"/>
        <v>376533</v>
      </c>
      <c r="AK93" s="331"/>
      <c r="AL93" s="377">
        <f t="shared" si="28"/>
        <v>0</v>
      </c>
      <c r="AM93" s="336"/>
      <c r="AN93" s="336"/>
      <c r="AO93" s="336"/>
      <c r="AP93" s="340"/>
      <c r="AQ93" s="341"/>
      <c r="AR93" s="341"/>
      <c r="AS93" s="386">
        <f t="shared" si="25"/>
        <v>208871</v>
      </c>
      <c r="AT93" s="342"/>
      <c r="AU93" s="389">
        <f t="shared" si="17"/>
        <v>0</v>
      </c>
      <c r="AW93" s="343"/>
      <c r="AX93" s="344"/>
      <c r="AY93" s="344"/>
      <c r="AZ93" s="435">
        <f t="shared" si="18"/>
        <v>0</v>
      </c>
      <c r="BA93" s="438">
        <f t="shared" si="24"/>
        <v>0</v>
      </c>
    </row>
    <row r="94" spans="1:53">
      <c r="A94" s="412"/>
      <c r="B94" s="413"/>
      <c r="C94" s="404"/>
      <c r="E94" s="326"/>
      <c r="F94" s="327"/>
      <c r="G94" s="327"/>
      <c r="H94" s="371">
        <f t="shared" si="19"/>
        <v>341717</v>
      </c>
      <c r="I94" s="372">
        <f t="shared" si="20"/>
        <v>0</v>
      </c>
      <c r="K94" s="414"/>
      <c r="L94" s="415"/>
      <c r="M94" s="428">
        <f t="shared" si="26"/>
        <v>975218</v>
      </c>
      <c r="N94" s="416"/>
      <c r="O94" s="430">
        <f t="shared" si="16"/>
        <v>0</v>
      </c>
      <c r="P94" s="328"/>
      <c r="R94" s="417"/>
      <c r="S94" s="418"/>
      <c r="T94" s="419"/>
      <c r="U94" s="419"/>
      <c r="V94" s="419"/>
      <c r="W94" s="419"/>
      <c r="X94" s="419"/>
      <c r="Y94" s="432">
        <f t="shared" si="21"/>
        <v>5000000</v>
      </c>
      <c r="Z94" s="420"/>
      <c r="AA94" s="336"/>
      <c r="AB94" s="337"/>
      <c r="AC94" s="338"/>
      <c r="AD94" s="383">
        <f t="shared" si="22"/>
        <v>528915</v>
      </c>
      <c r="AE94" s="339"/>
      <c r="AF94" s="384">
        <f t="shared" si="27"/>
        <v>0</v>
      </c>
      <c r="AG94" s="336"/>
      <c r="AH94" s="329"/>
      <c r="AI94" s="330"/>
      <c r="AJ94" s="375">
        <f t="shared" si="23"/>
        <v>376533</v>
      </c>
      <c r="AK94" s="331"/>
      <c r="AL94" s="377">
        <f t="shared" si="28"/>
        <v>0</v>
      </c>
      <c r="AM94" s="336"/>
      <c r="AN94" s="336"/>
      <c r="AO94" s="336"/>
      <c r="AP94" s="340"/>
      <c r="AQ94" s="341"/>
      <c r="AR94" s="341"/>
      <c r="AS94" s="386">
        <f t="shared" si="25"/>
        <v>208871</v>
      </c>
      <c r="AT94" s="342"/>
      <c r="AU94" s="389">
        <f t="shared" si="17"/>
        <v>0</v>
      </c>
      <c r="AW94" s="343"/>
      <c r="AX94" s="344"/>
      <c r="AY94" s="344"/>
      <c r="AZ94" s="435">
        <f t="shared" si="18"/>
        <v>0</v>
      </c>
      <c r="BA94" s="438">
        <f t="shared" si="24"/>
        <v>0</v>
      </c>
    </row>
    <row r="95" spans="1:53">
      <c r="A95" s="412"/>
      <c r="B95" s="413"/>
      <c r="C95" s="404"/>
      <c r="E95" s="326"/>
      <c r="F95" s="327"/>
      <c r="G95" s="327"/>
      <c r="H95" s="371">
        <f t="shared" si="19"/>
        <v>341717</v>
      </c>
      <c r="I95" s="372">
        <f t="shared" si="20"/>
        <v>0</v>
      </c>
      <c r="K95" s="414"/>
      <c r="L95" s="415"/>
      <c r="M95" s="428">
        <f t="shared" si="26"/>
        <v>975218</v>
      </c>
      <c r="N95" s="416"/>
      <c r="O95" s="430">
        <f t="shared" si="16"/>
        <v>0</v>
      </c>
      <c r="P95" s="328"/>
      <c r="R95" s="417"/>
      <c r="S95" s="418"/>
      <c r="T95" s="419"/>
      <c r="U95" s="419"/>
      <c r="V95" s="419"/>
      <c r="W95" s="419"/>
      <c r="X95" s="419"/>
      <c r="Y95" s="432">
        <f t="shared" si="21"/>
        <v>5000000</v>
      </c>
      <c r="Z95" s="420"/>
      <c r="AA95" s="336"/>
      <c r="AB95" s="337"/>
      <c r="AC95" s="338"/>
      <c r="AD95" s="383">
        <f t="shared" si="22"/>
        <v>528915</v>
      </c>
      <c r="AE95" s="339"/>
      <c r="AF95" s="384">
        <f t="shared" si="27"/>
        <v>0</v>
      </c>
      <c r="AG95" s="336"/>
      <c r="AH95" s="329"/>
      <c r="AI95" s="330"/>
      <c r="AJ95" s="375">
        <f t="shared" si="23"/>
        <v>376533</v>
      </c>
      <c r="AK95" s="331"/>
      <c r="AL95" s="377">
        <f t="shared" si="28"/>
        <v>0</v>
      </c>
      <c r="AM95" s="336"/>
      <c r="AN95" s="336"/>
      <c r="AO95" s="336"/>
      <c r="AP95" s="340"/>
      <c r="AQ95" s="341"/>
      <c r="AR95" s="341"/>
      <c r="AS95" s="386">
        <f t="shared" si="25"/>
        <v>208871</v>
      </c>
      <c r="AT95" s="342"/>
      <c r="AU95" s="389">
        <f t="shared" si="17"/>
        <v>0</v>
      </c>
      <c r="AW95" s="343"/>
      <c r="AX95" s="344"/>
      <c r="AY95" s="344"/>
      <c r="AZ95" s="435">
        <f t="shared" si="18"/>
        <v>0</v>
      </c>
      <c r="BA95" s="438">
        <f t="shared" si="24"/>
        <v>0</v>
      </c>
    </row>
    <row r="96" spans="1:53">
      <c r="A96" s="412"/>
      <c r="B96" s="413"/>
      <c r="C96" s="404"/>
      <c r="E96" s="326"/>
      <c r="F96" s="327"/>
      <c r="G96" s="327"/>
      <c r="H96" s="371">
        <f t="shared" si="19"/>
        <v>341717</v>
      </c>
      <c r="I96" s="372">
        <f t="shared" si="20"/>
        <v>0</v>
      </c>
      <c r="K96" s="414"/>
      <c r="L96" s="415"/>
      <c r="M96" s="428">
        <f t="shared" si="26"/>
        <v>975218</v>
      </c>
      <c r="N96" s="416"/>
      <c r="O96" s="430">
        <f t="shared" si="16"/>
        <v>0</v>
      </c>
      <c r="P96" s="328"/>
      <c r="R96" s="417"/>
      <c r="S96" s="418"/>
      <c r="T96" s="419"/>
      <c r="U96" s="419"/>
      <c r="V96" s="419"/>
      <c r="W96" s="419"/>
      <c r="X96" s="419"/>
      <c r="Y96" s="432">
        <f t="shared" si="21"/>
        <v>5000000</v>
      </c>
      <c r="Z96" s="420"/>
      <c r="AA96" s="336"/>
      <c r="AB96" s="337"/>
      <c r="AC96" s="338"/>
      <c r="AD96" s="383">
        <f t="shared" si="22"/>
        <v>528915</v>
      </c>
      <c r="AE96" s="339"/>
      <c r="AF96" s="384">
        <f t="shared" si="27"/>
        <v>0</v>
      </c>
      <c r="AG96" s="336"/>
      <c r="AH96" s="329"/>
      <c r="AI96" s="330"/>
      <c r="AJ96" s="375">
        <f t="shared" si="23"/>
        <v>376533</v>
      </c>
      <c r="AK96" s="331"/>
      <c r="AL96" s="377">
        <f t="shared" si="28"/>
        <v>0</v>
      </c>
      <c r="AM96" s="336"/>
      <c r="AN96" s="336"/>
      <c r="AO96" s="336"/>
      <c r="AP96" s="340"/>
      <c r="AQ96" s="341"/>
      <c r="AR96" s="341"/>
      <c r="AS96" s="386">
        <f t="shared" si="25"/>
        <v>208871</v>
      </c>
      <c r="AT96" s="342"/>
      <c r="AU96" s="389">
        <f t="shared" si="17"/>
        <v>0</v>
      </c>
      <c r="AW96" s="343"/>
      <c r="AX96" s="344"/>
      <c r="AY96" s="344"/>
      <c r="AZ96" s="435">
        <f t="shared" si="18"/>
        <v>0</v>
      </c>
      <c r="BA96" s="438">
        <f t="shared" si="24"/>
        <v>0</v>
      </c>
    </row>
    <row r="97" spans="1:53">
      <c r="A97" s="412"/>
      <c r="B97" s="413"/>
      <c r="C97" s="404"/>
      <c r="E97" s="326"/>
      <c r="F97" s="327"/>
      <c r="G97" s="327"/>
      <c r="H97" s="371">
        <f t="shared" si="19"/>
        <v>341717</v>
      </c>
      <c r="I97" s="372">
        <f t="shared" si="20"/>
        <v>0</v>
      </c>
      <c r="K97" s="414"/>
      <c r="L97" s="415"/>
      <c r="M97" s="428">
        <f t="shared" si="26"/>
        <v>975218</v>
      </c>
      <c r="N97" s="416"/>
      <c r="O97" s="430">
        <f t="shared" si="16"/>
        <v>0</v>
      </c>
      <c r="P97" s="328"/>
      <c r="R97" s="417"/>
      <c r="S97" s="418"/>
      <c r="T97" s="419"/>
      <c r="U97" s="419"/>
      <c r="V97" s="419"/>
      <c r="W97" s="419"/>
      <c r="X97" s="419"/>
      <c r="Y97" s="432">
        <f t="shared" si="21"/>
        <v>5000000</v>
      </c>
      <c r="Z97" s="420"/>
      <c r="AA97" s="336"/>
      <c r="AB97" s="337"/>
      <c r="AC97" s="338"/>
      <c r="AD97" s="383">
        <f t="shared" si="22"/>
        <v>528915</v>
      </c>
      <c r="AE97" s="339"/>
      <c r="AF97" s="384">
        <f t="shared" si="27"/>
        <v>0</v>
      </c>
      <c r="AG97" s="336"/>
      <c r="AH97" s="329"/>
      <c r="AI97" s="330"/>
      <c r="AJ97" s="375">
        <f t="shared" si="23"/>
        <v>376533</v>
      </c>
      <c r="AK97" s="331"/>
      <c r="AL97" s="377">
        <f t="shared" si="28"/>
        <v>0</v>
      </c>
      <c r="AM97" s="336"/>
      <c r="AN97" s="336"/>
      <c r="AO97" s="336"/>
      <c r="AP97" s="340"/>
      <c r="AQ97" s="341"/>
      <c r="AR97" s="341"/>
      <c r="AS97" s="386">
        <f t="shared" si="25"/>
        <v>208871</v>
      </c>
      <c r="AT97" s="342"/>
      <c r="AU97" s="389">
        <f t="shared" si="17"/>
        <v>0</v>
      </c>
      <c r="AW97" s="343"/>
      <c r="AX97" s="344"/>
      <c r="AY97" s="344"/>
      <c r="AZ97" s="435">
        <f t="shared" si="18"/>
        <v>0</v>
      </c>
      <c r="BA97" s="438">
        <f t="shared" si="24"/>
        <v>0</v>
      </c>
    </row>
    <row r="98" spans="1:53">
      <c r="A98" s="412"/>
      <c r="B98" s="413"/>
      <c r="C98" s="404"/>
      <c r="E98" s="326"/>
      <c r="F98" s="327"/>
      <c r="G98" s="327"/>
      <c r="H98" s="371">
        <f t="shared" si="19"/>
        <v>341717</v>
      </c>
      <c r="I98" s="372">
        <f t="shared" si="20"/>
        <v>0</v>
      </c>
      <c r="K98" s="414"/>
      <c r="L98" s="415"/>
      <c r="M98" s="428">
        <f t="shared" si="26"/>
        <v>975218</v>
      </c>
      <c r="N98" s="416"/>
      <c r="O98" s="430">
        <f t="shared" si="16"/>
        <v>0</v>
      </c>
      <c r="P98" s="328"/>
      <c r="R98" s="417"/>
      <c r="S98" s="418"/>
      <c r="T98" s="419"/>
      <c r="U98" s="419"/>
      <c r="V98" s="419"/>
      <c r="W98" s="419"/>
      <c r="X98" s="419"/>
      <c r="Y98" s="432">
        <f t="shared" si="21"/>
        <v>5000000</v>
      </c>
      <c r="Z98" s="420"/>
      <c r="AA98" s="336"/>
      <c r="AB98" s="337"/>
      <c r="AC98" s="338"/>
      <c r="AD98" s="383">
        <f t="shared" si="22"/>
        <v>528915</v>
      </c>
      <c r="AE98" s="339"/>
      <c r="AF98" s="384">
        <f t="shared" si="27"/>
        <v>0</v>
      </c>
      <c r="AG98" s="336"/>
      <c r="AH98" s="329"/>
      <c r="AI98" s="330"/>
      <c r="AJ98" s="375">
        <f t="shared" si="23"/>
        <v>376533</v>
      </c>
      <c r="AK98" s="331"/>
      <c r="AL98" s="377">
        <f t="shared" si="28"/>
        <v>0</v>
      </c>
      <c r="AM98" s="336"/>
      <c r="AN98" s="336"/>
      <c r="AO98" s="336"/>
      <c r="AP98" s="340"/>
      <c r="AQ98" s="341"/>
      <c r="AR98" s="341"/>
      <c r="AS98" s="386">
        <f t="shared" si="25"/>
        <v>208871</v>
      </c>
      <c r="AT98" s="342"/>
      <c r="AU98" s="389">
        <f t="shared" si="17"/>
        <v>0</v>
      </c>
      <c r="AW98" s="343"/>
      <c r="AX98" s="344"/>
      <c r="AY98" s="344"/>
      <c r="AZ98" s="435">
        <f t="shared" si="18"/>
        <v>0</v>
      </c>
      <c r="BA98" s="438">
        <f t="shared" si="24"/>
        <v>0</v>
      </c>
    </row>
    <row r="99" spans="1:53">
      <c r="A99" s="412"/>
      <c r="B99" s="413"/>
      <c r="C99" s="404"/>
      <c r="E99" s="326"/>
      <c r="F99" s="327"/>
      <c r="G99" s="327"/>
      <c r="H99" s="371">
        <f t="shared" si="19"/>
        <v>341717</v>
      </c>
      <c r="I99" s="372">
        <f t="shared" si="20"/>
        <v>0</v>
      </c>
      <c r="K99" s="414"/>
      <c r="L99" s="415"/>
      <c r="M99" s="428">
        <f t="shared" si="26"/>
        <v>975218</v>
      </c>
      <c r="N99" s="416"/>
      <c r="O99" s="430">
        <f t="shared" si="16"/>
        <v>0</v>
      </c>
      <c r="P99" s="328"/>
      <c r="R99" s="417"/>
      <c r="S99" s="418"/>
      <c r="T99" s="419"/>
      <c r="U99" s="419"/>
      <c r="V99" s="419"/>
      <c r="W99" s="419"/>
      <c r="X99" s="419"/>
      <c r="Y99" s="432">
        <f t="shared" si="21"/>
        <v>5000000</v>
      </c>
      <c r="Z99" s="420"/>
      <c r="AA99" s="336"/>
      <c r="AB99" s="337"/>
      <c r="AC99" s="338"/>
      <c r="AD99" s="383">
        <f t="shared" si="22"/>
        <v>528915</v>
      </c>
      <c r="AE99" s="339"/>
      <c r="AF99" s="384">
        <f t="shared" si="27"/>
        <v>0</v>
      </c>
      <c r="AG99" s="336"/>
      <c r="AH99" s="329"/>
      <c r="AI99" s="330"/>
      <c r="AJ99" s="375">
        <f t="shared" si="23"/>
        <v>376533</v>
      </c>
      <c r="AK99" s="331"/>
      <c r="AL99" s="377">
        <f t="shared" si="28"/>
        <v>0</v>
      </c>
      <c r="AM99" s="336"/>
      <c r="AN99" s="336"/>
      <c r="AO99" s="336"/>
      <c r="AP99" s="340"/>
      <c r="AQ99" s="341"/>
      <c r="AR99" s="341"/>
      <c r="AS99" s="386">
        <f t="shared" si="25"/>
        <v>208871</v>
      </c>
      <c r="AT99" s="342"/>
      <c r="AU99" s="389">
        <f t="shared" si="17"/>
        <v>0</v>
      </c>
      <c r="AW99" s="343"/>
      <c r="AX99" s="344"/>
      <c r="AY99" s="344"/>
      <c r="AZ99" s="435">
        <f t="shared" si="18"/>
        <v>0</v>
      </c>
      <c r="BA99" s="438">
        <f t="shared" si="24"/>
        <v>0</v>
      </c>
    </row>
    <row r="100" spans="1:53">
      <c r="A100" s="412"/>
      <c r="B100" s="413"/>
      <c r="C100" s="404"/>
      <c r="E100" s="326"/>
      <c r="F100" s="327"/>
      <c r="G100" s="327"/>
      <c r="H100" s="371">
        <f t="shared" si="19"/>
        <v>341717</v>
      </c>
      <c r="I100" s="372">
        <f t="shared" si="20"/>
        <v>0</v>
      </c>
      <c r="K100" s="414"/>
      <c r="L100" s="415"/>
      <c r="M100" s="428">
        <f t="shared" si="26"/>
        <v>975218</v>
      </c>
      <c r="N100" s="416"/>
      <c r="O100" s="430">
        <f t="shared" si="16"/>
        <v>0</v>
      </c>
      <c r="P100" s="328"/>
      <c r="R100" s="417"/>
      <c r="S100" s="418"/>
      <c r="T100" s="419"/>
      <c r="U100" s="419"/>
      <c r="V100" s="419"/>
      <c r="W100" s="419"/>
      <c r="X100" s="419"/>
      <c r="Y100" s="432">
        <f t="shared" si="21"/>
        <v>5000000</v>
      </c>
      <c r="Z100" s="420"/>
      <c r="AA100" s="336"/>
      <c r="AB100" s="337"/>
      <c r="AC100" s="338"/>
      <c r="AD100" s="383">
        <f t="shared" si="22"/>
        <v>528915</v>
      </c>
      <c r="AE100" s="339"/>
      <c r="AF100" s="384">
        <f t="shared" si="27"/>
        <v>0</v>
      </c>
      <c r="AG100" s="336"/>
      <c r="AH100" s="329"/>
      <c r="AI100" s="330"/>
      <c r="AJ100" s="375">
        <f t="shared" si="23"/>
        <v>376533</v>
      </c>
      <c r="AK100" s="331"/>
      <c r="AL100" s="377">
        <f t="shared" si="28"/>
        <v>0</v>
      </c>
      <c r="AM100" s="336"/>
      <c r="AN100" s="336"/>
      <c r="AO100" s="336"/>
      <c r="AP100" s="340"/>
      <c r="AQ100" s="341"/>
      <c r="AR100" s="341"/>
      <c r="AS100" s="386">
        <f t="shared" si="25"/>
        <v>208871</v>
      </c>
      <c r="AT100" s="342"/>
      <c r="AU100" s="389">
        <f t="shared" si="17"/>
        <v>0</v>
      </c>
      <c r="AW100" s="343"/>
      <c r="AX100" s="344"/>
      <c r="AY100" s="344"/>
      <c r="AZ100" s="435">
        <f t="shared" si="18"/>
        <v>0</v>
      </c>
      <c r="BA100" s="438">
        <f t="shared" si="24"/>
        <v>0</v>
      </c>
    </row>
    <row r="101" spans="1:53">
      <c r="A101" s="412"/>
      <c r="B101" s="413"/>
      <c r="C101" s="404"/>
      <c r="D101" s="264"/>
      <c r="E101" s="326"/>
      <c r="F101" s="327"/>
      <c r="G101" s="327"/>
      <c r="H101" s="371">
        <f t="shared" si="19"/>
        <v>341717</v>
      </c>
      <c r="I101" s="372">
        <f t="shared" si="20"/>
        <v>0</v>
      </c>
      <c r="J101" s="264"/>
      <c r="K101" s="414"/>
      <c r="L101" s="415"/>
      <c r="M101" s="428">
        <f t="shared" si="26"/>
        <v>975218</v>
      </c>
      <c r="N101" s="416"/>
      <c r="O101" s="430">
        <f t="shared" si="16"/>
        <v>0</v>
      </c>
      <c r="P101" s="328"/>
      <c r="R101" s="417"/>
      <c r="S101" s="418"/>
      <c r="T101" s="419"/>
      <c r="U101" s="419"/>
      <c r="V101" s="419"/>
      <c r="W101" s="419"/>
      <c r="X101" s="419"/>
      <c r="Y101" s="432">
        <f t="shared" si="21"/>
        <v>5000000</v>
      </c>
      <c r="Z101" s="420"/>
      <c r="AA101" s="336"/>
      <c r="AB101" s="337"/>
      <c r="AC101" s="338"/>
      <c r="AD101" s="383">
        <f t="shared" si="22"/>
        <v>528915</v>
      </c>
      <c r="AE101" s="339"/>
      <c r="AF101" s="384">
        <f t="shared" si="27"/>
        <v>0</v>
      </c>
      <c r="AG101" s="336"/>
      <c r="AH101" s="329"/>
      <c r="AI101" s="330"/>
      <c r="AJ101" s="375">
        <f t="shared" si="23"/>
        <v>376533</v>
      </c>
      <c r="AK101" s="331"/>
      <c r="AL101" s="377">
        <f t="shared" si="28"/>
        <v>0</v>
      </c>
      <c r="AM101" s="336"/>
      <c r="AN101" s="336"/>
      <c r="AO101" s="336"/>
      <c r="AP101" s="340"/>
      <c r="AQ101" s="341"/>
      <c r="AR101" s="341"/>
      <c r="AS101" s="386">
        <f t="shared" si="25"/>
        <v>208871</v>
      </c>
      <c r="AT101" s="342"/>
      <c r="AU101" s="389">
        <f t="shared" si="17"/>
        <v>0</v>
      </c>
      <c r="AW101" s="343"/>
      <c r="AX101" s="344"/>
      <c r="AY101" s="344"/>
      <c r="AZ101" s="435">
        <f t="shared" si="18"/>
        <v>0</v>
      </c>
      <c r="BA101" s="438">
        <f t="shared" si="24"/>
        <v>0</v>
      </c>
    </row>
    <row r="102" spans="1:53">
      <c r="A102" s="412"/>
      <c r="B102" s="413"/>
      <c r="C102" s="404"/>
      <c r="D102" s="264"/>
      <c r="E102" s="326"/>
      <c r="F102" s="327"/>
      <c r="G102" s="327"/>
      <c r="H102" s="371">
        <f t="shared" si="19"/>
        <v>341717</v>
      </c>
      <c r="I102" s="372">
        <f t="shared" si="20"/>
        <v>0</v>
      </c>
      <c r="J102" s="264"/>
      <c r="K102" s="414"/>
      <c r="L102" s="415"/>
      <c r="M102" s="428">
        <f t="shared" si="26"/>
        <v>975218</v>
      </c>
      <c r="N102" s="416"/>
      <c r="O102" s="430">
        <f t="shared" si="16"/>
        <v>0</v>
      </c>
      <c r="P102" s="328"/>
      <c r="R102" s="417"/>
      <c r="S102" s="418"/>
      <c r="T102" s="419"/>
      <c r="U102" s="419"/>
      <c r="V102" s="419"/>
      <c r="W102" s="419"/>
      <c r="X102" s="419"/>
      <c r="Y102" s="432">
        <f t="shared" si="21"/>
        <v>5000000</v>
      </c>
      <c r="Z102" s="420"/>
      <c r="AA102" s="336"/>
      <c r="AB102" s="337"/>
      <c r="AC102" s="338"/>
      <c r="AD102" s="383">
        <f t="shared" si="22"/>
        <v>528915</v>
      </c>
      <c r="AE102" s="339"/>
      <c r="AF102" s="384">
        <f t="shared" si="27"/>
        <v>0</v>
      </c>
      <c r="AG102" s="336"/>
      <c r="AH102" s="329"/>
      <c r="AI102" s="330"/>
      <c r="AJ102" s="375">
        <f t="shared" si="23"/>
        <v>376533</v>
      </c>
      <c r="AK102" s="331"/>
      <c r="AL102" s="377">
        <f t="shared" si="28"/>
        <v>0</v>
      </c>
      <c r="AM102" s="336"/>
      <c r="AN102" s="336"/>
      <c r="AO102" s="336"/>
      <c r="AP102" s="340"/>
      <c r="AQ102" s="341"/>
      <c r="AR102" s="341"/>
      <c r="AS102" s="386">
        <f t="shared" si="25"/>
        <v>208871</v>
      </c>
      <c r="AT102" s="342"/>
      <c r="AU102" s="389">
        <f t="shared" si="17"/>
        <v>0</v>
      </c>
      <c r="AW102" s="343"/>
      <c r="AX102" s="344"/>
      <c r="AY102" s="344"/>
      <c r="AZ102" s="435">
        <f t="shared" si="18"/>
        <v>0</v>
      </c>
      <c r="BA102" s="438">
        <f t="shared" si="24"/>
        <v>0</v>
      </c>
    </row>
    <row r="103" spans="1:53">
      <c r="A103" s="412"/>
      <c r="B103" s="413"/>
      <c r="C103" s="404"/>
      <c r="D103" s="264"/>
      <c r="E103" s="326"/>
      <c r="F103" s="327"/>
      <c r="G103" s="327"/>
      <c r="H103" s="371">
        <f t="shared" si="19"/>
        <v>341717</v>
      </c>
      <c r="I103" s="372">
        <f t="shared" si="20"/>
        <v>0</v>
      </c>
      <c r="J103" s="264"/>
      <c r="K103" s="414"/>
      <c r="L103" s="415"/>
      <c r="M103" s="428">
        <f t="shared" si="26"/>
        <v>975218</v>
      </c>
      <c r="N103" s="416"/>
      <c r="O103" s="430">
        <f t="shared" si="16"/>
        <v>0</v>
      </c>
      <c r="P103" s="328"/>
      <c r="R103" s="417"/>
      <c r="S103" s="418"/>
      <c r="T103" s="419"/>
      <c r="U103" s="419"/>
      <c r="V103" s="419"/>
      <c r="W103" s="419"/>
      <c r="X103" s="419"/>
      <c r="Y103" s="432">
        <f t="shared" si="21"/>
        <v>5000000</v>
      </c>
      <c r="Z103" s="420"/>
      <c r="AA103" s="336"/>
      <c r="AB103" s="337"/>
      <c r="AC103" s="338"/>
      <c r="AD103" s="383">
        <f t="shared" si="22"/>
        <v>528915</v>
      </c>
      <c r="AE103" s="339"/>
      <c r="AF103" s="384">
        <f t="shared" si="27"/>
        <v>0</v>
      </c>
      <c r="AG103" s="336"/>
      <c r="AH103" s="329"/>
      <c r="AI103" s="330"/>
      <c r="AJ103" s="375">
        <f t="shared" si="23"/>
        <v>376533</v>
      </c>
      <c r="AK103" s="331"/>
      <c r="AL103" s="377">
        <f t="shared" si="28"/>
        <v>0</v>
      </c>
      <c r="AM103" s="336"/>
      <c r="AN103" s="336"/>
      <c r="AO103" s="336"/>
      <c r="AP103" s="340"/>
      <c r="AQ103" s="341"/>
      <c r="AR103" s="341"/>
      <c r="AS103" s="386">
        <f t="shared" si="25"/>
        <v>208871</v>
      </c>
      <c r="AT103" s="342"/>
      <c r="AU103" s="389">
        <f t="shared" si="17"/>
        <v>0</v>
      </c>
      <c r="AW103" s="343"/>
      <c r="AX103" s="344"/>
      <c r="AY103" s="344"/>
      <c r="AZ103" s="435">
        <f t="shared" si="18"/>
        <v>0</v>
      </c>
      <c r="BA103" s="438">
        <f t="shared" si="24"/>
        <v>0</v>
      </c>
    </row>
    <row r="104" spans="1:53">
      <c r="A104" s="412"/>
      <c r="B104" s="413"/>
      <c r="C104" s="404"/>
      <c r="D104" s="264"/>
      <c r="E104" s="326"/>
      <c r="F104" s="327"/>
      <c r="G104" s="327"/>
      <c r="H104" s="371">
        <f t="shared" si="19"/>
        <v>341717</v>
      </c>
      <c r="I104" s="372">
        <f t="shared" si="20"/>
        <v>0</v>
      </c>
      <c r="J104" s="264"/>
      <c r="K104" s="414"/>
      <c r="L104" s="415"/>
      <c r="M104" s="428">
        <f t="shared" si="26"/>
        <v>975218</v>
      </c>
      <c r="N104" s="416"/>
      <c r="O104" s="430">
        <f t="shared" si="16"/>
        <v>0</v>
      </c>
      <c r="P104" s="328"/>
      <c r="R104" s="417"/>
      <c r="S104" s="418"/>
      <c r="T104" s="419"/>
      <c r="U104" s="419"/>
      <c r="V104" s="419"/>
      <c r="W104" s="419"/>
      <c r="X104" s="419"/>
      <c r="Y104" s="432">
        <f t="shared" si="21"/>
        <v>5000000</v>
      </c>
      <c r="Z104" s="420"/>
      <c r="AA104" s="336"/>
      <c r="AB104" s="337"/>
      <c r="AC104" s="338"/>
      <c r="AD104" s="383">
        <f t="shared" si="22"/>
        <v>528915</v>
      </c>
      <c r="AE104" s="339"/>
      <c r="AF104" s="384">
        <f t="shared" si="27"/>
        <v>0</v>
      </c>
      <c r="AG104" s="336"/>
      <c r="AH104" s="329"/>
      <c r="AI104" s="330"/>
      <c r="AJ104" s="375">
        <f t="shared" si="23"/>
        <v>376533</v>
      </c>
      <c r="AK104" s="331"/>
      <c r="AL104" s="377">
        <f t="shared" si="28"/>
        <v>0</v>
      </c>
      <c r="AM104" s="336"/>
      <c r="AN104" s="336"/>
      <c r="AO104" s="336"/>
      <c r="AP104" s="340"/>
      <c r="AQ104" s="341"/>
      <c r="AR104" s="341"/>
      <c r="AS104" s="386">
        <f t="shared" si="25"/>
        <v>208871</v>
      </c>
      <c r="AT104" s="342"/>
      <c r="AU104" s="389">
        <f t="shared" si="17"/>
        <v>0</v>
      </c>
      <c r="AW104" s="343"/>
      <c r="AX104" s="344"/>
      <c r="AY104" s="344"/>
      <c r="AZ104" s="435">
        <f t="shared" si="18"/>
        <v>0</v>
      </c>
      <c r="BA104" s="438">
        <f t="shared" si="24"/>
        <v>0</v>
      </c>
    </row>
    <row r="105" spans="1:53">
      <c r="A105" s="412"/>
      <c r="B105" s="413"/>
      <c r="C105" s="404"/>
      <c r="D105" s="264"/>
      <c r="E105" s="326"/>
      <c r="F105" s="327"/>
      <c r="G105" s="327"/>
      <c r="H105" s="371">
        <f t="shared" si="19"/>
        <v>341717</v>
      </c>
      <c r="I105" s="372">
        <f t="shared" si="20"/>
        <v>0</v>
      </c>
      <c r="J105" s="264"/>
      <c r="K105" s="414"/>
      <c r="L105" s="415"/>
      <c r="M105" s="428">
        <f t="shared" si="26"/>
        <v>975218</v>
      </c>
      <c r="N105" s="416"/>
      <c r="O105" s="430">
        <f t="shared" si="16"/>
        <v>0</v>
      </c>
      <c r="P105" s="328"/>
      <c r="R105" s="417"/>
      <c r="S105" s="418"/>
      <c r="T105" s="419"/>
      <c r="U105" s="419"/>
      <c r="V105" s="419"/>
      <c r="W105" s="419"/>
      <c r="X105" s="419"/>
      <c r="Y105" s="432">
        <f t="shared" si="21"/>
        <v>5000000</v>
      </c>
      <c r="Z105" s="420"/>
      <c r="AA105" s="336"/>
      <c r="AB105" s="337"/>
      <c r="AC105" s="338"/>
      <c r="AD105" s="383">
        <f t="shared" si="22"/>
        <v>528915</v>
      </c>
      <c r="AE105" s="339"/>
      <c r="AF105" s="384">
        <f t="shared" si="27"/>
        <v>0</v>
      </c>
      <c r="AG105" s="336"/>
      <c r="AH105" s="329"/>
      <c r="AI105" s="330"/>
      <c r="AJ105" s="375">
        <f t="shared" si="23"/>
        <v>376533</v>
      </c>
      <c r="AK105" s="331"/>
      <c r="AL105" s="377">
        <f t="shared" si="28"/>
        <v>0</v>
      </c>
      <c r="AM105" s="336"/>
      <c r="AN105" s="336"/>
      <c r="AO105" s="336"/>
      <c r="AP105" s="340"/>
      <c r="AQ105" s="341"/>
      <c r="AR105" s="341"/>
      <c r="AS105" s="386">
        <f t="shared" si="25"/>
        <v>208871</v>
      </c>
      <c r="AT105" s="342"/>
      <c r="AU105" s="389">
        <f t="shared" si="17"/>
        <v>0</v>
      </c>
      <c r="AW105" s="343"/>
      <c r="AX105" s="344"/>
      <c r="AY105" s="344"/>
      <c r="AZ105" s="435">
        <f t="shared" si="18"/>
        <v>0</v>
      </c>
      <c r="BA105" s="438">
        <f t="shared" si="24"/>
        <v>0</v>
      </c>
    </row>
    <row r="106" spans="1:53">
      <c r="A106" s="412"/>
      <c r="B106" s="413"/>
      <c r="C106" s="404"/>
      <c r="D106" s="264"/>
      <c r="E106" s="326"/>
      <c r="F106" s="327"/>
      <c r="G106" s="327"/>
      <c r="H106" s="371">
        <f t="shared" si="19"/>
        <v>341717</v>
      </c>
      <c r="I106" s="372">
        <f t="shared" si="20"/>
        <v>0</v>
      </c>
      <c r="J106" s="264"/>
      <c r="K106" s="414"/>
      <c r="L106" s="415"/>
      <c r="M106" s="428">
        <f t="shared" si="26"/>
        <v>975218</v>
      </c>
      <c r="N106" s="416"/>
      <c r="O106" s="430">
        <f t="shared" si="16"/>
        <v>0</v>
      </c>
      <c r="P106" s="328"/>
      <c r="R106" s="417"/>
      <c r="S106" s="418"/>
      <c r="T106" s="419"/>
      <c r="U106" s="419"/>
      <c r="V106" s="419"/>
      <c r="W106" s="419"/>
      <c r="X106" s="419"/>
      <c r="Y106" s="432">
        <f t="shared" si="21"/>
        <v>5000000</v>
      </c>
      <c r="Z106" s="420"/>
      <c r="AA106" s="336"/>
      <c r="AB106" s="337"/>
      <c r="AC106" s="338"/>
      <c r="AD106" s="383">
        <f t="shared" si="22"/>
        <v>528915</v>
      </c>
      <c r="AE106" s="339"/>
      <c r="AF106" s="384">
        <f t="shared" si="27"/>
        <v>0</v>
      </c>
      <c r="AG106" s="336"/>
      <c r="AH106" s="329"/>
      <c r="AI106" s="330"/>
      <c r="AJ106" s="375">
        <f t="shared" si="23"/>
        <v>376533</v>
      </c>
      <c r="AK106" s="331"/>
      <c r="AL106" s="377">
        <f t="shared" si="28"/>
        <v>0</v>
      </c>
      <c r="AM106" s="336"/>
      <c r="AN106" s="336"/>
      <c r="AO106" s="336"/>
      <c r="AP106" s="340"/>
      <c r="AQ106" s="341"/>
      <c r="AR106" s="341"/>
      <c r="AS106" s="386">
        <f t="shared" si="25"/>
        <v>208871</v>
      </c>
      <c r="AT106" s="342"/>
      <c r="AU106" s="389">
        <f t="shared" si="17"/>
        <v>0</v>
      </c>
      <c r="AW106" s="343"/>
      <c r="AX106" s="344"/>
      <c r="AY106" s="344"/>
      <c r="AZ106" s="435">
        <f t="shared" si="18"/>
        <v>0</v>
      </c>
      <c r="BA106" s="438">
        <f t="shared" si="24"/>
        <v>0</v>
      </c>
    </row>
    <row r="107" spans="1:53">
      <c r="A107" s="412"/>
      <c r="B107" s="413"/>
      <c r="C107" s="404"/>
      <c r="D107" s="264"/>
      <c r="E107" s="326"/>
      <c r="F107" s="327"/>
      <c r="G107" s="327"/>
      <c r="H107" s="371">
        <f t="shared" si="19"/>
        <v>341717</v>
      </c>
      <c r="I107" s="372">
        <f t="shared" si="20"/>
        <v>0</v>
      </c>
      <c r="J107" s="264"/>
      <c r="K107" s="414"/>
      <c r="L107" s="415"/>
      <c r="M107" s="428">
        <f t="shared" si="26"/>
        <v>975218</v>
      </c>
      <c r="N107" s="416"/>
      <c r="O107" s="430">
        <f t="shared" si="16"/>
        <v>0</v>
      </c>
      <c r="P107" s="328"/>
      <c r="R107" s="417"/>
      <c r="S107" s="418"/>
      <c r="T107" s="419"/>
      <c r="U107" s="419"/>
      <c r="V107" s="419"/>
      <c r="W107" s="419"/>
      <c r="X107" s="419"/>
      <c r="Y107" s="432">
        <f t="shared" si="21"/>
        <v>5000000</v>
      </c>
      <c r="Z107" s="420"/>
      <c r="AA107" s="336"/>
      <c r="AB107" s="337"/>
      <c r="AC107" s="338"/>
      <c r="AD107" s="383">
        <f t="shared" si="22"/>
        <v>528915</v>
      </c>
      <c r="AE107" s="339"/>
      <c r="AF107" s="384">
        <f t="shared" si="27"/>
        <v>0</v>
      </c>
      <c r="AG107" s="336"/>
      <c r="AH107" s="329"/>
      <c r="AI107" s="330"/>
      <c r="AJ107" s="375">
        <f t="shared" si="23"/>
        <v>376533</v>
      </c>
      <c r="AK107" s="331"/>
      <c r="AL107" s="377">
        <f t="shared" si="28"/>
        <v>0</v>
      </c>
      <c r="AM107" s="336"/>
      <c r="AN107" s="336"/>
      <c r="AO107" s="336"/>
      <c r="AP107" s="340"/>
      <c r="AQ107" s="341"/>
      <c r="AR107" s="341"/>
      <c r="AS107" s="386">
        <f t="shared" si="25"/>
        <v>208871</v>
      </c>
      <c r="AT107" s="342"/>
      <c r="AU107" s="389">
        <f t="shared" si="17"/>
        <v>0</v>
      </c>
      <c r="AW107" s="343"/>
      <c r="AX107" s="344"/>
      <c r="AY107" s="344"/>
      <c r="AZ107" s="435">
        <f t="shared" si="18"/>
        <v>0</v>
      </c>
      <c r="BA107" s="438">
        <f t="shared" si="24"/>
        <v>0</v>
      </c>
    </row>
    <row r="108" spans="1:53">
      <c r="A108" s="412"/>
      <c r="B108" s="413"/>
      <c r="C108" s="404"/>
      <c r="D108" s="264"/>
      <c r="E108" s="326"/>
      <c r="F108" s="327"/>
      <c r="G108" s="327"/>
      <c r="H108" s="371">
        <f t="shared" si="19"/>
        <v>341717</v>
      </c>
      <c r="I108" s="372">
        <f t="shared" si="20"/>
        <v>0</v>
      </c>
      <c r="J108" s="264"/>
      <c r="K108" s="414"/>
      <c r="L108" s="415"/>
      <c r="M108" s="428">
        <f t="shared" si="26"/>
        <v>975218</v>
      </c>
      <c r="N108" s="416"/>
      <c r="O108" s="430">
        <f t="shared" si="16"/>
        <v>0</v>
      </c>
      <c r="P108" s="328"/>
      <c r="R108" s="417"/>
      <c r="S108" s="418"/>
      <c r="T108" s="419"/>
      <c r="U108" s="419"/>
      <c r="V108" s="419"/>
      <c r="W108" s="419"/>
      <c r="X108" s="419"/>
      <c r="Y108" s="432">
        <f t="shared" si="21"/>
        <v>5000000</v>
      </c>
      <c r="Z108" s="420"/>
      <c r="AA108" s="336"/>
      <c r="AB108" s="337"/>
      <c r="AC108" s="338"/>
      <c r="AD108" s="383">
        <f t="shared" si="22"/>
        <v>528915</v>
      </c>
      <c r="AE108" s="339"/>
      <c r="AF108" s="384">
        <f t="shared" si="27"/>
        <v>0</v>
      </c>
      <c r="AG108" s="336"/>
      <c r="AH108" s="329"/>
      <c r="AI108" s="330"/>
      <c r="AJ108" s="375">
        <f t="shared" si="23"/>
        <v>376533</v>
      </c>
      <c r="AK108" s="331"/>
      <c r="AL108" s="377">
        <f t="shared" si="28"/>
        <v>0</v>
      </c>
      <c r="AM108" s="336"/>
      <c r="AN108" s="336"/>
      <c r="AO108" s="336"/>
      <c r="AP108" s="340"/>
      <c r="AQ108" s="341"/>
      <c r="AR108" s="341"/>
      <c r="AS108" s="386">
        <f t="shared" si="25"/>
        <v>208871</v>
      </c>
      <c r="AT108" s="342"/>
      <c r="AU108" s="389">
        <f t="shared" si="17"/>
        <v>0</v>
      </c>
      <c r="AW108" s="343"/>
      <c r="AX108" s="344"/>
      <c r="AY108" s="344"/>
      <c r="AZ108" s="435">
        <f t="shared" si="18"/>
        <v>0</v>
      </c>
      <c r="BA108" s="438">
        <f t="shared" si="24"/>
        <v>0</v>
      </c>
    </row>
    <row r="109" spans="1:53">
      <c r="A109" s="412"/>
      <c r="B109" s="413"/>
      <c r="C109" s="404"/>
      <c r="D109" s="264"/>
      <c r="E109" s="326"/>
      <c r="F109" s="327"/>
      <c r="G109" s="327"/>
      <c r="H109" s="371">
        <f t="shared" si="19"/>
        <v>341717</v>
      </c>
      <c r="I109" s="372">
        <f t="shared" si="20"/>
        <v>0</v>
      </c>
      <c r="J109" s="264"/>
      <c r="K109" s="414"/>
      <c r="L109" s="415"/>
      <c r="M109" s="428">
        <f t="shared" si="26"/>
        <v>975218</v>
      </c>
      <c r="N109" s="416"/>
      <c r="O109" s="430">
        <f t="shared" si="16"/>
        <v>0</v>
      </c>
      <c r="P109" s="328"/>
      <c r="R109" s="417"/>
      <c r="S109" s="418"/>
      <c r="T109" s="419"/>
      <c r="U109" s="419"/>
      <c r="V109" s="419"/>
      <c r="W109" s="419"/>
      <c r="X109" s="419"/>
      <c r="Y109" s="432">
        <f t="shared" si="21"/>
        <v>5000000</v>
      </c>
      <c r="Z109" s="420"/>
      <c r="AA109" s="336"/>
      <c r="AB109" s="337"/>
      <c r="AC109" s="338"/>
      <c r="AD109" s="383">
        <f t="shared" si="22"/>
        <v>528915</v>
      </c>
      <c r="AE109" s="339"/>
      <c r="AF109" s="384">
        <f t="shared" si="27"/>
        <v>0</v>
      </c>
      <c r="AG109" s="336"/>
      <c r="AH109" s="329"/>
      <c r="AI109" s="330"/>
      <c r="AJ109" s="375">
        <f t="shared" si="23"/>
        <v>376533</v>
      </c>
      <c r="AK109" s="331"/>
      <c r="AL109" s="377">
        <f t="shared" si="28"/>
        <v>0</v>
      </c>
      <c r="AM109" s="336"/>
      <c r="AN109" s="336"/>
      <c r="AO109" s="336"/>
      <c r="AP109" s="340"/>
      <c r="AQ109" s="341"/>
      <c r="AR109" s="341"/>
      <c r="AS109" s="386">
        <f t="shared" si="25"/>
        <v>208871</v>
      </c>
      <c r="AT109" s="342"/>
      <c r="AU109" s="389">
        <f t="shared" si="17"/>
        <v>0</v>
      </c>
      <c r="AW109" s="343"/>
      <c r="AX109" s="344"/>
      <c r="AY109" s="344"/>
      <c r="AZ109" s="435">
        <f t="shared" si="18"/>
        <v>0</v>
      </c>
      <c r="BA109" s="438">
        <f t="shared" si="24"/>
        <v>0</v>
      </c>
    </row>
    <row r="110" spans="1:53">
      <c r="A110" s="412"/>
      <c r="B110" s="413"/>
      <c r="C110" s="404"/>
      <c r="D110" s="264"/>
      <c r="E110" s="326"/>
      <c r="F110" s="327"/>
      <c r="G110" s="327"/>
      <c r="H110" s="371">
        <f t="shared" si="19"/>
        <v>341717</v>
      </c>
      <c r="I110" s="372">
        <f t="shared" si="20"/>
        <v>0</v>
      </c>
      <c r="J110" s="264"/>
      <c r="K110" s="414"/>
      <c r="L110" s="415"/>
      <c r="M110" s="428">
        <f t="shared" si="26"/>
        <v>975218</v>
      </c>
      <c r="N110" s="416"/>
      <c r="O110" s="430">
        <f t="shared" si="16"/>
        <v>0</v>
      </c>
      <c r="P110" s="328"/>
      <c r="R110" s="417"/>
      <c r="S110" s="418"/>
      <c r="T110" s="419"/>
      <c r="U110" s="419"/>
      <c r="V110" s="419"/>
      <c r="W110" s="419"/>
      <c r="X110" s="419"/>
      <c r="Y110" s="432">
        <f t="shared" si="21"/>
        <v>5000000</v>
      </c>
      <c r="Z110" s="420"/>
      <c r="AA110" s="336"/>
      <c r="AB110" s="337"/>
      <c r="AC110" s="338"/>
      <c r="AD110" s="383">
        <f t="shared" si="22"/>
        <v>528915</v>
      </c>
      <c r="AE110" s="339"/>
      <c r="AF110" s="384">
        <f t="shared" si="27"/>
        <v>0</v>
      </c>
      <c r="AG110" s="336"/>
      <c r="AH110" s="329"/>
      <c r="AI110" s="330"/>
      <c r="AJ110" s="375">
        <f t="shared" si="23"/>
        <v>376533</v>
      </c>
      <c r="AK110" s="331"/>
      <c r="AL110" s="377">
        <f t="shared" si="28"/>
        <v>0</v>
      </c>
      <c r="AM110" s="336"/>
      <c r="AN110" s="336"/>
      <c r="AO110" s="336"/>
      <c r="AP110" s="340"/>
      <c r="AQ110" s="341"/>
      <c r="AR110" s="341"/>
      <c r="AS110" s="386">
        <f t="shared" si="25"/>
        <v>208871</v>
      </c>
      <c r="AT110" s="342"/>
      <c r="AU110" s="389">
        <f t="shared" si="17"/>
        <v>0</v>
      </c>
      <c r="AW110" s="343"/>
      <c r="AX110" s="344"/>
      <c r="AY110" s="344"/>
      <c r="AZ110" s="435">
        <f t="shared" si="18"/>
        <v>0</v>
      </c>
      <c r="BA110" s="438">
        <f t="shared" si="24"/>
        <v>0</v>
      </c>
    </row>
    <row r="111" spans="1:53">
      <c r="A111" s="412"/>
      <c r="B111" s="413"/>
      <c r="C111" s="404"/>
      <c r="D111" s="264"/>
      <c r="E111" s="326"/>
      <c r="F111" s="327"/>
      <c r="G111" s="327"/>
      <c r="H111" s="371">
        <f t="shared" si="19"/>
        <v>341717</v>
      </c>
      <c r="I111" s="372">
        <f t="shared" si="20"/>
        <v>0</v>
      </c>
      <c r="J111" s="264"/>
      <c r="K111" s="414"/>
      <c r="L111" s="415"/>
      <c r="M111" s="428">
        <f t="shared" si="26"/>
        <v>975218</v>
      </c>
      <c r="N111" s="416"/>
      <c r="O111" s="430">
        <f t="shared" si="16"/>
        <v>0</v>
      </c>
      <c r="P111" s="328"/>
      <c r="R111" s="417"/>
      <c r="S111" s="418"/>
      <c r="T111" s="419"/>
      <c r="U111" s="419"/>
      <c r="V111" s="419"/>
      <c r="W111" s="419"/>
      <c r="X111" s="419"/>
      <c r="Y111" s="432">
        <f t="shared" si="21"/>
        <v>5000000</v>
      </c>
      <c r="Z111" s="420"/>
      <c r="AA111" s="336"/>
      <c r="AB111" s="337"/>
      <c r="AC111" s="338"/>
      <c r="AD111" s="383">
        <f t="shared" si="22"/>
        <v>528915</v>
      </c>
      <c r="AE111" s="339"/>
      <c r="AF111" s="384">
        <f t="shared" si="27"/>
        <v>0</v>
      </c>
      <c r="AG111" s="336"/>
      <c r="AH111" s="329"/>
      <c r="AI111" s="330"/>
      <c r="AJ111" s="375">
        <f t="shared" si="23"/>
        <v>376533</v>
      </c>
      <c r="AK111" s="331"/>
      <c r="AL111" s="377">
        <f t="shared" si="28"/>
        <v>0</v>
      </c>
      <c r="AM111" s="336"/>
      <c r="AN111" s="336"/>
      <c r="AO111" s="336"/>
      <c r="AP111" s="340"/>
      <c r="AQ111" s="341"/>
      <c r="AR111" s="341"/>
      <c r="AS111" s="386">
        <f t="shared" si="25"/>
        <v>208871</v>
      </c>
      <c r="AT111" s="342"/>
      <c r="AU111" s="389">
        <f t="shared" si="17"/>
        <v>0</v>
      </c>
      <c r="AW111" s="343"/>
      <c r="AX111" s="344"/>
      <c r="AY111" s="344"/>
      <c r="AZ111" s="435">
        <f t="shared" si="18"/>
        <v>0</v>
      </c>
      <c r="BA111" s="438">
        <f t="shared" si="24"/>
        <v>0</v>
      </c>
    </row>
    <row r="112" spans="1:53">
      <c r="A112" s="412"/>
      <c r="B112" s="413"/>
      <c r="C112" s="404"/>
      <c r="D112" s="264"/>
      <c r="E112" s="326"/>
      <c r="F112" s="327"/>
      <c r="G112" s="327"/>
      <c r="H112" s="371">
        <f t="shared" si="19"/>
        <v>341717</v>
      </c>
      <c r="I112" s="372">
        <f t="shared" si="20"/>
        <v>0</v>
      </c>
      <c r="J112" s="264"/>
      <c r="K112" s="414"/>
      <c r="L112" s="415"/>
      <c r="M112" s="428">
        <f t="shared" si="26"/>
        <v>975218</v>
      </c>
      <c r="N112" s="416"/>
      <c r="O112" s="430">
        <f t="shared" si="16"/>
        <v>0</v>
      </c>
      <c r="P112" s="328"/>
      <c r="R112" s="417"/>
      <c r="S112" s="418"/>
      <c r="T112" s="419"/>
      <c r="U112" s="419"/>
      <c r="V112" s="419"/>
      <c r="W112" s="419"/>
      <c r="X112" s="419"/>
      <c r="Y112" s="432">
        <f t="shared" si="21"/>
        <v>5000000</v>
      </c>
      <c r="Z112" s="420"/>
      <c r="AA112" s="336"/>
      <c r="AB112" s="337"/>
      <c r="AC112" s="338"/>
      <c r="AD112" s="383">
        <f t="shared" si="22"/>
        <v>528915</v>
      </c>
      <c r="AE112" s="339"/>
      <c r="AF112" s="384">
        <f t="shared" si="27"/>
        <v>0</v>
      </c>
      <c r="AG112" s="336"/>
      <c r="AH112" s="329"/>
      <c r="AI112" s="330"/>
      <c r="AJ112" s="375">
        <f t="shared" si="23"/>
        <v>376533</v>
      </c>
      <c r="AK112" s="331"/>
      <c r="AL112" s="377">
        <f t="shared" si="28"/>
        <v>0</v>
      </c>
      <c r="AM112" s="336"/>
      <c r="AN112" s="336"/>
      <c r="AO112" s="336"/>
      <c r="AP112" s="340"/>
      <c r="AQ112" s="341"/>
      <c r="AR112" s="341"/>
      <c r="AS112" s="386">
        <f t="shared" si="25"/>
        <v>208871</v>
      </c>
      <c r="AT112" s="342"/>
      <c r="AU112" s="389">
        <f t="shared" si="17"/>
        <v>0</v>
      </c>
      <c r="AW112" s="343"/>
      <c r="AX112" s="344"/>
      <c r="AY112" s="344"/>
      <c r="AZ112" s="435">
        <f t="shared" si="18"/>
        <v>0</v>
      </c>
      <c r="BA112" s="438">
        <f t="shared" si="24"/>
        <v>0</v>
      </c>
    </row>
    <row r="113" spans="1:53">
      <c r="A113" s="412"/>
      <c r="B113" s="413"/>
      <c r="C113" s="404"/>
      <c r="D113" s="264"/>
      <c r="E113" s="326"/>
      <c r="F113" s="327"/>
      <c r="G113" s="327"/>
      <c r="H113" s="371">
        <f t="shared" si="19"/>
        <v>341717</v>
      </c>
      <c r="I113" s="372">
        <f t="shared" si="20"/>
        <v>0</v>
      </c>
      <c r="J113" s="264"/>
      <c r="K113" s="414"/>
      <c r="L113" s="415"/>
      <c r="M113" s="428">
        <f t="shared" si="26"/>
        <v>975218</v>
      </c>
      <c r="N113" s="416"/>
      <c r="O113" s="430">
        <f t="shared" si="16"/>
        <v>0</v>
      </c>
      <c r="P113" s="328"/>
      <c r="R113" s="417"/>
      <c r="S113" s="418"/>
      <c r="T113" s="419"/>
      <c r="U113" s="419"/>
      <c r="V113" s="419"/>
      <c r="W113" s="419"/>
      <c r="X113" s="419"/>
      <c r="Y113" s="432">
        <f t="shared" si="21"/>
        <v>5000000</v>
      </c>
      <c r="Z113" s="420"/>
      <c r="AA113" s="336"/>
      <c r="AB113" s="337"/>
      <c r="AC113" s="338"/>
      <c r="AD113" s="383">
        <f t="shared" si="22"/>
        <v>528915</v>
      </c>
      <c r="AE113" s="339"/>
      <c r="AF113" s="384">
        <f t="shared" si="27"/>
        <v>0</v>
      </c>
      <c r="AG113" s="336"/>
      <c r="AH113" s="329"/>
      <c r="AI113" s="330"/>
      <c r="AJ113" s="375">
        <f t="shared" si="23"/>
        <v>376533</v>
      </c>
      <c r="AK113" s="331"/>
      <c r="AL113" s="377">
        <f t="shared" si="28"/>
        <v>0</v>
      </c>
      <c r="AM113" s="336"/>
      <c r="AN113" s="336"/>
      <c r="AO113" s="336"/>
      <c r="AP113" s="340"/>
      <c r="AQ113" s="341"/>
      <c r="AR113" s="341"/>
      <c r="AS113" s="386">
        <f t="shared" si="25"/>
        <v>208871</v>
      </c>
      <c r="AT113" s="342"/>
      <c r="AU113" s="389">
        <f t="shared" si="17"/>
        <v>0</v>
      </c>
      <c r="AW113" s="343"/>
      <c r="AX113" s="344"/>
      <c r="AY113" s="344"/>
      <c r="AZ113" s="435">
        <f t="shared" si="18"/>
        <v>0</v>
      </c>
      <c r="BA113" s="438">
        <f t="shared" si="24"/>
        <v>0</v>
      </c>
    </row>
    <row r="114" spans="1:53">
      <c r="A114" s="412"/>
      <c r="B114" s="413"/>
      <c r="C114" s="404"/>
      <c r="D114" s="264"/>
      <c r="E114" s="326"/>
      <c r="F114" s="327"/>
      <c r="G114" s="327"/>
      <c r="H114" s="371">
        <f t="shared" si="19"/>
        <v>341717</v>
      </c>
      <c r="I114" s="372">
        <f t="shared" si="20"/>
        <v>0</v>
      </c>
      <c r="J114" s="264"/>
      <c r="K114" s="414"/>
      <c r="L114" s="415"/>
      <c r="M114" s="428">
        <f t="shared" si="26"/>
        <v>975218</v>
      </c>
      <c r="N114" s="416"/>
      <c r="O114" s="430">
        <f t="shared" si="16"/>
        <v>0</v>
      </c>
      <c r="P114" s="328"/>
      <c r="R114" s="417"/>
      <c r="S114" s="418"/>
      <c r="T114" s="419"/>
      <c r="U114" s="419"/>
      <c r="V114" s="419"/>
      <c r="W114" s="419"/>
      <c r="X114" s="419"/>
      <c r="Y114" s="432">
        <f t="shared" si="21"/>
        <v>5000000</v>
      </c>
      <c r="Z114" s="420"/>
      <c r="AA114" s="336"/>
      <c r="AB114" s="337"/>
      <c r="AC114" s="338"/>
      <c r="AD114" s="383">
        <f t="shared" si="22"/>
        <v>528915</v>
      </c>
      <c r="AE114" s="339"/>
      <c r="AF114" s="384">
        <f t="shared" si="27"/>
        <v>0</v>
      </c>
      <c r="AG114" s="336"/>
      <c r="AH114" s="329"/>
      <c r="AI114" s="330"/>
      <c r="AJ114" s="375">
        <f t="shared" si="23"/>
        <v>376533</v>
      </c>
      <c r="AK114" s="331"/>
      <c r="AL114" s="377">
        <f t="shared" si="28"/>
        <v>0</v>
      </c>
      <c r="AM114" s="336"/>
      <c r="AN114" s="336"/>
      <c r="AO114" s="336"/>
      <c r="AP114" s="340"/>
      <c r="AQ114" s="341"/>
      <c r="AR114" s="341"/>
      <c r="AS114" s="386">
        <f t="shared" si="25"/>
        <v>208871</v>
      </c>
      <c r="AT114" s="342"/>
      <c r="AU114" s="389">
        <f t="shared" si="17"/>
        <v>0</v>
      </c>
      <c r="AW114" s="343"/>
      <c r="AX114" s="344"/>
      <c r="AY114" s="344"/>
      <c r="AZ114" s="435">
        <f t="shared" si="18"/>
        <v>0</v>
      </c>
      <c r="BA114" s="438">
        <f t="shared" si="24"/>
        <v>0</v>
      </c>
    </row>
    <row r="115" spans="1:53">
      <c r="A115" s="412"/>
      <c r="B115" s="413"/>
      <c r="C115" s="404"/>
      <c r="D115" s="264"/>
      <c r="E115" s="326"/>
      <c r="F115" s="327"/>
      <c r="G115" s="327"/>
      <c r="H115" s="371">
        <f t="shared" si="19"/>
        <v>341717</v>
      </c>
      <c r="I115" s="372">
        <f t="shared" si="20"/>
        <v>0</v>
      </c>
      <c r="J115" s="264"/>
      <c r="K115" s="414"/>
      <c r="L115" s="415"/>
      <c r="M115" s="428">
        <f t="shared" si="26"/>
        <v>975218</v>
      </c>
      <c r="N115" s="416"/>
      <c r="O115" s="430">
        <f t="shared" si="16"/>
        <v>0</v>
      </c>
      <c r="P115" s="328"/>
      <c r="R115" s="417"/>
      <c r="S115" s="418"/>
      <c r="T115" s="419"/>
      <c r="U115" s="419"/>
      <c r="V115" s="419"/>
      <c r="W115" s="419"/>
      <c r="X115" s="419"/>
      <c r="Y115" s="432">
        <f t="shared" si="21"/>
        <v>5000000</v>
      </c>
      <c r="Z115" s="420"/>
      <c r="AA115" s="336"/>
      <c r="AB115" s="337"/>
      <c r="AC115" s="338"/>
      <c r="AD115" s="383">
        <f t="shared" si="22"/>
        <v>528915</v>
      </c>
      <c r="AE115" s="339"/>
      <c r="AF115" s="384">
        <f t="shared" si="27"/>
        <v>0</v>
      </c>
      <c r="AG115" s="336"/>
      <c r="AH115" s="329"/>
      <c r="AI115" s="330"/>
      <c r="AJ115" s="375">
        <f t="shared" si="23"/>
        <v>376533</v>
      </c>
      <c r="AK115" s="331"/>
      <c r="AL115" s="377">
        <f t="shared" si="28"/>
        <v>0</v>
      </c>
      <c r="AM115" s="336"/>
      <c r="AN115" s="336"/>
      <c r="AO115" s="336"/>
      <c r="AP115" s="340"/>
      <c r="AQ115" s="341"/>
      <c r="AR115" s="341"/>
      <c r="AS115" s="386">
        <f t="shared" si="25"/>
        <v>208871</v>
      </c>
      <c r="AT115" s="342"/>
      <c r="AU115" s="389">
        <f t="shared" si="17"/>
        <v>0</v>
      </c>
      <c r="AW115" s="343"/>
      <c r="AX115" s="344"/>
      <c r="AY115" s="344"/>
      <c r="AZ115" s="435">
        <f t="shared" si="18"/>
        <v>0</v>
      </c>
      <c r="BA115" s="438">
        <f t="shared" si="24"/>
        <v>0</v>
      </c>
    </row>
    <row r="116" spans="1:53">
      <c r="A116" s="412"/>
      <c r="B116" s="413"/>
      <c r="C116" s="404"/>
      <c r="D116" s="264"/>
      <c r="E116" s="326"/>
      <c r="F116" s="327"/>
      <c r="G116" s="327"/>
      <c r="H116" s="371">
        <f t="shared" si="19"/>
        <v>341717</v>
      </c>
      <c r="I116" s="372">
        <f t="shared" si="20"/>
        <v>0</v>
      </c>
      <c r="J116" s="264"/>
      <c r="K116" s="414"/>
      <c r="L116" s="415"/>
      <c r="M116" s="428">
        <f t="shared" si="26"/>
        <v>975218</v>
      </c>
      <c r="N116" s="416"/>
      <c r="O116" s="430">
        <f t="shared" si="16"/>
        <v>0</v>
      </c>
      <c r="P116" s="328"/>
      <c r="R116" s="417"/>
      <c r="S116" s="418"/>
      <c r="T116" s="419"/>
      <c r="U116" s="419"/>
      <c r="V116" s="419"/>
      <c r="W116" s="419"/>
      <c r="X116" s="419"/>
      <c r="Y116" s="432">
        <f t="shared" si="21"/>
        <v>5000000</v>
      </c>
      <c r="Z116" s="420"/>
      <c r="AA116" s="336"/>
      <c r="AB116" s="337"/>
      <c r="AC116" s="338"/>
      <c r="AD116" s="383">
        <f t="shared" si="22"/>
        <v>528915</v>
      </c>
      <c r="AE116" s="339"/>
      <c r="AF116" s="384">
        <f t="shared" si="27"/>
        <v>0</v>
      </c>
      <c r="AG116" s="336"/>
      <c r="AH116" s="329"/>
      <c r="AI116" s="330"/>
      <c r="AJ116" s="375">
        <f t="shared" si="23"/>
        <v>376533</v>
      </c>
      <c r="AK116" s="331"/>
      <c r="AL116" s="377">
        <f t="shared" si="28"/>
        <v>0</v>
      </c>
      <c r="AM116" s="336"/>
      <c r="AN116" s="336"/>
      <c r="AO116" s="336"/>
      <c r="AP116" s="340"/>
      <c r="AQ116" s="341"/>
      <c r="AR116" s="341"/>
      <c r="AS116" s="386">
        <f t="shared" si="25"/>
        <v>208871</v>
      </c>
      <c r="AT116" s="342"/>
      <c r="AU116" s="389">
        <f t="shared" si="17"/>
        <v>0</v>
      </c>
      <c r="AW116" s="343"/>
      <c r="AX116" s="344"/>
      <c r="AY116" s="344"/>
      <c r="AZ116" s="435">
        <f t="shared" si="18"/>
        <v>0</v>
      </c>
      <c r="BA116" s="438">
        <f t="shared" si="24"/>
        <v>0</v>
      </c>
    </row>
    <row r="117" spans="1:53">
      <c r="A117" s="412"/>
      <c r="B117" s="413"/>
      <c r="C117" s="404"/>
      <c r="D117" s="264"/>
      <c r="E117" s="326"/>
      <c r="F117" s="327"/>
      <c r="G117" s="327"/>
      <c r="H117" s="371">
        <f t="shared" si="19"/>
        <v>341717</v>
      </c>
      <c r="I117" s="372">
        <f t="shared" si="20"/>
        <v>0</v>
      </c>
      <c r="J117" s="264"/>
      <c r="K117" s="414"/>
      <c r="L117" s="415"/>
      <c r="M117" s="428">
        <f t="shared" si="26"/>
        <v>975218</v>
      </c>
      <c r="N117" s="416"/>
      <c r="O117" s="430">
        <f t="shared" si="16"/>
        <v>0</v>
      </c>
      <c r="P117" s="328"/>
      <c r="R117" s="417"/>
      <c r="S117" s="418"/>
      <c r="T117" s="419"/>
      <c r="U117" s="419"/>
      <c r="V117" s="419"/>
      <c r="W117" s="419"/>
      <c r="X117" s="419"/>
      <c r="Y117" s="432">
        <f t="shared" si="21"/>
        <v>5000000</v>
      </c>
      <c r="Z117" s="420"/>
      <c r="AA117" s="336"/>
      <c r="AB117" s="337"/>
      <c r="AC117" s="338"/>
      <c r="AD117" s="383">
        <f t="shared" si="22"/>
        <v>528915</v>
      </c>
      <c r="AE117" s="339"/>
      <c r="AF117" s="384">
        <f t="shared" si="27"/>
        <v>0</v>
      </c>
      <c r="AG117" s="336"/>
      <c r="AH117" s="329"/>
      <c r="AI117" s="330"/>
      <c r="AJ117" s="375">
        <f t="shared" si="23"/>
        <v>376533</v>
      </c>
      <c r="AK117" s="331"/>
      <c r="AL117" s="377">
        <f t="shared" si="28"/>
        <v>0</v>
      </c>
      <c r="AM117" s="336"/>
      <c r="AN117" s="336"/>
      <c r="AO117" s="336"/>
      <c r="AP117" s="340"/>
      <c r="AQ117" s="341"/>
      <c r="AR117" s="341"/>
      <c r="AS117" s="386">
        <f t="shared" si="25"/>
        <v>208871</v>
      </c>
      <c r="AT117" s="342"/>
      <c r="AU117" s="389">
        <f t="shared" si="17"/>
        <v>0</v>
      </c>
      <c r="AW117" s="343"/>
      <c r="AX117" s="344"/>
      <c r="AY117" s="344"/>
      <c r="AZ117" s="435">
        <f t="shared" si="18"/>
        <v>0</v>
      </c>
      <c r="BA117" s="438">
        <f t="shared" si="24"/>
        <v>0</v>
      </c>
    </row>
    <row r="118" spans="1:53">
      <c r="A118" s="412"/>
      <c r="B118" s="413"/>
      <c r="C118" s="404"/>
      <c r="D118" s="264"/>
      <c r="E118" s="326"/>
      <c r="F118" s="327"/>
      <c r="G118" s="327"/>
      <c r="H118" s="371">
        <f t="shared" si="19"/>
        <v>341717</v>
      </c>
      <c r="I118" s="372">
        <f t="shared" si="20"/>
        <v>0</v>
      </c>
      <c r="J118" s="264"/>
      <c r="K118" s="414"/>
      <c r="L118" s="415"/>
      <c r="M118" s="428">
        <f t="shared" si="26"/>
        <v>975218</v>
      </c>
      <c r="N118" s="416"/>
      <c r="O118" s="430">
        <f t="shared" si="16"/>
        <v>0</v>
      </c>
      <c r="P118" s="328"/>
      <c r="R118" s="417"/>
      <c r="S118" s="418"/>
      <c r="T118" s="419"/>
      <c r="U118" s="419"/>
      <c r="V118" s="419"/>
      <c r="W118" s="419"/>
      <c r="X118" s="419"/>
      <c r="Y118" s="432">
        <f t="shared" si="21"/>
        <v>5000000</v>
      </c>
      <c r="Z118" s="420"/>
      <c r="AA118" s="336"/>
      <c r="AB118" s="337"/>
      <c r="AC118" s="338"/>
      <c r="AD118" s="383">
        <f t="shared" si="22"/>
        <v>528915</v>
      </c>
      <c r="AE118" s="339"/>
      <c r="AF118" s="384">
        <f t="shared" si="27"/>
        <v>0</v>
      </c>
      <c r="AG118" s="336"/>
      <c r="AH118" s="329"/>
      <c r="AI118" s="330"/>
      <c r="AJ118" s="375">
        <f t="shared" si="23"/>
        <v>376533</v>
      </c>
      <c r="AK118" s="331"/>
      <c r="AL118" s="377">
        <f t="shared" si="28"/>
        <v>0</v>
      </c>
      <c r="AM118" s="336"/>
      <c r="AN118" s="336"/>
      <c r="AO118" s="336"/>
      <c r="AP118" s="340"/>
      <c r="AQ118" s="341"/>
      <c r="AR118" s="341"/>
      <c r="AS118" s="386">
        <f t="shared" si="25"/>
        <v>208871</v>
      </c>
      <c r="AT118" s="342"/>
      <c r="AU118" s="389">
        <f t="shared" si="17"/>
        <v>0</v>
      </c>
      <c r="AW118" s="343"/>
      <c r="AX118" s="344"/>
      <c r="AY118" s="344"/>
      <c r="AZ118" s="435">
        <f t="shared" si="18"/>
        <v>0</v>
      </c>
      <c r="BA118" s="438">
        <f t="shared" si="24"/>
        <v>0</v>
      </c>
    </row>
    <row r="119" spans="1:53">
      <c r="A119" s="412"/>
      <c r="B119" s="413"/>
      <c r="C119" s="404"/>
      <c r="D119" s="264"/>
      <c r="E119" s="326"/>
      <c r="F119" s="327"/>
      <c r="G119" s="327"/>
      <c r="H119" s="371">
        <f t="shared" si="19"/>
        <v>341717</v>
      </c>
      <c r="I119" s="372">
        <f t="shared" si="20"/>
        <v>0</v>
      </c>
      <c r="J119" s="264"/>
      <c r="K119" s="414"/>
      <c r="L119" s="415"/>
      <c r="M119" s="428">
        <f t="shared" si="26"/>
        <v>975218</v>
      </c>
      <c r="N119" s="416"/>
      <c r="O119" s="430">
        <f t="shared" si="16"/>
        <v>0</v>
      </c>
      <c r="P119" s="328"/>
      <c r="R119" s="417"/>
      <c r="S119" s="418"/>
      <c r="T119" s="419"/>
      <c r="U119" s="419"/>
      <c r="V119" s="419"/>
      <c r="W119" s="419"/>
      <c r="X119" s="419"/>
      <c r="Y119" s="432">
        <f t="shared" si="21"/>
        <v>5000000</v>
      </c>
      <c r="Z119" s="420"/>
      <c r="AA119" s="336"/>
      <c r="AB119" s="337"/>
      <c r="AC119" s="338"/>
      <c r="AD119" s="383">
        <f t="shared" si="22"/>
        <v>528915</v>
      </c>
      <c r="AE119" s="339"/>
      <c r="AF119" s="384">
        <f t="shared" si="27"/>
        <v>0</v>
      </c>
      <c r="AG119" s="336"/>
      <c r="AH119" s="329"/>
      <c r="AI119" s="330"/>
      <c r="AJ119" s="375">
        <f t="shared" si="23"/>
        <v>376533</v>
      </c>
      <c r="AK119" s="331"/>
      <c r="AL119" s="377">
        <f t="shared" si="28"/>
        <v>0</v>
      </c>
      <c r="AM119" s="336"/>
      <c r="AN119" s="336"/>
      <c r="AO119" s="336"/>
      <c r="AP119" s="340"/>
      <c r="AQ119" s="341"/>
      <c r="AR119" s="341"/>
      <c r="AS119" s="386">
        <f t="shared" si="25"/>
        <v>208871</v>
      </c>
      <c r="AT119" s="342"/>
      <c r="AU119" s="389">
        <f t="shared" si="17"/>
        <v>0</v>
      </c>
      <c r="AW119" s="343"/>
      <c r="AX119" s="344"/>
      <c r="AY119" s="344"/>
      <c r="AZ119" s="435">
        <f t="shared" si="18"/>
        <v>0</v>
      </c>
      <c r="BA119" s="438">
        <f t="shared" si="24"/>
        <v>0</v>
      </c>
    </row>
    <row r="120" spans="1:53">
      <c r="A120" s="412"/>
      <c r="B120" s="413"/>
      <c r="C120" s="404"/>
      <c r="D120" s="264"/>
      <c r="E120" s="326"/>
      <c r="F120" s="327"/>
      <c r="G120" s="327"/>
      <c r="H120" s="371">
        <f t="shared" si="19"/>
        <v>341717</v>
      </c>
      <c r="I120" s="372">
        <f t="shared" si="20"/>
        <v>0</v>
      </c>
      <c r="J120" s="264"/>
      <c r="K120" s="414"/>
      <c r="L120" s="415"/>
      <c r="M120" s="428">
        <f t="shared" si="26"/>
        <v>975218</v>
      </c>
      <c r="N120" s="416"/>
      <c r="O120" s="430">
        <f t="shared" si="16"/>
        <v>0</v>
      </c>
      <c r="P120" s="328"/>
      <c r="R120" s="417"/>
      <c r="S120" s="418"/>
      <c r="T120" s="419"/>
      <c r="U120" s="419"/>
      <c r="V120" s="419"/>
      <c r="W120" s="419"/>
      <c r="X120" s="419"/>
      <c r="Y120" s="432">
        <f t="shared" si="21"/>
        <v>5000000</v>
      </c>
      <c r="Z120" s="420"/>
      <c r="AA120" s="336"/>
      <c r="AB120" s="337"/>
      <c r="AC120" s="338"/>
      <c r="AD120" s="383">
        <f t="shared" si="22"/>
        <v>528915</v>
      </c>
      <c r="AE120" s="339"/>
      <c r="AF120" s="384">
        <f t="shared" si="27"/>
        <v>0</v>
      </c>
      <c r="AG120" s="336"/>
      <c r="AH120" s="329"/>
      <c r="AI120" s="330"/>
      <c r="AJ120" s="375">
        <f t="shared" si="23"/>
        <v>376533</v>
      </c>
      <c r="AK120" s="331"/>
      <c r="AL120" s="377">
        <f t="shared" si="28"/>
        <v>0</v>
      </c>
      <c r="AM120" s="336"/>
      <c r="AN120" s="336"/>
      <c r="AO120" s="336"/>
      <c r="AP120" s="340"/>
      <c r="AQ120" s="341"/>
      <c r="AR120" s="341"/>
      <c r="AS120" s="386">
        <f t="shared" si="25"/>
        <v>208871</v>
      </c>
      <c r="AT120" s="342"/>
      <c r="AU120" s="389">
        <f t="shared" si="17"/>
        <v>0</v>
      </c>
      <c r="AW120" s="343"/>
      <c r="AX120" s="344"/>
      <c r="AY120" s="344"/>
      <c r="AZ120" s="435">
        <f t="shared" si="18"/>
        <v>0</v>
      </c>
      <c r="BA120" s="438">
        <f t="shared" si="24"/>
        <v>0</v>
      </c>
    </row>
    <row r="121" spans="1:53">
      <c r="A121" s="412"/>
      <c r="B121" s="413"/>
      <c r="C121" s="404"/>
      <c r="D121" s="264"/>
      <c r="E121" s="326"/>
      <c r="F121" s="327"/>
      <c r="G121" s="327"/>
      <c r="H121" s="371">
        <f t="shared" si="19"/>
        <v>341717</v>
      </c>
      <c r="I121" s="372">
        <f t="shared" si="20"/>
        <v>0</v>
      </c>
      <c r="J121" s="264"/>
      <c r="K121" s="414"/>
      <c r="L121" s="415"/>
      <c r="M121" s="428">
        <f t="shared" si="26"/>
        <v>975218</v>
      </c>
      <c r="N121" s="416"/>
      <c r="O121" s="430">
        <f t="shared" si="16"/>
        <v>0</v>
      </c>
      <c r="P121" s="328"/>
      <c r="R121" s="417"/>
      <c r="S121" s="418"/>
      <c r="T121" s="419"/>
      <c r="U121" s="419"/>
      <c r="V121" s="419"/>
      <c r="W121" s="419"/>
      <c r="X121" s="419"/>
      <c r="Y121" s="432">
        <f t="shared" si="21"/>
        <v>5000000</v>
      </c>
      <c r="Z121" s="420"/>
      <c r="AA121" s="336"/>
      <c r="AB121" s="337"/>
      <c r="AC121" s="338"/>
      <c r="AD121" s="383">
        <f t="shared" si="22"/>
        <v>528915</v>
      </c>
      <c r="AE121" s="339"/>
      <c r="AF121" s="384">
        <f t="shared" si="27"/>
        <v>0</v>
      </c>
      <c r="AG121" s="336"/>
      <c r="AH121" s="329"/>
      <c r="AI121" s="330"/>
      <c r="AJ121" s="375">
        <f t="shared" si="23"/>
        <v>376533</v>
      </c>
      <c r="AK121" s="331"/>
      <c r="AL121" s="377">
        <f t="shared" si="28"/>
        <v>0</v>
      </c>
      <c r="AM121" s="336"/>
      <c r="AN121" s="336"/>
      <c r="AO121" s="336"/>
      <c r="AP121" s="340"/>
      <c r="AQ121" s="341"/>
      <c r="AR121" s="341"/>
      <c r="AS121" s="386">
        <f t="shared" si="25"/>
        <v>208871</v>
      </c>
      <c r="AT121" s="342"/>
      <c r="AU121" s="389">
        <f t="shared" si="17"/>
        <v>0</v>
      </c>
      <c r="AW121" s="343"/>
      <c r="AX121" s="344"/>
      <c r="AY121" s="344"/>
      <c r="AZ121" s="435">
        <f t="shared" si="18"/>
        <v>0</v>
      </c>
      <c r="BA121" s="438">
        <f t="shared" si="24"/>
        <v>0</v>
      </c>
    </row>
    <row r="122" spans="1:53">
      <c r="A122" s="412"/>
      <c r="B122" s="413"/>
      <c r="C122" s="404"/>
      <c r="D122" s="264"/>
      <c r="E122" s="326"/>
      <c r="F122" s="327"/>
      <c r="G122" s="327"/>
      <c r="H122" s="371">
        <f t="shared" si="19"/>
        <v>341717</v>
      </c>
      <c r="I122" s="372">
        <f t="shared" si="20"/>
        <v>0</v>
      </c>
      <c r="J122" s="264"/>
      <c r="K122" s="414"/>
      <c r="L122" s="415"/>
      <c r="M122" s="428">
        <f t="shared" si="26"/>
        <v>975218</v>
      </c>
      <c r="N122" s="416"/>
      <c r="O122" s="430">
        <f t="shared" si="16"/>
        <v>0</v>
      </c>
      <c r="P122" s="328"/>
      <c r="R122" s="417"/>
      <c r="S122" s="418"/>
      <c r="T122" s="419"/>
      <c r="U122" s="419"/>
      <c r="V122" s="419"/>
      <c r="W122" s="419"/>
      <c r="X122" s="419"/>
      <c r="Y122" s="432">
        <f t="shared" si="21"/>
        <v>5000000</v>
      </c>
      <c r="Z122" s="420"/>
      <c r="AA122" s="336"/>
      <c r="AB122" s="337"/>
      <c r="AC122" s="338"/>
      <c r="AD122" s="383">
        <f t="shared" si="22"/>
        <v>528915</v>
      </c>
      <c r="AE122" s="339"/>
      <c r="AF122" s="384">
        <f t="shared" si="27"/>
        <v>0</v>
      </c>
      <c r="AG122" s="336"/>
      <c r="AH122" s="329"/>
      <c r="AI122" s="330"/>
      <c r="AJ122" s="375">
        <f t="shared" si="23"/>
        <v>376533</v>
      </c>
      <c r="AK122" s="331"/>
      <c r="AL122" s="377">
        <f t="shared" si="28"/>
        <v>0</v>
      </c>
      <c r="AM122" s="336"/>
      <c r="AN122" s="336"/>
      <c r="AO122" s="336"/>
      <c r="AP122" s="340"/>
      <c r="AQ122" s="341"/>
      <c r="AR122" s="341"/>
      <c r="AS122" s="386">
        <f t="shared" si="25"/>
        <v>208871</v>
      </c>
      <c r="AT122" s="342"/>
      <c r="AU122" s="389">
        <f t="shared" si="17"/>
        <v>0</v>
      </c>
      <c r="AW122" s="343"/>
      <c r="AX122" s="344"/>
      <c r="AY122" s="344"/>
      <c r="AZ122" s="435">
        <f t="shared" si="18"/>
        <v>0</v>
      </c>
      <c r="BA122" s="438">
        <f t="shared" si="24"/>
        <v>0</v>
      </c>
    </row>
    <row r="123" spans="1:53">
      <c r="A123" s="412"/>
      <c r="B123" s="413"/>
      <c r="C123" s="404"/>
      <c r="D123" s="264"/>
      <c r="E123" s="326"/>
      <c r="F123" s="327"/>
      <c r="G123" s="327"/>
      <c r="H123" s="371">
        <f t="shared" si="19"/>
        <v>341717</v>
      </c>
      <c r="I123" s="372">
        <f t="shared" si="20"/>
        <v>0</v>
      </c>
      <c r="J123" s="264"/>
      <c r="K123" s="414"/>
      <c r="L123" s="415"/>
      <c r="M123" s="428">
        <f t="shared" si="26"/>
        <v>975218</v>
      </c>
      <c r="N123" s="416"/>
      <c r="O123" s="430">
        <f t="shared" si="16"/>
        <v>0</v>
      </c>
      <c r="P123" s="328"/>
      <c r="R123" s="417"/>
      <c r="S123" s="418"/>
      <c r="T123" s="419"/>
      <c r="U123" s="419"/>
      <c r="V123" s="419"/>
      <c r="W123" s="419"/>
      <c r="X123" s="419"/>
      <c r="Y123" s="432">
        <f t="shared" si="21"/>
        <v>5000000</v>
      </c>
      <c r="Z123" s="420"/>
      <c r="AA123" s="336"/>
      <c r="AB123" s="337"/>
      <c r="AC123" s="338"/>
      <c r="AD123" s="383">
        <f t="shared" si="22"/>
        <v>528915</v>
      </c>
      <c r="AE123" s="339"/>
      <c r="AF123" s="384">
        <f t="shared" si="27"/>
        <v>0</v>
      </c>
      <c r="AG123" s="336"/>
      <c r="AH123" s="329"/>
      <c r="AI123" s="330"/>
      <c r="AJ123" s="375">
        <f t="shared" si="23"/>
        <v>376533</v>
      </c>
      <c r="AK123" s="331"/>
      <c r="AL123" s="377">
        <f t="shared" si="28"/>
        <v>0</v>
      </c>
      <c r="AM123" s="336"/>
      <c r="AN123" s="336"/>
      <c r="AO123" s="336"/>
      <c r="AP123" s="340"/>
      <c r="AQ123" s="341"/>
      <c r="AR123" s="341"/>
      <c r="AS123" s="386">
        <f t="shared" si="25"/>
        <v>208871</v>
      </c>
      <c r="AT123" s="342"/>
      <c r="AU123" s="389">
        <f t="shared" si="17"/>
        <v>0</v>
      </c>
      <c r="AW123" s="343"/>
      <c r="AX123" s="344"/>
      <c r="AY123" s="344"/>
      <c r="AZ123" s="435">
        <f t="shared" si="18"/>
        <v>0</v>
      </c>
      <c r="BA123" s="438">
        <f t="shared" si="24"/>
        <v>0</v>
      </c>
    </row>
    <row r="124" spans="1:53">
      <c r="A124" s="412"/>
      <c r="B124" s="413"/>
      <c r="C124" s="404"/>
      <c r="D124" s="264"/>
      <c r="E124" s="326"/>
      <c r="F124" s="327"/>
      <c r="G124" s="327"/>
      <c r="H124" s="371">
        <f t="shared" si="19"/>
        <v>341717</v>
      </c>
      <c r="I124" s="372">
        <f t="shared" si="20"/>
        <v>0</v>
      </c>
      <c r="J124" s="264"/>
      <c r="K124" s="414"/>
      <c r="L124" s="415"/>
      <c r="M124" s="428">
        <f t="shared" si="26"/>
        <v>975218</v>
      </c>
      <c r="N124" s="416"/>
      <c r="O124" s="430">
        <f t="shared" si="16"/>
        <v>0</v>
      </c>
      <c r="P124" s="328"/>
      <c r="R124" s="417"/>
      <c r="S124" s="418"/>
      <c r="T124" s="419"/>
      <c r="U124" s="419"/>
      <c r="V124" s="419"/>
      <c r="W124" s="419"/>
      <c r="X124" s="419"/>
      <c r="Y124" s="432">
        <f t="shared" si="21"/>
        <v>5000000</v>
      </c>
      <c r="Z124" s="420"/>
      <c r="AA124" s="336"/>
      <c r="AB124" s="337"/>
      <c r="AC124" s="338"/>
      <c r="AD124" s="383">
        <f t="shared" si="22"/>
        <v>528915</v>
      </c>
      <c r="AE124" s="339"/>
      <c r="AF124" s="384">
        <f t="shared" si="27"/>
        <v>0</v>
      </c>
      <c r="AG124" s="336"/>
      <c r="AH124" s="329"/>
      <c r="AI124" s="330"/>
      <c r="AJ124" s="375">
        <f t="shared" si="23"/>
        <v>376533</v>
      </c>
      <c r="AK124" s="331"/>
      <c r="AL124" s="377">
        <f t="shared" si="28"/>
        <v>0</v>
      </c>
      <c r="AM124" s="336"/>
      <c r="AN124" s="336"/>
      <c r="AO124" s="336"/>
      <c r="AP124" s="340"/>
      <c r="AQ124" s="341"/>
      <c r="AR124" s="341"/>
      <c r="AS124" s="386">
        <f t="shared" si="25"/>
        <v>208871</v>
      </c>
      <c r="AT124" s="342"/>
      <c r="AU124" s="389">
        <f t="shared" si="17"/>
        <v>0</v>
      </c>
      <c r="AW124" s="343"/>
      <c r="AX124" s="344"/>
      <c r="AY124" s="344"/>
      <c r="AZ124" s="435">
        <f t="shared" si="18"/>
        <v>0</v>
      </c>
      <c r="BA124" s="438">
        <f t="shared" si="24"/>
        <v>0</v>
      </c>
    </row>
    <row r="125" spans="1:53">
      <c r="A125" s="412"/>
      <c r="B125" s="413"/>
      <c r="C125" s="404"/>
      <c r="D125" s="264"/>
      <c r="E125" s="326"/>
      <c r="F125" s="327"/>
      <c r="G125" s="327"/>
      <c r="H125" s="371">
        <f t="shared" si="19"/>
        <v>341717</v>
      </c>
      <c r="I125" s="372">
        <f t="shared" si="20"/>
        <v>0</v>
      </c>
      <c r="J125" s="264"/>
      <c r="K125" s="414"/>
      <c r="L125" s="415"/>
      <c r="M125" s="428">
        <f t="shared" si="26"/>
        <v>975218</v>
      </c>
      <c r="N125" s="416"/>
      <c r="O125" s="430">
        <f t="shared" si="16"/>
        <v>0</v>
      </c>
      <c r="P125" s="328"/>
      <c r="R125" s="417"/>
      <c r="S125" s="418"/>
      <c r="T125" s="419"/>
      <c r="U125" s="419"/>
      <c r="V125" s="419"/>
      <c r="W125" s="419"/>
      <c r="X125" s="419"/>
      <c r="Y125" s="432">
        <f t="shared" si="21"/>
        <v>5000000</v>
      </c>
      <c r="Z125" s="420"/>
      <c r="AA125" s="336"/>
      <c r="AB125" s="337"/>
      <c r="AC125" s="338"/>
      <c r="AD125" s="383">
        <f t="shared" si="22"/>
        <v>528915</v>
      </c>
      <c r="AE125" s="339"/>
      <c r="AF125" s="384">
        <f t="shared" si="27"/>
        <v>0</v>
      </c>
      <c r="AG125" s="336"/>
      <c r="AH125" s="329"/>
      <c r="AI125" s="330"/>
      <c r="AJ125" s="375">
        <f t="shared" si="23"/>
        <v>376533</v>
      </c>
      <c r="AK125" s="331"/>
      <c r="AL125" s="377">
        <f t="shared" si="28"/>
        <v>0</v>
      </c>
      <c r="AM125" s="336"/>
      <c r="AN125" s="336"/>
      <c r="AO125" s="336"/>
      <c r="AP125" s="340"/>
      <c r="AQ125" s="341"/>
      <c r="AR125" s="341"/>
      <c r="AS125" s="386">
        <f t="shared" si="25"/>
        <v>208871</v>
      </c>
      <c r="AT125" s="342"/>
      <c r="AU125" s="389">
        <f t="shared" si="17"/>
        <v>0</v>
      </c>
      <c r="AW125" s="343"/>
      <c r="AX125" s="344"/>
      <c r="AY125" s="344"/>
      <c r="AZ125" s="435">
        <f t="shared" si="18"/>
        <v>0</v>
      </c>
      <c r="BA125" s="438">
        <f t="shared" si="24"/>
        <v>0</v>
      </c>
    </row>
    <row r="126" spans="1:53">
      <c r="A126" s="412"/>
      <c r="B126" s="413"/>
      <c r="C126" s="404"/>
      <c r="D126" s="264"/>
      <c r="E126" s="326"/>
      <c r="F126" s="327"/>
      <c r="G126" s="327"/>
      <c r="H126" s="371">
        <f t="shared" si="19"/>
        <v>341717</v>
      </c>
      <c r="I126" s="372">
        <f t="shared" si="20"/>
        <v>0</v>
      </c>
      <c r="J126" s="264"/>
      <c r="K126" s="414"/>
      <c r="L126" s="415"/>
      <c r="M126" s="428">
        <f t="shared" si="26"/>
        <v>975218</v>
      </c>
      <c r="N126" s="416"/>
      <c r="O126" s="430">
        <f t="shared" si="16"/>
        <v>0</v>
      </c>
      <c r="P126" s="328"/>
      <c r="R126" s="417"/>
      <c r="S126" s="418"/>
      <c r="T126" s="419"/>
      <c r="U126" s="419"/>
      <c r="V126" s="419"/>
      <c r="W126" s="419"/>
      <c r="X126" s="419"/>
      <c r="Y126" s="432">
        <f t="shared" si="21"/>
        <v>5000000</v>
      </c>
      <c r="Z126" s="420"/>
      <c r="AA126" s="336"/>
      <c r="AB126" s="337"/>
      <c r="AC126" s="338"/>
      <c r="AD126" s="383">
        <f t="shared" si="22"/>
        <v>528915</v>
      </c>
      <c r="AE126" s="339"/>
      <c r="AF126" s="384">
        <f t="shared" si="27"/>
        <v>0</v>
      </c>
      <c r="AG126" s="336"/>
      <c r="AH126" s="329"/>
      <c r="AI126" s="330"/>
      <c r="AJ126" s="375">
        <f t="shared" si="23"/>
        <v>376533</v>
      </c>
      <c r="AK126" s="331"/>
      <c r="AL126" s="377">
        <f t="shared" si="28"/>
        <v>0</v>
      </c>
      <c r="AM126" s="336"/>
      <c r="AN126" s="336"/>
      <c r="AO126" s="336"/>
      <c r="AP126" s="340"/>
      <c r="AQ126" s="341"/>
      <c r="AR126" s="341"/>
      <c r="AS126" s="386">
        <f t="shared" si="25"/>
        <v>208871</v>
      </c>
      <c r="AT126" s="342"/>
      <c r="AU126" s="389">
        <f t="shared" si="17"/>
        <v>0</v>
      </c>
      <c r="AW126" s="343"/>
      <c r="AX126" s="344"/>
      <c r="AY126" s="344"/>
      <c r="AZ126" s="435">
        <f t="shared" si="18"/>
        <v>0</v>
      </c>
      <c r="BA126" s="438">
        <f t="shared" si="24"/>
        <v>0</v>
      </c>
    </row>
    <row r="127" spans="1:53">
      <c r="A127" s="412"/>
      <c r="B127" s="413"/>
      <c r="C127" s="404"/>
      <c r="D127" s="264"/>
      <c r="E127" s="326"/>
      <c r="F127" s="327"/>
      <c r="G127" s="327"/>
      <c r="H127" s="371">
        <f t="shared" si="19"/>
        <v>341717</v>
      </c>
      <c r="I127" s="372">
        <f t="shared" si="20"/>
        <v>0</v>
      </c>
      <c r="J127" s="264"/>
      <c r="K127" s="414"/>
      <c r="L127" s="415"/>
      <c r="M127" s="428">
        <f t="shared" si="26"/>
        <v>975218</v>
      </c>
      <c r="N127" s="416"/>
      <c r="O127" s="430">
        <f t="shared" si="16"/>
        <v>0</v>
      </c>
      <c r="P127" s="328"/>
      <c r="R127" s="417"/>
      <c r="S127" s="418"/>
      <c r="T127" s="419"/>
      <c r="U127" s="419"/>
      <c r="V127" s="419"/>
      <c r="W127" s="419"/>
      <c r="X127" s="419"/>
      <c r="Y127" s="432">
        <f t="shared" si="21"/>
        <v>5000000</v>
      </c>
      <c r="Z127" s="420"/>
      <c r="AA127" s="336"/>
      <c r="AB127" s="337"/>
      <c r="AC127" s="338"/>
      <c r="AD127" s="383">
        <f t="shared" si="22"/>
        <v>528915</v>
      </c>
      <c r="AE127" s="339"/>
      <c r="AF127" s="384">
        <f t="shared" si="27"/>
        <v>0</v>
      </c>
      <c r="AG127" s="336"/>
      <c r="AH127" s="329"/>
      <c r="AI127" s="330"/>
      <c r="AJ127" s="375">
        <f t="shared" si="23"/>
        <v>376533</v>
      </c>
      <c r="AK127" s="331"/>
      <c r="AL127" s="377">
        <f t="shared" si="28"/>
        <v>0</v>
      </c>
      <c r="AM127" s="336"/>
      <c r="AN127" s="336"/>
      <c r="AO127" s="336"/>
      <c r="AP127" s="340"/>
      <c r="AQ127" s="341"/>
      <c r="AR127" s="341"/>
      <c r="AS127" s="386">
        <f t="shared" si="25"/>
        <v>208871</v>
      </c>
      <c r="AT127" s="342"/>
      <c r="AU127" s="389">
        <f t="shared" si="17"/>
        <v>0</v>
      </c>
      <c r="AW127" s="343"/>
      <c r="AX127" s="344"/>
      <c r="AY127" s="344"/>
      <c r="AZ127" s="435">
        <f t="shared" si="18"/>
        <v>0</v>
      </c>
      <c r="BA127" s="438">
        <f t="shared" si="24"/>
        <v>0</v>
      </c>
    </row>
    <row r="128" spans="1:53">
      <c r="A128" s="412"/>
      <c r="B128" s="413"/>
      <c r="C128" s="404"/>
      <c r="D128" s="264"/>
      <c r="E128" s="326"/>
      <c r="F128" s="327"/>
      <c r="G128" s="327"/>
      <c r="H128" s="371">
        <f t="shared" si="19"/>
        <v>341717</v>
      </c>
      <c r="I128" s="372">
        <f t="shared" si="20"/>
        <v>0</v>
      </c>
      <c r="J128" s="264"/>
      <c r="K128" s="414"/>
      <c r="L128" s="415"/>
      <c r="M128" s="428">
        <f t="shared" si="26"/>
        <v>975218</v>
      </c>
      <c r="N128" s="416"/>
      <c r="O128" s="430">
        <f t="shared" si="16"/>
        <v>0</v>
      </c>
      <c r="P128" s="328"/>
      <c r="R128" s="417"/>
      <c r="S128" s="418"/>
      <c r="T128" s="419"/>
      <c r="U128" s="419"/>
      <c r="V128" s="419"/>
      <c r="W128" s="419"/>
      <c r="X128" s="419"/>
      <c r="Y128" s="432">
        <f t="shared" si="21"/>
        <v>5000000</v>
      </c>
      <c r="Z128" s="420"/>
      <c r="AA128" s="336"/>
      <c r="AB128" s="337"/>
      <c r="AC128" s="338"/>
      <c r="AD128" s="383">
        <f t="shared" si="22"/>
        <v>528915</v>
      </c>
      <c r="AE128" s="339"/>
      <c r="AF128" s="384">
        <f t="shared" si="27"/>
        <v>0</v>
      </c>
      <c r="AG128" s="336"/>
      <c r="AH128" s="329"/>
      <c r="AI128" s="330"/>
      <c r="AJ128" s="375">
        <f t="shared" si="23"/>
        <v>376533</v>
      </c>
      <c r="AK128" s="331"/>
      <c r="AL128" s="377">
        <f t="shared" si="28"/>
        <v>0</v>
      </c>
      <c r="AM128" s="336"/>
      <c r="AN128" s="336"/>
      <c r="AO128" s="336"/>
      <c r="AP128" s="340"/>
      <c r="AQ128" s="341"/>
      <c r="AR128" s="341"/>
      <c r="AS128" s="386">
        <f t="shared" si="25"/>
        <v>208871</v>
      </c>
      <c r="AT128" s="342"/>
      <c r="AU128" s="389">
        <f t="shared" si="17"/>
        <v>0</v>
      </c>
      <c r="AW128" s="343"/>
      <c r="AX128" s="344"/>
      <c r="AY128" s="344"/>
      <c r="AZ128" s="435">
        <f t="shared" si="18"/>
        <v>0</v>
      </c>
      <c r="BA128" s="438">
        <f t="shared" si="24"/>
        <v>0</v>
      </c>
    </row>
    <row r="129" spans="1:53">
      <c r="A129" s="412"/>
      <c r="B129" s="413"/>
      <c r="C129" s="404"/>
      <c r="D129" s="264"/>
      <c r="E129" s="326"/>
      <c r="F129" s="327"/>
      <c r="G129" s="327"/>
      <c r="H129" s="371">
        <f t="shared" si="19"/>
        <v>341717</v>
      </c>
      <c r="I129" s="372">
        <f t="shared" si="20"/>
        <v>0</v>
      </c>
      <c r="J129" s="264"/>
      <c r="K129" s="414"/>
      <c r="L129" s="415"/>
      <c r="M129" s="428">
        <f t="shared" si="26"/>
        <v>975218</v>
      </c>
      <c r="N129" s="416"/>
      <c r="O129" s="430">
        <f t="shared" si="16"/>
        <v>0</v>
      </c>
      <c r="P129" s="328"/>
      <c r="R129" s="417"/>
      <c r="S129" s="418"/>
      <c r="T129" s="419"/>
      <c r="U129" s="419"/>
      <c r="V129" s="419"/>
      <c r="W129" s="419"/>
      <c r="X129" s="419"/>
      <c r="Y129" s="432">
        <f t="shared" si="21"/>
        <v>5000000</v>
      </c>
      <c r="Z129" s="420"/>
      <c r="AA129" s="336"/>
      <c r="AB129" s="337"/>
      <c r="AC129" s="338"/>
      <c r="AD129" s="383">
        <f t="shared" si="22"/>
        <v>528915</v>
      </c>
      <c r="AE129" s="339"/>
      <c r="AF129" s="384">
        <f t="shared" si="27"/>
        <v>0</v>
      </c>
      <c r="AG129" s="336"/>
      <c r="AH129" s="329"/>
      <c r="AI129" s="330"/>
      <c r="AJ129" s="375">
        <f t="shared" si="23"/>
        <v>376533</v>
      </c>
      <c r="AK129" s="331"/>
      <c r="AL129" s="377">
        <f t="shared" si="28"/>
        <v>0</v>
      </c>
      <c r="AM129" s="336"/>
      <c r="AN129" s="336"/>
      <c r="AO129" s="336"/>
      <c r="AP129" s="340"/>
      <c r="AQ129" s="341"/>
      <c r="AR129" s="341"/>
      <c r="AS129" s="386">
        <f t="shared" si="25"/>
        <v>208871</v>
      </c>
      <c r="AT129" s="342"/>
      <c r="AU129" s="389">
        <f t="shared" si="17"/>
        <v>0</v>
      </c>
      <c r="AW129" s="343"/>
      <c r="AX129" s="344"/>
      <c r="AY129" s="344"/>
      <c r="AZ129" s="435">
        <f t="shared" si="18"/>
        <v>0</v>
      </c>
      <c r="BA129" s="438">
        <f t="shared" si="24"/>
        <v>0</v>
      </c>
    </row>
    <row r="130" spans="1:53">
      <c r="A130" s="412"/>
      <c r="B130" s="413"/>
      <c r="C130" s="404"/>
      <c r="D130" s="264"/>
      <c r="E130" s="326"/>
      <c r="F130" s="327"/>
      <c r="G130" s="327"/>
      <c r="H130" s="371">
        <f t="shared" si="19"/>
        <v>341717</v>
      </c>
      <c r="I130" s="372">
        <f t="shared" si="20"/>
        <v>0</v>
      </c>
      <c r="J130" s="264"/>
      <c r="K130" s="414"/>
      <c r="L130" s="415"/>
      <c r="M130" s="428">
        <f t="shared" si="26"/>
        <v>975218</v>
      </c>
      <c r="N130" s="416"/>
      <c r="O130" s="430">
        <f t="shared" si="16"/>
        <v>0</v>
      </c>
      <c r="P130" s="328"/>
      <c r="R130" s="417"/>
      <c r="S130" s="418"/>
      <c r="T130" s="419"/>
      <c r="U130" s="419"/>
      <c r="V130" s="419"/>
      <c r="W130" s="419"/>
      <c r="X130" s="419"/>
      <c r="Y130" s="432">
        <f t="shared" si="21"/>
        <v>5000000</v>
      </c>
      <c r="Z130" s="420"/>
      <c r="AA130" s="336"/>
      <c r="AB130" s="337"/>
      <c r="AC130" s="338"/>
      <c r="AD130" s="383">
        <f t="shared" si="22"/>
        <v>528915</v>
      </c>
      <c r="AE130" s="339"/>
      <c r="AF130" s="384">
        <f t="shared" si="27"/>
        <v>0</v>
      </c>
      <c r="AG130" s="336"/>
      <c r="AH130" s="329"/>
      <c r="AI130" s="330"/>
      <c r="AJ130" s="375">
        <f t="shared" si="23"/>
        <v>376533</v>
      </c>
      <c r="AK130" s="331"/>
      <c r="AL130" s="377">
        <f t="shared" si="28"/>
        <v>0</v>
      </c>
      <c r="AM130" s="336"/>
      <c r="AN130" s="336"/>
      <c r="AO130" s="336"/>
      <c r="AP130" s="340"/>
      <c r="AQ130" s="341"/>
      <c r="AR130" s="341"/>
      <c r="AS130" s="386">
        <f t="shared" si="25"/>
        <v>208871</v>
      </c>
      <c r="AT130" s="342"/>
      <c r="AU130" s="389">
        <f t="shared" si="17"/>
        <v>0</v>
      </c>
      <c r="AW130" s="343"/>
      <c r="AX130" s="344"/>
      <c r="AY130" s="344"/>
      <c r="AZ130" s="435">
        <f t="shared" si="18"/>
        <v>0</v>
      </c>
      <c r="BA130" s="438">
        <f t="shared" si="24"/>
        <v>0</v>
      </c>
    </row>
    <row r="131" spans="1:53">
      <c r="A131" s="412"/>
      <c r="B131" s="413"/>
      <c r="C131" s="404"/>
      <c r="D131" s="264"/>
      <c r="E131" s="326"/>
      <c r="F131" s="327"/>
      <c r="G131" s="327"/>
      <c r="H131" s="371">
        <f t="shared" si="19"/>
        <v>341717</v>
      </c>
      <c r="I131" s="372">
        <f t="shared" si="20"/>
        <v>0</v>
      </c>
      <c r="J131" s="264"/>
      <c r="K131" s="414"/>
      <c r="L131" s="415"/>
      <c r="M131" s="428">
        <f t="shared" si="26"/>
        <v>975218</v>
      </c>
      <c r="N131" s="416"/>
      <c r="O131" s="430">
        <f t="shared" si="16"/>
        <v>0</v>
      </c>
      <c r="P131" s="328"/>
      <c r="R131" s="417"/>
      <c r="S131" s="418"/>
      <c r="T131" s="419"/>
      <c r="U131" s="419"/>
      <c r="V131" s="419"/>
      <c r="W131" s="419"/>
      <c r="X131" s="419"/>
      <c r="Y131" s="432">
        <f t="shared" si="21"/>
        <v>5000000</v>
      </c>
      <c r="Z131" s="420"/>
      <c r="AA131" s="336"/>
      <c r="AB131" s="337"/>
      <c r="AC131" s="338"/>
      <c r="AD131" s="383">
        <f t="shared" si="22"/>
        <v>528915</v>
      </c>
      <c r="AE131" s="339"/>
      <c r="AF131" s="384">
        <f t="shared" si="27"/>
        <v>0</v>
      </c>
      <c r="AG131" s="336"/>
      <c r="AH131" s="329"/>
      <c r="AI131" s="330"/>
      <c r="AJ131" s="375">
        <f t="shared" si="23"/>
        <v>376533</v>
      </c>
      <c r="AK131" s="331"/>
      <c r="AL131" s="377">
        <f t="shared" si="28"/>
        <v>0</v>
      </c>
      <c r="AM131" s="336"/>
      <c r="AN131" s="336"/>
      <c r="AO131" s="336"/>
      <c r="AP131" s="340"/>
      <c r="AQ131" s="341"/>
      <c r="AR131" s="341"/>
      <c r="AS131" s="386">
        <f t="shared" si="25"/>
        <v>208871</v>
      </c>
      <c r="AT131" s="342"/>
      <c r="AU131" s="389">
        <f t="shared" si="17"/>
        <v>0</v>
      </c>
      <c r="AW131" s="343"/>
      <c r="AX131" s="344"/>
      <c r="AY131" s="344"/>
      <c r="AZ131" s="435">
        <f t="shared" si="18"/>
        <v>0</v>
      </c>
      <c r="BA131" s="438">
        <f t="shared" si="24"/>
        <v>0</v>
      </c>
    </row>
    <row r="132" spans="1:53">
      <c r="A132" s="412"/>
      <c r="B132" s="413"/>
      <c r="C132" s="404"/>
      <c r="D132" s="264"/>
      <c r="E132" s="326"/>
      <c r="F132" s="327"/>
      <c r="G132" s="327"/>
      <c r="H132" s="371">
        <f t="shared" si="19"/>
        <v>341717</v>
      </c>
      <c r="I132" s="372">
        <f t="shared" si="20"/>
        <v>0</v>
      </c>
      <c r="J132" s="264"/>
      <c r="K132" s="414"/>
      <c r="L132" s="415"/>
      <c r="M132" s="428">
        <f t="shared" si="26"/>
        <v>975218</v>
      </c>
      <c r="N132" s="416"/>
      <c r="O132" s="430">
        <f t="shared" si="16"/>
        <v>0</v>
      </c>
      <c r="P132" s="328"/>
      <c r="R132" s="417"/>
      <c r="S132" s="418"/>
      <c r="T132" s="419"/>
      <c r="U132" s="419"/>
      <c r="V132" s="419"/>
      <c r="W132" s="419"/>
      <c r="X132" s="419"/>
      <c r="Y132" s="432">
        <f t="shared" si="21"/>
        <v>5000000</v>
      </c>
      <c r="Z132" s="420"/>
      <c r="AA132" s="336"/>
      <c r="AB132" s="337"/>
      <c r="AC132" s="338"/>
      <c r="AD132" s="383">
        <f t="shared" si="22"/>
        <v>528915</v>
      </c>
      <c r="AE132" s="339"/>
      <c r="AF132" s="384">
        <f t="shared" si="27"/>
        <v>0</v>
      </c>
      <c r="AG132" s="336"/>
      <c r="AH132" s="329"/>
      <c r="AI132" s="330"/>
      <c r="AJ132" s="375">
        <f t="shared" si="23"/>
        <v>376533</v>
      </c>
      <c r="AK132" s="331"/>
      <c r="AL132" s="377">
        <f t="shared" si="28"/>
        <v>0</v>
      </c>
      <c r="AM132" s="336"/>
      <c r="AN132" s="336"/>
      <c r="AO132" s="336"/>
      <c r="AP132" s="340"/>
      <c r="AQ132" s="341"/>
      <c r="AR132" s="341"/>
      <c r="AS132" s="386">
        <f t="shared" si="25"/>
        <v>208871</v>
      </c>
      <c r="AT132" s="342"/>
      <c r="AU132" s="389">
        <f t="shared" si="17"/>
        <v>0</v>
      </c>
      <c r="AW132" s="343"/>
      <c r="AX132" s="344"/>
      <c r="AY132" s="344"/>
      <c r="AZ132" s="435">
        <f t="shared" si="18"/>
        <v>0</v>
      </c>
      <c r="BA132" s="438">
        <f t="shared" si="24"/>
        <v>0</v>
      </c>
    </row>
    <row r="133" spans="1:53">
      <c r="A133" s="412"/>
      <c r="B133" s="413"/>
      <c r="C133" s="404"/>
      <c r="D133" s="264"/>
      <c r="E133" s="326"/>
      <c r="F133" s="327"/>
      <c r="G133" s="327"/>
      <c r="H133" s="371">
        <f t="shared" si="19"/>
        <v>341717</v>
      </c>
      <c r="I133" s="372">
        <f t="shared" si="20"/>
        <v>0</v>
      </c>
      <c r="J133" s="264"/>
      <c r="K133" s="414"/>
      <c r="L133" s="415"/>
      <c r="M133" s="428">
        <f t="shared" si="26"/>
        <v>975218</v>
      </c>
      <c r="N133" s="416"/>
      <c r="O133" s="430">
        <f t="shared" si="16"/>
        <v>0</v>
      </c>
      <c r="P133" s="328"/>
      <c r="R133" s="417"/>
      <c r="S133" s="418"/>
      <c r="T133" s="419"/>
      <c r="U133" s="419"/>
      <c r="V133" s="419"/>
      <c r="W133" s="419"/>
      <c r="X133" s="419"/>
      <c r="Y133" s="432">
        <f t="shared" si="21"/>
        <v>5000000</v>
      </c>
      <c r="Z133" s="420"/>
      <c r="AA133" s="336"/>
      <c r="AB133" s="337"/>
      <c r="AC133" s="338"/>
      <c r="AD133" s="383">
        <f t="shared" si="22"/>
        <v>528915</v>
      </c>
      <c r="AE133" s="339"/>
      <c r="AF133" s="384">
        <f t="shared" si="27"/>
        <v>0</v>
      </c>
      <c r="AG133" s="336"/>
      <c r="AH133" s="329"/>
      <c r="AI133" s="330"/>
      <c r="AJ133" s="375">
        <f t="shared" si="23"/>
        <v>376533</v>
      </c>
      <c r="AK133" s="331"/>
      <c r="AL133" s="377">
        <f t="shared" si="28"/>
        <v>0</v>
      </c>
      <c r="AM133" s="336"/>
      <c r="AN133" s="336"/>
      <c r="AO133" s="336"/>
      <c r="AP133" s="340"/>
      <c r="AQ133" s="341"/>
      <c r="AR133" s="341"/>
      <c r="AS133" s="386">
        <f t="shared" si="25"/>
        <v>208871</v>
      </c>
      <c r="AT133" s="342"/>
      <c r="AU133" s="389">
        <f t="shared" si="17"/>
        <v>0</v>
      </c>
      <c r="AW133" s="343"/>
      <c r="AX133" s="344"/>
      <c r="AY133" s="344"/>
      <c r="AZ133" s="435">
        <f t="shared" si="18"/>
        <v>0</v>
      </c>
      <c r="BA133" s="438">
        <f t="shared" si="24"/>
        <v>0</v>
      </c>
    </row>
    <row r="134" spans="1:53">
      <c r="A134" s="412"/>
      <c r="B134" s="413"/>
      <c r="C134" s="404"/>
      <c r="D134" s="264"/>
      <c r="E134" s="326"/>
      <c r="F134" s="327"/>
      <c r="G134" s="327"/>
      <c r="H134" s="371">
        <f t="shared" si="19"/>
        <v>341717</v>
      </c>
      <c r="I134" s="372">
        <f t="shared" si="20"/>
        <v>0</v>
      </c>
      <c r="J134" s="264"/>
      <c r="K134" s="414"/>
      <c r="L134" s="415"/>
      <c r="M134" s="428">
        <f t="shared" si="26"/>
        <v>975218</v>
      </c>
      <c r="N134" s="416"/>
      <c r="O134" s="430">
        <f t="shared" ref="O134:O190" si="29">N134-L134</f>
        <v>0</v>
      </c>
      <c r="P134" s="328"/>
      <c r="R134" s="417"/>
      <c r="S134" s="418"/>
      <c r="T134" s="419"/>
      <c r="U134" s="419"/>
      <c r="V134" s="419"/>
      <c r="W134" s="419"/>
      <c r="X134" s="419"/>
      <c r="Y134" s="432">
        <f t="shared" si="21"/>
        <v>5000000</v>
      </c>
      <c r="Z134" s="420"/>
      <c r="AA134" s="336"/>
      <c r="AB134" s="337"/>
      <c r="AC134" s="338"/>
      <c r="AD134" s="383">
        <f t="shared" si="22"/>
        <v>528915</v>
      </c>
      <c r="AE134" s="339"/>
      <c r="AF134" s="384">
        <f t="shared" si="27"/>
        <v>0</v>
      </c>
      <c r="AG134" s="336"/>
      <c r="AH134" s="329"/>
      <c r="AI134" s="330"/>
      <c r="AJ134" s="375">
        <f t="shared" si="23"/>
        <v>376533</v>
      </c>
      <c r="AK134" s="331"/>
      <c r="AL134" s="377">
        <f t="shared" si="28"/>
        <v>0</v>
      </c>
      <c r="AM134" s="336"/>
      <c r="AN134" s="336"/>
      <c r="AO134" s="336"/>
      <c r="AP134" s="340"/>
      <c r="AQ134" s="341"/>
      <c r="AR134" s="341"/>
      <c r="AS134" s="386">
        <f t="shared" si="25"/>
        <v>208871</v>
      </c>
      <c r="AT134" s="342"/>
      <c r="AU134" s="389">
        <f t="shared" ref="AU134:AU190" si="30">AT134-AQ134</f>
        <v>0</v>
      </c>
      <c r="AW134" s="343"/>
      <c r="AX134" s="344"/>
      <c r="AY134" s="344"/>
      <c r="AZ134" s="435">
        <f t="shared" ref="AZ134:AZ190" si="31">AZ133+AW134-AY134</f>
        <v>0</v>
      </c>
      <c r="BA134" s="438">
        <f t="shared" si="24"/>
        <v>0</v>
      </c>
    </row>
    <row r="135" spans="1:53">
      <c r="A135" s="412"/>
      <c r="B135" s="413"/>
      <c r="C135" s="404"/>
      <c r="D135" s="264"/>
      <c r="E135" s="326"/>
      <c r="F135" s="327"/>
      <c r="G135" s="327"/>
      <c r="H135" s="371">
        <f t="shared" ref="H135:H190" si="32">H134+E135-G135</f>
        <v>341717</v>
      </c>
      <c r="I135" s="372">
        <f t="shared" ref="I135:I190" si="33">F135-G135</f>
        <v>0</v>
      </c>
      <c r="J135" s="264"/>
      <c r="K135" s="414"/>
      <c r="L135" s="415"/>
      <c r="M135" s="428">
        <f t="shared" si="26"/>
        <v>975218</v>
      </c>
      <c r="N135" s="416"/>
      <c r="O135" s="430">
        <f t="shared" si="29"/>
        <v>0</v>
      </c>
      <c r="P135" s="328"/>
      <c r="R135" s="417"/>
      <c r="S135" s="418"/>
      <c r="T135" s="419"/>
      <c r="U135" s="419"/>
      <c r="V135" s="419"/>
      <c r="W135" s="419"/>
      <c r="X135" s="419"/>
      <c r="Y135" s="432">
        <f t="shared" ref="Y135:Y190" si="34">Y134+R135+S135-T135-U135-V135-W135+X135</f>
        <v>5000000</v>
      </c>
      <c r="Z135" s="420"/>
      <c r="AA135" s="336"/>
      <c r="AB135" s="337"/>
      <c r="AC135" s="338"/>
      <c r="AD135" s="383">
        <f t="shared" ref="AD135:AD190" si="35">AD134+AB135-AC135</f>
        <v>528915</v>
      </c>
      <c r="AE135" s="339"/>
      <c r="AF135" s="384">
        <f t="shared" si="27"/>
        <v>0</v>
      </c>
      <c r="AG135" s="336"/>
      <c r="AH135" s="329"/>
      <c r="AI135" s="330"/>
      <c r="AJ135" s="375">
        <f t="shared" ref="AJ135:AJ190" si="36">AJ134+AH135-AI135</f>
        <v>376533</v>
      </c>
      <c r="AK135" s="331"/>
      <c r="AL135" s="377">
        <f t="shared" si="28"/>
        <v>0</v>
      </c>
      <c r="AM135" s="336"/>
      <c r="AN135" s="336"/>
      <c r="AO135" s="336"/>
      <c r="AP135" s="340"/>
      <c r="AQ135" s="341"/>
      <c r="AR135" s="341"/>
      <c r="AS135" s="386">
        <f t="shared" si="25"/>
        <v>208871</v>
      </c>
      <c r="AT135" s="342"/>
      <c r="AU135" s="389">
        <f t="shared" si="30"/>
        <v>0</v>
      </c>
      <c r="AW135" s="343"/>
      <c r="AX135" s="344"/>
      <c r="AY135" s="344"/>
      <c r="AZ135" s="435">
        <f t="shared" si="31"/>
        <v>0</v>
      </c>
      <c r="BA135" s="438">
        <f t="shared" ref="BA135:BA190" si="37">AX135-AY135</f>
        <v>0</v>
      </c>
    </row>
    <row r="136" spans="1:53">
      <c r="A136" s="412"/>
      <c r="B136" s="413"/>
      <c r="C136" s="404"/>
      <c r="D136" s="264"/>
      <c r="E136" s="326"/>
      <c r="F136" s="327"/>
      <c r="G136" s="327"/>
      <c r="H136" s="371">
        <f t="shared" si="32"/>
        <v>341717</v>
      </c>
      <c r="I136" s="372">
        <f t="shared" si="33"/>
        <v>0</v>
      </c>
      <c r="J136" s="264"/>
      <c r="K136" s="414"/>
      <c r="L136" s="415"/>
      <c r="M136" s="428">
        <f t="shared" si="26"/>
        <v>975218</v>
      </c>
      <c r="N136" s="416"/>
      <c r="O136" s="430">
        <f t="shared" si="29"/>
        <v>0</v>
      </c>
      <c r="P136" s="328"/>
      <c r="R136" s="417"/>
      <c r="S136" s="418"/>
      <c r="T136" s="419"/>
      <c r="U136" s="419"/>
      <c r="V136" s="419"/>
      <c r="W136" s="419"/>
      <c r="X136" s="419"/>
      <c r="Y136" s="432">
        <f t="shared" si="34"/>
        <v>5000000</v>
      </c>
      <c r="Z136" s="420"/>
      <c r="AA136" s="336"/>
      <c r="AB136" s="337"/>
      <c r="AC136" s="338"/>
      <c r="AD136" s="383">
        <f t="shared" si="35"/>
        <v>528915</v>
      </c>
      <c r="AE136" s="339"/>
      <c r="AF136" s="384">
        <f t="shared" si="27"/>
        <v>0</v>
      </c>
      <c r="AG136" s="336"/>
      <c r="AH136" s="329"/>
      <c r="AI136" s="330"/>
      <c r="AJ136" s="375">
        <f t="shared" si="36"/>
        <v>376533</v>
      </c>
      <c r="AK136" s="331"/>
      <c r="AL136" s="377">
        <f t="shared" si="28"/>
        <v>0</v>
      </c>
      <c r="AM136" s="336"/>
      <c r="AN136" s="336"/>
      <c r="AO136" s="336"/>
      <c r="AP136" s="340"/>
      <c r="AQ136" s="341"/>
      <c r="AR136" s="341"/>
      <c r="AS136" s="386">
        <f>AS135+AP136-AQ136+AR136</f>
        <v>208871</v>
      </c>
      <c r="AT136" s="342"/>
      <c r="AU136" s="389">
        <f t="shared" si="30"/>
        <v>0</v>
      </c>
      <c r="AW136" s="343"/>
      <c r="AX136" s="344"/>
      <c r="AY136" s="344"/>
      <c r="AZ136" s="435">
        <f t="shared" si="31"/>
        <v>0</v>
      </c>
      <c r="BA136" s="438">
        <f t="shared" si="37"/>
        <v>0</v>
      </c>
    </row>
    <row r="137" spans="1:53">
      <c r="A137" s="412"/>
      <c r="B137" s="413"/>
      <c r="C137" s="404"/>
      <c r="D137" s="264"/>
      <c r="E137" s="326"/>
      <c r="F137" s="327"/>
      <c r="G137" s="327"/>
      <c r="H137" s="371">
        <f t="shared" si="32"/>
        <v>341717</v>
      </c>
      <c r="I137" s="372">
        <f t="shared" si="33"/>
        <v>0</v>
      </c>
      <c r="J137" s="264"/>
      <c r="K137" s="414"/>
      <c r="L137" s="415"/>
      <c r="M137" s="428">
        <f t="shared" si="26"/>
        <v>975218</v>
      </c>
      <c r="N137" s="416"/>
      <c r="O137" s="430">
        <f t="shared" si="29"/>
        <v>0</v>
      </c>
      <c r="P137" s="328"/>
      <c r="R137" s="417"/>
      <c r="S137" s="418"/>
      <c r="T137" s="419"/>
      <c r="U137" s="419"/>
      <c r="V137" s="419"/>
      <c r="W137" s="419"/>
      <c r="X137" s="419"/>
      <c r="Y137" s="432">
        <f t="shared" si="34"/>
        <v>5000000</v>
      </c>
      <c r="Z137" s="420"/>
      <c r="AA137" s="336"/>
      <c r="AB137" s="337"/>
      <c r="AC137" s="338"/>
      <c r="AD137" s="383">
        <f t="shared" si="35"/>
        <v>528915</v>
      </c>
      <c r="AE137" s="339"/>
      <c r="AF137" s="384">
        <f t="shared" si="27"/>
        <v>0</v>
      </c>
      <c r="AG137" s="336"/>
      <c r="AH137" s="329"/>
      <c r="AI137" s="330"/>
      <c r="AJ137" s="375">
        <f t="shared" si="36"/>
        <v>376533</v>
      </c>
      <c r="AK137" s="331"/>
      <c r="AL137" s="377">
        <f t="shared" si="28"/>
        <v>0</v>
      </c>
      <c r="AM137" s="336"/>
      <c r="AN137" s="336"/>
      <c r="AO137" s="336"/>
      <c r="AP137" s="340"/>
      <c r="AQ137" s="341"/>
      <c r="AR137" s="341"/>
      <c r="AS137" s="386">
        <f>AS136+AP137-AQ137+AR137</f>
        <v>208871</v>
      </c>
      <c r="AT137" s="342"/>
      <c r="AU137" s="389">
        <f t="shared" si="30"/>
        <v>0</v>
      </c>
      <c r="AW137" s="343"/>
      <c r="AX137" s="344"/>
      <c r="AY137" s="344"/>
      <c r="AZ137" s="435">
        <f t="shared" si="31"/>
        <v>0</v>
      </c>
      <c r="BA137" s="438">
        <f t="shared" si="37"/>
        <v>0</v>
      </c>
    </row>
    <row r="138" spans="1:53">
      <c r="A138" s="412"/>
      <c r="B138" s="413"/>
      <c r="C138" s="404"/>
      <c r="D138" s="264"/>
      <c r="E138" s="326"/>
      <c r="F138" s="327"/>
      <c r="G138" s="327"/>
      <c r="H138" s="371">
        <f t="shared" si="32"/>
        <v>341717</v>
      </c>
      <c r="I138" s="372">
        <f t="shared" si="33"/>
        <v>0</v>
      </c>
      <c r="J138" s="264"/>
      <c r="K138" s="414"/>
      <c r="L138" s="415"/>
      <c r="M138" s="428">
        <f t="shared" si="26"/>
        <v>975218</v>
      </c>
      <c r="N138" s="416"/>
      <c r="O138" s="430">
        <f t="shared" si="29"/>
        <v>0</v>
      </c>
      <c r="P138" s="328"/>
      <c r="R138" s="417"/>
      <c r="S138" s="418"/>
      <c r="T138" s="419"/>
      <c r="U138" s="419"/>
      <c r="V138" s="419"/>
      <c r="W138" s="419"/>
      <c r="X138" s="419"/>
      <c r="Y138" s="432">
        <f t="shared" si="34"/>
        <v>5000000</v>
      </c>
      <c r="Z138" s="420"/>
      <c r="AA138" s="336"/>
      <c r="AB138" s="337"/>
      <c r="AC138" s="338"/>
      <c r="AD138" s="383">
        <f t="shared" si="35"/>
        <v>528915</v>
      </c>
      <c r="AE138" s="339"/>
      <c r="AF138" s="384">
        <f t="shared" si="27"/>
        <v>0</v>
      </c>
      <c r="AG138" s="336"/>
      <c r="AH138" s="329"/>
      <c r="AI138" s="330"/>
      <c r="AJ138" s="375">
        <f t="shared" si="36"/>
        <v>376533</v>
      </c>
      <c r="AK138" s="331"/>
      <c r="AL138" s="377">
        <f t="shared" si="28"/>
        <v>0</v>
      </c>
      <c r="AM138" s="336"/>
      <c r="AN138" s="336"/>
      <c r="AO138" s="336"/>
      <c r="AP138" s="340"/>
      <c r="AQ138" s="341"/>
      <c r="AR138" s="341"/>
      <c r="AS138" s="386">
        <f>AS137+AP138-AQ138+AR138</f>
        <v>208871</v>
      </c>
      <c r="AT138" s="342"/>
      <c r="AU138" s="389">
        <f t="shared" si="30"/>
        <v>0</v>
      </c>
      <c r="AW138" s="343"/>
      <c r="AX138" s="344"/>
      <c r="AY138" s="344"/>
      <c r="AZ138" s="435">
        <f t="shared" si="31"/>
        <v>0</v>
      </c>
      <c r="BA138" s="438">
        <f t="shared" si="37"/>
        <v>0</v>
      </c>
    </row>
    <row r="139" spans="1:53">
      <c r="A139" s="412"/>
      <c r="B139" s="413"/>
      <c r="C139" s="404"/>
      <c r="D139" s="264"/>
      <c r="E139" s="326"/>
      <c r="F139" s="327"/>
      <c r="G139" s="327"/>
      <c r="H139" s="371">
        <f t="shared" si="32"/>
        <v>341717</v>
      </c>
      <c r="I139" s="372">
        <f t="shared" si="33"/>
        <v>0</v>
      </c>
      <c r="J139" s="264"/>
      <c r="K139" s="414"/>
      <c r="L139" s="415"/>
      <c r="M139" s="428">
        <f t="shared" ref="M139:M190" si="38">SUM(M138+K139-L139)</f>
        <v>975218</v>
      </c>
      <c r="N139" s="416"/>
      <c r="O139" s="430">
        <f t="shared" si="29"/>
        <v>0</v>
      </c>
      <c r="P139" s="328"/>
      <c r="R139" s="417"/>
      <c r="S139" s="418"/>
      <c r="T139" s="419"/>
      <c r="U139" s="419"/>
      <c r="V139" s="419"/>
      <c r="W139" s="419"/>
      <c r="X139" s="419"/>
      <c r="Y139" s="432">
        <f t="shared" si="34"/>
        <v>5000000</v>
      </c>
      <c r="Z139" s="420"/>
      <c r="AA139" s="336"/>
      <c r="AB139" s="337"/>
      <c r="AC139" s="338"/>
      <c r="AD139" s="383">
        <f t="shared" si="35"/>
        <v>528915</v>
      </c>
      <c r="AE139" s="339"/>
      <c r="AF139" s="384">
        <f t="shared" si="27"/>
        <v>0</v>
      </c>
      <c r="AG139" s="336"/>
      <c r="AH139" s="329"/>
      <c r="AI139" s="330"/>
      <c r="AJ139" s="375">
        <f t="shared" si="36"/>
        <v>376533</v>
      </c>
      <c r="AK139" s="331"/>
      <c r="AL139" s="377">
        <f t="shared" si="28"/>
        <v>0</v>
      </c>
      <c r="AM139" s="336"/>
      <c r="AN139" s="336"/>
      <c r="AO139" s="336"/>
      <c r="AP139" s="340"/>
      <c r="AQ139" s="341"/>
      <c r="AR139" s="341"/>
      <c r="AS139" s="386">
        <f>AS138+AP139-AQ139+AR139</f>
        <v>208871</v>
      </c>
      <c r="AT139" s="342"/>
      <c r="AU139" s="389">
        <f t="shared" si="30"/>
        <v>0</v>
      </c>
      <c r="AW139" s="343"/>
      <c r="AX139" s="344"/>
      <c r="AY139" s="344"/>
      <c r="AZ139" s="435">
        <f t="shared" si="31"/>
        <v>0</v>
      </c>
      <c r="BA139" s="438">
        <f t="shared" si="37"/>
        <v>0</v>
      </c>
    </row>
    <row r="140" spans="1:53">
      <c r="A140" s="412"/>
      <c r="B140" s="413"/>
      <c r="C140" s="404"/>
      <c r="D140" s="264"/>
      <c r="E140" s="326"/>
      <c r="F140" s="327"/>
      <c r="G140" s="327"/>
      <c r="H140" s="371">
        <f t="shared" si="32"/>
        <v>341717</v>
      </c>
      <c r="I140" s="372">
        <f t="shared" si="33"/>
        <v>0</v>
      </c>
      <c r="J140" s="264"/>
      <c r="K140" s="414"/>
      <c r="L140" s="415"/>
      <c r="M140" s="428">
        <f t="shared" si="38"/>
        <v>975218</v>
      </c>
      <c r="N140" s="416"/>
      <c r="O140" s="430">
        <f t="shared" si="29"/>
        <v>0</v>
      </c>
      <c r="P140" s="328"/>
      <c r="R140" s="417"/>
      <c r="S140" s="418"/>
      <c r="T140" s="419"/>
      <c r="U140" s="419"/>
      <c r="V140" s="419"/>
      <c r="W140" s="419"/>
      <c r="X140" s="419"/>
      <c r="Y140" s="432">
        <f t="shared" si="34"/>
        <v>5000000</v>
      </c>
      <c r="Z140" s="420"/>
      <c r="AA140" s="336"/>
      <c r="AB140" s="337"/>
      <c r="AC140" s="338"/>
      <c r="AD140" s="383">
        <f t="shared" si="35"/>
        <v>528915</v>
      </c>
      <c r="AE140" s="339"/>
      <c r="AF140" s="384">
        <f t="shared" si="27"/>
        <v>0</v>
      </c>
      <c r="AG140" s="336"/>
      <c r="AH140" s="329"/>
      <c r="AI140" s="330"/>
      <c r="AJ140" s="375">
        <f t="shared" si="36"/>
        <v>376533</v>
      </c>
      <c r="AK140" s="331"/>
      <c r="AL140" s="377">
        <f t="shared" si="28"/>
        <v>0</v>
      </c>
      <c r="AM140" s="336"/>
      <c r="AN140" s="336"/>
      <c r="AO140" s="336"/>
      <c r="AP140" s="340"/>
      <c r="AQ140" s="341"/>
      <c r="AR140" s="341"/>
      <c r="AS140" s="386">
        <f>AS139+AP140-AQ140+AR140</f>
        <v>208871</v>
      </c>
      <c r="AT140" s="342"/>
      <c r="AU140" s="389">
        <f t="shared" si="30"/>
        <v>0</v>
      </c>
      <c r="AW140" s="343"/>
      <c r="AX140" s="344"/>
      <c r="AY140" s="344"/>
      <c r="AZ140" s="435">
        <f t="shared" si="31"/>
        <v>0</v>
      </c>
      <c r="BA140" s="438">
        <f t="shared" si="37"/>
        <v>0</v>
      </c>
    </row>
    <row r="141" spans="1:53">
      <c r="A141" s="412"/>
      <c r="B141" s="413"/>
      <c r="C141" s="404"/>
      <c r="D141" s="264"/>
      <c r="E141" s="326"/>
      <c r="F141" s="327"/>
      <c r="G141" s="327"/>
      <c r="H141" s="371">
        <f t="shared" si="32"/>
        <v>341717</v>
      </c>
      <c r="I141" s="372">
        <f t="shared" si="33"/>
        <v>0</v>
      </c>
      <c r="J141" s="264"/>
      <c r="K141" s="414"/>
      <c r="L141" s="415"/>
      <c r="M141" s="428">
        <f t="shared" si="38"/>
        <v>975218</v>
      </c>
      <c r="N141" s="416"/>
      <c r="O141" s="430">
        <f t="shared" si="29"/>
        <v>0</v>
      </c>
      <c r="P141" s="328"/>
      <c r="R141" s="417"/>
      <c r="S141" s="418"/>
      <c r="T141" s="419"/>
      <c r="U141" s="419"/>
      <c r="V141" s="419"/>
      <c r="W141" s="419"/>
      <c r="X141" s="419"/>
      <c r="Y141" s="432">
        <f t="shared" si="34"/>
        <v>5000000</v>
      </c>
      <c r="Z141" s="420"/>
      <c r="AA141" s="336"/>
      <c r="AB141" s="337"/>
      <c r="AC141" s="338"/>
      <c r="AD141" s="383">
        <f t="shared" si="35"/>
        <v>528915</v>
      </c>
      <c r="AE141" s="339"/>
      <c r="AF141" s="384">
        <f t="shared" si="27"/>
        <v>0</v>
      </c>
      <c r="AG141" s="336"/>
      <c r="AH141" s="329"/>
      <c r="AI141" s="330"/>
      <c r="AJ141" s="375">
        <f t="shared" si="36"/>
        <v>376533</v>
      </c>
      <c r="AK141" s="331"/>
      <c r="AL141" s="377">
        <f t="shared" si="28"/>
        <v>0</v>
      </c>
      <c r="AM141" s="336"/>
      <c r="AN141" s="336"/>
      <c r="AO141" s="336"/>
      <c r="AP141" s="340"/>
      <c r="AQ141" s="341"/>
      <c r="AR141" s="341"/>
      <c r="AS141" s="386">
        <f t="shared" ref="AS141:AS190" si="39">AS140+AP141-AQ141+AR141</f>
        <v>208871</v>
      </c>
      <c r="AT141" s="342"/>
      <c r="AU141" s="389">
        <f t="shared" si="30"/>
        <v>0</v>
      </c>
      <c r="AW141" s="343"/>
      <c r="AX141" s="344"/>
      <c r="AY141" s="344"/>
      <c r="AZ141" s="435">
        <f t="shared" si="31"/>
        <v>0</v>
      </c>
      <c r="BA141" s="438">
        <f t="shared" si="37"/>
        <v>0</v>
      </c>
    </row>
    <row r="142" spans="1:53">
      <c r="A142" s="412"/>
      <c r="B142" s="413"/>
      <c r="C142" s="404"/>
      <c r="D142" s="264"/>
      <c r="E142" s="326"/>
      <c r="F142" s="327"/>
      <c r="G142" s="327"/>
      <c r="H142" s="371">
        <f t="shared" si="32"/>
        <v>341717</v>
      </c>
      <c r="I142" s="372">
        <f t="shared" si="33"/>
        <v>0</v>
      </c>
      <c r="J142" s="264"/>
      <c r="K142" s="414"/>
      <c r="L142" s="415"/>
      <c r="M142" s="428">
        <f t="shared" si="38"/>
        <v>975218</v>
      </c>
      <c r="N142" s="416"/>
      <c r="O142" s="430">
        <f t="shared" si="29"/>
        <v>0</v>
      </c>
      <c r="P142" s="328"/>
      <c r="R142" s="417"/>
      <c r="S142" s="418"/>
      <c r="T142" s="419"/>
      <c r="U142" s="419"/>
      <c r="V142" s="419"/>
      <c r="W142" s="419"/>
      <c r="X142" s="419"/>
      <c r="Y142" s="432">
        <f t="shared" si="34"/>
        <v>5000000</v>
      </c>
      <c r="Z142" s="420"/>
      <c r="AA142" s="336"/>
      <c r="AB142" s="337"/>
      <c r="AC142" s="338"/>
      <c r="AD142" s="383">
        <f t="shared" si="35"/>
        <v>528915</v>
      </c>
      <c r="AE142" s="339"/>
      <c r="AF142" s="384">
        <f t="shared" ref="AF142:AF190" si="40">AE142-AC142</f>
        <v>0</v>
      </c>
      <c r="AG142" s="336"/>
      <c r="AH142" s="329"/>
      <c r="AI142" s="330"/>
      <c r="AJ142" s="375">
        <f t="shared" si="36"/>
        <v>376533</v>
      </c>
      <c r="AK142" s="331"/>
      <c r="AL142" s="377">
        <f t="shared" ref="AL142:AL190" si="41">AK142-AI142</f>
        <v>0</v>
      </c>
      <c r="AM142" s="336"/>
      <c r="AN142" s="336"/>
      <c r="AO142" s="336"/>
      <c r="AP142" s="340"/>
      <c r="AQ142" s="341"/>
      <c r="AR142" s="341"/>
      <c r="AS142" s="386">
        <f t="shared" si="39"/>
        <v>208871</v>
      </c>
      <c r="AT142" s="342"/>
      <c r="AU142" s="389">
        <f t="shared" si="30"/>
        <v>0</v>
      </c>
      <c r="AW142" s="343"/>
      <c r="AX142" s="344"/>
      <c r="AY142" s="344"/>
      <c r="AZ142" s="435">
        <f t="shared" si="31"/>
        <v>0</v>
      </c>
      <c r="BA142" s="438">
        <f t="shared" si="37"/>
        <v>0</v>
      </c>
    </row>
    <row r="143" spans="1:53">
      <c r="A143" s="412"/>
      <c r="B143" s="413"/>
      <c r="C143" s="404"/>
      <c r="D143" s="264"/>
      <c r="E143" s="326"/>
      <c r="F143" s="327"/>
      <c r="G143" s="327"/>
      <c r="H143" s="371">
        <f t="shared" si="32"/>
        <v>341717</v>
      </c>
      <c r="I143" s="372">
        <f t="shared" si="33"/>
        <v>0</v>
      </c>
      <c r="J143" s="264"/>
      <c r="K143" s="414"/>
      <c r="L143" s="415"/>
      <c r="M143" s="428">
        <f t="shared" si="38"/>
        <v>975218</v>
      </c>
      <c r="N143" s="416"/>
      <c r="O143" s="430">
        <f t="shared" si="29"/>
        <v>0</v>
      </c>
      <c r="P143" s="328"/>
      <c r="R143" s="417"/>
      <c r="S143" s="418"/>
      <c r="T143" s="419"/>
      <c r="U143" s="419"/>
      <c r="V143" s="419"/>
      <c r="W143" s="419"/>
      <c r="X143" s="419"/>
      <c r="Y143" s="432">
        <f t="shared" si="34"/>
        <v>5000000</v>
      </c>
      <c r="Z143" s="420"/>
      <c r="AA143" s="336"/>
      <c r="AB143" s="337"/>
      <c r="AC143" s="338"/>
      <c r="AD143" s="383">
        <f t="shared" si="35"/>
        <v>528915</v>
      </c>
      <c r="AE143" s="339"/>
      <c r="AF143" s="384">
        <f t="shared" si="40"/>
        <v>0</v>
      </c>
      <c r="AG143" s="336"/>
      <c r="AH143" s="329"/>
      <c r="AI143" s="330"/>
      <c r="AJ143" s="375">
        <f t="shared" si="36"/>
        <v>376533</v>
      </c>
      <c r="AK143" s="331"/>
      <c r="AL143" s="377">
        <f t="shared" si="41"/>
        <v>0</v>
      </c>
      <c r="AM143" s="336"/>
      <c r="AN143" s="336"/>
      <c r="AO143" s="336"/>
      <c r="AP143" s="340"/>
      <c r="AQ143" s="341"/>
      <c r="AR143" s="341"/>
      <c r="AS143" s="386">
        <f t="shared" si="39"/>
        <v>208871</v>
      </c>
      <c r="AT143" s="342"/>
      <c r="AU143" s="389">
        <f t="shared" si="30"/>
        <v>0</v>
      </c>
      <c r="AW143" s="343"/>
      <c r="AX143" s="344"/>
      <c r="AY143" s="344"/>
      <c r="AZ143" s="435">
        <f t="shared" si="31"/>
        <v>0</v>
      </c>
      <c r="BA143" s="438">
        <f t="shared" si="37"/>
        <v>0</v>
      </c>
    </row>
    <row r="144" spans="1:53">
      <c r="A144" s="412"/>
      <c r="B144" s="413"/>
      <c r="C144" s="404"/>
      <c r="D144" s="264"/>
      <c r="E144" s="326"/>
      <c r="F144" s="327"/>
      <c r="G144" s="327"/>
      <c r="H144" s="371">
        <f t="shared" si="32"/>
        <v>341717</v>
      </c>
      <c r="I144" s="372">
        <f t="shared" si="33"/>
        <v>0</v>
      </c>
      <c r="J144" s="264"/>
      <c r="K144" s="414"/>
      <c r="L144" s="415"/>
      <c r="M144" s="428">
        <f t="shared" si="38"/>
        <v>975218</v>
      </c>
      <c r="N144" s="416"/>
      <c r="O144" s="430">
        <f t="shared" si="29"/>
        <v>0</v>
      </c>
      <c r="P144" s="328"/>
      <c r="R144" s="417"/>
      <c r="S144" s="418"/>
      <c r="T144" s="419"/>
      <c r="U144" s="419"/>
      <c r="V144" s="419"/>
      <c r="W144" s="419"/>
      <c r="X144" s="419"/>
      <c r="Y144" s="432">
        <f t="shared" si="34"/>
        <v>5000000</v>
      </c>
      <c r="Z144" s="420"/>
      <c r="AA144" s="336"/>
      <c r="AB144" s="337"/>
      <c r="AC144" s="338"/>
      <c r="AD144" s="383">
        <f t="shared" si="35"/>
        <v>528915</v>
      </c>
      <c r="AE144" s="339"/>
      <c r="AF144" s="384">
        <f t="shared" si="40"/>
        <v>0</v>
      </c>
      <c r="AG144" s="336"/>
      <c r="AH144" s="329"/>
      <c r="AI144" s="330"/>
      <c r="AJ144" s="375">
        <f t="shared" si="36"/>
        <v>376533</v>
      </c>
      <c r="AK144" s="331"/>
      <c r="AL144" s="377">
        <f t="shared" si="41"/>
        <v>0</v>
      </c>
      <c r="AM144" s="336"/>
      <c r="AN144" s="336"/>
      <c r="AO144" s="336"/>
      <c r="AP144" s="340"/>
      <c r="AQ144" s="341"/>
      <c r="AR144" s="341"/>
      <c r="AS144" s="386">
        <f t="shared" si="39"/>
        <v>208871</v>
      </c>
      <c r="AT144" s="342"/>
      <c r="AU144" s="389">
        <f t="shared" si="30"/>
        <v>0</v>
      </c>
      <c r="AW144" s="343"/>
      <c r="AX144" s="344"/>
      <c r="AY144" s="344"/>
      <c r="AZ144" s="435">
        <f t="shared" si="31"/>
        <v>0</v>
      </c>
      <c r="BA144" s="438">
        <f t="shared" si="37"/>
        <v>0</v>
      </c>
    </row>
    <row r="145" spans="1:53">
      <c r="A145" s="412"/>
      <c r="B145" s="413"/>
      <c r="C145" s="404"/>
      <c r="D145" s="264"/>
      <c r="E145" s="326"/>
      <c r="F145" s="327"/>
      <c r="G145" s="327"/>
      <c r="H145" s="371">
        <f t="shared" si="32"/>
        <v>341717</v>
      </c>
      <c r="I145" s="372">
        <f t="shared" si="33"/>
        <v>0</v>
      </c>
      <c r="J145" s="264"/>
      <c r="K145" s="414"/>
      <c r="L145" s="415"/>
      <c r="M145" s="428">
        <f t="shared" si="38"/>
        <v>975218</v>
      </c>
      <c r="N145" s="416"/>
      <c r="O145" s="430">
        <f t="shared" si="29"/>
        <v>0</v>
      </c>
      <c r="P145" s="328"/>
      <c r="R145" s="417"/>
      <c r="S145" s="418"/>
      <c r="T145" s="419"/>
      <c r="U145" s="419"/>
      <c r="V145" s="419"/>
      <c r="W145" s="419"/>
      <c r="X145" s="419"/>
      <c r="Y145" s="432">
        <f t="shared" si="34"/>
        <v>5000000</v>
      </c>
      <c r="Z145" s="420"/>
      <c r="AA145" s="336"/>
      <c r="AB145" s="337"/>
      <c r="AC145" s="338"/>
      <c r="AD145" s="383">
        <f t="shared" si="35"/>
        <v>528915</v>
      </c>
      <c r="AE145" s="339"/>
      <c r="AF145" s="384">
        <f t="shared" si="40"/>
        <v>0</v>
      </c>
      <c r="AG145" s="336"/>
      <c r="AH145" s="329"/>
      <c r="AI145" s="330"/>
      <c r="AJ145" s="375">
        <f t="shared" si="36"/>
        <v>376533</v>
      </c>
      <c r="AK145" s="331"/>
      <c r="AL145" s="377">
        <f t="shared" si="41"/>
        <v>0</v>
      </c>
      <c r="AM145" s="336"/>
      <c r="AN145" s="336"/>
      <c r="AO145" s="336"/>
      <c r="AP145" s="340"/>
      <c r="AQ145" s="341"/>
      <c r="AR145" s="341"/>
      <c r="AS145" s="386">
        <f t="shared" si="39"/>
        <v>208871</v>
      </c>
      <c r="AT145" s="342"/>
      <c r="AU145" s="389">
        <f t="shared" si="30"/>
        <v>0</v>
      </c>
      <c r="AW145" s="343"/>
      <c r="AX145" s="344"/>
      <c r="AY145" s="344"/>
      <c r="AZ145" s="435">
        <f t="shared" si="31"/>
        <v>0</v>
      </c>
      <c r="BA145" s="438">
        <f t="shared" si="37"/>
        <v>0</v>
      </c>
    </row>
    <row r="146" spans="1:53">
      <c r="A146" s="412"/>
      <c r="B146" s="413"/>
      <c r="C146" s="404"/>
      <c r="D146" s="264"/>
      <c r="E146" s="326"/>
      <c r="F146" s="327"/>
      <c r="G146" s="327"/>
      <c r="H146" s="371">
        <f t="shared" si="32"/>
        <v>341717</v>
      </c>
      <c r="I146" s="372">
        <f t="shared" si="33"/>
        <v>0</v>
      </c>
      <c r="J146" s="264"/>
      <c r="K146" s="414"/>
      <c r="L146" s="415"/>
      <c r="M146" s="428">
        <f t="shared" si="38"/>
        <v>975218</v>
      </c>
      <c r="N146" s="416"/>
      <c r="O146" s="430">
        <f t="shared" si="29"/>
        <v>0</v>
      </c>
      <c r="P146" s="328"/>
      <c r="R146" s="417"/>
      <c r="S146" s="418"/>
      <c r="T146" s="419"/>
      <c r="U146" s="419"/>
      <c r="V146" s="419"/>
      <c r="W146" s="419"/>
      <c r="X146" s="419"/>
      <c r="Y146" s="432">
        <f t="shared" si="34"/>
        <v>5000000</v>
      </c>
      <c r="Z146" s="420"/>
      <c r="AA146" s="336"/>
      <c r="AB146" s="337"/>
      <c r="AC146" s="338"/>
      <c r="AD146" s="383">
        <f t="shared" si="35"/>
        <v>528915</v>
      </c>
      <c r="AE146" s="339"/>
      <c r="AF146" s="384">
        <f t="shared" si="40"/>
        <v>0</v>
      </c>
      <c r="AG146" s="336"/>
      <c r="AH146" s="329"/>
      <c r="AI146" s="330"/>
      <c r="AJ146" s="375">
        <f t="shared" si="36"/>
        <v>376533</v>
      </c>
      <c r="AK146" s="331"/>
      <c r="AL146" s="377">
        <f t="shared" si="41"/>
        <v>0</v>
      </c>
      <c r="AM146" s="336"/>
      <c r="AN146" s="336"/>
      <c r="AO146" s="336"/>
      <c r="AP146" s="340"/>
      <c r="AQ146" s="341"/>
      <c r="AR146" s="341"/>
      <c r="AS146" s="386">
        <f t="shared" si="39"/>
        <v>208871</v>
      </c>
      <c r="AT146" s="342"/>
      <c r="AU146" s="389">
        <f t="shared" si="30"/>
        <v>0</v>
      </c>
      <c r="AW146" s="343"/>
      <c r="AX146" s="344"/>
      <c r="AY146" s="344"/>
      <c r="AZ146" s="435">
        <f t="shared" si="31"/>
        <v>0</v>
      </c>
      <c r="BA146" s="438">
        <f t="shared" si="37"/>
        <v>0</v>
      </c>
    </row>
    <row r="147" spans="1:53">
      <c r="A147" s="412"/>
      <c r="B147" s="413"/>
      <c r="C147" s="404"/>
      <c r="D147" s="264"/>
      <c r="E147" s="326"/>
      <c r="F147" s="327"/>
      <c r="G147" s="327"/>
      <c r="H147" s="371">
        <f t="shared" si="32"/>
        <v>341717</v>
      </c>
      <c r="I147" s="372">
        <f t="shared" si="33"/>
        <v>0</v>
      </c>
      <c r="J147" s="264"/>
      <c r="K147" s="414"/>
      <c r="L147" s="415"/>
      <c r="M147" s="428">
        <f t="shared" si="38"/>
        <v>975218</v>
      </c>
      <c r="N147" s="416"/>
      <c r="O147" s="430">
        <f t="shared" si="29"/>
        <v>0</v>
      </c>
      <c r="P147" s="328"/>
      <c r="R147" s="417"/>
      <c r="S147" s="418"/>
      <c r="T147" s="419"/>
      <c r="U147" s="419"/>
      <c r="V147" s="419"/>
      <c r="W147" s="419"/>
      <c r="X147" s="419"/>
      <c r="Y147" s="432">
        <f t="shared" si="34"/>
        <v>5000000</v>
      </c>
      <c r="Z147" s="420"/>
      <c r="AA147" s="336"/>
      <c r="AB147" s="337"/>
      <c r="AC147" s="338"/>
      <c r="AD147" s="383">
        <f t="shared" si="35"/>
        <v>528915</v>
      </c>
      <c r="AE147" s="339"/>
      <c r="AF147" s="384">
        <f t="shared" si="40"/>
        <v>0</v>
      </c>
      <c r="AG147" s="336"/>
      <c r="AH147" s="329"/>
      <c r="AI147" s="330"/>
      <c r="AJ147" s="375">
        <f t="shared" si="36"/>
        <v>376533</v>
      </c>
      <c r="AK147" s="331"/>
      <c r="AL147" s="377">
        <f t="shared" si="41"/>
        <v>0</v>
      </c>
      <c r="AM147" s="336"/>
      <c r="AN147" s="336"/>
      <c r="AO147" s="336"/>
      <c r="AP147" s="340"/>
      <c r="AQ147" s="341"/>
      <c r="AR147" s="341"/>
      <c r="AS147" s="386">
        <f t="shared" si="39"/>
        <v>208871</v>
      </c>
      <c r="AT147" s="342"/>
      <c r="AU147" s="389">
        <f t="shared" si="30"/>
        <v>0</v>
      </c>
      <c r="AW147" s="343"/>
      <c r="AX147" s="344"/>
      <c r="AY147" s="344"/>
      <c r="AZ147" s="435">
        <f t="shared" si="31"/>
        <v>0</v>
      </c>
      <c r="BA147" s="438">
        <f t="shared" si="37"/>
        <v>0</v>
      </c>
    </row>
    <row r="148" spans="1:53">
      <c r="A148" s="412"/>
      <c r="B148" s="413"/>
      <c r="C148" s="404"/>
      <c r="D148" s="264"/>
      <c r="E148" s="326"/>
      <c r="F148" s="327"/>
      <c r="G148" s="327"/>
      <c r="H148" s="371">
        <f t="shared" si="32"/>
        <v>341717</v>
      </c>
      <c r="I148" s="372">
        <f t="shared" si="33"/>
        <v>0</v>
      </c>
      <c r="J148" s="264"/>
      <c r="K148" s="414"/>
      <c r="L148" s="415"/>
      <c r="M148" s="428">
        <f t="shared" si="38"/>
        <v>975218</v>
      </c>
      <c r="N148" s="416"/>
      <c r="O148" s="430">
        <f t="shared" si="29"/>
        <v>0</v>
      </c>
      <c r="P148" s="328"/>
      <c r="R148" s="417"/>
      <c r="S148" s="418"/>
      <c r="T148" s="419"/>
      <c r="U148" s="419"/>
      <c r="V148" s="419"/>
      <c r="W148" s="419"/>
      <c r="X148" s="419"/>
      <c r="Y148" s="432">
        <f t="shared" si="34"/>
        <v>5000000</v>
      </c>
      <c r="Z148" s="420"/>
      <c r="AA148" s="336"/>
      <c r="AB148" s="337"/>
      <c r="AC148" s="338"/>
      <c r="AD148" s="383">
        <f t="shared" si="35"/>
        <v>528915</v>
      </c>
      <c r="AE148" s="339"/>
      <c r="AF148" s="384">
        <f t="shared" si="40"/>
        <v>0</v>
      </c>
      <c r="AG148" s="336"/>
      <c r="AH148" s="329"/>
      <c r="AI148" s="330"/>
      <c r="AJ148" s="375">
        <f t="shared" si="36"/>
        <v>376533</v>
      </c>
      <c r="AK148" s="331"/>
      <c r="AL148" s="377">
        <f t="shared" si="41"/>
        <v>0</v>
      </c>
      <c r="AM148" s="336"/>
      <c r="AN148" s="336"/>
      <c r="AO148" s="336"/>
      <c r="AP148" s="340"/>
      <c r="AQ148" s="341"/>
      <c r="AR148" s="341"/>
      <c r="AS148" s="386">
        <f t="shared" si="39"/>
        <v>208871</v>
      </c>
      <c r="AT148" s="342"/>
      <c r="AU148" s="389">
        <f t="shared" si="30"/>
        <v>0</v>
      </c>
      <c r="AW148" s="343"/>
      <c r="AX148" s="344"/>
      <c r="AY148" s="344"/>
      <c r="AZ148" s="435">
        <f t="shared" si="31"/>
        <v>0</v>
      </c>
      <c r="BA148" s="438">
        <f t="shared" si="37"/>
        <v>0</v>
      </c>
    </row>
    <row r="149" spans="1:53">
      <c r="A149" s="412"/>
      <c r="B149" s="413"/>
      <c r="C149" s="404"/>
      <c r="D149" s="264"/>
      <c r="E149" s="326"/>
      <c r="F149" s="327"/>
      <c r="G149" s="327"/>
      <c r="H149" s="371">
        <f t="shared" si="32"/>
        <v>341717</v>
      </c>
      <c r="I149" s="372">
        <f t="shared" si="33"/>
        <v>0</v>
      </c>
      <c r="J149" s="264"/>
      <c r="K149" s="414"/>
      <c r="L149" s="415"/>
      <c r="M149" s="428">
        <f t="shared" si="38"/>
        <v>975218</v>
      </c>
      <c r="N149" s="416"/>
      <c r="O149" s="430">
        <f t="shared" si="29"/>
        <v>0</v>
      </c>
      <c r="P149" s="328"/>
      <c r="R149" s="417"/>
      <c r="S149" s="418"/>
      <c r="T149" s="419"/>
      <c r="U149" s="419"/>
      <c r="V149" s="419"/>
      <c r="W149" s="419"/>
      <c r="X149" s="419"/>
      <c r="Y149" s="432">
        <f t="shared" si="34"/>
        <v>5000000</v>
      </c>
      <c r="Z149" s="420"/>
      <c r="AA149" s="336"/>
      <c r="AB149" s="337"/>
      <c r="AC149" s="338"/>
      <c r="AD149" s="383">
        <f t="shared" si="35"/>
        <v>528915</v>
      </c>
      <c r="AE149" s="339"/>
      <c r="AF149" s="384">
        <f t="shared" si="40"/>
        <v>0</v>
      </c>
      <c r="AG149" s="336"/>
      <c r="AH149" s="329"/>
      <c r="AI149" s="330"/>
      <c r="AJ149" s="375">
        <f t="shared" si="36"/>
        <v>376533</v>
      </c>
      <c r="AK149" s="331"/>
      <c r="AL149" s="377">
        <f t="shared" si="41"/>
        <v>0</v>
      </c>
      <c r="AM149" s="336"/>
      <c r="AN149" s="336"/>
      <c r="AO149" s="336"/>
      <c r="AP149" s="340"/>
      <c r="AQ149" s="341"/>
      <c r="AR149" s="341"/>
      <c r="AS149" s="386">
        <f t="shared" si="39"/>
        <v>208871</v>
      </c>
      <c r="AT149" s="342"/>
      <c r="AU149" s="389">
        <f t="shared" si="30"/>
        <v>0</v>
      </c>
      <c r="AW149" s="343"/>
      <c r="AX149" s="344"/>
      <c r="AY149" s="344"/>
      <c r="AZ149" s="435">
        <f t="shared" si="31"/>
        <v>0</v>
      </c>
      <c r="BA149" s="438">
        <f t="shared" si="37"/>
        <v>0</v>
      </c>
    </row>
    <row r="150" spans="1:53">
      <c r="A150" s="412"/>
      <c r="B150" s="413"/>
      <c r="C150" s="404"/>
      <c r="D150" s="264"/>
      <c r="E150" s="326"/>
      <c r="F150" s="327"/>
      <c r="G150" s="327"/>
      <c r="H150" s="371">
        <f t="shared" si="32"/>
        <v>341717</v>
      </c>
      <c r="I150" s="372">
        <f t="shared" si="33"/>
        <v>0</v>
      </c>
      <c r="J150" s="264"/>
      <c r="K150" s="414"/>
      <c r="L150" s="415"/>
      <c r="M150" s="428">
        <f t="shared" si="38"/>
        <v>975218</v>
      </c>
      <c r="N150" s="416"/>
      <c r="O150" s="430">
        <f t="shared" si="29"/>
        <v>0</v>
      </c>
      <c r="P150" s="328"/>
      <c r="R150" s="417"/>
      <c r="S150" s="418"/>
      <c r="T150" s="419"/>
      <c r="U150" s="419"/>
      <c r="V150" s="419"/>
      <c r="W150" s="419"/>
      <c r="X150" s="419"/>
      <c r="Y150" s="432">
        <f t="shared" si="34"/>
        <v>5000000</v>
      </c>
      <c r="Z150" s="420"/>
      <c r="AA150" s="336"/>
      <c r="AB150" s="337"/>
      <c r="AC150" s="338"/>
      <c r="AD150" s="383">
        <f t="shared" si="35"/>
        <v>528915</v>
      </c>
      <c r="AE150" s="339"/>
      <c r="AF150" s="384">
        <f t="shared" si="40"/>
        <v>0</v>
      </c>
      <c r="AG150" s="336"/>
      <c r="AH150" s="329"/>
      <c r="AI150" s="330"/>
      <c r="AJ150" s="375">
        <f t="shared" si="36"/>
        <v>376533</v>
      </c>
      <c r="AK150" s="331"/>
      <c r="AL150" s="377">
        <f t="shared" si="41"/>
        <v>0</v>
      </c>
      <c r="AM150" s="336"/>
      <c r="AN150" s="336"/>
      <c r="AO150" s="336"/>
      <c r="AP150" s="340"/>
      <c r="AQ150" s="341"/>
      <c r="AR150" s="341"/>
      <c r="AS150" s="386">
        <f t="shared" si="39"/>
        <v>208871</v>
      </c>
      <c r="AT150" s="342"/>
      <c r="AU150" s="389">
        <f t="shared" si="30"/>
        <v>0</v>
      </c>
      <c r="AW150" s="343"/>
      <c r="AX150" s="344"/>
      <c r="AY150" s="344"/>
      <c r="AZ150" s="435">
        <f t="shared" si="31"/>
        <v>0</v>
      </c>
      <c r="BA150" s="438">
        <f t="shared" si="37"/>
        <v>0</v>
      </c>
    </row>
    <row r="151" spans="1:53">
      <c r="A151" s="412"/>
      <c r="B151" s="413"/>
      <c r="C151" s="404"/>
      <c r="D151" s="264"/>
      <c r="E151" s="326"/>
      <c r="F151" s="327"/>
      <c r="G151" s="327"/>
      <c r="H151" s="371">
        <f t="shared" si="32"/>
        <v>341717</v>
      </c>
      <c r="I151" s="372">
        <f t="shared" si="33"/>
        <v>0</v>
      </c>
      <c r="J151" s="264"/>
      <c r="K151" s="414"/>
      <c r="L151" s="415"/>
      <c r="M151" s="428">
        <f t="shared" si="38"/>
        <v>975218</v>
      </c>
      <c r="N151" s="416"/>
      <c r="O151" s="430">
        <f t="shared" si="29"/>
        <v>0</v>
      </c>
      <c r="P151" s="328"/>
      <c r="R151" s="417"/>
      <c r="S151" s="418"/>
      <c r="T151" s="419"/>
      <c r="U151" s="419"/>
      <c r="V151" s="419"/>
      <c r="W151" s="419"/>
      <c r="X151" s="419"/>
      <c r="Y151" s="432">
        <f t="shared" si="34"/>
        <v>5000000</v>
      </c>
      <c r="Z151" s="420"/>
      <c r="AA151" s="336"/>
      <c r="AB151" s="337"/>
      <c r="AC151" s="338"/>
      <c r="AD151" s="383">
        <f t="shared" si="35"/>
        <v>528915</v>
      </c>
      <c r="AE151" s="339"/>
      <c r="AF151" s="384">
        <f t="shared" si="40"/>
        <v>0</v>
      </c>
      <c r="AG151" s="336"/>
      <c r="AH151" s="329"/>
      <c r="AI151" s="330"/>
      <c r="AJ151" s="375">
        <f t="shared" si="36"/>
        <v>376533</v>
      </c>
      <c r="AK151" s="331"/>
      <c r="AL151" s="377">
        <f t="shared" si="41"/>
        <v>0</v>
      </c>
      <c r="AM151" s="336"/>
      <c r="AN151" s="336"/>
      <c r="AO151" s="336"/>
      <c r="AP151" s="340"/>
      <c r="AQ151" s="341"/>
      <c r="AR151" s="341"/>
      <c r="AS151" s="386">
        <f t="shared" si="39"/>
        <v>208871</v>
      </c>
      <c r="AT151" s="342"/>
      <c r="AU151" s="389">
        <f t="shared" si="30"/>
        <v>0</v>
      </c>
      <c r="AW151" s="343"/>
      <c r="AX151" s="344"/>
      <c r="AY151" s="344"/>
      <c r="AZ151" s="435">
        <f t="shared" si="31"/>
        <v>0</v>
      </c>
      <c r="BA151" s="438">
        <f t="shared" si="37"/>
        <v>0</v>
      </c>
    </row>
    <row r="152" spans="1:53">
      <c r="A152" s="412"/>
      <c r="B152" s="413"/>
      <c r="C152" s="404"/>
      <c r="D152" s="264"/>
      <c r="E152" s="326"/>
      <c r="F152" s="327"/>
      <c r="G152" s="327"/>
      <c r="H152" s="371">
        <f t="shared" si="32"/>
        <v>341717</v>
      </c>
      <c r="I152" s="372">
        <f t="shared" si="33"/>
        <v>0</v>
      </c>
      <c r="J152" s="264"/>
      <c r="K152" s="414"/>
      <c r="L152" s="415"/>
      <c r="M152" s="428">
        <f t="shared" si="38"/>
        <v>975218</v>
      </c>
      <c r="N152" s="416"/>
      <c r="O152" s="430">
        <f t="shared" si="29"/>
        <v>0</v>
      </c>
      <c r="P152" s="328"/>
      <c r="R152" s="417"/>
      <c r="S152" s="418"/>
      <c r="T152" s="419"/>
      <c r="U152" s="419"/>
      <c r="V152" s="419"/>
      <c r="W152" s="419"/>
      <c r="X152" s="419"/>
      <c r="Y152" s="432">
        <f t="shared" si="34"/>
        <v>5000000</v>
      </c>
      <c r="Z152" s="420"/>
      <c r="AA152" s="336"/>
      <c r="AB152" s="337"/>
      <c r="AC152" s="338"/>
      <c r="AD152" s="383">
        <f t="shared" si="35"/>
        <v>528915</v>
      </c>
      <c r="AE152" s="339"/>
      <c r="AF152" s="384">
        <f t="shared" si="40"/>
        <v>0</v>
      </c>
      <c r="AG152" s="336"/>
      <c r="AH152" s="329"/>
      <c r="AI152" s="330"/>
      <c r="AJ152" s="375">
        <f t="shared" si="36"/>
        <v>376533</v>
      </c>
      <c r="AK152" s="331"/>
      <c r="AL152" s="377">
        <f t="shared" si="41"/>
        <v>0</v>
      </c>
      <c r="AM152" s="336"/>
      <c r="AN152" s="336"/>
      <c r="AO152" s="336"/>
      <c r="AP152" s="340"/>
      <c r="AQ152" s="341"/>
      <c r="AR152" s="341"/>
      <c r="AS152" s="386">
        <f t="shared" si="39"/>
        <v>208871</v>
      </c>
      <c r="AT152" s="342"/>
      <c r="AU152" s="389">
        <f t="shared" si="30"/>
        <v>0</v>
      </c>
      <c r="AW152" s="343"/>
      <c r="AX152" s="344"/>
      <c r="AY152" s="344"/>
      <c r="AZ152" s="435">
        <f t="shared" si="31"/>
        <v>0</v>
      </c>
      <c r="BA152" s="438">
        <f t="shared" si="37"/>
        <v>0</v>
      </c>
    </row>
    <row r="153" spans="1:53">
      <c r="A153" s="412"/>
      <c r="B153" s="413"/>
      <c r="C153" s="404"/>
      <c r="D153" s="264"/>
      <c r="E153" s="326"/>
      <c r="F153" s="327"/>
      <c r="G153" s="327"/>
      <c r="H153" s="371">
        <f t="shared" si="32"/>
        <v>341717</v>
      </c>
      <c r="I153" s="372">
        <f t="shared" si="33"/>
        <v>0</v>
      </c>
      <c r="J153" s="264"/>
      <c r="K153" s="414"/>
      <c r="L153" s="415"/>
      <c r="M153" s="428">
        <f t="shared" si="38"/>
        <v>975218</v>
      </c>
      <c r="N153" s="416"/>
      <c r="O153" s="430">
        <f t="shared" si="29"/>
        <v>0</v>
      </c>
      <c r="P153" s="328"/>
      <c r="R153" s="417"/>
      <c r="S153" s="418"/>
      <c r="T153" s="419"/>
      <c r="U153" s="419"/>
      <c r="V153" s="419"/>
      <c r="W153" s="419"/>
      <c r="X153" s="419"/>
      <c r="Y153" s="432">
        <f t="shared" si="34"/>
        <v>5000000</v>
      </c>
      <c r="Z153" s="420"/>
      <c r="AA153" s="336"/>
      <c r="AB153" s="337"/>
      <c r="AC153" s="338"/>
      <c r="AD153" s="383">
        <f t="shared" si="35"/>
        <v>528915</v>
      </c>
      <c r="AE153" s="339"/>
      <c r="AF153" s="384">
        <f t="shared" si="40"/>
        <v>0</v>
      </c>
      <c r="AG153" s="336"/>
      <c r="AH153" s="329"/>
      <c r="AI153" s="330"/>
      <c r="AJ153" s="375">
        <f t="shared" si="36"/>
        <v>376533</v>
      </c>
      <c r="AK153" s="331"/>
      <c r="AL153" s="377">
        <f t="shared" si="41"/>
        <v>0</v>
      </c>
      <c r="AM153" s="336"/>
      <c r="AN153" s="336"/>
      <c r="AO153" s="336"/>
      <c r="AP153" s="340"/>
      <c r="AQ153" s="341"/>
      <c r="AR153" s="341"/>
      <c r="AS153" s="386">
        <f t="shared" si="39"/>
        <v>208871</v>
      </c>
      <c r="AT153" s="342"/>
      <c r="AU153" s="389">
        <f t="shared" si="30"/>
        <v>0</v>
      </c>
      <c r="AW153" s="343"/>
      <c r="AX153" s="344"/>
      <c r="AY153" s="344"/>
      <c r="AZ153" s="435">
        <f t="shared" si="31"/>
        <v>0</v>
      </c>
      <c r="BA153" s="438">
        <f t="shared" si="37"/>
        <v>0</v>
      </c>
    </row>
    <row r="154" spans="1:53">
      <c r="A154" s="412"/>
      <c r="B154" s="413"/>
      <c r="C154" s="404"/>
      <c r="D154" s="264"/>
      <c r="E154" s="326"/>
      <c r="F154" s="327"/>
      <c r="G154" s="327"/>
      <c r="H154" s="371">
        <f t="shared" si="32"/>
        <v>341717</v>
      </c>
      <c r="I154" s="372">
        <f t="shared" si="33"/>
        <v>0</v>
      </c>
      <c r="J154" s="264"/>
      <c r="K154" s="414"/>
      <c r="L154" s="415"/>
      <c r="M154" s="428">
        <f t="shared" si="38"/>
        <v>975218</v>
      </c>
      <c r="N154" s="416"/>
      <c r="O154" s="430">
        <f t="shared" si="29"/>
        <v>0</v>
      </c>
      <c r="P154" s="328"/>
      <c r="R154" s="417"/>
      <c r="S154" s="418"/>
      <c r="T154" s="419"/>
      <c r="U154" s="419"/>
      <c r="V154" s="419"/>
      <c r="W154" s="419"/>
      <c r="X154" s="419"/>
      <c r="Y154" s="432">
        <f t="shared" si="34"/>
        <v>5000000</v>
      </c>
      <c r="Z154" s="420"/>
      <c r="AA154" s="336"/>
      <c r="AB154" s="337"/>
      <c r="AC154" s="338"/>
      <c r="AD154" s="383">
        <f t="shared" si="35"/>
        <v>528915</v>
      </c>
      <c r="AE154" s="339"/>
      <c r="AF154" s="384">
        <f t="shared" si="40"/>
        <v>0</v>
      </c>
      <c r="AG154" s="336"/>
      <c r="AH154" s="329"/>
      <c r="AI154" s="330"/>
      <c r="AJ154" s="375">
        <f t="shared" si="36"/>
        <v>376533</v>
      </c>
      <c r="AK154" s="331"/>
      <c r="AL154" s="377">
        <f t="shared" si="41"/>
        <v>0</v>
      </c>
      <c r="AM154" s="336"/>
      <c r="AN154" s="336"/>
      <c r="AO154" s="336"/>
      <c r="AP154" s="340"/>
      <c r="AQ154" s="341"/>
      <c r="AR154" s="341"/>
      <c r="AS154" s="386">
        <f t="shared" si="39"/>
        <v>208871</v>
      </c>
      <c r="AT154" s="342"/>
      <c r="AU154" s="389">
        <f t="shared" si="30"/>
        <v>0</v>
      </c>
      <c r="AW154" s="343"/>
      <c r="AX154" s="344"/>
      <c r="AY154" s="344"/>
      <c r="AZ154" s="435">
        <f t="shared" si="31"/>
        <v>0</v>
      </c>
      <c r="BA154" s="438">
        <f t="shared" si="37"/>
        <v>0</v>
      </c>
    </row>
    <row r="155" spans="1:53">
      <c r="A155" s="412"/>
      <c r="B155" s="413"/>
      <c r="C155" s="404"/>
      <c r="D155" s="264"/>
      <c r="E155" s="326"/>
      <c r="F155" s="327"/>
      <c r="G155" s="327"/>
      <c r="H155" s="371">
        <f t="shared" si="32"/>
        <v>341717</v>
      </c>
      <c r="I155" s="372">
        <f t="shared" si="33"/>
        <v>0</v>
      </c>
      <c r="J155" s="264"/>
      <c r="K155" s="414"/>
      <c r="L155" s="415"/>
      <c r="M155" s="428">
        <f t="shared" si="38"/>
        <v>975218</v>
      </c>
      <c r="N155" s="416"/>
      <c r="O155" s="430">
        <f t="shared" si="29"/>
        <v>0</v>
      </c>
      <c r="P155" s="328"/>
      <c r="R155" s="417"/>
      <c r="S155" s="418"/>
      <c r="T155" s="419"/>
      <c r="U155" s="419"/>
      <c r="V155" s="419"/>
      <c r="W155" s="419"/>
      <c r="X155" s="419"/>
      <c r="Y155" s="432">
        <f t="shared" si="34"/>
        <v>5000000</v>
      </c>
      <c r="Z155" s="420"/>
      <c r="AA155" s="336"/>
      <c r="AB155" s="337"/>
      <c r="AC155" s="338"/>
      <c r="AD155" s="383">
        <f t="shared" si="35"/>
        <v>528915</v>
      </c>
      <c r="AE155" s="339"/>
      <c r="AF155" s="384">
        <f t="shared" si="40"/>
        <v>0</v>
      </c>
      <c r="AG155" s="336"/>
      <c r="AH155" s="329"/>
      <c r="AI155" s="330"/>
      <c r="AJ155" s="375">
        <f t="shared" si="36"/>
        <v>376533</v>
      </c>
      <c r="AK155" s="331"/>
      <c r="AL155" s="377">
        <f t="shared" si="41"/>
        <v>0</v>
      </c>
      <c r="AM155" s="336"/>
      <c r="AN155" s="336"/>
      <c r="AO155" s="336"/>
      <c r="AP155" s="340"/>
      <c r="AQ155" s="341"/>
      <c r="AR155" s="341"/>
      <c r="AS155" s="386">
        <f t="shared" si="39"/>
        <v>208871</v>
      </c>
      <c r="AT155" s="342"/>
      <c r="AU155" s="389">
        <f t="shared" si="30"/>
        <v>0</v>
      </c>
      <c r="AW155" s="343"/>
      <c r="AX155" s="344"/>
      <c r="AY155" s="344"/>
      <c r="AZ155" s="435">
        <f t="shared" si="31"/>
        <v>0</v>
      </c>
      <c r="BA155" s="438">
        <f t="shared" si="37"/>
        <v>0</v>
      </c>
    </row>
    <row r="156" spans="1:53">
      <c r="A156" s="412"/>
      <c r="B156" s="413"/>
      <c r="C156" s="404"/>
      <c r="D156" s="264"/>
      <c r="E156" s="326"/>
      <c r="F156" s="327"/>
      <c r="G156" s="327"/>
      <c r="H156" s="371">
        <f t="shared" si="32"/>
        <v>341717</v>
      </c>
      <c r="I156" s="372">
        <f t="shared" si="33"/>
        <v>0</v>
      </c>
      <c r="J156" s="264"/>
      <c r="K156" s="414"/>
      <c r="L156" s="415"/>
      <c r="M156" s="428">
        <f t="shared" si="38"/>
        <v>975218</v>
      </c>
      <c r="N156" s="416"/>
      <c r="O156" s="430">
        <f t="shared" si="29"/>
        <v>0</v>
      </c>
      <c r="P156" s="328"/>
      <c r="R156" s="417"/>
      <c r="S156" s="418"/>
      <c r="T156" s="419"/>
      <c r="U156" s="419"/>
      <c r="V156" s="419"/>
      <c r="W156" s="419"/>
      <c r="X156" s="419"/>
      <c r="Y156" s="432">
        <f t="shared" si="34"/>
        <v>5000000</v>
      </c>
      <c r="Z156" s="420"/>
      <c r="AA156" s="336"/>
      <c r="AB156" s="337"/>
      <c r="AC156" s="338"/>
      <c r="AD156" s="383">
        <f t="shared" si="35"/>
        <v>528915</v>
      </c>
      <c r="AE156" s="339"/>
      <c r="AF156" s="384">
        <f t="shared" si="40"/>
        <v>0</v>
      </c>
      <c r="AG156" s="336"/>
      <c r="AH156" s="329"/>
      <c r="AI156" s="330"/>
      <c r="AJ156" s="375">
        <f t="shared" si="36"/>
        <v>376533</v>
      </c>
      <c r="AK156" s="331"/>
      <c r="AL156" s="377">
        <f t="shared" si="41"/>
        <v>0</v>
      </c>
      <c r="AM156" s="336"/>
      <c r="AN156" s="336"/>
      <c r="AO156" s="336"/>
      <c r="AP156" s="340"/>
      <c r="AQ156" s="341"/>
      <c r="AR156" s="341"/>
      <c r="AS156" s="386">
        <f t="shared" si="39"/>
        <v>208871</v>
      </c>
      <c r="AT156" s="342"/>
      <c r="AU156" s="389">
        <f t="shared" si="30"/>
        <v>0</v>
      </c>
      <c r="AW156" s="343"/>
      <c r="AX156" s="344"/>
      <c r="AY156" s="344"/>
      <c r="AZ156" s="435">
        <f t="shared" si="31"/>
        <v>0</v>
      </c>
      <c r="BA156" s="438">
        <f t="shared" si="37"/>
        <v>0</v>
      </c>
    </row>
    <row r="157" spans="1:53">
      <c r="A157" s="412"/>
      <c r="B157" s="413"/>
      <c r="C157" s="404"/>
      <c r="D157" s="264"/>
      <c r="E157" s="326"/>
      <c r="F157" s="327"/>
      <c r="G157" s="327"/>
      <c r="H157" s="371">
        <f t="shared" si="32"/>
        <v>341717</v>
      </c>
      <c r="I157" s="372">
        <f t="shared" si="33"/>
        <v>0</v>
      </c>
      <c r="J157" s="264"/>
      <c r="K157" s="414"/>
      <c r="L157" s="415"/>
      <c r="M157" s="428">
        <f t="shared" si="38"/>
        <v>975218</v>
      </c>
      <c r="N157" s="416"/>
      <c r="O157" s="430">
        <f t="shared" si="29"/>
        <v>0</v>
      </c>
      <c r="P157" s="328"/>
      <c r="R157" s="417"/>
      <c r="S157" s="418"/>
      <c r="T157" s="419"/>
      <c r="U157" s="419"/>
      <c r="V157" s="419"/>
      <c r="W157" s="419"/>
      <c r="X157" s="419"/>
      <c r="Y157" s="432">
        <f t="shared" si="34"/>
        <v>5000000</v>
      </c>
      <c r="Z157" s="420"/>
      <c r="AA157" s="336"/>
      <c r="AB157" s="337"/>
      <c r="AC157" s="338"/>
      <c r="AD157" s="383">
        <f t="shared" si="35"/>
        <v>528915</v>
      </c>
      <c r="AE157" s="339"/>
      <c r="AF157" s="384">
        <f t="shared" si="40"/>
        <v>0</v>
      </c>
      <c r="AG157" s="336"/>
      <c r="AH157" s="329"/>
      <c r="AI157" s="330"/>
      <c r="AJ157" s="375">
        <f t="shared" si="36"/>
        <v>376533</v>
      </c>
      <c r="AK157" s="331"/>
      <c r="AL157" s="377">
        <f t="shared" si="41"/>
        <v>0</v>
      </c>
      <c r="AM157" s="336"/>
      <c r="AN157" s="336"/>
      <c r="AO157" s="336"/>
      <c r="AP157" s="340"/>
      <c r="AQ157" s="341"/>
      <c r="AR157" s="341"/>
      <c r="AS157" s="386">
        <f t="shared" si="39"/>
        <v>208871</v>
      </c>
      <c r="AT157" s="342"/>
      <c r="AU157" s="389">
        <f t="shared" si="30"/>
        <v>0</v>
      </c>
      <c r="AW157" s="343"/>
      <c r="AX157" s="344"/>
      <c r="AY157" s="344"/>
      <c r="AZ157" s="435">
        <f t="shared" si="31"/>
        <v>0</v>
      </c>
      <c r="BA157" s="438">
        <f t="shared" si="37"/>
        <v>0</v>
      </c>
    </row>
    <row r="158" spans="1:53">
      <c r="A158" s="412"/>
      <c r="B158" s="413"/>
      <c r="C158" s="404"/>
      <c r="D158" s="264"/>
      <c r="E158" s="326"/>
      <c r="F158" s="327"/>
      <c r="G158" s="327"/>
      <c r="H158" s="371">
        <f t="shared" si="32"/>
        <v>341717</v>
      </c>
      <c r="I158" s="372">
        <f t="shared" si="33"/>
        <v>0</v>
      </c>
      <c r="J158" s="264"/>
      <c r="K158" s="414"/>
      <c r="L158" s="415"/>
      <c r="M158" s="428">
        <f t="shared" si="38"/>
        <v>975218</v>
      </c>
      <c r="N158" s="416"/>
      <c r="O158" s="430">
        <f t="shared" si="29"/>
        <v>0</v>
      </c>
      <c r="P158" s="328"/>
      <c r="R158" s="417"/>
      <c r="S158" s="418"/>
      <c r="T158" s="419"/>
      <c r="U158" s="419"/>
      <c r="V158" s="419"/>
      <c r="W158" s="419"/>
      <c r="X158" s="419"/>
      <c r="Y158" s="432">
        <f t="shared" si="34"/>
        <v>5000000</v>
      </c>
      <c r="Z158" s="420"/>
      <c r="AA158" s="336"/>
      <c r="AB158" s="337"/>
      <c r="AC158" s="338"/>
      <c r="AD158" s="383">
        <f t="shared" si="35"/>
        <v>528915</v>
      </c>
      <c r="AE158" s="339"/>
      <c r="AF158" s="384">
        <f t="shared" si="40"/>
        <v>0</v>
      </c>
      <c r="AG158" s="336"/>
      <c r="AH158" s="329"/>
      <c r="AI158" s="330"/>
      <c r="AJ158" s="375">
        <f t="shared" si="36"/>
        <v>376533</v>
      </c>
      <c r="AK158" s="331"/>
      <c r="AL158" s="377">
        <f t="shared" si="41"/>
        <v>0</v>
      </c>
      <c r="AM158" s="336"/>
      <c r="AN158" s="336"/>
      <c r="AO158" s="336"/>
      <c r="AP158" s="340"/>
      <c r="AQ158" s="341"/>
      <c r="AR158" s="341"/>
      <c r="AS158" s="386">
        <f t="shared" si="39"/>
        <v>208871</v>
      </c>
      <c r="AT158" s="342"/>
      <c r="AU158" s="389">
        <f t="shared" si="30"/>
        <v>0</v>
      </c>
      <c r="AW158" s="343"/>
      <c r="AX158" s="344"/>
      <c r="AY158" s="344"/>
      <c r="AZ158" s="435">
        <f t="shared" si="31"/>
        <v>0</v>
      </c>
      <c r="BA158" s="438">
        <f t="shared" si="37"/>
        <v>0</v>
      </c>
    </row>
    <row r="159" spans="1:53">
      <c r="A159" s="412"/>
      <c r="B159" s="413"/>
      <c r="C159" s="404"/>
      <c r="D159" s="264"/>
      <c r="E159" s="326"/>
      <c r="F159" s="327"/>
      <c r="G159" s="327"/>
      <c r="H159" s="371">
        <f t="shared" si="32"/>
        <v>341717</v>
      </c>
      <c r="I159" s="372">
        <f t="shared" si="33"/>
        <v>0</v>
      </c>
      <c r="J159" s="264"/>
      <c r="K159" s="414"/>
      <c r="L159" s="415"/>
      <c r="M159" s="428">
        <f t="shared" si="38"/>
        <v>975218</v>
      </c>
      <c r="N159" s="416"/>
      <c r="O159" s="430">
        <f t="shared" si="29"/>
        <v>0</v>
      </c>
      <c r="P159" s="328"/>
      <c r="R159" s="417"/>
      <c r="S159" s="418"/>
      <c r="T159" s="419"/>
      <c r="U159" s="419"/>
      <c r="V159" s="419"/>
      <c r="W159" s="419"/>
      <c r="X159" s="419"/>
      <c r="Y159" s="432">
        <f t="shared" si="34"/>
        <v>5000000</v>
      </c>
      <c r="Z159" s="420"/>
      <c r="AA159" s="336"/>
      <c r="AB159" s="337"/>
      <c r="AC159" s="338"/>
      <c r="AD159" s="383">
        <f t="shared" si="35"/>
        <v>528915</v>
      </c>
      <c r="AE159" s="339"/>
      <c r="AF159" s="384">
        <f t="shared" si="40"/>
        <v>0</v>
      </c>
      <c r="AG159" s="336"/>
      <c r="AH159" s="329"/>
      <c r="AI159" s="330"/>
      <c r="AJ159" s="375">
        <f t="shared" si="36"/>
        <v>376533</v>
      </c>
      <c r="AK159" s="331"/>
      <c r="AL159" s="377">
        <f t="shared" si="41"/>
        <v>0</v>
      </c>
      <c r="AM159" s="336"/>
      <c r="AN159" s="336"/>
      <c r="AO159" s="336"/>
      <c r="AP159" s="340"/>
      <c r="AQ159" s="341"/>
      <c r="AR159" s="341"/>
      <c r="AS159" s="386">
        <f t="shared" si="39"/>
        <v>208871</v>
      </c>
      <c r="AT159" s="342"/>
      <c r="AU159" s="389">
        <f t="shared" si="30"/>
        <v>0</v>
      </c>
      <c r="AW159" s="343"/>
      <c r="AX159" s="344"/>
      <c r="AY159" s="344"/>
      <c r="AZ159" s="435">
        <f t="shared" si="31"/>
        <v>0</v>
      </c>
      <c r="BA159" s="438">
        <f t="shared" si="37"/>
        <v>0</v>
      </c>
    </row>
    <row r="160" spans="1:53">
      <c r="A160" s="412"/>
      <c r="B160" s="413"/>
      <c r="C160" s="404"/>
      <c r="D160" s="264"/>
      <c r="E160" s="326"/>
      <c r="F160" s="327"/>
      <c r="G160" s="327"/>
      <c r="H160" s="371">
        <f t="shared" si="32"/>
        <v>341717</v>
      </c>
      <c r="I160" s="372">
        <f t="shared" si="33"/>
        <v>0</v>
      </c>
      <c r="J160" s="264"/>
      <c r="K160" s="414"/>
      <c r="L160" s="415"/>
      <c r="M160" s="428">
        <f t="shared" si="38"/>
        <v>975218</v>
      </c>
      <c r="N160" s="416"/>
      <c r="O160" s="430">
        <f t="shared" si="29"/>
        <v>0</v>
      </c>
      <c r="P160" s="328"/>
      <c r="R160" s="417"/>
      <c r="S160" s="418"/>
      <c r="T160" s="419"/>
      <c r="U160" s="419"/>
      <c r="V160" s="419"/>
      <c r="W160" s="419"/>
      <c r="X160" s="419"/>
      <c r="Y160" s="432">
        <f t="shared" si="34"/>
        <v>5000000</v>
      </c>
      <c r="Z160" s="420"/>
      <c r="AA160" s="336"/>
      <c r="AB160" s="337"/>
      <c r="AC160" s="338"/>
      <c r="AD160" s="383">
        <f t="shared" si="35"/>
        <v>528915</v>
      </c>
      <c r="AE160" s="339"/>
      <c r="AF160" s="384">
        <f t="shared" si="40"/>
        <v>0</v>
      </c>
      <c r="AG160" s="336"/>
      <c r="AH160" s="329"/>
      <c r="AI160" s="330"/>
      <c r="AJ160" s="375">
        <f t="shared" si="36"/>
        <v>376533</v>
      </c>
      <c r="AK160" s="331"/>
      <c r="AL160" s="377">
        <f t="shared" si="41"/>
        <v>0</v>
      </c>
      <c r="AM160" s="336"/>
      <c r="AN160" s="336"/>
      <c r="AO160" s="336"/>
      <c r="AP160" s="340"/>
      <c r="AQ160" s="341"/>
      <c r="AR160" s="341"/>
      <c r="AS160" s="386">
        <f t="shared" si="39"/>
        <v>208871</v>
      </c>
      <c r="AT160" s="342"/>
      <c r="AU160" s="389">
        <f t="shared" si="30"/>
        <v>0</v>
      </c>
      <c r="AW160" s="343"/>
      <c r="AX160" s="344"/>
      <c r="AY160" s="344"/>
      <c r="AZ160" s="435">
        <f t="shared" si="31"/>
        <v>0</v>
      </c>
      <c r="BA160" s="438">
        <f t="shared" si="37"/>
        <v>0</v>
      </c>
    </row>
    <row r="161" spans="1:53">
      <c r="A161" s="412"/>
      <c r="B161" s="413"/>
      <c r="C161" s="404"/>
      <c r="D161" s="264"/>
      <c r="E161" s="326"/>
      <c r="F161" s="327"/>
      <c r="G161" s="327"/>
      <c r="H161" s="371">
        <f t="shared" si="32"/>
        <v>341717</v>
      </c>
      <c r="I161" s="372">
        <f t="shared" si="33"/>
        <v>0</v>
      </c>
      <c r="J161" s="264"/>
      <c r="K161" s="414"/>
      <c r="L161" s="415"/>
      <c r="M161" s="428">
        <f t="shared" si="38"/>
        <v>975218</v>
      </c>
      <c r="N161" s="416"/>
      <c r="O161" s="430">
        <f t="shared" si="29"/>
        <v>0</v>
      </c>
      <c r="P161" s="328"/>
      <c r="R161" s="417"/>
      <c r="S161" s="418"/>
      <c r="T161" s="419"/>
      <c r="U161" s="419"/>
      <c r="V161" s="419"/>
      <c r="W161" s="419"/>
      <c r="X161" s="419"/>
      <c r="Y161" s="432">
        <f t="shared" si="34"/>
        <v>5000000</v>
      </c>
      <c r="Z161" s="420"/>
      <c r="AA161" s="336"/>
      <c r="AB161" s="337"/>
      <c r="AC161" s="338"/>
      <c r="AD161" s="383">
        <f t="shared" si="35"/>
        <v>528915</v>
      </c>
      <c r="AE161" s="339"/>
      <c r="AF161" s="384">
        <f t="shared" si="40"/>
        <v>0</v>
      </c>
      <c r="AG161" s="336"/>
      <c r="AH161" s="329"/>
      <c r="AI161" s="330"/>
      <c r="AJ161" s="375">
        <f t="shared" si="36"/>
        <v>376533</v>
      </c>
      <c r="AK161" s="331"/>
      <c r="AL161" s="377">
        <f t="shared" si="41"/>
        <v>0</v>
      </c>
      <c r="AM161" s="336"/>
      <c r="AN161" s="336"/>
      <c r="AO161" s="336"/>
      <c r="AP161" s="340"/>
      <c r="AQ161" s="341"/>
      <c r="AR161" s="341"/>
      <c r="AS161" s="386">
        <f t="shared" si="39"/>
        <v>208871</v>
      </c>
      <c r="AT161" s="342"/>
      <c r="AU161" s="389">
        <f t="shared" si="30"/>
        <v>0</v>
      </c>
      <c r="AW161" s="343"/>
      <c r="AX161" s="344"/>
      <c r="AY161" s="344"/>
      <c r="AZ161" s="435">
        <f t="shared" si="31"/>
        <v>0</v>
      </c>
      <c r="BA161" s="438">
        <f t="shared" si="37"/>
        <v>0</v>
      </c>
    </row>
    <row r="162" spans="1:53">
      <c r="A162" s="412"/>
      <c r="B162" s="413"/>
      <c r="C162" s="404"/>
      <c r="D162" s="264"/>
      <c r="E162" s="326"/>
      <c r="F162" s="327"/>
      <c r="G162" s="327"/>
      <c r="H162" s="371">
        <f t="shared" si="32"/>
        <v>341717</v>
      </c>
      <c r="I162" s="372">
        <f t="shared" si="33"/>
        <v>0</v>
      </c>
      <c r="J162" s="264"/>
      <c r="K162" s="414"/>
      <c r="L162" s="415"/>
      <c r="M162" s="428">
        <f t="shared" si="38"/>
        <v>975218</v>
      </c>
      <c r="N162" s="416"/>
      <c r="O162" s="430">
        <f t="shared" si="29"/>
        <v>0</v>
      </c>
      <c r="P162" s="328"/>
      <c r="R162" s="417"/>
      <c r="S162" s="418"/>
      <c r="T162" s="419"/>
      <c r="U162" s="419"/>
      <c r="V162" s="419"/>
      <c r="W162" s="419"/>
      <c r="X162" s="419"/>
      <c r="Y162" s="432">
        <f t="shared" si="34"/>
        <v>5000000</v>
      </c>
      <c r="Z162" s="420"/>
      <c r="AA162" s="336"/>
      <c r="AB162" s="337"/>
      <c r="AC162" s="338"/>
      <c r="AD162" s="383">
        <f t="shared" si="35"/>
        <v>528915</v>
      </c>
      <c r="AE162" s="339"/>
      <c r="AF162" s="384">
        <f t="shared" si="40"/>
        <v>0</v>
      </c>
      <c r="AG162" s="336"/>
      <c r="AH162" s="329"/>
      <c r="AI162" s="330"/>
      <c r="AJ162" s="375">
        <f t="shared" si="36"/>
        <v>376533</v>
      </c>
      <c r="AK162" s="331"/>
      <c r="AL162" s="377">
        <f t="shared" si="41"/>
        <v>0</v>
      </c>
      <c r="AM162" s="336"/>
      <c r="AN162" s="336"/>
      <c r="AO162" s="336"/>
      <c r="AP162" s="340"/>
      <c r="AQ162" s="341"/>
      <c r="AR162" s="341"/>
      <c r="AS162" s="386">
        <f t="shared" si="39"/>
        <v>208871</v>
      </c>
      <c r="AT162" s="342"/>
      <c r="AU162" s="389">
        <f t="shared" si="30"/>
        <v>0</v>
      </c>
      <c r="AW162" s="343"/>
      <c r="AX162" s="344"/>
      <c r="AY162" s="344"/>
      <c r="AZ162" s="435">
        <f t="shared" si="31"/>
        <v>0</v>
      </c>
      <c r="BA162" s="438">
        <f t="shared" si="37"/>
        <v>0</v>
      </c>
    </row>
    <row r="163" spans="1:53">
      <c r="A163" s="412"/>
      <c r="B163" s="413"/>
      <c r="C163" s="404"/>
      <c r="D163" s="264"/>
      <c r="E163" s="326"/>
      <c r="F163" s="327"/>
      <c r="G163" s="327"/>
      <c r="H163" s="371">
        <f t="shared" si="32"/>
        <v>341717</v>
      </c>
      <c r="I163" s="372">
        <f t="shared" si="33"/>
        <v>0</v>
      </c>
      <c r="J163" s="264"/>
      <c r="K163" s="414"/>
      <c r="L163" s="415"/>
      <c r="M163" s="428">
        <f t="shared" si="38"/>
        <v>975218</v>
      </c>
      <c r="N163" s="416"/>
      <c r="O163" s="430">
        <f t="shared" si="29"/>
        <v>0</v>
      </c>
      <c r="P163" s="328"/>
      <c r="R163" s="417"/>
      <c r="S163" s="418"/>
      <c r="T163" s="419"/>
      <c r="U163" s="419"/>
      <c r="V163" s="419"/>
      <c r="W163" s="419"/>
      <c r="X163" s="419"/>
      <c r="Y163" s="432">
        <f t="shared" si="34"/>
        <v>5000000</v>
      </c>
      <c r="Z163" s="420"/>
      <c r="AA163" s="336"/>
      <c r="AB163" s="337"/>
      <c r="AC163" s="338"/>
      <c r="AD163" s="383">
        <f t="shared" si="35"/>
        <v>528915</v>
      </c>
      <c r="AE163" s="339"/>
      <c r="AF163" s="384">
        <f t="shared" si="40"/>
        <v>0</v>
      </c>
      <c r="AG163" s="336"/>
      <c r="AH163" s="329"/>
      <c r="AI163" s="330"/>
      <c r="AJ163" s="375">
        <f t="shared" si="36"/>
        <v>376533</v>
      </c>
      <c r="AK163" s="331"/>
      <c r="AL163" s="377">
        <f t="shared" si="41"/>
        <v>0</v>
      </c>
      <c r="AM163" s="336"/>
      <c r="AN163" s="336"/>
      <c r="AO163" s="336"/>
      <c r="AP163" s="340"/>
      <c r="AQ163" s="341"/>
      <c r="AR163" s="341"/>
      <c r="AS163" s="386">
        <f t="shared" si="39"/>
        <v>208871</v>
      </c>
      <c r="AT163" s="342"/>
      <c r="AU163" s="389">
        <f t="shared" si="30"/>
        <v>0</v>
      </c>
      <c r="AW163" s="343"/>
      <c r="AX163" s="344"/>
      <c r="AY163" s="344"/>
      <c r="AZ163" s="435">
        <f t="shared" si="31"/>
        <v>0</v>
      </c>
      <c r="BA163" s="438">
        <f t="shared" si="37"/>
        <v>0</v>
      </c>
    </row>
    <row r="164" spans="1:53">
      <c r="A164" s="412"/>
      <c r="B164" s="413"/>
      <c r="C164" s="404"/>
      <c r="D164" s="264"/>
      <c r="E164" s="326"/>
      <c r="F164" s="327"/>
      <c r="G164" s="327"/>
      <c r="H164" s="371">
        <f t="shared" si="32"/>
        <v>341717</v>
      </c>
      <c r="I164" s="372">
        <f t="shared" si="33"/>
        <v>0</v>
      </c>
      <c r="J164" s="264"/>
      <c r="K164" s="414"/>
      <c r="L164" s="415"/>
      <c r="M164" s="428">
        <f t="shared" si="38"/>
        <v>975218</v>
      </c>
      <c r="N164" s="416"/>
      <c r="O164" s="430">
        <f t="shared" si="29"/>
        <v>0</v>
      </c>
      <c r="P164" s="328"/>
      <c r="R164" s="417"/>
      <c r="S164" s="418"/>
      <c r="T164" s="419"/>
      <c r="U164" s="419"/>
      <c r="V164" s="419"/>
      <c r="W164" s="419"/>
      <c r="X164" s="419"/>
      <c r="Y164" s="432">
        <f t="shared" si="34"/>
        <v>5000000</v>
      </c>
      <c r="Z164" s="420"/>
      <c r="AA164" s="336"/>
      <c r="AB164" s="337"/>
      <c r="AC164" s="338"/>
      <c r="AD164" s="383">
        <f t="shared" si="35"/>
        <v>528915</v>
      </c>
      <c r="AE164" s="339"/>
      <c r="AF164" s="384">
        <f t="shared" si="40"/>
        <v>0</v>
      </c>
      <c r="AG164" s="336"/>
      <c r="AH164" s="329"/>
      <c r="AI164" s="330"/>
      <c r="AJ164" s="375">
        <f t="shared" si="36"/>
        <v>376533</v>
      </c>
      <c r="AK164" s="331"/>
      <c r="AL164" s="377">
        <f t="shared" si="41"/>
        <v>0</v>
      </c>
      <c r="AM164" s="336"/>
      <c r="AN164" s="336"/>
      <c r="AO164" s="336"/>
      <c r="AP164" s="340"/>
      <c r="AQ164" s="341"/>
      <c r="AR164" s="341"/>
      <c r="AS164" s="386">
        <f t="shared" si="39"/>
        <v>208871</v>
      </c>
      <c r="AT164" s="342"/>
      <c r="AU164" s="389">
        <f t="shared" si="30"/>
        <v>0</v>
      </c>
      <c r="AW164" s="343"/>
      <c r="AX164" s="344"/>
      <c r="AY164" s="344"/>
      <c r="AZ164" s="435">
        <f t="shared" si="31"/>
        <v>0</v>
      </c>
      <c r="BA164" s="438">
        <f t="shared" si="37"/>
        <v>0</v>
      </c>
    </row>
    <row r="165" spans="1:53">
      <c r="A165" s="412"/>
      <c r="B165" s="413"/>
      <c r="C165" s="404"/>
      <c r="D165" s="264"/>
      <c r="E165" s="326"/>
      <c r="F165" s="327"/>
      <c r="G165" s="327"/>
      <c r="H165" s="371">
        <f t="shared" si="32"/>
        <v>341717</v>
      </c>
      <c r="I165" s="372">
        <f t="shared" si="33"/>
        <v>0</v>
      </c>
      <c r="J165" s="264"/>
      <c r="K165" s="414"/>
      <c r="L165" s="415"/>
      <c r="M165" s="428">
        <f t="shared" si="38"/>
        <v>975218</v>
      </c>
      <c r="N165" s="416"/>
      <c r="O165" s="430">
        <f t="shared" si="29"/>
        <v>0</v>
      </c>
      <c r="P165" s="328"/>
      <c r="R165" s="417"/>
      <c r="S165" s="418"/>
      <c r="T165" s="419"/>
      <c r="U165" s="419"/>
      <c r="V165" s="419"/>
      <c r="W165" s="419"/>
      <c r="X165" s="419"/>
      <c r="Y165" s="432">
        <f t="shared" si="34"/>
        <v>5000000</v>
      </c>
      <c r="Z165" s="420"/>
      <c r="AA165" s="336"/>
      <c r="AB165" s="337"/>
      <c r="AC165" s="338"/>
      <c r="AD165" s="383">
        <f t="shared" si="35"/>
        <v>528915</v>
      </c>
      <c r="AE165" s="339"/>
      <c r="AF165" s="384">
        <f t="shared" si="40"/>
        <v>0</v>
      </c>
      <c r="AG165" s="336"/>
      <c r="AH165" s="329"/>
      <c r="AI165" s="330"/>
      <c r="AJ165" s="375">
        <f t="shared" si="36"/>
        <v>376533</v>
      </c>
      <c r="AK165" s="331"/>
      <c r="AL165" s="377">
        <f t="shared" si="41"/>
        <v>0</v>
      </c>
      <c r="AM165" s="336"/>
      <c r="AN165" s="336"/>
      <c r="AO165" s="336"/>
      <c r="AP165" s="340"/>
      <c r="AQ165" s="341"/>
      <c r="AR165" s="341"/>
      <c r="AS165" s="386">
        <f t="shared" si="39"/>
        <v>208871</v>
      </c>
      <c r="AT165" s="342"/>
      <c r="AU165" s="389">
        <f t="shared" si="30"/>
        <v>0</v>
      </c>
      <c r="AW165" s="343"/>
      <c r="AX165" s="344"/>
      <c r="AY165" s="344"/>
      <c r="AZ165" s="435">
        <f t="shared" si="31"/>
        <v>0</v>
      </c>
      <c r="BA165" s="438">
        <f t="shared" si="37"/>
        <v>0</v>
      </c>
    </row>
    <row r="166" spans="1:53">
      <c r="A166" s="412"/>
      <c r="B166" s="413"/>
      <c r="C166" s="404"/>
      <c r="D166" s="264"/>
      <c r="E166" s="326"/>
      <c r="F166" s="327"/>
      <c r="G166" s="327"/>
      <c r="H166" s="371">
        <f t="shared" si="32"/>
        <v>341717</v>
      </c>
      <c r="I166" s="372">
        <f t="shared" si="33"/>
        <v>0</v>
      </c>
      <c r="J166" s="264"/>
      <c r="K166" s="414"/>
      <c r="L166" s="415"/>
      <c r="M166" s="428">
        <f t="shared" si="38"/>
        <v>975218</v>
      </c>
      <c r="N166" s="416"/>
      <c r="O166" s="430">
        <f t="shared" si="29"/>
        <v>0</v>
      </c>
      <c r="P166" s="328"/>
      <c r="R166" s="417"/>
      <c r="S166" s="418"/>
      <c r="T166" s="419"/>
      <c r="U166" s="419"/>
      <c r="V166" s="419"/>
      <c r="W166" s="419"/>
      <c r="X166" s="419"/>
      <c r="Y166" s="432">
        <f t="shared" si="34"/>
        <v>5000000</v>
      </c>
      <c r="Z166" s="420"/>
      <c r="AA166" s="336"/>
      <c r="AB166" s="337"/>
      <c r="AC166" s="338"/>
      <c r="AD166" s="383">
        <f t="shared" si="35"/>
        <v>528915</v>
      </c>
      <c r="AE166" s="339"/>
      <c r="AF166" s="384">
        <f t="shared" si="40"/>
        <v>0</v>
      </c>
      <c r="AG166" s="336"/>
      <c r="AH166" s="329"/>
      <c r="AI166" s="330"/>
      <c r="AJ166" s="375">
        <f t="shared" si="36"/>
        <v>376533</v>
      </c>
      <c r="AK166" s="331"/>
      <c r="AL166" s="377">
        <f t="shared" si="41"/>
        <v>0</v>
      </c>
      <c r="AM166" s="336"/>
      <c r="AN166" s="336"/>
      <c r="AO166" s="336"/>
      <c r="AP166" s="340"/>
      <c r="AQ166" s="341"/>
      <c r="AR166" s="341"/>
      <c r="AS166" s="386">
        <f t="shared" si="39"/>
        <v>208871</v>
      </c>
      <c r="AT166" s="342"/>
      <c r="AU166" s="389">
        <f t="shared" si="30"/>
        <v>0</v>
      </c>
      <c r="AW166" s="343"/>
      <c r="AX166" s="344"/>
      <c r="AY166" s="344"/>
      <c r="AZ166" s="435">
        <f t="shared" si="31"/>
        <v>0</v>
      </c>
      <c r="BA166" s="438">
        <f t="shared" si="37"/>
        <v>0</v>
      </c>
    </row>
    <row r="167" spans="1:53">
      <c r="A167" s="412"/>
      <c r="B167" s="413"/>
      <c r="C167" s="404"/>
      <c r="D167" s="264"/>
      <c r="E167" s="326"/>
      <c r="F167" s="327"/>
      <c r="G167" s="327"/>
      <c r="H167" s="371">
        <f t="shared" si="32"/>
        <v>341717</v>
      </c>
      <c r="I167" s="372">
        <f t="shared" si="33"/>
        <v>0</v>
      </c>
      <c r="J167" s="264"/>
      <c r="K167" s="414"/>
      <c r="L167" s="415"/>
      <c r="M167" s="428">
        <f t="shared" si="38"/>
        <v>975218</v>
      </c>
      <c r="N167" s="416"/>
      <c r="O167" s="430">
        <f t="shared" si="29"/>
        <v>0</v>
      </c>
      <c r="P167" s="328"/>
      <c r="R167" s="417"/>
      <c r="S167" s="418"/>
      <c r="T167" s="419"/>
      <c r="U167" s="419"/>
      <c r="V167" s="419"/>
      <c r="W167" s="419"/>
      <c r="X167" s="419"/>
      <c r="Y167" s="432">
        <f t="shared" si="34"/>
        <v>5000000</v>
      </c>
      <c r="Z167" s="420"/>
      <c r="AA167" s="336"/>
      <c r="AB167" s="337"/>
      <c r="AC167" s="338"/>
      <c r="AD167" s="383">
        <f t="shared" si="35"/>
        <v>528915</v>
      </c>
      <c r="AE167" s="339"/>
      <c r="AF167" s="384">
        <f t="shared" si="40"/>
        <v>0</v>
      </c>
      <c r="AG167" s="336"/>
      <c r="AH167" s="329"/>
      <c r="AI167" s="330"/>
      <c r="AJ167" s="375">
        <f t="shared" si="36"/>
        <v>376533</v>
      </c>
      <c r="AK167" s="331"/>
      <c r="AL167" s="377">
        <f t="shared" si="41"/>
        <v>0</v>
      </c>
      <c r="AM167" s="336"/>
      <c r="AN167" s="336"/>
      <c r="AO167" s="336"/>
      <c r="AP167" s="340"/>
      <c r="AQ167" s="341"/>
      <c r="AR167" s="341"/>
      <c r="AS167" s="386">
        <f t="shared" si="39"/>
        <v>208871</v>
      </c>
      <c r="AT167" s="342"/>
      <c r="AU167" s="389">
        <f t="shared" si="30"/>
        <v>0</v>
      </c>
      <c r="AW167" s="343"/>
      <c r="AX167" s="344"/>
      <c r="AY167" s="344"/>
      <c r="AZ167" s="435">
        <f t="shared" si="31"/>
        <v>0</v>
      </c>
      <c r="BA167" s="438">
        <f t="shared" si="37"/>
        <v>0</v>
      </c>
    </row>
    <row r="168" spans="1:53">
      <c r="A168" s="412"/>
      <c r="B168" s="413"/>
      <c r="C168" s="404"/>
      <c r="D168" s="264"/>
      <c r="E168" s="326"/>
      <c r="F168" s="327"/>
      <c r="G168" s="327"/>
      <c r="H168" s="371">
        <f t="shared" si="32"/>
        <v>341717</v>
      </c>
      <c r="I168" s="372">
        <f t="shared" si="33"/>
        <v>0</v>
      </c>
      <c r="J168" s="264"/>
      <c r="K168" s="414"/>
      <c r="L168" s="415"/>
      <c r="M168" s="428">
        <f t="shared" si="38"/>
        <v>975218</v>
      </c>
      <c r="N168" s="416"/>
      <c r="O168" s="430">
        <f t="shared" si="29"/>
        <v>0</v>
      </c>
      <c r="P168" s="328"/>
      <c r="R168" s="417"/>
      <c r="S168" s="418"/>
      <c r="T168" s="419"/>
      <c r="U168" s="419"/>
      <c r="V168" s="419"/>
      <c r="W168" s="419"/>
      <c r="X168" s="419"/>
      <c r="Y168" s="432">
        <f t="shared" si="34"/>
        <v>5000000</v>
      </c>
      <c r="Z168" s="420"/>
      <c r="AA168" s="336"/>
      <c r="AB168" s="337"/>
      <c r="AC168" s="338"/>
      <c r="AD168" s="383">
        <f t="shared" si="35"/>
        <v>528915</v>
      </c>
      <c r="AE168" s="339"/>
      <c r="AF168" s="384">
        <f t="shared" si="40"/>
        <v>0</v>
      </c>
      <c r="AG168" s="336"/>
      <c r="AH168" s="329"/>
      <c r="AI168" s="330"/>
      <c r="AJ168" s="375">
        <f t="shared" si="36"/>
        <v>376533</v>
      </c>
      <c r="AK168" s="331"/>
      <c r="AL168" s="377">
        <f t="shared" si="41"/>
        <v>0</v>
      </c>
      <c r="AM168" s="336"/>
      <c r="AN168" s="336"/>
      <c r="AO168" s="336"/>
      <c r="AP168" s="340"/>
      <c r="AQ168" s="341"/>
      <c r="AR168" s="341"/>
      <c r="AS168" s="386">
        <f t="shared" si="39"/>
        <v>208871</v>
      </c>
      <c r="AT168" s="342"/>
      <c r="AU168" s="389">
        <f t="shared" si="30"/>
        <v>0</v>
      </c>
      <c r="AW168" s="343"/>
      <c r="AX168" s="344"/>
      <c r="AY168" s="344"/>
      <c r="AZ168" s="435">
        <f t="shared" si="31"/>
        <v>0</v>
      </c>
      <c r="BA168" s="438">
        <f t="shared" si="37"/>
        <v>0</v>
      </c>
    </row>
    <row r="169" spans="1:53">
      <c r="A169" s="412"/>
      <c r="B169" s="413"/>
      <c r="C169" s="404"/>
      <c r="D169" s="264"/>
      <c r="E169" s="326"/>
      <c r="F169" s="327"/>
      <c r="G169" s="327"/>
      <c r="H169" s="371">
        <f t="shared" si="32"/>
        <v>341717</v>
      </c>
      <c r="I169" s="372">
        <f t="shared" si="33"/>
        <v>0</v>
      </c>
      <c r="J169" s="264"/>
      <c r="K169" s="414"/>
      <c r="L169" s="415"/>
      <c r="M169" s="428">
        <f t="shared" si="38"/>
        <v>975218</v>
      </c>
      <c r="N169" s="416"/>
      <c r="O169" s="430">
        <f t="shared" si="29"/>
        <v>0</v>
      </c>
      <c r="P169" s="328"/>
      <c r="R169" s="417"/>
      <c r="S169" s="418"/>
      <c r="T169" s="419"/>
      <c r="U169" s="419"/>
      <c r="V169" s="419"/>
      <c r="W169" s="419"/>
      <c r="X169" s="419"/>
      <c r="Y169" s="432">
        <f t="shared" si="34"/>
        <v>5000000</v>
      </c>
      <c r="Z169" s="420"/>
      <c r="AA169" s="336"/>
      <c r="AB169" s="337"/>
      <c r="AC169" s="338"/>
      <c r="AD169" s="383">
        <f t="shared" si="35"/>
        <v>528915</v>
      </c>
      <c r="AE169" s="339"/>
      <c r="AF169" s="384">
        <f t="shared" si="40"/>
        <v>0</v>
      </c>
      <c r="AG169" s="336"/>
      <c r="AH169" s="329"/>
      <c r="AI169" s="330"/>
      <c r="AJ169" s="375">
        <f t="shared" si="36"/>
        <v>376533</v>
      </c>
      <c r="AK169" s="331"/>
      <c r="AL169" s="377">
        <f t="shared" si="41"/>
        <v>0</v>
      </c>
      <c r="AM169" s="336"/>
      <c r="AN169" s="336"/>
      <c r="AO169" s="336"/>
      <c r="AP169" s="340"/>
      <c r="AQ169" s="341"/>
      <c r="AR169" s="341"/>
      <c r="AS169" s="386">
        <f t="shared" si="39"/>
        <v>208871</v>
      </c>
      <c r="AT169" s="342"/>
      <c r="AU169" s="389">
        <f t="shared" si="30"/>
        <v>0</v>
      </c>
      <c r="AW169" s="343"/>
      <c r="AX169" s="344"/>
      <c r="AY169" s="344"/>
      <c r="AZ169" s="435">
        <f t="shared" si="31"/>
        <v>0</v>
      </c>
      <c r="BA169" s="438">
        <f t="shared" si="37"/>
        <v>0</v>
      </c>
    </row>
    <row r="170" spans="1:53">
      <c r="A170" s="412"/>
      <c r="B170" s="413"/>
      <c r="C170" s="404"/>
      <c r="D170" s="264"/>
      <c r="E170" s="326"/>
      <c r="F170" s="327"/>
      <c r="G170" s="327"/>
      <c r="H170" s="371">
        <f t="shared" si="32"/>
        <v>341717</v>
      </c>
      <c r="I170" s="372">
        <f t="shared" si="33"/>
        <v>0</v>
      </c>
      <c r="J170" s="264"/>
      <c r="K170" s="414"/>
      <c r="L170" s="415"/>
      <c r="M170" s="428">
        <f t="shared" si="38"/>
        <v>975218</v>
      </c>
      <c r="N170" s="416"/>
      <c r="O170" s="430">
        <f t="shared" si="29"/>
        <v>0</v>
      </c>
      <c r="P170" s="328"/>
      <c r="R170" s="417"/>
      <c r="S170" s="418"/>
      <c r="T170" s="419"/>
      <c r="U170" s="419"/>
      <c r="V170" s="419"/>
      <c r="W170" s="419"/>
      <c r="X170" s="419"/>
      <c r="Y170" s="432">
        <f t="shared" si="34"/>
        <v>5000000</v>
      </c>
      <c r="Z170" s="420"/>
      <c r="AA170" s="336"/>
      <c r="AB170" s="337"/>
      <c r="AC170" s="338"/>
      <c r="AD170" s="383">
        <f t="shared" si="35"/>
        <v>528915</v>
      </c>
      <c r="AE170" s="339"/>
      <c r="AF170" s="384">
        <f t="shared" si="40"/>
        <v>0</v>
      </c>
      <c r="AG170" s="336"/>
      <c r="AH170" s="329"/>
      <c r="AI170" s="330"/>
      <c r="AJ170" s="375">
        <f t="shared" si="36"/>
        <v>376533</v>
      </c>
      <c r="AK170" s="331"/>
      <c r="AL170" s="377">
        <f t="shared" si="41"/>
        <v>0</v>
      </c>
      <c r="AM170" s="336"/>
      <c r="AN170" s="336"/>
      <c r="AO170" s="336"/>
      <c r="AP170" s="340"/>
      <c r="AQ170" s="341"/>
      <c r="AR170" s="341"/>
      <c r="AS170" s="386">
        <f t="shared" si="39"/>
        <v>208871</v>
      </c>
      <c r="AT170" s="342"/>
      <c r="AU170" s="389">
        <f t="shared" si="30"/>
        <v>0</v>
      </c>
      <c r="AW170" s="343"/>
      <c r="AX170" s="344"/>
      <c r="AY170" s="344"/>
      <c r="AZ170" s="435">
        <f t="shared" si="31"/>
        <v>0</v>
      </c>
      <c r="BA170" s="438">
        <f t="shared" si="37"/>
        <v>0</v>
      </c>
    </row>
    <row r="171" spans="1:53">
      <c r="A171" s="412"/>
      <c r="B171" s="413"/>
      <c r="C171" s="404"/>
      <c r="D171" s="264"/>
      <c r="E171" s="326"/>
      <c r="F171" s="327"/>
      <c r="G171" s="327"/>
      <c r="H171" s="371">
        <f t="shared" si="32"/>
        <v>341717</v>
      </c>
      <c r="I171" s="372">
        <f t="shared" si="33"/>
        <v>0</v>
      </c>
      <c r="J171" s="264"/>
      <c r="K171" s="414"/>
      <c r="L171" s="415"/>
      <c r="M171" s="428">
        <f t="shared" si="38"/>
        <v>975218</v>
      </c>
      <c r="N171" s="416"/>
      <c r="O171" s="430">
        <f t="shared" si="29"/>
        <v>0</v>
      </c>
      <c r="P171" s="328"/>
      <c r="R171" s="417"/>
      <c r="S171" s="418"/>
      <c r="T171" s="419"/>
      <c r="U171" s="419"/>
      <c r="V171" s="419"/>
      <c r="W171" s="419"/>
      <c r="X171" s="419"/>
      <c r="Y171" s="432">
        <f t="shared" si="34"/>
        <v>5000000</v>
      </c>
      <c r="Z171" s="420"/>
      <c r="AA171" s="336"/>
      <c r="AB171" s="337"/>
      <c r="AC171" s="338"/>
      <c r="AD171" s="383">
        <f t="shared" si="35"/>
        <v>528915</v>
      </c>
      <c r="AE171" s="339"/>
      <c r="AF171" s="384">
        <f t="shared" si="40"/>
        <v>0</v>
      </c>
      <c r="AG171" s="336"/>
      <c r="AH171" s="329"/>
      <c r="AI171" s="330"/>
      <c r="AJ171" s="375">
        <f t="shared" si="36"/>
        <v>376533</v>
      </c>
      <c r="AK171" s="331"/>
      <c r="AL171" s="377">
        <f t="shared" si="41"/>
        <v>0</v>
      </c>
      <c r="AM171" s="336"/>
      <c r="AN171" s="336"/>
      <c r="AO171" s="336"/>
      <c r="AP171" s="340"/>
      <c r="AQ171" s="341"/>
      <c r="AR171" s="341"/>
      <c r="AS171" s="386">
        <f t="shared" si="39"/>
        <v>208871</v>
      </c>
      <c r="AT171" s="342"/>
      <c r="AU171" s="389">
        <f t="shared" si="30"/>
        <v>0</v>
      </c>
      <c r="AW171" s="343"/>
      <c r="AX171" s="344"/>
      <c r="AY171" s="344"/>
      <c r="AZ171" s="435">
        <f t="shared" si="31"/>
        <v>0</v>
      </c>
      <c r="BA171" s="438">
        <f t="shared" si="37"/>
        <v>0</v>
      </c>
    </row>
    <row r="172" spans="1:53">
      <c r="A172" s="412"/>
      <c r="B172" s="413"/>
      <c r="C172" s="404"/>
      <c r="D172" s="264"/>
      <c r="E172" s="326"/>
      <c r="F172" s="327"/>
      <c r="G172" s="327"/>
      <c r="H172" s="371">
        <f t="shared" si="32"/>
        <v>341717</v>
      </c>
      <c r="I172" s="372">
        <f t="shared" si="33"/>
        <v>0</v>
      </c>
      <c r="J172" s="264"/>
      <c r="K172" s="414"/>
      <c r="L172" s="415"/>
      <c r="M172" s="428">
        <f t="shared" si="38"/>
        <v>975218</v>
      </c>
      <c r="N172" s="416"/>
      <c r="O172" s="430">
        <f t="shared" si="29"/>
        <v>0</v>
      </c>
      <c r="P172" s="328"/>
      <c r="R172" s="417"/>
      <c r="S172" s="418"/>
      <c r="T172" s="419"/>
      <c r="U172" s="419"/>
      <c r="V172" s="419"/>
      <c r="W172" s="419"/>
      <c r="X172" s="419"/>
      <c r="Y172" s="432">
        <f t="shared" si="34"/>
        <v>5000000</v>
      </c>
      <c r="Z172" s="420"/>
      <c r="AA172" s="336"/>
      <c r="AB172" s="337"/>
      <c r="AC172" s="338"/>
      <c r="AD172" s="383">
        <f t="shared" si="35"/>
        <v>528915</v>
      </c>
      <c r="AE172" s="339"/>
      <c r="AF172" s="384">
        <f t="shared" si="40"/>
        <v>0</v>
      </c>
      <c r="AG172" s="336"/>
      <c r="AH172" s="329"/>
      <c r="AI172" s="330"/>
      <c r="AJ172" s="375">
        <f t="shared" si="36"/>
        <v>376533</v>
      </c>
      <c r="AK172" s="331"/>
      <c r="AL172" s="377">
        <f t="shared" si="41"/>
        <v>0</v>
      </c>
      <c r="AM172" s="336"/>
      <c r="AN172" s="336"/>
      <c r="AO172" s="336"/>
      <c r="AP172" s="340"/>
      <c r="AQ172" s="341"/>
      <c r="AR172" s="341"/>
      <c r="AS172" s="386">
        <f t="shared" si="39"/>
        <v>208871</v>
      </c>
      <c r="AT172" s="342"/>
      <c r="AU172" s="389">
        <f t="shared" si="30"/>
        <v>0</v>
      </c>
      <c r="AW172" s="343"/>
      <c r="AX172" s="344"/>
      <c r="AY172" s="344"/>
      <c r="AZ172" s="435">
        <f t="shared" si="31"/>
        <v>0</v>
      </c>
      <c r="BA172" s="438">
        <f t="shared" si="37"/>
        <v>0</v>
      </c>
    </row>
    <row r="173" spans="1:53">
      <c r="A173" s="412"/>
      <c r="B173" s="413"/>
      <c r="C173" s="404"/>
      <c r="D173" s="264"/>
      <c r="E173" s="326"/>
      <c r="F173" s="327"/>
      <c r="G173" s="327"/>
      <c r="H173" s="371">
        <f t="shared" si="32"/>
        <v>341717</v>
      </c>
      <c r="I173" s="372">
        <f t="shared" si="33"/>
        <v>0</v>
      </c>
      <c r="J173" s="264"/>
      <c r="K173" s="414"/>
      <c r="L173" s="415"/>
      <c r="M173" s="428">
        <f t="shared" si="38"/>
        <v>975218</v>
      </c>
      <c r="N173" s="416"/>
      <c r="O173" s="430">
        <f t="shared" si="29"/>
        <v>0</v>
      </c>
      <c r="P173" s="328"/>
      <c r="R173" s="417"/>
      <c r="S173" s="418"/>
      <c r="T173" s="419"/>
      <c r="U173" s="419"/>
      <c r="V173" s="419"/>
      <c r="W173" s="419"/>
      <c r="X173" s="419"/>
      <c r="Y173" s="432">
        <f t="shared" si="34"/>
        <v>5000000</v>
      </c>
      <c r="Z173" s="420"/>
      <c r="AA173" s="336"/>
      <c r="AB173" s="337"/>
      <c r="AC173" s="338"/>
      <c r="AD173" s="383">
        <f t="shared" si="35"/>
        <v>528915</v>
      </c>
      <c r="AE173" s="339"/>
      <c r="AF173" s="384">
        <f t="shared" si="40"/>
        <v>0</v>
      </c>
      <c r="AG173" s="336"/>
      <c r="AH173" s="329"/>
      <c r="AI173" s="330"/>
      <c r="AJ173" s="375">
        <f t="shared" si="36"/>
        <v>376533</v>
      </c>
      <c r="AK173" s="331"/>
      <c r="AL173" s="377">
        <f t="shared" si="41"/>
        <v>0</v>
      </c>
      <c r="AM173" s="336"/>
      <c r="AN173" s="336"/>
      <c r="AO173" s="336"/>
      <c r="AP173" s="340"/>
      <c r="AQ173" s="341"/>
      <c r="AR173" s="341"/>
      <c r="AS173" s="386">
        <f t="shared" si="39"/>
        <v>208871</v>
      </c>
      <c r="AT173" s="342"/>
      <c r="AU173" s="389">
        <f t="shared" si="30"/>
        <v>0</v>
      </c>
      <c r="AW173" s="343"/>
      <c r="AX173" s="344"/>
      <c r="AY173" s="344"/>
      <c r="AZ173" s="435">
        <f t="shared" si="31"/>
        <v>0</v>
      </c>
      <c r="BA173" s="438">
        <f t="shared" si="37"/>
        <v>0</v>
      </c>
    </row>
    <row r="174" spans="1:53">
      <c r="A174" s="412"/>
      <c r="B174" s="413"/>
      <c r="C174" s="404"/>
      <c r="D174" s="264"/>
      <c r="E174" s="326"/>
      <c r="F174" s="327"/>
      <c r="G174" s="327"/>
      <c r="H174" s="371">
        <f t="shared" si="32"/>
        <v>341717</v>
      </c>
      <c r="I174" s="372">
        <f t="shared" si="33"/>
        <v>0</v>
      </c>
      <c r="J174" s="264"/>
      <c r="K174" s="414"/>
      <c r="L174" s="415"/>
      <c r="M174" s="428">
        <f t="shared" si="38"/>
        <v>975218</v>
      </c>
      <c r="N174" s="416"/>
      <c r="O174" s="430">
        <f t="shared" si="29"/>
        <v>0</v>
      </c>
      <c r="P174" s="328"/>
      <c r="R174" s="417"/>
      <c r="S174" s="418"/>
      <c r="T174" s="419"/>
      <c r="U174" s="419"/>
      <c r="V174" s="419"/>
      <c r="W174" s="419"/>
      <c r="X174" s="419"/>
      <c r="Y174" s="432">
        <f t="shared" si="34"/>
        <v>5000000</v>
      </c>
      <c r="Z174" s="420"/>
      <c r="AA174" s="336"/>
      <c r="AB174" s="337"/>
      <c r="AC174" s="338"/>
      <c r="AD174" s="383">
        <f t="shared" si="35"/>
        <v>528915</v>
      </c>
      <c r="AE174" s="339"/>
      <c r="AF174" s="384">
        <f t="shared" si="40"/>
        <v>0</v>
      </c>
      <c r="AG174" s="336"/>
      <c r="AH174" s="329"/>
      <c r="AI174" s="330"/>
      <c r="AJ174" s="375">
        <f t="shared" si="36"/>
        <v>376533</v>
      </c>
      <c r="AK174" s="331"/>
      <c r="AL174" s="377">
        <f t="shared" si="41"/>
        <v>0</v>
      </c>
      <c r="AM174" s="336"/>
      <c r="AN174" s="336"/>
      <c r="AO174" s="336"/>
      <c r="AP174" s="340"/>
      <c r="AQ174" s="341"/>
      <c r="AR174" s="341"/>
      <c r="AS174" s="386">
        <f t="shared" si="39"/>
        <v>208871</v>
      </c>
      <c r="AT174" s="342"/>
      <c r="AU174" s="389">
        <f t="shared" si="30"/>
        <v>0</v>
      </c>
      <c r="AW174" s="343"/>
      <c r="AX174" s="344"/>
      <c r="AY174" s="344"/>
      <c r="AZ174" s="435">
        <f t="shared" si="31"/>
        <v>0</v>
      </c>
      <c r="BA174" s="438">
        <f t="shared" si="37"/>
        <v>0</v>
      </c>
    </row>
    <row r="175" spans="1:53">
      <c r="A175" s="412"/>
      <c r="B175" s="413"/>
      <c r="C175" s="404"/>
      <c r="D175" s="264"/>
      <c r="E175" s="326"/>
      <c r="F175" s="327"/>
      <c r="G175" s="327"/>
      <c r="H175" s="371">
        <f t="shared" si="32"/>
        <v>341717</v>
      </c>
      <c r="I175" s="372">
        <f t="shared" si="33"/>
        <v>0</v>
      </c>
      <c r="J175" s="264"/>
      <c r="K175" s="414"/>
      <c r="L175" s="415"/>
      <c r="M175" s="428">
        <f t="shared" si="38"/>
        <v>975218</v>
      </c>
      <c r="N175" s="416"/>
      <c r="O175" s="430">
        <f t="shared" si="29"/>
        <v>0</v>
      </c>
      <c r="P175" s="328"/>
      <c r="R175" s="417"/>
      <c r="S175" s="418"/>
      <c r="T175" s="419"/>
      <c r="U175" s="419"/>
      <c r="V175" s="419"/>
      <c r="W175" s="419"/>
      <c r="X175" s="419"/>
      <c r="Y175" s="432">
        <f t="shared" si="34"/>
        <v>5000000</v>
      </c>
      <c r="Z175" s="420"/>
      <c r="AA175" s="336"/>
      <c r="AB175" s="337"/>
      <c r="AC175" s="338"/>
      <c r="AD175" s="383">
        <f t="shared" si="35"/>
        <v>528915</v>
      </c>
      <c r="AE175" s="339"/>
      <c r="AF175" s="384">
        <f t="shared" si="40"/>
        <v>0</v>
      </c>
      <c r="AG175" s="336"/>
      <c r="AH175" s="329"/>
      <c r="AI175" s="330"/>
      <c r="AJ175" s="375">
        <f t="shared" si="36"/>
        <v>376533</v>
      </c>
      <c r="AK175" s="331"/>
      <c r="AL175" s="377">
        <f t="shared" si="41"/>
        <v>0</v>
      </c>
      <c r="AM175" s="336"/>
      <c r="AN175" s="336"/>
      <c r="AO175" s="336"/>
      <c r="AP175" s="340"/>
      <c r="AQ175" s="341"/>
      <c r="AR175" s="341"/>
      <c r="AS175" s="386">
        <f t="shared" si="39"/>
        <v>208871</v>
      </c>
      <c r="AT175" s="342"/>
      <c r="AU175" s="389">
        <f t="shared" si="30"/>
        <v>0</v>
      </c>
      <c r="AW175" s="343"/>
      <c r="AX175" s="344"/>
      <c r="AY175" s="344"/>
      <c r="AZ175" s="435">
        <f t="shared" si="31"/>
        <v>0</v>
      </c>
      <c r="BA175" s="438">
        <f t="shared" si="37"/>
        <v>0</v>
      </c>
    </row>
    <row r="176" spans="1:53">
      <c r="A176" s="412"/>
      <c r="B176" s="413"/>
      <c r="C176" s="404"/>
      <c r="D176" s="264"/>
      <c r="E176" s="326"/>
      <c r="F176" s="327"/>
      <c r="G176" s="327"/>
      <c r="H176" s="371">
        <f t="shared" si="32"/>
        <v>341717</v>
      </c>
      <c r="I176" s="372">
        <f t="shared" si="33"/>
        <v>0</v>
      </c>
      <c r="J176" s="264"/>
      <c r="K176" s="414"/>
      <c r="L176" s="415"/>
      <c r="M176" s="428">
        <f t="shared" si="38"/>
        <v>975218</v>
      </c>
      <c r="N176" s="416"/>
      <c r="O176" s="430">
        <f t="shared" si="29"/>
        <v>0</v>
      </c>
      <c r="P176" s="328"/>
      <c r="R176" s="417"/>
      <c r="S176" s="418"/>
      <c r="T176" s="419"/>
      <c r="U176" s="419"/>
      <c r="V176" s="419"/>
      <c r="W176" s="419"/>
      <c r="X176" s="419"/>
      <c r="Y176" s="432">
        <f t="shared" si="34"/>
        <v>5000000</v>
      </c>
      <c r="Z176" s="420"/>
      <c r="AA176" s="336"/>
      <c r="AB176" s="337"/>
      <c r="AC176" s="338"/>
      <c r="AD176" s="383">
        <f t="shared" si="35"/>
        <v>528915</v>
      </c>
      <c r="AE176" s="339"/>
      <c r="AF176" s="384">
        <f t="shared" si="40"/>
        <v>0</v>
      </c>
      <c r="AG176" s="336"/>
      <c r="AH176" s="329"/>
      <c r="AI176" s="330"/>
      <c r="AJ176" s="375">
        <f t="shared" si="36"/>
        <v>376533</v>
      </c>
      <c r="AK176" s="331"/>
      <c r="AL176" s="377">
        <f t="shared" si="41"/>
        <v>0</v>
      </c>
      <c r="AM176" s="336"/>
      <c r="AN176" s="336"/>
      <c r="AO176" s="336"/>
      <c r="AP176" s="340"/>
      <c r="AQ176" s="341"/>
      <c r="AR176" s="341"/>
      <c r="AS176" s="386">
        <f t="shared" si="39"/>
        <v>208871</v>
      </c>
      <c r="AT176" s="342"/>
      <c r="AU176" s="389">
        <f t="shared" si="30"/>
        <v>0</v>
      </c>
      <c r="AW176" s="343"/>
      <c r="AX176" s="344"/>
      <c r="AY176" s="344"/>
      <c r="AZ176" s="435">
        <f t="shared" si="31"/>
        <v>0</v>
      </c>
      <c r="BA176" s="438">
        <f t="shared" si="37"/>
        <v>0</v>
      </c>
    </row>
    <row r="177" spans="1:53">
      <c r="A177" s="412"/>
      <c r="B177" s="413"/>
      <c r="C177" s="404"/>
      <c r="D177" s="264"/>
      <c r="E177" s="326"/>
      <c r="F177" s="327"/>
      <c r="G177" s="327"/>
      <c r="H177" s="371">
        <f t="shared" si="32"/>
        <v>341717</v>
      </c>
      <c r="I177" s="372">
        <f t="shared" si="33"/>
        <v>0</v>
      </c>
      <c r="J177" s="264"/>
      <c r="K177" s="414"/>
      <c r="L177" s="415"/>
      <c r="M177" s="428">
        <f t="shared" si="38"/>
        <v>975218</v>
      </c>
      <c r="N177" s="416"/>
      <c r="O177" s="430">
        <f t="shared" si="29"/>
        <v>0</v>
      </c>
      <c r="P177" s="328"/>
      <c r="R177" s="417"/>
      <c r="S177" s="418"/>
      <c r="T177" s="419"/>
      <c r="U177" s="419"/>
      <c r="V177" s="419"/>
      <c r="W177" s="419"/>
      <c r="X177" s="419"/>
      <c r="Y177" s="432">
        <f t="shared" si="34"/>
        <v>5000000</v>
      </c>
      <c r="Z177" s="420"/>
      <c r="AA177" s="336"/>
      <c r="AB177" s="337"/>
      <c r="AC177" s="338"/>
      <c r="AD177" s="383">
        <f t="shared" si="35"/>
        <v>528915</v>
      </c>
      <c r="AE177" s="339"/>
      <c r="AF177" s="384">
        <f t="shared" si="40"/>
        <v>0</v>
      </c>
      <c r="AG177" s="336"/>
      <c r="AH177" s="329"/>
      <c r="AI177" s="330"/>
      <c r="AJ177" s="375">
        <f t="shared" si="36"/>
        <v>376533</v>
      </c>
      <c r="AK177" s="331"/>
      <c r="AL177" s="377">
        <f t="shared" si="41"/>
        <v>0</v>
      </c>
      <c r="AM177" s="336"/>
      <c r="AN177" s="336"/>
      <c r="AO177" s="336"/>
      <c r="AP177" s="340"/>
      <c r="AQ177" s="341"/>
      <c r="AR177" s="341"/>
      <c r="AS177" s="386">
        <f t="shared" si="39"/>
        <v>208871</v>
      </c>
      <c r="AT177" s="342"/>
      <c r="AU177" s="389">
        <f t="shared" si="30"/>
        <v>0</v>
      </c>
      <c r="AW177" s="343"/>
      <c r="AX177" s="344"/>
      <c r="AY177" s="344"/>
      <c r="AZ177" s="435">
        <f t="shared" si="31"/>
        <v>0</v>
      </c>
      <c r="BA177" s="438">
        <f t="shared" si="37"/>
        <v>0</v>
      </c>
    </row>
    <row r="178" spans="1:53">
      <c r="A178" s="412"/>
      <c r="B178" s="413"/>
      <c r="C178" s="404"/>
      <c r="D178" s="264"/>
      <c r="E178" s="326"/>
      <c r="F178" s="327"/>
      <c r="G178" s="327"/>
      <c r="H178" s="371">
        <f t="shared" si="32"/>
        <v>341717</v>
      </c>
      <c r="I178" s="372">
        <f t="shared" si="33"/>
        <v>0</v>
      </c>
      <c r="J178" s="264"/>
      <c r="K178" s="414"/>
      <c r="L178" s="415"/>
      <c r="M178" s="428">
        <f t="shared" si="38"/>
        <v>975218</v>
      </c>
      <c r="N178" s="416"/>
      <c r="O178" s="430">
        <f t="shared" si="29"/>
        <v>0</v>
      </c>
      <c r="P178" s="328"/>
      <c r="R178" s="417"/>
      <c r="S178" s="418"/>
      <c r="T178" s="419"/>
      <c r="U178" s="419"/>
      <c r="V178" s="419"/>
      <c r="W178" s="419"/>
      <c r="X178" s="419"/>
      <c r="Y178" s="432">
        <f t="shared" si="34"/>
        <v>5000000</v>
      </c>
      <c r="Z178" s="420"/>
      <c r="AA178" s="336"/>
      <c r="AB178" s="337"/>
      <c r="AC178" s="338"/>
      <c r="AD178" s="383">
        <f t="shared" si="35"/>
        <v>528915</v>
      </c>
      <c r="AE178" s="339"/>
      <c r="AF178" s="384">
        <f t="shared" si="40"/>
        <v>0</v>
      </c>
      <c r="AG178" s="336"/>
      <c r="AH178" s="329"/>
      <c r="AI178" s="330"/>
      <c r="AJ178" s="375">
        <f t="shared" si="36"/>
        <v>376533</v>
      </c>
      <c r="AK178" s="331"/>
      <c r="AL178" s="377">
        <f t="shared" si="41"/>
        <v>0</v>
      </c>
      <c r="AM178" s="336"/>
      <c r="AN178" s="336"/>
      <c r="AO178" s="336"/>
      <c r="AP178" s="340"/>
      <c r="AQ178" s="341"/>
      <c r="AR178" s="341"/>
      <c r="AS178" s="386">
        <f t="shared" si="39"/>
        <v>208871</v>
      </c>
      <c r="AT178" s="342"/>
      <c r="AU178" s="389">
        <f t="shared" si="30"/>
        <v>0</v>
      </c>
      <c r="AW178" s="343"/>
      <c r="AX178" s="344"/>
      <c r="AY178" s="344"/>
      <c r="AZ178" s="435">
        <f t="shared" si="31"/>
        <v>0</v>
      </c>
      <c r="BA178" s="438">
        <f t="shared" si="37"/>
        <v>0</v>
      </c>
    </row>
    <row r="179" spans="1:53">
      <c r="A179" s="412"/>
      <c r="B179" s="413"/>
      <c r="C179" s="404"/>
      <c r="D179" s="264"/>
      <c r="E179" s="326"/>
      <c r="F179" s="327"/>
      <c r="G179" s="327"/>
      <c r="H179" s="371">
        <f t="shared" si="32"/>
        <v>341717</v>
      </c>
      <c r="I179" s="372">
        <f t="shared" si="33"/>
        <v>0</v>
      </c>
      <c r="J179" s="264"/>
      <c r="K179" s="414"/>
      <c r="L179" s="415"/>
      <c r="M179" s="428">
        <f t="shared" si="38"/>
        <v>975218</v>
      </c>
      <c r="N179" s="416"/>
      <c r="O179" s="430">
        <f t="shared" si="29"/>
        <v>0</v>
      </c>
      <c r="P179" s="328"/>
      <c r="R179" s="417"/>
      <c r="S179" s="418"/>
      <c r="T179" s="419"/>
      <c r="U179" s="419"/>
      <c r="V179" s="419"/>
      <c r="W179" s="419"/>
      <c r="X179" s="419"/>
      <c r="Y179" s="432">
        <f t="shared" si="34"/>
        <v>5000000</v>
      </c>
      <c r="Z179" s="420"/>
      <c r="AA179" s="336"/>
      <c r="AB179" s="337"/>
      <c r="AC179" s="338"/>
      <c r="AD179" s="383">
        <f t="shared" si="35"/>
        <v>528915</v>
      </c>
      <c r="AE179" s="339"/>
      <c r="AF179" s="384">
        <f t="shared" si="40"/>
        <v>0</v>
      </c>
      <c r="AG179" s="336"/>
      <c r="AH179" s="329"/>
      <c r="AI179" s="330"/>
      <c r="AJ179" s="375">
        <f t="shared" si="36"/>
        <v>376533</v>
      </c>
      <c r="AK179" s="331"/>
      <c r="AL179" s="377">
        <f t="shared" si="41"/>
        <v>0</v>
      </c>
      <c r="AM179" s="336"/>
      <c r="AN179" s="336"/>
      <c r="AO179" s="336"/>
      <c r="AP179" s="340"/>
      <c r="AQ179" s="341"/>
      <c r="AR179" s="341"/>
      <c r="AS179" s="386">
        <f t="shared" si="39"/>
        <v>208871</v>
      </c>
      <c r="AT179" s="342"/>
      <c r="AU179" s="389">
        <f t="shared" si="30"/>
        <v>0</v>
      </c>
      <c r="AW179" s="343"/>
      <c r="AX179" s="344"/>
      <c r="AY179" s="344"/>
      <c r="AZ179" s="435">
        <f t="shared" si="31"/>
        <v>0</v>
      </c>
      <c r="BA179" s="438">
        <f t="shared" si="37"/>
        <v>0</v>
      </c>
    </row>
    <row r="180" spans="1:53">
      <c r="A180" s="412"/>
      <c r="B180" s="413"/>
      <c r="C180" s="404"/>
      <c r="D180" s="264"/>
      <c r="E180" s="326"/>
      <c r="F180" s="327"/>
      <c r="G180" s="327"/>
      <c r="H180" s="371">
        <f t="shared" si="32"/>
        <v>341717</v>
      </c>
      <c r="I180" s="372">
        <f t="shared" si="33"/>
        <v>0</v>
      </c>
      <c r="J180" s="264"/>
      <c r="K180" s="414"/>
      <c r="L180" s="415"/>
      <c r="M180" s="428">
        <f t="shared" si="38"/>
        <v>975218</v>
      </c>
      <c r="N180" s="416"/>
      <c r="O180" s="430">
        <f t="shared" si="29"/>
        <v>0</v>
      </c>
      <c r="P180" s="328"/>
      <c r="R180" s="417"/>
      <c r="S180" s="418"/>
      <c r="T180" s="419"/>
      <c r="U180" s="419"/>
      <c r="V180" s="419"/>
      <c r="W180" s="419"/>
      <c r="X180" s="419"/>
      <c r="Y180" s="432">
        <f t="shared" si="34"/>
        <v>5000000</v>
      </c>
      <c r="Z180" s="420"/>
      <c r="AA180" s="336"/>
      <c r="AB180" s="337"/>
      <c r="AC180" s="338"/>
      <c r="AD180" s="383">
        <f t="shared" si="35"/>
        <v>528915</v>
      </c>
      <c r="AE180" s="339"/>
      <c r="AF180" s="384">
        <f t="shared" si="40"/>
        <v>0</v>
      </c>
      <c r="AG180" s="336"/>
      <c r="AH180" s="329"/>
      <c r="AI180" s="330"/>
      <c r="AJ180" s="375">
        <f t="shared" si="36"/>
        <v>376533</v>
      </c>
      <c r="AK180" s="331"/>
      <c r="AL180" s="377">
        <f t="shared" si="41"/>
        <v>0</v>
      </c>
      <c r="AM180" s="336"/>
      <c r="AN180" s="336"/>
      <c r="AO180" s="336"/>
      <c r="AP180" s="340"/>
      <c r="AQ180" s="341"/>
      <c r="AR180" s="341"/>
      <c r="AS180" s="386">
        <f t="shared" si="39"/>
        <v>208871</v>
      </c>
      <c r="AT180" s="342"/>
      <c r="AU180" s="389">
        <f t="shared" si="30"/>
        <v>0</v>
      </c>
      <c r="AW180" s="343"/>
      <c r="AX180" s="344"/>
      <c r="AY180" s="344"/>
      <c r="AZ180" s="435">
        <f t="shared" si="31"/>
        <v>0</v>
      </c>
      <c r="BA180" s="438">
        <f t="shared" si="37"/>
        <v>0</v>
      </c>
    </row>
    <row r="181" spans="1:53">
      <c r="A181" s="412"/>
      <c r="B181" s="413"/>
      <c r="C181" s="404"/>
      <c r="D181" s="264"/>
      <c r="E181" s="326"/>
      <c r="F181" s="327"/>
      <c r="G181" s="327"/>
      <c r="H181" s="371">
        <f t="shared" si="32"/>
        <v>341717</v>
      </c>
      <c r="I181" s="372">
        <f t="shared" si="33"/>
        <v>0</v>
      </c>
      <c r="J181" s="264"/>
      <c r="K181" s="414"/>
      <c r="L181" s="415"/>
      <c r="M181" s="428">
        <f t="shared" si="38"/>
        <v>975218</v>
      </c>
      <c r="N181" s="416"/>
      <c r="O181" s="430">
        <f t="shared" si="29"/>
        <v>0</v>
      </c>
      <c r="P181" s="328"/>
      <c r="R181" s="417"/>
      <c r="S181" s="418"/>
      <c r="T181" s="419"/>
      <c r="U181" s="419"/>
      <c r="V181" s="419"/>
      <c r="W181" s="419"/>
      <c r="X181" s="419"/>
      <c r="Y181" s="432">
        <f t="shared" si="34"/>
        <v>5000000</v>
      </c>
      <c r="Z181" s="420"/>
      <c r="AA181" s="336"/>
      <c r="AB181" s="337"/>
      <c r="AC181" s="338"/>
      <c r="AD181" s="383">
        <f t="shared" si="35"/>
        <v>528915</v>
      </c>
      <c r="AE181" s="339"/>
      <c r="AF181" s="384">
        <f t="shared" si="40"/>
        <v>0</v>
      </c>
      <c r="AG181" s="336"/>
      <c r="AH181" s="329"/>
      <c r="AI181" s="330"/>
      <c r="AJ181" s="375">
        <f t="shared" si="36"/>
        <v>376533</v>
      </c>
      <c r="AK181" s="331"/>
      <c r="AL181" s="377">
        <f t="shared" si="41"/>
        <v>0</v>
      </c>
      <c r="AM181" s="336"/>
      <c r="AN181" s="336"/>
      <c r="AO181" s="336"/>
      <c r="AP181" s="340"/>
      <c r="AQ181" s="341"/>
      <c r="AR181" s="341"/>
      <c r="AS181" s="386">
        <f t="shared" si="39"/>
        <v>208871</v>
      </c>
      <c r="AT181" s="342"/>
      <c r="AU181" s="389">
        <f t="shared" si="30"/>
        <v>0</v>
      </c>
      <c r="AW181" s="343"/>
      <c r="AX181" s="344"/>
      <c r="AY181" s="344"/>
      <c r="AZ181" s="435">
        <f t="shared" si="31"/>
        <v>0</v>
      </c>
      <c r="BA181" s="438">
        <f t="shared" si="37"/>
        <v>0</v>
      </c>
    </row>
    <row r="182" spans="1:53">
      <c r="A182" s="412"/>
      <c r="B182" s="413"/>
      <c r="C182" s="404"/>
      <c r="D182" s="264"/>
      <c r="E182" s="326"/>
      <c r="F182" s="327"/>
      <c r="G182" s="327"/>
      <c r="H182" s="371">
        <f t="shared" si="32"/>
        <v>341717</v>
      </c>
      <c r="I182" s="372">
        <f t="shared" si="33"/>
        <v>0</v>
      </c>
      <c r="J182" s="264"/>
      <c r="K182" s="414"/>
      <c r="L182" s="415"/>
      <c r="M182" s="428">
        <f t="shared" si="38"/>
        <v>975218</v>
      </c>
      <c r="N182" s="416"/>
      <c r="O182" s="430">
        <f t="shared" si="29"/>
        <v>0</v>
      </c>
      <c r="P182" s="328"/>
      <c r="R182" s="417"/>
      <c r="S182" s="418"/>
      <c r="T182" s="419"/>
      <c r="U182" s="419"/>
      <c r="V182" s="419"/>
      <c r="W182" s="419"/>
      <c r="X182" s="419"/>
      <c r="Y182" s="432">
        <f t="shared" si="34"/>
        <v>5000000</v>
      </c>
      <c r="Z182" s="420"/>
      <c r="AA182" s="336"/>
      <c r="AB182" s="337"/>
      <c r="AC182" s="338"/>
      <c r="AD182" s="383">
        <f t="shared" si="35"/>
        <v>528915</v>
      </c>
      <c r="AE182" s="339"/>
      <c r="AF182" s="384">
        <f t="shared" si="40"/>
        <v>0</v>
      </c>
      <c r="AG182" s="336"/>
      <c r="AH182" s="329"/>
      <c r="AI182" s="330"/>
      <c r="AJ182" s="375">
        <f t="shared" si="36"/>
        <v>376533</v>
      </c>
      <c r="AK182" s="331"/>
      <c r="AL182" s="377">
        <f t="shared" si="41"/>
        <v>0</v>
      </c>
      <c r="AM182" s="336"/>
      <c r="AN182" s="336"/>
      <c r="AO182" s="336"/>
      <c r="AP182" s="340"/>
      <c r="AQ182" s="341"/>
      <c r="AR182" s="341"/>
      <c r="AS182" s="386">
        <f t="shared" si="39"/>
        <v>208871</v>
      </c>
      <c r="AT182" s="342"/>
      <c r="AU182" s="389">
        <f t="shared" si="30"/>
        <v>0</v>
      </c>
      <c r="AW182" s="343"/>
      <c r="AX182" s="344"/>
      <c r="AY182" s="344"/>
      <c r="AZ182" s="435">
        <f t="shared" si="31"/>
        <v>0</v>
      </c>
      <c r="BA182" s="438">
        <f t="shared" si="37"/>
        <v>0</v>
      </c>
    </row>
    <row r="183" spans="1:53">
      <c r="A183" s="412"/>
      <c r="B183" s="413"/>
      <c r="C183" s="404"/>
      <c r="D183" s="264"/>
      <c r="E183" s="326"/>
      <c r="F183" s="327"/>
      <c r="G183" s="327"/>
      <c r="H183" s="371">
        <f t="shared" si="32"/>
        <v>341717</v>
      </c>
      <c r="I183" s="372">
        <f t="shared" si="33"/>
        <v>0</v>
      </c>
      <c r="J183" s="264"/>
      <c r="K183" s="414"/>
      <c r="L183" s="415"/>
      <c r="M183" s="428">
        <f t="shared" si="38"/>
        <v>975218</v>
      </c>
      <c r="N183" s="416"/>
      <c r="O183" s="430">
        <f t="shared" si="29"/>
        <v>0</v>
      </c>
      <c r="P183" s="328"/>
      <c r="R183" s="417"/>
      <c r="S183" s="418"/>
      <c r="T183" s="419"/>
      <c r="U183" s="419"/>
      <c r="V183" s="419"/>
      <c r="W183" s="419"/>
      <c r="X183" s="419"/>
      <c r="Y183" s="432">
        <f t="shared" si="34"/>
        <v>5000000</v>
      </c>
      <c r="Z183" s="420"/>
      <c r="AA183" s="336"/>
      <c r="AB183" s="337"/>
      <c r="AC183" s="338"/>
      <c r="AD183" s="383">
        <f t="shared" si="35"/>
        <v>528915</v>
      </c>
      <c r="AE183" s="339"/>
      <c r="AF183" s="384">
        <f t="shared" si="40"/>
        <v>0</v>
      </c>
      <c r="AG183" s="336"/>
      <c r="AH183" s="329"/>
      <c r="AI183" s="330"/>
      <c r="AJ183" s="375">
        <f t="shared" si="36"/>
        <v>376533</v>
      </c>
      <c r="AK183" s="331"/>
      <c r="AL183" s="377">
        <f t="shared" si="41"/>
        <v>0</v>
      </c>
      <c r="AM183" s="336"/>
      <c r="AN183" s="336"/>
      <c r="AO183" s="336"/>
      <c r="AP183" s="340"/>
      <c r="AQ183" s="341"/>
      <c r="AR183" s="341"/>
      <c r="AS183" s="386">
        <f t="shared" si="39"/>
        <v>208871</v>
      </c>
      <c r="AT183" s="342"/>
      <c r="AU183" s="389">
        <f t="shared" si="30"/>
        <v>0</v>
      </c>
      <c r="AW183" s="343"/>
      <c r="AX183" s="344"/>
      <c r="AY183" s="344"/>
      <c r="AZ183" s="435">
        <f t="shared" si="31"/>
        <v>0</v>
      </c>
      <c r="BA183" s="438">
        <f t="shared" si="37"/>
        <v>0</v>
      </c>
    </row>
    <row r="184" spans="1:53">
      <c r="A184" s="412"/>
      <c r="B184" s="413"/>
      <c r="C184" s="404"/>
      <c r="D184" s="264"/>
      <c r="E184" s="326"/>
      <c r="F184" s="327"/>
      <c r="G184" s="327"/>
      <c r="H184" s="371">
        <f t="shared" si="32"/>
        <v>341717</v>
      </c>
      <c r="I184" s="372">
        <f t="shared" si="33"/>
        <v>0</v>
      </c>
      <c r="J184" s="264"/>
      <c r="K184" s="414"/>
      <c r="L184" s="415"/>
      <c r="M184" s="428">
        <f t="shared" si="38"/>
        <v>975218</v>
      </c>
      <c r="N184" s="416"/>
      <c r="O184" s="430">
        <f t="shared" si="29"/>
        <v>0</v>
      </c>
      <c r="P184" s="328"/>
      <c r="R184" s="417"/>
      <c r="S184" s="418"/>
      <c r="T184" s="419"/>
      <c r="U184" s="419"/>
      <c r="V184" s="419"/>
      <c r="W184" s="419"/>
      <c r="X184" s="419"/>
      <c r="Y184" s="432">
        <f t="shared" si="34"/>
        <v>5000000</v>
      </c>
      <c r="Z184" s="420"/>
      <c r="AA184" s="336"/>
      <c r="AB184" s="337"/>
      <c r="AC184" s="338"/>
      <c r="AD184" s="383">
        <f t="shared" si="35"/>
        <v>528915</v>
      </c>
      <c r="AE184" s="339"/>
      <c r="AF184" s="384">
        <f t="shared" si="40"/>
        <v>0</v>
      </c>
      <c r="AG184" s="336"/>
      <c r="AH184" s="329"/>
      <c r="AI184" s="330"/>
      <c r="AJ184" s="375">
        <f t="shared" si="36"/>
        <v>376533</v>
      </c>
      <c r="AK184" s="331"/>
      <c r="AL184" s="377">
        <f t="shared" si="41"/>
        <v>0</v>
      </c>
      <c r="AM184" s="336"/>
      <c r="AN184" s="336"/>
      <c r="AO184" s="336"/>
      <c r="AP184" s="340"/>
      <c r="AQ184" s="341"/>
      <c r="AR184" s="341"/>
      <c r="AS184" s="386">
        <f t="shared" si="39"/>
        <v>208871</v>
      </c>
      <c r="AT184" s="342"/>
      <c r="AU184" s="389">
        <f t="shared" si="30"/>
        <v>0</v>
      </c>
      <c r="AW184" s="343"/>
      <c r="AX184" s="344"/>
      <c r="AY184" s="344"/>
      <c r="AZ184" s="435">
        <f t="shared" si="31"/>
        <v>0</v>
      </c>
      <c r="BA184" s="438">
        <f t="shared" si="37"/>
        <v>0</v>
      </c>
    </row>
    <row r="185" spans="1:53">
      <c r="A185" s="412"/>
      <c r="B185" s="413"/>
      <c r="C185" s="404"/>
      <c r="D185" s="264"/>
      <c r="E185" s="326"/>
      <c r="F185" s="327"/>
      <c r="G185" s="327"/>
      <c r="H185" s="371">
        <f t="shared" si="32"/>
        <v>341717</v>
      </c>
      <c r="I185" s="372">
        <f t="shared" si="33"/>
        <v>0</v>
      </c>
      <c r="J185" s="264"/>
      <c r="K185" s="414"/>
      <c r="L185" s="415"/>
      <c r="M185" s="428">
        <f t="shared" si="38"/>
        <v>975218</v>
      </c>
      <c r="N185" s="416"/>
      <c r="O185" s="430">
        <f t="shared" si="29"/>
        <v>0</v>
      </c>
      <c r="P185" s="328"/>
      <c r="R185" s="417"/>
      <c r="S185" s="418"/>
      <c r="T185" s="419"/>
      <c r="U185" s="419"/>
      <c r="V185" s="419"/>
      <c r="W185" s="419"/>
      <c r="X185" s="419"/>
      <c r="Y185" s="432">
        <f t="shared" si="34"/>
        <v>5000000</v>
      </c>
      <c r="Z185" s="420"/>
      <c r="AA185" s="336"/>
      <c r="AB185" s="337"/>
      <c r="AC185" s="338"/>
      <c r="AD185" s="383">
        <f t="shared" si="35"/>
        <v>528915</v>
      </c>
      <c r="AE185" s="339"/>
      <c r="AF185" s="384">
        <f t="shared" si="40"/>
        <v>0</v>
      </c>
      <c r="AG185" s="336"/>
      <c r="AH185" s="329"/>
      <c r="AI185" s="330"/>
      <c r="AJ185" s="375">
        <f t="shared" si="36"/>
        <v>376533</v>
      </c>
      <c r="AK185" s="331"/>
      <c r="AL185" s="377">
        <f t="shared" si="41"/>
        <v>0</v>
      </c>
      <c r="AM185" s="336"/>
      <c r="AN185" s="336"/>
      <c r="AO185" s="336"/>
      <c r="AP185" s="340"/>
      <c r="AQ185" s="341"/>
      <c r="AR185" s="341"/>
      <c r="AS185" s="386">
        <f t="shared" si="39"/>
        <v>208871</v>
      </c>
      <c r="AT185" s="342"/>
      <c r="AU185" s="389">
        <f t="shared" si="30"/>
        <v>0</v>
      </c>
      <c r="AW185" s="343"/>
      <c r="AX185" s="344"/>
      <c r="AY185" s="344"/>
      <c r="AZ185" s="435">
        <f t="shared" si="31"/>
        <v>0</v>
      </c>
      <c r="BA185" s="438">
        <f t="shared" si="37"/>
        <v>0</v>
      </c>
    </row>
    <row r="186" spans="1:53">
      <c r="A186" s="412"/>
      <c r="B186" s="413"/>
      <c r="C186" s="404"/>
      <c r="D186" s="264"/>
      <c r="E186" s="326"/>
      <c r="F186" s="327"/>
      <c r="G186" s="327"/>
      <c r="H186" s="371">
        <f t="shared" si="32"/>
        <v>341717</v>
      </c>
      <c r="I186" s="372">
        <f t="shared" si="33"/>
        <v>0</v>
      </c>
      <c r="J186" s="264"/>
      <c r="K186" s="414"/>
      <c r="L186" s="415"/>
      <c r="M186" s="428">
        <f t="shared" si="38"/>
        <v>975218</v>
      </c>
      <c r="N186" s="416"/>
      <c r="O186" s="430">
        <f t="shared" si="29"/>
        <v>0</v>
      </c>
      <c r="P186" s="328"/>
      <c r="R186" s="417"/>
      <c r="S186" s="418"/>
      <c r="T186" s="419"/>
      <c r="U186" s="419"/>
      <c r="V186" s="419"/>
      <c r="W186" s="419"/>
      <c r="X186" s="419"/>
      <c r="Y186" s="432">
        <f t="shared" si="34"/>
        <v>5000000</v>
      </c>
      <c r="Z186" s="420"/>
      <c r="AA186" s="336"/>
      <c r="AB186" s="337"/>
      <c r="AC186" s="338"/>
      <c r="AD186" s="383">
        <f t="shared" si="35"/>
        <v>528915</v>
      </c>
      <c r="AE186" s="339"/>
      <c r="AF186" s="384">
        <f t="shared" si="40"/>
        <v>0</v>
      </c>
      <c r="AG186" s="336"/>
      <c r="AH186" s="329"/>
      <c r="AI186" s="330"/>
      <c r="AJ186" s="375">
        <f t="shared" si="36"/>
        <v>376533</v>
      </c>
      <c r="AK186" s="331"/>
      <c r="AL186" s="377">
        <f t="shared" si="41"/>
        <v>0</v>
      </c>
      <c r="AM186" s="336"/>
      <c r="AN186" s="336"/>
      <c r="AO186" s="336"/>
      <c r="AP186" s="340"/>
      <c r="AQ186" s="341"/>
      <c r="AR186" s="341"/>
      <c r="AS186" s="386">
        <f t="shared" si="39"/>
        <v>208871</v>
      </c>
      <c r="AT186" s="342"/>
      <c r="AU186" s="389">
        <f t="shared" si="30"/>
        <v>0</v>
      </c>
      <c r="AW186" s="343"/>
      <c r="AX186" s="344"/>
      <c r="AY186" s="344"/>
      <c r="AZ186" s="435">
        <f t="shared" si="31"/>
        <v>0</v>
      </c>
      <c r="BA186" s="438">
        <f t="shared" si="37"/>
        <v>0</v>
      </c>
    </row>
    <row r="187" spans="1:53">
      <c r="A187" s="412"/>
      <c r="B187" s="413"/>
      <c r="C187" s="404"/>
      <c r="D187" s="264"/>
      <c r="E187" s="326"/>
      <c r="F187" s="327"/>
      <c r="G187" s="327"/>
      <c r="H187" s="371">
        <f t="shared" si="32"/>
        <v>341717</v>
      </c>
      <c r="I187" s="372">
        <f t="shared" si="33"/>
        <v>0</v>
      </c>
      <c r="J187" s="264"/>
      <c r="K187" s="414"/>
      <c r="L187" s="415"/>
      <c r="M187" s="428">
        <f t="shared" si="38"/>
        <v>975218</v>
      </c>
      <c r="N187" s="416"/>
      <c r="O187" s="430">
        <f t="shared" si="29"/>
        <v>0</v>
      </c>
      <c r="P187" s="328"/>
      <c r="R187" s="417"/>
      <c r="S187" s="418"/>
      <c r="T187" s="419"/>
      <c r="U187" s="419"/>
      <c r="V187" s="419"/>
      <c r="W187" s="419"/>
      <c r="X187" s="419"/>
      <c r="Y187" s="432">
        <f t="shared" si="34"/>
        <v>5000000</v>
      </c>
      <c r="Z187" s="420"/>
      <c r="AA187" s="336"/>
      <c r="AB187" s="337"/>
      <c r="AC187" s="338"/>
      <c r="AD187" s="383">
        <f t="shared" si="35"/>
        <v>528915</v>
      </c>
      <c r="AE187" s="339"/>
      <c r="AF187" s="384">
        <f t="shared" si="40"/>
        <v>0</v>
      </c>
      <c r="AG187" s="336"/>
      <c r="AH187" s="329"/>
      <c r="AI187" s="330"/>
      <c r="AJ187" s="375">
        <f t="shared" si="36"/>
        <v>376533</v>
      </c>
      <c r="AK187" s="331"/>
      <c r="AL187" s="377">
        <f t="shared" si="41"/>
        <v>0</v>
      </c>
      <c r="AM187" s="336"/>
      <c r="AN187" s="336"/>
      <c r="AO187" s="336"/>
      <c r="AP187" s="340"/>
      <c r="AQ187" s="341"/>
      <c r="AR187" s="341"/>
      <c r="AS187" s="386">
        <f t="shared" si="39"/>
        <v>208871</v>
      </c>
      <c r="AT187" s="342"/>
      <c r="AU187" s="389">
        <f t="shared" si="30"/>
        <v>0</v>
      </c>
      <c r="AW187" s="343"/>
      <c r="AX187" s="344"/>
      <c r="AY187" s="344"/>
      <c r="AZ187" s="435">
        <f t="shared" si="31"/>
        <v>0</v>
      </c>
      <c r="BA187" s="438">
        <f t="shared" si="37"/>
        <v>0</v>
      </c>
    </row>
    <row r="188" spans="1:53">
      <c r="A188" s="412"/>
      <c r="B188" s="413"/>
      <c r="C188" s="404"/>
      <c r="D188" s="264"/>
      <c r="E188" s="326"/>
      <c r="F188" s="327"/>
      <c r="G188" s="327"/>
      <c r="H188" s="371">
        <f t="shared" si="32"/>
        <v>341717</v>
      </c>
      <c r="I188" s="372">
        <f t="shared" si="33"/>
        <v>0</v>
      </c>
      <c r="J188" s="264"/>
      <c r="K188" s="414"/>
      <c r="L188" s="415"/>
      <c r="M188" s="428">
        <f t="shared" si="38"/>
        <v>975218</v>
      </c>
      <c r="N188" s="416"/>
      <c r="O188" s="430">
        <f t="shared" si="29"/>
        <v>0</v>
      </c>
      <c r="P188" s="328"/>
      <c r="R188" s="417"/>
      <c r="S188" s="418"/>
      <c r="T188" s="419"/>
      <c r="U188" s="419"/>
      <c r="V188" s="419"/>
      <c r="W188" s="419"/>
      <c r="X188" s="419"/>
      <c r="Y188" s="432">
        <f t="shared" si="34"/>
        <v>5000000</v>
      </c>
      <c r="Z188" s="420"/>
      <c r="AA188" s="336"/>
      <c r="AB188" s="337"/>
      <c r="AC188" s="338"/>
      <c r="AD188" s="383">
        <f t="shared" si="35"/>
        <v>528915</v>
      </c>
      <c r="AE188" s="339"/>
      <c r="AF188" s="384">
        <f t="shared" si="40"/>
        <v>0</v>
      </c>
      <c r="AG188" s="336"/>
      <c r="AH188" s="329"/>
      <c r="AI188" s="330"/>
      <c r="AJ188" s="375">
        <f t="shared" si="36"/>
        <v>376533</v>
      </c>
      <c r="AK188" s="331"/>
      <c r="AL188" s="377">
        <f t="shared" si="41"/>
        <v>0</v>
      </c>
      <c r="AM188" s="336"/>
      <c r="AN188" s="336"/>
      <c r="AO188" s="336"/>
      <c r="AP188" s="340"/>
      <c r="AQ188" s="341"/>
      <c r="AR188" s="341"/>
      <c r="AS188" s="386">
        <f t="shared" si="39"/>
        <v>208871</v>
      </c>
      <c r="AT188" s="342"/>
      <c r="AU188" s="389">
        <f t="shared" si="30"/>
        <v>0</v>
      </c>
      <c r="AW188" s="343"/>
      <c r="AX188" s="344"/>
      <c r="AY188" s="344"/>
      <c r="AZ188" s="435">
        <f t="shared" si="31"/>
        <v>0</v>
      </c>
      <c r="BA188" s="438">
        <f t="shared" si="37"/>
        <v>0</v>
      </c>
    </row>
    <row r="189" spans="1:53">
      <c r="A189" s="412"/>
      <c r="B189" s="413"/>
      <c r="C189" s="404"/>
      <c r="D189" s="264"/>
      <c r="E189" s="326"/>
      <c r="F189" s="327"/>
      <c r="G189" s="327"/>
      <c r="H189" s="371">
        <f t="shared" si="32"/>
        <v>341717</v>
      </c>
      <c r="I189" s="372">
        <f t="shared" si="33"/>
        <v>0</v>
      </c>
      <c r="J189" s="264"/>
      <c r="K189" s="414"/>
      <c r="L189" s="415"/>
      <c r="M189" s="428">
        <f t="shared" si="38"/>
        <v>975218</v>
      </c>
      <c r="N189" s="416"/>
      <c r="O189" s="430">
        <f t="shared" si="29"/>
        <v>0</v>
      </c>
      <c r="P189" s="328"/>
      <c r="R189" s="417"/>
      <c r="S189" s="418"/>
      <c r="T189" s="419"/>
      <c r="U189" s="419"/>
      <c r="V189" s="419"/>
      <c r="W189" s="419"/>
      <c r="X189" s="419"/>
      <c r="Y189" s="432">
        <f t="shared" si="34"/>
        <v>5000000</v>
      </c>
      <c r="Z189" s="420"/>
      <c r="AA189" s="336"/>
      <c r="AB189" s="337"/>
      <c r="AC189" s="338"/>
      <c r="AD189" s="383">
        <f t="shared" si="35"/>
        <v>528915</v>
      </c>
      <c r="AE189" s="339"/>
      <c r="AF189" s="384">
        <f t="shared" si="40"/>
        <v>0</v>
      </c>
      <c r="AG189" s="336"/>
      <c r="AH189" s="329"/>
      <c r="AI189" s="330"/>
      <c r="AJ189" s="375">
        <f t="shared" si="36"/>
        <v>376533</v>
      </c>
      <c r="AK189" s="331"/>
      <c r="AL189" s="377">
        <f t="shared" si="41"/>
        <v>0</v>
      </c>
      <c r="AM189" s="336"/>
      <c r="AN189" s="336"/>
      <c r="AO189" s="336"/>
      <c r="AP189" s="340"/>
      <c r="AQ189" s="341"/>
      <c r="AR189" s="341"/>
      <c r="AS189" s="386">
        <f t="shared" si="39"/>
        <v>208871</v>
      </c>
      <c r="AT189" s="342"/>
      <c r="AU189" s="389">
        <f t="shared" si="30"/>
        <v>0</v>
      </c>
      <c r="AW189" s="343"/>
      <c r="AX189" s="344"/>
      <c r="AY189" s="344"/>
      <c r="AZ189" s="435">
        <f t="shared" si="31"/>
        <v>0</v>
      </c>
      <c r="BA189" s="438">
        <f t="shared" si="37"/>
        <v>0</v>
      </c>
    </row>
    <row r="190" spans="1:53">
      <c r="A190" s="412"/>
      <c r="B190" s="413"/>
      <c r="C190" s="404"/>
      <c r="D190" s="264"/>
      <c r="E190" s="326"/>
      <c r="F190" s="327"/>
      <c r="G190" s="327"/>
      <c r="H190" s="371">
        <f t="shared" si="32"/>
        <v>341717</v>
      </c>
      <c r="I190" s="372">
        <f t="shared" si="33"/>
        <v>0</v>
      </c>
      <c r="J190" s="264"/>
      <c r="K190" s="414"/>
      <c r="L190" s="415"/>
      <c r="M190" s="428">
        <f t="shared" si="38"/>
        <v>975218</v>
      </c>
      <c r="N190" s="416"/>
      <c r="O190" s="430">
        <f t="shared" si="29"/>
        <v>0</v>
      </c>
      <c r="P190" s="328"/>
      <c r="R190" s="417"/>
      <c r="S190" s="418"/>
      <c r="T190" s="419"/>
      <c r="U190" s="419"/>
      <c r="V190" s="419"/>
      <c r="W190" s="419"/>
      <c r="X190" s="419"/>
      <c r="Y190" s="432">
        <f t="shared" si="34"/>
        <v>5000000</v>
      </c>
      <c r="Z190" s="420"/>
      <c r="AA190" s="336"/>
      <c r="AB190" s="337"/>
      <c r="AC190" s="338"/>
      <c r="AD190" s="383">
        <f t="shared" si="35"/>
        <v>528915</v>
      </c>
      <c r="AE190" s="339"/>
      <c r="AF190" s="384">
        <f t="shared" si="40"/>
        <v>0</v>
      </c>
      <c r="AG190" s="336"/>
      <c r="AH190" s="329"/>
      <c r="AI190" s="330"/>
      <c r="AJ190" s="375">
        <f t="shared" si="36"/>
        <v>376533</v>
      </c>
      <c r="AK190" s="331"/>
      <c r="AL190" s="377">
        <f t="shared" si="41"/>
        <v>0</v>
      </c>
      <c r="AM190" s="336"/>
      <c r="AN190" s="336"/>
      <c r="AO190" s="336"/>
      <c r="AP190" s="340"/>
      <c r="AQ190" s="341"/>
      <c r="AR190" s="341"/>
      <c r="AS190" s="386">
        <f t="shared" si="39"/>
        <v>208871</v>
      </c>
      <c r="AT190" s="342"/>
      <c r="AU190" s="389">
        <f t="shared" si="30"/>
        <v>0</v>
      </c>
      <c r="AW190" s="343"/>
      <c r="AX190" s="344"/>
      <c r="AY190" s="344"/>
      <c r="AZ190" s="435">
        <f t="shared" si="31"/>
        <v>0</v>
      </c>
      <c r="BA190" s="438">
        <f t="shared" si="37"/>
        <v>0</v>
      </c>
    </row>
    <row r="191" spans="1:53">
      <c r="H191" s="373"/>
      <c r="I191" s="374">
        <f>SUM(I6:I190)</f>
        <v>0</v>
      </c>
      <c r="O191" s="431">
        <f>SUM(O6:O190)</f>
        <v>0</v>
      </c>
      <c r="P191" s="328"/>
      <c r="W191" s="434">
        <f>SUM(W6:W190)</f>
        <v>0</v>
      </c>
      <c r="X191" s="434">
        <f>SUM(X6:X190)</f>
        <v>0</v>
      </c>
      <c r="Z191" s="433">
        <f>SUM(Z6:Z190)</f>
        <v>0</v>
      </c>
      <c r="AA191" s="362"/>
      <c r="AF191" s="385">
        <f>SUM(AF6:AF190)</f>
        <v>0</v>
      </c>
      <c r="AG191" s="362"/>
      <c r="AL191" s="378">
        <f>SUM(AL6:AL190)</f>
        <v>0</v>
      </c>
      <c r="AM191" s="362"/>
      <c r="AN191" s="362"/>
      <c r="AO191" s="336"/>
      <c r="AR191" s="387">
        <f>SUM(AR6:AR190)</f>
        <v>0</v>
      </c>
      <c r="AU191" s="387">
        <f>SUM(AU6:AU190)</f>
        <v>0</v>
      </c>
      <c r="BA191" s="392">
        <f>SUM(BA6:BA190)</f>
        <v>0</v>
      </c>
    </row>
    <row r="192" spans="1:53">
      <c r="I192" s="366"/>
      <c r="O192" s="425"/>
      <c r="P192" s="328"/>
      <c r="Z192" s="424"/>
      <c r="AA192" s="362"/>
      <c r="AF192" s="368"/>
      <c r="AG192" s="362"/>
      <c r="AL192" s="367"/>
      <c r="AM192" s="362"/>
      <c r="AN192" s="362"/>
      <c r="AO192" s="362"/>
      <c r="AU192" s="364"/>
    </row>
    <row r="193" spans="1:53">
      <c r="AZ193" s="393" t="s">
        <v>237</v>
      </c>
      <c r="BA193" s="394">
        <f>I191+O191+X191+Z191+AF191+AL191+AR191+AU191+BA191</f>
        <v>0</v>
      </c>
    </row>
    <row r="197" spans="1:53">
      <c r="A197" s="426"/>
      <c r="B197" s="426"/>
      <c r="C197" s="426"/>
      <c r="E197" s="1358" t="s">
        <v>50</v>
      </c>
      <c r="F197" s="1358"/>
      <c r="G197" s="1358"/>
      <c r="H197" s="1358"/>
      <c r="I197" s="1358"/>
      <c r="K197" s="1365" t="s">
        <v>51</v>
      </c>
      <c r="L197" s="1365"/>
      <c r="M197" s="1365"/>
      <c r="N197" s="1365"/>
      <c r="O197" s="1365"/>
      <c r="P197" s="369"/>
      <c r="R197" s="1366" t="s">
        <v>53</v>
      </c>
      <c r="S197" s="1366"/>
      <c r="T197" s="1366"/>
      <c r="U197" s="1366"/>
      <c r="V197" s="1366"/>
      <c r="W197" s="1366"/>
      <c r="X197" s="1366"/>
      <c r="Y197" s="1366"/>
      <c r="Z197" s="1366"/>
      <c r="AA197" s="370"/>
      <c r="AB197" s="1355" t="s">
        <v>111</v>
      </c>
      <c r="AC197" s="1355"/>
      <c r="AD197" s="1355"/>
      <c r="AE197" s="1355"/>
      <c r="AF197" s="1355"/>
      <c r="AG197" s="370"/>
      <c r="AH197" s="1337" t="s">
        <v>112</v>
      </c>
      <c r="AI197" s="1337"/>
      <c r="AJ197" s="1337"/>
      <c r="AK197" s="1337"/>
      <c r="AL197" s="1337"/>
      <c r="AM197" s="370"/>
      <c r="AN197" s="370"/>
      <c r="AP197" s="1338" t="s">
        <v>9</v>
      </c>
      <c r="AQ197" s="1338"/>
      <c r="AR197" s="1338"/>
      <c r="AS197" s="1338"/>
      <c r="AT197" s="1338"/>
      <c r="AU197" s="1338"/>
      <c r="AW197" s="1342" t="s">
        <v>16</v>
      </c>
      <c r="AX197" s="1342"/>
      <c r="AY197" s="1342"/>
      <c r="AZ197" s="1342"/>
      <c r="BA197" s="1342"/>
    </row>
  </sheetData>
  <sheetProtection password="DC1E" sheet="1" objects="1" scenarios="1"/>
  <mergeCells count="17">
    <mergeCell ref="AH3:AL3"/>
    <mergeCell ref="AP3:AU3"/>
    <mergeCell ref="AW3:BA3"/>
    <mergeCell ref="AH197:AL197"/>
    <mergeCell ref="A3:C3"/>
    <mergeCell ref="E3:I3"/>
    <mergeCell ref="K3:O3"/>
    <mergeCell ref="R3:Z3"/>
    <mergeCell ref="AB3:AF3"/>
    <mergeCell ref="AP197:AU197"/>
    <mergeCell ref="AW197:BA197"/>
    <mergeCell ref="BC5:BG5"/>
    <mergeCell ref="BD16:BG16"/>
    <mergeCell ref="E197:I197"/>
    <mergeCell ref="K197:O197"/>
    <mergeCell ref="R197:Z197"/>
    <mergeCell ref="AB197:AF197"/>
  </mergeCells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98"/>
  <sheetViews>
    <sheetView topLeftCell="AR1" zoomScale="80" zoomScaleNormal="80" workbookViewId="0">
      <selection activeCell="Y13" sqref="Y13"/>
    </sheetView>
  </sheetViews>
  <sheetFormatPr defaultColWidth="8.88671875" defaultRowHeight="14.4"/>
  <cols>
    <col min="1" max="1" width="13.33203125" style="359" customWidth="1"/>
    <col min="2" max="3" width="13" style="359" customWidth="1"/>
    <col min="4" max="4" width="14.109375" style="359" customWidth="1"/>
    <col min="5" max="5" width="11.6640625" style="359" bestFit="1" customWidth="1"/>
    <col min="6" max="6" width="0.5546875" style="263" customWidth="1"/>
    <col min="7" max="7" width="0.44140625" style="263" customWidth="1"/>
    <col min="8" max="9" width="15.109375" style="518" customWidth="1"/>
    <col min="10" max="12" width="15.6640625" style="518" customWidth="1"/>
    <col min="13" max="13" width="1" style="263" customWidth="1"/>
    <col min="14" max="14" width="14" style="520" customWidth="1"/>
    <col min="15" max="16" width="13.6640625" style="520" customWidth="1"/>
    <col min="17" max="18" width="14.109375" style="520" customWidth="1"/>
    <col min="19" max="19" width="11" style="520" customWidth="1"/>
    <col min="20" max="20" width="1.6640625" style="263" customWidth="1"/>
    <col min="21" max="21" width="13.33203125" style="522" customWidth="1"/>
    <col min="22" max="23" width="13" style="522" customWidth="1"/>
    <col min="24" max="24" width="14.109375" style="522" customWidth="1"/>
    <col min="25" max="25" width="12.6640625" style="522" customWidth="1"/>
    <col min="26" max="26" width="1.109375" style="263" customWidth="1"/>
    <col min="27" max="27" width="13.33203125" style="523" customWidth="1"/>
    <col min="28" max="29" width="13" style="523" customWidth="1"/>
    <col min="30" max="30" width="14.109375" style="523" customWidth="1"/>
    <col min="31" max="31" width="11" style="523" customWidth="1"/>
    <col min="32" max="32" width="1.44140625" style="263" customWidth="1"/>
    <col min="33" max="33" width="13.88671875" style="524" customWidth="1"/>
    <col min="34" max="35" width="14" style="524" customWidth="1"/>
    <col min="36" max="36" width="14.109375" style="524" customWidth="1"/>
    <col min="37" max="37" width="12.109375" style="524" customWidth="1"/>
    <col min="38" max="38" width="1.44140625" style="263" customWidth="1"/>
    <col min="39" max="39" width="13.33203125" style="525" customWidth="1"/>
    <col min="40" max="41" width="13" style="525" customWidth="1"/>
    <col min="42" max="42" width="14.109375" style="525" customWidth="1"/>
    <col min="43" max="43" width="15.33203125" style="525" customWidth="1"/>
    <col min="44" max="44" width="1.6640625" style="263" customWidth="1"/>
    <col min="45" max="45" width="13.33203125" style="525" customWidth="1"/>
    <col min="46" max="47" width="13" style="525" customWidth="1"/>
    <col min="48" max="48" width="14.109375" style="525" customWidth="1"/>
    <col min="49" max="49" width="15.33203125" style="525" customWidth="1"/>
    <col min="50" max="50" width="8.88671875" style="263"/>
    <col min="51" max="51" width="21.109375" style="263" customWidth="1"/>
    <col min="52" max="52" width="17.5546875" style="263" customWidth="1"/>
    <col min="53" max="54" width="18.109375" style="263" customWidth="1"/>
    <col min="55" max="55" width="17.6640625" style="263" customWidth="1"/>
    <col min="56" max="16384" width="8.88671875" style="263"/>
  </cols>
  <sheetData>
    <row r="1" spans="1:55">
      <c r="A1" s="263"/>
      <c r="B1" s="263"/>
      <c r="C1" s="263"/>
      <c r="D1" s="263"/>
      <c r="E1" s="263"/>
      <c r="H1" s="263"/>
      <c r="I1" s="263"/>
      <c r="J1" s="263"/>
      <c r="K1" s="263"/>
      <c r="L1" s="263"/>
      <c r="N1" s="263"/>
      <c r="O1" s="263"/>
      <c r="P1" s="263"/>
      <c r="Q1" s="263"/>
      <c r="R1" s="263"/>
      <c r="S1" s="263"/>
      <c r="U1" s="263"/>
      <c r="V1" s="263"/>
      <c r="W1" s="263"/>
      <c r="X1" s="263"/>
      <c r="Y1" s="263"/>
      <c r="AA1" s="263"/>
      <c r="AB1" s="263"/>
      <c r="AC1" s="263"/>
      <c r="AD1" s="263"/>
      <c r="AE1" s="263"/>
      <c r="AG1" s="263"/>
      <c r="AH1" s="263"/>
      <c r="AI1" s="263"/>
      <c r="AJ1" s="263"/>
      <c r="AK1" s="263"/>
      <c r="AM1" s="263"/>
      <c r="AN1" s="263"/>
      <c r="AO1" s="263"/>
      <c r="AP1" s="263"/>
      <c r="AQ1" s="263"/>
      <c r="AS1" s="263"/>
      <c r="AT1" s="263"/>
      <c r="AU1" s="263"/>
      <c r="AV1" s="263"/>
      <c r="AW1" s="263"/>
    </row>
    <row r="2" spans="1:55" ht="15" thickBot="1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G2" s="268"/>
      <c r="AH2" s="268"/>
      <c r="AI2" s="268"/>
      <c r="AJ2" s="268"/>
      <c r="AK2" s="268"/>
      <c r="AL2" s="267"/>
      <c r="AM2" s="268"/>
      <c r="AN2" s="268"/>
      <c r="AO2" s="268"/>
      <c r="AP2" s="268"/>
      <c r="AQ2" s="268"/>
      <c r="AR2" s="267"/>
      <c r="AS2" s="268"/>
      <c r="AT2" s="268"/>
      <c r="AU2" s="268"/>
      <c r="AV2" s="268"/>
      <c r="AW2" s="268"/>
    </row>
    <row r="3" spans="1:55" ht="21">
      <c r="A3" s="1406" t="s">
        <v>1</v>
      </c>
      <c r="B3" s="1407"/>
      <c r="C3" s="1407"/>
      <c r="D3" s="1407"/>
      <c r="E3" s="1408"/>
      <c r="F3" s="274"/>
      <c r="G3" s="274"/>
      <c r="H3" s="1409" t="s">
        <v>199</v>
      </c>
      <c r="I3" s="1410"/>
      <c r="J3" s="1410"/>
      <c r="K3" s="1410"/>
      <c r="L3" s="1411"/>
      <c r="M3" s="471"/>
      <c r="N3" s="1412" t="s">
        <v>9</v>
      </c>
      <c r="O3" s="1413"/>
      <c r="P3" s="1413"/>
      <c r="Q3" s="1413"/>
      <c r="R3" s="1413"/>
      <c r="S3" s="1414"/>
      <c r="T3" s="471"/>
      <c r="U3" s="1415" t="s">
        <v>39</v>
      </c>
      <c r="V3" s="1416"/>
      <c r="W3" s="1416"/>
      <c r="X3" s="1416"/>
      <c r="Y3" s="1417"/>
      <c r="Z3" s="274"/>
      <c r="AA3" s="1418" t="s">
        <v>200</v>
      </c>
      <c r="AB3" s="1419"/>
      <c r="AC3" s="1419"/>
      <c r="AD3" s="1419"/>
      <c r="AE3" s="1420"/>
      <c r="AG3" s="1397" t="s">
        <v>201</v>
      </c>
      <c r="AH3" s="1398"/>
      <c r="AI3" s="1398"/>
      <c r="AJ3" s="1398"/>
      <c r="AK3" s="1399"/>
      <c r="AL3" s="472"/>
      <c r="AM3" s="1400" t="s">
        <v>202</v>
      </c>
      <c r="AN3" s="1401"/>
      <c r="AO3" s="1401"/>
      <c r="AP3" s="1401"/>
      <c r="AQ3" s="1402"/>
      <c r="AR3" s="472"/>
      <c r="AS3" s="1400" t="s">
        <v>203</v>
      </c>
      <c r="AT3" s="1401"/>
      <c r="AU3" s="1401"/>
      <c r="AV3" s="1401"/>
      <c r="AW3" s="1402"/>
    </row>
    <row r="4" spans="1:55" ht="33.6" customHeight="1">
      <c r="A4" s="1421" t="s">
        <v>260</v>
      </c>
      <c r="B4" s="1421"/>
      <c r="C4" s="1421"/>
      <c r="D4" s="1421"/>
      <c r="E4" s="1422"/>
      <c r="F4" s="274"/>
      <c r="G4" s="274"/>
      <c r="H4" s="1423" t="s">
        <v>257</v>
      </c>
      <c r="I4" s="1424"/>
      <c r="J4" s="1424"/>
      <c r="K4" s="1424"/>
      <c r="L4" s="1425"/>
      <c r="M4" s="471"/>
      <c r="N4" s="1426" t="s">
        <v>259</v>
      </c>
      <c r="O4" s="1427"/>
      <c r="P4" s="1427"/>
      <c r="Q4" s="1427"/>
      <c r="R4" s="1427"/>
      <c r="S4" s="1428"/>
      <c r="T4" s="471"/>
      <c r="U4" s="1391" t="s">
        <v>215</v>
      </c>
      <c r="V4" s="1392"/>
      <c r="W4" s="1392"/>
      <c r="X4" s="1392"/>
      <c r="Y4" s="1393"/>
      <c r="Z4" s="274"/>
      <c r="AA4" s="1394" t="s">
        <v>216</v>
      </c>
      <c r="AB4" s="1395"/>
      <c r="AC4" s="1395"/>
      <c r="AD4" s="1395"/>
      <c r="AE4" s="1396"/>
      <c r="AG4" s="1431" t="s">
        <v>217</v>
      </c>
      <c r="AH4" s="1432"/>
      <c r="AI4" s="1432"/>
      <c r="AJ4" s="1432"/>
      <c r="AK4" s="1433"/>
      <c r="AL4" s="471"/>
      <c r="AM4" s="1403" t="s">
        <v>218</v>
      </c>
      <c r="AN4" s="1404"/>
      <c r="AO4" s="1404"/>
      <c r="AP4" s="1404"/>
      <c r="AQ4" s="1405"/>
      <c r="AR4" s="473"/>
      <c r="AS4" s="1403" t="s">
        <v>258</v>
      </c>
      <c r="AT4" s="1404"/>
      <c r="AU4" s="1404"/>
      <c r="AV4" s="1404"/>
      <c r="AW4" s="1405"/>
    </row>
    <row r="5" spans="1:55" ht="29.4" thickBot="1">
      <c r="A5" s="531" t="s">
        <v>30</v>
      </c>
      <c r="B5" s="532" t="s">
        <v>78</v>
      </c>
      <c r="C5" s="532" t="s">
        <v>32</v>
      </c>
      <c r="D5" s="532" t="s">
        <v>29</v>
      </c>
      <c r="E5" s="533" t="s">
        <v>20</v>
      </c>
      <c r="F5" s="290"/>
      <c r="G5" s="290"/>
      <c r="H5" s="537" t="s">
        <v>79</v>
      </c>
      <c r="I5" s="538" t="s">
        <v>34</v>
      </c>
      <c r="J5" s="538" t="s">
        <v>29</v>
      </c>
      <c r="K5" s="539" t="s">
        <v>78</v>
      </c>
      <c r="L5" s="540" t="s">
        <v>20</v>
      </c>
      <c r="M5" s="290"/>
      <c r="N5" s="545" t="s">
        <v>30</v>
      </c>
      <c r="O5" s="546" t="s">
        <v>34</v>
      </c>
      <c r="P5" s="546" t="s">
        <v>38</v>
      </c>
      <c r="Q5" s="546" t="s">
        <v>29</v>
      </c>
      <c r="R5" s="547" t="s">
        <v>80</v>
      </c>
      <c r="S5" s="548" t="s">
        <v>20</v>
      </c>
      <c r="T5" s="290"/>
      <c r="U5" s="553" t="s">
        <v>33</v>
      </c>
      <c r="V5" s="554" t="s">
        <v>34</v>
      </c>
      <c r="W5" s="554" t="s">
        <v>214</v>
      </c>
      <c r="X5" s="554" t="s">
        <v>29</v>
      </c>
      <c r="Y5" s="555" t="s">
        <v>20</v>
      </c>
      <c r="Z5" s="290"/>
      <c r="AA5" s="557" t="s">
        <v>33</v>
      </c>
      <c r="AB5" s="558" t="s">
        <v>34</v>
      </c>
      <c r="AC5" s="558" t="s">
        <v>164</v>
      </c>
      <c r="AD5" s="558" t="s">
        <v>29</v>
      </c>
      <c r="AE5" s="559" t="s">
        <v>20</v>
      </c>
      <c r="AG5" s="561" t="s">
        <v>33</v>
      </c>
      <c r="AH5" s="562" t="s">
        <v>34</v>
      </c>
      <c r="AI5" s="562" t="s">
        <v>164</v>
      </c>
      <c r="AJ5" s="562" t="s">
        <v>29</v>
      </c>
      <c r="AK5" s="563" t="s">
        <v>20</v>
      </c>
      <c r="AL5" s="474"/>
      <c r="AM5" s="565" t="s">
        <v>33</v>
      </c>
      <c r="AN5" s="566" t="s">
        <v>34</v>
      </c>
      <c r="AO5" s="566" t="s">
        <v>164</v>
      </c>
      <c r="AP5" s="566" t="s">
        <v>29</v>
      </c>
      <c r="AQ5" s="567" t="s">
        <v>20</v>
      </c>
      <c r="AR5" s="474"/>
      <c r="AS5" s="565" t="s">
        <v>33</v>
      </c>
      <c r="AT5" s="566" t="s">
        <v>34</v>
      </c>
      <c r="AU5" s="566" t="s">
        <v>164</v>
      </c>
      <c r="AV5" s="566" t="s">
        <v>29</v>
      </c>
      <c r="AW5" s="567" t="s">
        <v>20</v>
      </c>
    </row>
    <row r="6" spans="1:55" ht="15.6" thickTop="1" thickBot="1">
      <c r="A6" s="309"/>
      <c r="B6" s="311"/>
      <c r="C6" s="311"/>
      <c r="D6" s="311">
        <f>'TABEL INPUT'!I5</f>
        <v>856669</v>
      </c>
      <c r="E6" s="534"/>
      <c r="F6" s="267"/>
      <c r="G6" s="267"/>
      <c r="H6" s="475"/>
      <c r="I6" s="476"/>
      <c r="J6" s="476">
        <f>'TABEL INPUT'!I11</f>
        <v>36916</v>
      </c>
      <c r="K6" s="477"/>
      <c r="L6" s="542"/>
      <c r="M6" s="325"/>
      <c r="N6" s="479"/>
      <c r="O6" s="480"/>
      <c r="P6" s="480"/>
      <c r="Q6" s="480">
        <f>'TABEL INPUT'!I12</f>
        <v>159814</v>
      </c>
      <c r="R6" s="481"/>
      <c r="S6" s="550"/>
      <c r="T6" s="325"/>
      <c r="U6" s="483"/>
      <c r="V6" s="484"/>
      <c r="W6" s="484"/>
      <c r="X6" s="484">
        <f>'TABEL INPUT'!I6</f>
        <v>26290</v>
      </c>
      <c r="Y6" s="485"/>
      <c r="Z6" s="267"/>
      <c r="AA6" s="486"/>
      <c r="AB6" s="487"/>
      <c r="AC6" s="487"/>
      <c r="AD6" s="487">
        <f>'TABEL INPUT'!I7</f>
        <v>21907</v>
      </c>
      <c r="AE6" s="488"/>
      <c r="AG6" s="489"/>
      <c r="AH6" s="490"/>
      <c r="AI6" s="490"/>
      <c r="AJ6" s="490">
        <f>'TABEL INPUT'!I8</f>
        <v>82000</v>
      </c>
      <c r="AK6" s="491"/>
      <c r="AL6" s="492"/>
      <c r="AM6" s="493"/>
      <c r="AN6" s="494"/>
      <c r="AO6" s="494"/>
      <c r="AP6" s="494">
        <f>'TABEL INPUT'!I9</f>
        <v>46000</v>
      </c>
      <c r="AQ6" s="495"/>
      <c r="AR6" s="492"/>
      <c r="AS6" s="493"/>
      <c r="AT6" s="494"/>
      <c r="AU6" s="494"/>
      <c r="AV6" s="494">
        <f>'TABEL INPUT'!I10</f>
        <v>69862</v>
      </c>
      <c r="AW6" s="495"/>
      <c r="AY6" s="1360" t="s">
        <v>100</v>
      </c>
      <c r="AZ6" s="1361"/>
      <c r="BA6" s="1361"/>
      <c r="BB6" s="1361"/>
      <c r="BC6" s="1362"/>
    </row>
    <row r="7" spans="1:55">
      <c r="A7" s="332"/>
      <c r="B7" s="334"/>
      <c r="C7" s="334"/>
      <c r="D7" s="379">
        <f>D6+A7-C7</f>
        <v>856669</v>
      </c>
      <c r="E7" s="535">
        <f>B7-C7</f>
        <v>0</v>
      </c>
      <c r="H7" s="496"/>
      <c r="I7" s="497"/>
      <c r="J7" s="541">
        <f>J6+H7-I7</f>
        <v>36916</v>
      </c>
      <c r="K7" s="498"/>
      <c r="L7" s="543">
        <f>K7-I7</f>
        <v>0</v>
      </c>
      <c r="M7" s="347"/>
      <c r="N7" s="500"/>
      <c r="O7" s="501"/>
      <c r="P7" s="501"/>
      <c r="Q7" s="549">
        <f>Q6+N7-O7+P7</f>
        <v>159814</v>
      </c>
      <c r="R7" s="502"/>
      <c r="S7" s="551">
        <f>R7-O7+P7</f>
        <v>0</v>
      </c>
      <c r="T7" s="347"/>
      <c r="U7" s="504"/>
      <c r="V7" s="505"/>
      <c r="W7" s="505"/>
      <c r="X7" s="556">
        <f>X6+U7-V7-W7</f>
        <v>26290</v>
      </c>
      <c r="Y7" s="506">
        <f>'TABEL INPUT'!I32</f>
        <v>0</v>
      </c>
      <c r="AA7" s="507"/>
      <c r="AB7" s="508"/>
      <c r="AC7" s="508"/>
      <c r="AD7" s="560">
        <f>AD6+AA7-AB7-AC7</f>
        <v>21907</v>
      </c>
      <c r="AE7" s="509"/>
      <c r="AG7" s="510"/>
      <c r="AH7" s="511"/>
      <c r="AI7" s="511"/>
      <c r="AJ7" s="564">
        <f>AJ6+AG7-AH7-AI7</f>
        <v>82000</v>
      </c>
      <c r="AK7" s="512"/>
      <c r="AL7" s="513"/>
      <c r="AM7" s="514"/>
      <c r="AN7" s="515"/>
      <c r="AO7" s="515"/>
      <c r="AP7" s="568">
        <f>AP6+AM7-AN7-AO7</f>
        <v>46000</v>
      </c>
      <c r="AQ7" s="516"/>
      <c r="AR7" s="513"/>
      <c r="AS7" s="514"/>
      <c r="AT7" s="515"/>
      <c r="AU7" s="515"/>
      <c r="AV7" s="568">
        <f>AV6+AS7-AT7-AU7</f>
        <v>69862</v>
      </c>
      <c r="AW7" s="516"/>
      <c r="AY7" s="395" t="s">
        <v>357</v>
      </c>
      <c r="AZ7" s="349">
        <f>'TABEL INPUT'!I43</f>
        <v>0</v>
      </c>
      <c r="BA7" s="350"/>
      <c r="BB7" s="350"/>
      <c r="BC7" s="399">
        <f>SUM(AZ7:BB7)</f>
        <v>0</v>
      </c>
    </row>
    <row r="8" spans="1:55">
      <c r="A8" s="332"/>
      <c r="B8" s="334"/>
      <c r="C8" s="334"/>
      <c r="D8" s="379">
        <f t="shared" ref="D8:D71" si="0">D7+A8-C8</f>
        <v>856669</v>
      </c>
      <c r="E8" s="535">
        <f t="shared" ref="E8:E71" si="1">B8-C8</f>
        <v>0</v>
      </c>
      <c r="H8" s="496"/>
      <c r="I8" s="497"/>
      <c r="J8" s="541">
        <f t="shared" ref="J8:J71" si="2">J7+H8-I8</f>
        <v>36916</v>
      </c>
      <c r="K8" s="498"/>
      <c r="L8" s="543">
        <f t="shared" ref="L8:L71" si="3">K8-I8</f>
        <v>0</v>
      </c>
      <c r="M8" s="347"/>
      <c r="N8" s="500"/>
      <c r="O8" s="501"/>
      <c r="P8" s="501"/>
      <c r="Q8" s="549">
        <f t="shared" ref="Q8:Q71" si="4">Q7+N8-O8+P8</f>
        <v>159814</v>
      </c>
      <c r="R8" s="502"/>
      <c r="S8" s="551">
        <f t="shared" ref="S8:S71" si="5">R8-O8+P8</f>
        <v>0</v>
      </c>
      <c r="T8" s="347"/>
      <c r="U8" s="504"/>
      <c r="V8" s="505"/>
      <c r="W8" s="505"/>
      <c r="X8" s="556">
        <f t="shared" ref="X8:X71" si="6">X7+U8-V8-W8</f>
        <v>26290</v>
      </c>
      <c r="Y8" s="506">
        <f>'TABEL INPUT'!I33</f>
        <v>0</v>
      </c>
      <c r="AA8" s="507"/>
      <c r="AB8" s="508"/>
      <c r="AC8" s="508"/>
      <c r="AD8" s="560">
        <f t="shared" ref="AD8:AD71" si="7">AD7+AA8-AB8-AC8</f>
        <v>21907</v>
      </c>
      <c r="AE8" s="509"/>
      <c r="AG8" s="510"/>
      <c r="AH8" s="511"/>
      <c r="AI8" s="511"/>
      <c r="AJ8" s="564">
        <f t="shared" ref="AJ8:AJ71" si="8">AJ7+AG8-AH8-AI8</f>
        <v>82000</v>
      </c>
      <c r="AK8" s="512"/>
      <c r="AL8" s="513"/>
      <c r="AM8" s="514"/>
      <c r="AN8" s="515"/>
      <c r="AO8" s="515"/>
      <c r="AP8" s="568">
        <f t="shared" ref="AP8:AP71" si="9">AP7+AM8-AN8-AO8</f>
        <v>46000</v>
      </c>
      <c r="AQ8" s="516"/>
      <c r="AR8" s="513"/>
      <c r="AS8" s="514"/>
      <c r="AT8" s="515"/>
      <c r="AU8" s="515"/>
      <c r="AV8" s="568">
        <f t="shared" ref="AV8:AV71" si="10">AV7+AS8-AT8-AU8</f>
        <v>69862</v>
      </c>
      <c r="AW8" s="516"/>
      <c r="AY8" s="396" t="s">
        <v>353</v>
      </c>
      <c r="AZ8" s="351">
        <f>'TABEL INPUT'!I44</f>
        <v>0</v>
      </c>
      <c r="BA8" s="352"/>
      <c r="BB8" s="352"/>
      <c r="BC8" s="400">
        <f t="shared" ref="BC8:BC15" si="11">SUM(AZ8:BB8)</f>
        <v>0</v>
      </c>
    </row>
    <row r="9" spans="1:55">
      <c r="A9" s="332"/>
      <c r="B9" s="334"/>
      <c r="C9" s="334"/>
      <c r="D9" s="379">
        <f t="shared" si="0"/>
        <v>856669</v>
      </c>
      <c r="E9" s="535">
        <f t="shared" si="1"/>
        <v>0</v>
      </c>
      <c r="H9" s="496"/>
      <c r="I9" s="497"/>
      <c r="J9" s="541">
        <f t="shared" si="2"/>
        <v>36916</v>
      </c>
      <c r="K9" s="498"/>
      <c r="L9" s="543">
        <f t="shared" si="3"/>
        <v>0</v>
      </c>
      <c r="M9" s="347"/>
      <c r="N9" s="500"/>
      <c r="O9" s="501"/>
      <c r="P9" s="501"/>
      <c r="Q9" s="549">
        <f t="shared" si="4"/>
        <v>159814</v>
      </c>
      <c r="R9" s="502"/>
      <c r="S9" s="551">
        <f t="shared" si="5"/>
        <v>0</v>
      </c>
      <c r="T9" s="347"/>
      <c r="U9" s="504"/>
      <c r="V9" s="505"/>
      <c r="W9" s="505"/>
      <c r="X9" s="556">
        <f t="shared" si="6"/>
        <v>26290</v>
      </c>
      <c r="Y9" s="506">
        <f>'TABEL INPUT'!I34</f>
        <v>0</v>
      </c>
      <c r="AA9" s="507"/>
      <c r="AB9" s="508"/>
      <c r="AC9" s="508"/>
      <c r="AD9" s="560">
        <f t="shared" si="7"/>
        <v>21907</v>
      </c>
      <c r="AE9" s="509"/>
      <c r="AG9" s="510"/>
      <c r="AH9" s="511"/>
      <c r="AI9" s="511"/>
      <c r="AJ9" s="564">
        <f t="shared" si="8"/>
        <v>82000</v>
      </c>
      <c r="AK9" s="512"/>
      <c r="AL9" s="513"/>
      <c r="AM9" s="514"/>
      <c r="AN9" s="515"/>
      <c r="AO9" s="515"/>
      <c r="AP9" s="568">
        <f t="shared" si="9"/>
        <v>46000</v>
      </c>
      <c r="AQ9" s="516"/>
      <c r="AR9" s="513"/>
      <c r="AS9" s="514"/>
      <c r="AT9" s="515"/>
      <c r="AU9" s="515"/>
      <c r="AV9" s="568">
        <f t="shared" si="10"/>
        <v>69862</v>
      </c>
      <c r="AW9" s="516"/>
      <c r="AY9" s="396" t="s">
        <v>245</v>
      </c>
      <c r="AZ9" s="351">
        <f>'TABEL INPUT'!I45</f>
        <v>0</v>
      </c>
      <c r="BA9" s="352"/>
      <c r="BB9" s="352"/>
      <c r="BC9" s="400">
        <f t="shared" si="11"/>
        <v>0</v>
      </c>
    </row>
    <row r="10" spans="1:55">
      <c r="A10" s="332"/>
      <c r="B10" s="334"/>
      <c r="C10" s="334"/>
      <c r="D10" s="379">
        <f t="shared" si="0"/>
        <v>856669</v>
      </c>
      <c r="E10" s="535">
        <f t="shared" si="1"/>
        <v>0</v>
      </c>
      <c r="H10" s="496"/>
      <c r="I10" s="497"/>
      <c r="J10" s="541">
        <f t="shared" si="2"/>
        <v>36916</v>
      </c>
      <c r="K10" s="498"/>
      <c r="L10" s="543">
        <f t="shared" si="3"/>
        <v>0</v>
      </c>
      <c r="M10" s="347"/>
      <c r="N10" s="500"/>
      <c r="O10" s="501"/>
      <c r="P10" s="501"/>
      <c r="Q10" s="549">
        <f t="shared" si="4"/>
        <v>159814</v>
      </c>
      <c r="R10" s="502"/>
      <c r="S10" s="551">
        <f t="shared" si="5"/>
        <v>0</v>
      </c>
      <c r="T10" s="347"/>
      <c r="U10" s="504"/>
      <c r="V10" s="505"/>
      <c r="W10" s="505"/>
      <c r="X10" s="556">
        <f t="shared" si="6"/>
        <v>26290</v>
      </c>
      <c r="Y10" s="506">
        <f>'TABEL INPUT'!I35</f>
        <v>0</v>
      </c>
      <c r="AA10" s="507"/>
      <c r="AB10" s="508"/>
      <c r="AC10" s="508"/>
      <c r="AD10" s="560">
        <f t="shared" si="7"/>
        <v>21907</v>
      </c>
      <c r="AE10" s="509"/>
      <c r="AG10" s="510"/>
      <c r="AH10" s="511"/>
      <c r="AI10" s="511"/>
      <c r="AJ10" s="564">
        <f t="shared" si="8"/>
        <v>82000</v>
      </c>
      <c r="AK10" s="512"/>
      <c r="AL10" s="513"/>
      <c r="AM10" s="514"/>
      <c r="AN10" s="515"/>
      <c r="AO10" s="515"/>
      <c r="AP10" s="568">
        <f t="shared" si="9"/>
        <v>46000</v>
      </c>
      <c r="AQ10" s="516"/>
      <c r="AR10" s="513"/>
      <c r="AS10" s="514"/>
      <c r="AT10" s="515"/>
      <c r="AU10" s="515"/>
      <c r="AV10" s="568">
        <f t="shared" si="10"/>
        <v>69862</v>
      </c>
      <c r="AW10" s="516"/>
      <c r="AY10" s="396" t="s">
        <v>349</v>
      </c>
      <c r="AZ10" s="351">
        <f>'TABEL INPUT'!I46</f>
        <v>0</v>
      </c>
      <c r="BA10" s="352"/>
      <c r="BB10" s="352"/>
      <c r="BC10" s="400">
        <f t="shared" si="11"/>
        <v>0</v>
      </c>
    </row>
    <row r="11" spans="1:55">
      <c r="A11" s="332"/>
      <c r="B11" s="334"/>
      <c r="C11" s="334"/>
      <c r="D11" s="379">
        <f t="shared" si="0"/>
        <v>856669</v>
      </c>
      <c r="E11" s="535">
        <f t="shared" si="1"/>
        <v>0</v>
      </c>
      <c r="H11" s="496"/>
      <c r="I11" s="497"/>
      <c r="J11" s="541">
        <f t="shared" si="2"/>
        <v>36916</v>
      </c>
      <c r="K11" s="498"/>
      <c r="L11" s="543">
        <f t="shared" si="3"/>
        <v>0</v>
      </c>
      <c r="M11" s="347"/>
      <c r="N11" s="500"/>
      <c r="O11" s="501"/>
      <c r="P11" s="501"/>
      <c r="Q11" s="549">
        <f t="shared" si="4"/>
        <v>159814</v>
      </c>
      <c r="R11" s="502"/>
      <c r="S11" s="551">
        <f t="shared" si="5"/>
        <v>0</v>
      </c>
      <c r="T11" s="347"/>
      <c r="U11" s="504"/>
      <c r="V11" s="505"/>
      <c r="W11" s="505"/>
      <c r="X11" s="556">
        <f t="shared" si="6"/>
        <v>26290</v>
      </c>
      <c r="Y11" s="506">
        <f>'TABEL INPUT'!I36</f>
        <v>0</v>
      </c>
      <c r="AA11" s="507"/>
      <c r="AB11" s="508"/>
      <c r="AC11" s="508"/>
      <c r="AD11" s="560">
        <f t="shared" si="7"/>
        <v>21907</v>
      </c>
      <c r="AE11" s="509"/>
      <c r="AG11" s="510"/>
      <c r="AH11" s="511"/>
      <c r="AI11" s="511"/>
      <c r="AJ11" s="564">
        <f t="shared" si="8"/>
        <v>82000</v>
      </c>
      <c r="AK11" s="512"/>
      <c r="AL11" s="513"/>
      <c r="AM11" s="514"/>
      <c r="AN11" s="515"/>
      <c r="AO11" s="515"/>
      <c r="AP11" s="568">
        <f t="shared" si="9"/>
        <v>46000</v>
      </c>
      <c r="AQ11" s="516"/>
      <c r="AR11" s="513"/>
      <c r="AS11" s="514"/>
      <c r="AT11" s="515"/>
      <c r="AU11" s="515"/>
      <c r="AV11" s="568">
        <f t="shared" si="10"/>
        <v>69862</v>
      </c>
      <c r="AW11" s="516"/>
      <c r="AY11" s="396" t="s">
        <v>247</v>
      </c>
      <c r="AZ11" s="351">
        <f>'TABEL INPUT'!I47</f>
        <v>0</v>
      </c>
      <c r="BA11" s="352"/>
      <c r="BB11" s="352"/>
      <c r="BC11" s="400">
        <f t="shared" si="11"/>
        <v>0</v>
      </c>
    </row>
    <row r="12" spans="1:55">
      <c r="A12" s="332"/>
      <c r="B12" s="334"/>
      <c r="C12" s="334"/>
      <c r="D12" s="379">
        <f t="shared" si="0"/>
        <v>856669</v>
      </c>
      <c r="E12" s="535">
        <f t="shared" si="1"/>
        <v>0</v>
      </c>
      <c r="H12" s="496"/>
      <c r="I12" s="497"/>
      <c r="J12" s="541">
        <f t="shared" si="2"/>
        <v>36916</v>
      </c>
      <c r="K12" s="498"/>
      <c r="L12" s="543">
        <f t="shared" si="3"/>
        <v>0</v>
      </c>
      <c r="M12" s="347"/>
      <c r="N12" s="500"/>
      <c r="O12" s="501"/>
      <c r="P12" s="501"/>
      <c r="Q12" s="549">
        <f t="shared" si="4"/>
        <v>159814</v>
      </c>
      <c r="R12" s="502"/>
      <c r="S12" s="551">
        <f t="shared" si="5"/>
        <v>0</v>
      </c>
      <c r="T12" s="347"/>
      <c r="U12" s="504"/>
      <c r="V12" s="505"/>
      <c r="W12" s="505"/>
      <c r="X12" s="556">
        <f t="shared" si="6"/>
        <v>26290</v>
      </c>
      <c r="Y12" s="506">
        <f>'TABEL INPUT'!I37</f>
        <v>0</v>
      </c>
      <c r="AA12" s="507"/>
      <c r="AB12" s="508"/>
      <c r="AC12" s="508"/>
      <c r="AD12" s="560">
        <f t="shared" si="7"/>
        <v>21907</v>
      </c>
      <c r="AE12" s="509"/>
      <c r="AG12" s="510"/>
      <c r="AH12" s="511"/>
      <c r="AI12" s="511"/>
      <c r="AJ12" s="564">
        <f t="shared" si="8"/>
        <v>82000</v>
      </c>
      <c r="AK12" s="512"/>
      <c r="AL12" s="513"/>
      <c r="AM12" s="514"/>
      <c r="AN12" s="515"/>
      <c r="AO12" s="515"/>
      <c r="AP12" s="568">
        <f t="shared" si="9"/>
        <v>46000</v>
      </c>
      <c r="AQ12" s="516"/>
      <c r="AR12" s="513"/>
      <c r="AS12" s="514"/>
      <c r="AT12" s="515"/>
      <c r="AU12" s="515"/>
      <c r="AV12" s="568">
        <f t="shared" si="10"/>
        <v>69862</v>
      </c>
      <c r="AW12" s="516"/>
      <c r="AY12" s="396" t="s">
        <v>187</v>
      </c>
      <c r="AZ12" s="351">
        <f>'TABEL INPUT'!I48</f>
        <v>0</v>
      </c>
      <c r="BA12" s="352"/>
      <c r="BB12" s="352"/>
      <c r="BC12" s="400">
        <f t="shared" si="11"/>
        <v>0</v>
      </c>
    </row>
    <row r="13" spans="1:55">
      <c r="A13" s="332"/>
      <c r="B13" s="334"/>
      <c r="C13" s="334"/>
      <c r="D13" s="379">
        <f t="shared" si="0"/>
        <v>856669</v>
      </c>
      <c r="E13" s="535">
        <f t="shared" si="1"/>
        <v>0</v>
      </c>
      <c r="H13" s="496"/>
      <c r="I13" s="497"/>
      <c r="J13" s="541">
        <f t="shared" si="2"/>
        <v>36916</v>
      </c>
      <c r="K13" s="498"/>
      <c r="L13" s="543">
        <f t="shared" si="3"/>
        <v>0</v>
      </c>
      <c r="M13" s="347"/>
      <c r="N13" s="500"/>
      <c r="O13" s="501"/>
      <c r="P13" s="501"/>
      <c r="Q13" s="549">
        <f t="shared" si="4"/>
        <v>159814</v>
      </c>
      <c r="R13" s="502"/>
      <c r="S13" s="551">
        <f t="shared" si="5"/>
        <v>0</v>
      </c>
      <c r="T13" s="347"/>
      <c r="U13" s="504"/>
      <c r="V13" s="505"/>
      <c r="W13" s="505"/>
      <c r="X13" s="556">
        <f t="shared" si="6"/>
        <v>26290</v>
      </c>
      <c r="Y13" s="506">
        <f>'TABEL INPUT'!I38</f>
        <v>0</v>
      </c>
      <c r="AA13" s="507"/>
      <c r="AB13" s="508"/>
      <c r="AC13" s="508"/>
      <c r="AD13" s="560">
        <f t="shared" si="7"/>
        <v>21907</v>
      </c>
      <c r="AE13" s="509"/>
      <c r="AG13" s="510"/>
      <c r="AH13" s="511"/>
      <c r="AI13" s="511"/>
      <c r="AJ13" s="564">
        <f t="shared" si="8"/>
        <v>82000</v>
      </c>
      <c r="AK13" s="512"/>
      <c r="AL13" s="513"/>
      <c r="AM13" s="514"/>
      <c r="AN13" s="515"/>
      <c r="AO13" s="515"/>
      <c r="AP13" s="568">
        <f t="shared" si="9"/>
        <v>46000</v>
      </c>
      <c r="AQ13" s="516"/>
      <c r="AR13" s="513"/>
      <c r="AS13" s="514"/>
      <c r="AT13" s="515"/>
      <c r="AU13" s="515"/>
      <c r="AV13" s="568">
        <f t="shared" si="10"/>
        <v>69862</v>
      </c>
      <c r="AW13" s="516"/>
      <c r="AY13" s="396" t="s">
        <v>246</v>
      </c>
      <c r="AZ13" s="351">
        <f>'TABEL INPUT'!I49</f>
        <v>0</v>
      </c>
      <c r="BA13" s="352"/>
      <c r="BB13" s="352"/>
      <c r="BC13" s="400">
        <f t="shared" si="11"/>
        <v>0</v>
      </c>
    </row>
    <row r="14" spans="1:55">
      <c r="A14" s="332"/>
      <c r="B14" s="334"/>
      <c r="C14" s="334"/>
      <c r="D14" s="379">
        <f t="shared" si="0"/>
        <v>856669</v>
      </c>
      <c r="E14" s="535">
        <f t="shared" si="1"/>
        <v>0</v>
      </c>
      <c r="H14" s="496"/>
      <c r="I14" s="497"/>
      <c r="J14" s="541">
        <f t="shared" si="2"/>
        <v>36916</v>
      </c>
      <c r="K14" s="498"/>
      <c r="L14" s="543">
        <f t="shared" si="3"/>
        <v>0</v>
      </c>
      <c r="M14" s="347"/>
      <c r="N14" s="500"/>
      <c r="O14" s="501"/>
      <c r="P14" s="501"/>
      <c r="Q14" s="549">
        <f t="shared" si="4"/>
        <v>159814</v>
      </c>
      <c r="R14" s="502"/>
      <c r="S14" s="551">
        <f t="shared" si="5"/>
        <v>0</v>
      </c>
      <c r="T14" s="347"/>
      <c r="U14" s="504"/>
      <c r="V14" s="505"/>
      <c r="W14" s="505"/>
      <c r="X14" s="556">
        <f t="shared" si="6"/>
        <v>26290</v>
      </c>
      <c r="Y14" s="506"/>
      <c r="AA14" s="507"/>
      <c r="AB14" s="508"/>
      <c r="AC14" s="508"/>
      <c r="AD14" s="560">
        <f t="shared" si="7"/>
        <v>21907</v>
      </c>
      <c r="AE14" s="509"/>
      <c r="AG14" s="510"/>
      <c r="AH14" s="511"/>
      <c r="AI14" s="511"/>
      <c r="AJ14" s="564">
        <f t="shared" si="8"/>
        <v>82000</v>
      </c>
      <c r="AK14" s="512"/>
      <c r="AL14" s="513"/>
      <c r="AM14" s="514"/>
      <c r="AN14" s="515"/>
      <c r="AO14" s="515"/>
      <c r="AP14" s="568">
        <f t="shared" si="9"/>
        <v>46000</v>
      </c>
      <c r="AQ14" s="516"/>
      <c r="AR14" s="513"/>
      <c r="AS14" s="514"/>
      <c r="AT14" s="515"/>
      <c r="AU14" s="515"/>
      <c r="AV14" s="568">
        <f t="shared" si="10"/>
        <v>69862</v>
      </c>
      <c r="AW14" s="516"/>
      <c r="AY14" s="396" t="s">
        <v>334</v>
      </c>
      <c r="AZ14" s="351">
        <f>'TABEL INPUT'!I50</f>
        <v>0</v>
      </c>
      <c r="BA14" s="352"/>
      <c r="BB14" s="352"/>
      <c r="BC14" s="400">
        <f t="shared" si="11"/>
        <v>0</v>
      </c>
    </row>
    <row r="15" spans="1:55">
      <c r="A15" s="332"/>
      <c r="B15" s="334"/>
      <c r="C15" s="334"/>
      <c r="D15" s="379">
        <f t="shared" si="0"/>
        <v>856669</v>
      </c>
      <c r="E15" s="535">
        <f t="shared" si="1"/>
        <v>0</v>
      </c>
      <c r="H15" s="496"/>
      <c r="I15" s="497"/>
      <c r="J15" s="541">
        <f t="shared" si="2"/>
        <v>36916</v>
      </c>
      <c r="K15" s="498"/>
      <c r="L15" s="543">
        <f t="shared" si="3"/>
        <v>0</v>
      </c>
      <c r="M15" s="347"/>
      <c r="N15" s="500"/>
      <c r="O15" s="501"/>
      <c r="P15" s="501"/>
      <c r="Q15" s="549">
        <f t="shared" si="4"/>
        <v>159814</v>
      </c>
      <c r="R15" s="502"/>
      <c r="S15" s="551">
        <f t="shared" si="5"/>
        <v>0</v>
      </c>
      <c r="T15" s="347"/>
      <c r="U15" s="504"/>
      <c r="V15" s="505"/>
      <c r="W15" s="505"/>
      <c r="X15" s="556">
        <f t="shared" si="6"/>
        <v>26290</v>
      </c>
      <c r="Y15" s="506"/>
      <c r="AA15" s="507"/>
      <c r="AB15" s="508"/>
      <c r="AC15" s="508"/>
      <c r="AD15" s="560">
        <f t="shared" si="7"/>
        <v>21907</v>
      </c>
      <c r="AE15" s="509"/>
      <c r="AG15" s="510"/>
      <c r="AH15" s="511"/>
      <c r="AI15" s="511"/>
      <c r="AJ15" s="564">
        <f t="shared" si="8"/>
        <v>82000</v>
      </c>
      <c r="AK15" s="512"/>
      <c r="AL15" s="513"/>
      <c r="AM15" s="514"/>
      <c r="AN15" s="515"/>
      <c r="AO15" s="515"/>
      <c r="AP15" s="568">
        <f t="shared" si="9"/>
        <v>46000</v>
      </c>
      <c r="AQ15" s="516"/>
      <c r="AR15" s="513"/>
      <c r="AS15" s="514"/>
      <c r="AT15" s="515"/>
      <c r="AU15" s="515"/>
      <c r="AV15" s="568">
        <f t="shared" si="10"/>
        <v>69862</v>
      </c>
      <c r="AW15" s="516"/>
      <c r="AY15" s="396" t="s">
        <v>27</v>
      </c>
      <c r="AZ15" s="351">
        <f>'TABEL INPUT'!I52</f>
        <v>0</v>
      </c>
      <c r="BA15" s="352"/>
      <c r="BB15" s="352"/>
      <c r="BC15" s="400">
        <f t="shared" si="11"/>
        <v>0</v>
      </c>
    </row>
    <row r="16" spans="1:55" ht="15" thickBot="1">
      <c r="A16" s="332"/>
      <c r="B16" s="334"/>
      <c r="C16" s="334"/>
      <c r="D16" s="379">
        <f t="shared" si="0"/>
        <v>856669</v>
      </c>
      <c r="E16" s="535">
        <f t="shared" si="1"/>
        <v>0</v>
      </c>
      <c r="H16" s="496"/>
      <c r="I16" s="497"/>
      <c r="J16" s="541">
        <f t="shared" si="2"/>
        <v>36916</v>
      </c>
      <c r="K16" s="498"/>
      <c r="L16" s="543">
        <f t="shared" si="3"/>
        <v>0</v>
      </c>
      <c r="M16" s="347"/>
      <c r="N16" s="500"/>
      <c r="O16" s="501"/>
      <c r="P16" s="501"/>
      <c r="Q16" s="549">
        <f t="shared" si="4"/>
        <v>159814</v>
      </c>
      <c r="R16" s="502"/>
      <c r="S16" s="551">
        <f t="shared" si="5"/>
        <v>0</v>
      </c>
      <c r="T16" s="347"/>
      <c r="U16" s="504"/>
      <c r="V16" s="505"/>
      <c r="W16" s="505"/>
      <c r="X16" s="556">
        <f t="shared" si="6"/>
        <v>26290</v>
      </c>
      <c r="Y16" s="506"/>
      <c r="AA16" s="507"/>
      <c r="AB16" s="508"/>
      <c r="AC16" s="508"/>
      <c r="AD16" s="560">
        <f t="shared" si="7"/>
        <v>21907</v>
      </c>
      <c r="AE16" s="509"/>
      <c r="AG16" s="510"/>
      <c r="AH16" s="511"/>
      <c r="AI16" s="511"/>
      <c r="AJ16" s="564">
        <f t="shared" si="8"/>
        <v>82000</v>
      </c>
      <c r="AK16" s="512"/>
      <c r="AL16" s="513"/>
      <c r="AM16" s="514"/>
      <c r="AN16" s="515"/>
      <c r="AO16" s="515"/>
      <c r="AP16" s="568">
        <f t="shared" si="9"/>
        <v>46000</v>
      </c>
      <c r="AQ16" s="516"/>
      <c r="AR16" s="513"/>
      <c r="AS16" s="514"/>
      <c r="AT16" s="515"/>
      <c r="AU16" s="515"/>
      <c r="AV16" s="568">
        <f t="shared" si="10"/>
        <v>69862</v>
      </c>
      <c r="AW16" s="516"/>
      <c r="AY16" s="397"/>
      <c r="AZ16" s="354"/>
      <c r="BA16" s="355"/>
      <c r="BB16" s="355"/>
      <c r="BC16" s="401"/>
    </row>
    <row r="17" spans="1:55" ht="15" thickBot="1">
      <c r="A17" s="332"/>
      <c r="B17" s="334"/>
      <c r="C17" s="334"/>
      <c r="D17" s="379">
        <f t="shared" si="0"/>
        <v>856669</v>
      </c>
      <c r="E17" s="535">
        <f t="shared" si="1"/>
        <v>0</v>
      </c>
      <c r="H17" s="496"/>
      <c r="I17" s="497"/>
      <c r="J17" s="541">
        <f t="shared" si="2"/>
        <v>36916</v>
      </c>
      <c r="K17" s="498"/>
      <c r="L17" s="543">
        <f t="shared" si="3"/>
        <v>0</v>
      </c>
      <c r="M17" s="347"/>
      <c r="N17" s="500"/>
      <c r="O17" s="501"/>
      <c r="P17" s="501"/>
      <c r="Q17" s="549">
        <f t="shared" si="4"/>
        <v>159814</v>
      </c>
      <c r="R17" s="502"/>
      <c r="S17" s="551">
        <f t="shared" si="5"/>
        <v>0</v>
      </c>
      <c r="T17" s="347"/>
      <c r="U17" s="504"/>
      <c r="V17" s="505"/>
      <c r="W17" s="505"/>
      <c r="X17" s="556">
        <f t="shared" si="6"/>
        <v>26290</v>
      </c>
      <c r="Y17" s="506"/>
      <c r="AA17" s="507"/>
      <c r="AB17" s="508"/>
      <c r="AC17" s="508"/>
      <c r="AD17" s="560">
        <f t="shared" si="7"/>
        <v>21907</v>
      </c>
      <c r="AE17" s="509"/>
      <c r="AG17" s="510"/>
      <c r="AH17" s="511"/>
      <c r="AI17" s="511"/>
      <c r="AJ17" s="564">
        <f t="shared" si="8"/>
        <v>82000</v>
      </c>
      <c r="AK17" s="512"/>
      <c r="AL17" s="513"/>
      <c r="AM17" s="514"/>
      <c r="AN17" s="515"/>
      <c r="AO17" s="515"/>
      <c r="AP17" s="568">
        <f t="shared" si="9"/>
        <v>46000</v>
      </c>
      <c r="AQ17" s="516"/>
      <c r="AR17" s="513"/>
      <c r="AS17" s="514"/>
      <c r="AT17" s="515"/>
      <c r="AU17" s="515"/>
      <c r="AV17" s="568">
        <f t="shared" si="10"/>
        <v>69862</v>
      </c>
      <c r="AW17" s="516"/>
      <c r="AY17" s="398" t="s">
        <v>13</v>
      </c>
      <c r="AZ17" s="1363">
        <f>BC7+BC8+BC9+BC10+BC11+BC12+BC13+BC14+BC15</f>
        <v>0</v>
      </c>
      <c r="BA17" s="1363"/>
      <c r="BB17" s="1363"/>
      <c r="BC17" s="1364"/>
    </row>
    <row r="18" spans="1:55" ht="15" thickTop="1">
      <c r="A18" s="332"/>
      <c r="B18" s="334"/>
      <c r="C18" s="334"/>
      <c r="D18" s="379">
        <f t="shared" si="0"/>
        <v>856669</v>
      </c>
      <c r="E18" s="535">
        <f t="shared" si="1"/>
        <v>0</v>
      </c>
      <c r="H18" s="496"/>
      <c r="I18" s="497"/>
      <c r="J18" s="541">
        <f t="shared" si="2"/>
        <v>36916</v>
      </c>
      <c r="K18" s="498"/>
      <c r="L18" s="543">
        <f t="shared" si="3"/>
        <v>0</v>
      </c>
      <c r="M18" s="347"/>
      <c r="N18" s="500"/>
      <c r="O18" s="501"/>
      <c r="P18" s="501"/>
      <c r="Q18" s="549">
        <f t="shared" si="4"/>
        <v>159814</v>
      </c>
      <c r="R18" s="502"/>
      <c r="S18" s="551">
        <f t="shared" si="5"/>
        <v>0</v>
      </c>
      <c r="T18" s="347"/>
      <c r="U18" s="504"/>
      <c r="V18" s="505"/>
      <c r="W18" s="505"/>
      <c r="X18" s="556">
        <f t="shared" si="6"/>
        <v>26290</v>
      </c>
      <c r="Y18" s="506"/>
      <c r="AA18" s="507"/>
      <c r="AB18" s="508"/>
      <c r="AC18" s="508"/>
      <c r="AD18" s="560">
        <f t="shared" si="7"/>
        <v>21907</v>
      </c>
      <c r="AE18" s="509"/>
      <c r="AG18" s="510"/>
      <c r="AH18" s="511"/>
      <c r="AI18" s="511"/>
      <c r="AJ18" s="564">
        <f t="shared" si="8"/>
        <v>82000</v>
      </c>
      <c r="AK18" s="512"/>
      <c r="AL18" s="513"/>
      <c r="AM18" s="514"/>
      <c r="AN18" s="515"/>
      <c r="AO18" s="515"/>
      <c r="AP18" s="568">
        <f t="shared" si="9"/>
        <v>46000</v>
      </c>
      <c r="AQ18" s="516"/>
      <c r="AR18" s="513"/>
      <c r="AS18" s="514"/>
      <c r="AT18" s="515"/>
      <c r="AU18" s="515"/>
      <c r="AV18" s="568">
        <f t="shared" si="10"/>
        <v>69862</v>
      </c>
      <c r="AW18" s="516"/>
    </row>
    <row r="19" spans="1:55">
      <c r="A19" s="332"/>
      <c r="B19" s="334"/>
      <c r="C19" s="334"/>
      <c r="D19" s="379">
        <f t="shared" si="0"/>
        <v>856669</v>
      </c>
      <c r="E19" s="535">
        <f t="shared" si="1"/>
        <v>0</v>
      </c>
      <c r="H19" s="496"/>
      <c r="I19" s="497"/>
      <c r="J19" s="541">
        <f t="shared" si="2"/>
        <v>36916</v>
      </c>
      <c r="K19" s="498"/>
      <c r="L19" s="543">
        <f t="shared" si="3"/>
        <v>0</v>
      </c>
      <c r="M19" s="347"/>
      <c r="N19" s="500"/>
      <c r="O19" s="501"/>
      <c r="P19" s="501"/>
      <c r="Q19" s="549">
        <f t="shared" si="4"/>
        <v>159814</v>
      </c>
      <c r="R19" s="502"/>
      <c r="S19" s="551">
        <f t="shared" si="5"/>
        <v>0</v>
      </c>
      <c r="T19" s="347"/>
      <c r="U19" s="504"/>
      <c r="V19" s="505"/>
      <c r="W19" s="505"/>
      <c r="X19" s="556">
        <f t="shared" si="6"/>
        <v>26290</v>
      </c>
      <c r="Y19" s="506"/>
      <c r="AA19" s="507"/>
      <c r="AB19" s="508"/>
      <c r="AC19" s="508"/>
      <c r="AD19" s="560">
        <f t="shared" si="7"/>
        <v>21907</v>
      </c>
      <c r="AE19" s="509"/>
      <c r="AG19" s="510"/>
      <c r="AH19" s="511"/>
      <c r="AI19" s="511"/>
      <c r="AJ19" s="564">
        <f t="shared" si="8"/>
        <v>82000</v>
      </c>
      <c r="AK19" s="512"/>
      <c r="AL19" s="513"/>
      <c r="AM19" s="514"/>
      <c r="AN19" s="515"/>
      <c r="AO19" s="515"/>
      <c r="AP19" s="568">
        <f t="shared" si="9"/>
        <v>46000</v>
      </c>
      <c r="AQ19" s="516"/>
      <c r="AR19" s="513"/>
      <c r="AS19" s="514"/>
      <c r="AT19" s="515"/>
      <c r="AU19" s="515"/>
      <c r="AV19" s="568">
        <f t="shared" si="10"/>
        <v>69862</v>
      </c>
      <c r="AW19" s="516"/>
    </row>
    <row r="20" spans="1:55">
      <c r="A20" s="332"/>
      <c r="B20" s="334"/>
      <c r="C20" s="334"/>
      <c r="D20" s="379">
        <f t="shared" si="0"/>
        <v>856669</v>
      </c>
      <c r="E20" s="535">
        <f t="shared" si="1"/>
        <v>0</v>
      </c>
      <c r="H20" s="496"/>
      <c r="I20" s="497"/>
      <c r="J20" s="541">
        <f t="shared" si="2"/>
        <v>36916</v>
      </c>
      <c r="K20" s="498"/>
      <c r="L20" s="543">
        <f t="shared" si="3"/>
        <v>0</v>
      </c>
      <c r="M20" s="347"/>
      <c r="N20" s="500"/>
      <c r="O20" s="501"/>
      <c r="P20" s="501"/>
      <c r="Q20" s="549">
        <f t="shared" si="4"/>
        <v>159814</v>
      </c>
      <c r="R20" s="502"/>
      <c r="S20" s="551">
        <f t="shared" si="5"/>
        <v>0</v>
      </c>
      <c r="T20" s="347"/>
      <c r="U20" s="504"/>
      <c r="V20" s="505"/>
      <c r="W20" s="505"/>
      <c r="X20" s="556">
        <f t="shared" si="6"/>
        <v>26290</v>
      </c>
      <c r="Y20" s="506"/>
      <c r="AA20" s="507"/>
      <c r="AB20" s="508"/>
      <c r="AC20" s="508"/>
      <c r="AD20" s="560">
        <f t="shared" si="7"/>
        <v>21907</v>
      </c>
      <c r="AE20" s="509"/>
      <c r="AG20" s="510"/>
      <c r="AH20" s="511"/>
      <c r="AI20" s="511"/>
      <c r="AJ20" s="564">
        <f t="shared" si="8"/>
        <v>82000</v>
      </c>
      <c r="AK20" s="512"/>
      <c r="AL20" s="513"/>
      <c r="AM20" s="514"/>
      <c r="AN20" s="515"/>
      <c r="AO20" s="515"/>
      <c r="AP20" s="568">
        <f t="shared" si="9"/>
        <v>46000</v>
      </c>
      <c r="AQ20" s="516"/>
      <c r="AR20" s="513"/>
      <c r="AS20" s="514"/>
      <c r="AT20" s="515"/>
      <c r="AU20" s="515"/>
      <c r="AV20" s="568">
        <f t="shared" si="10"/>
        <v>69862</v>
      </c>
      <c r="AW20" s="516"/>
    </row>
    <row r="21" spans="1:55">
      <c r="A21" s="332"/>
      <c r="B21" s="334"/>
      <c r="C21" s="334"/>
      <c r="D21" s="379">
        <f t="shared" si="0"/>
        <v>856669</v>
      </c>
      <c r="E21" s="535">
        <f t="shared" si="1"/>
        <v>0</v>
      </c>
      <c r="H21" s="496"/>
      <c r="I21" s="497"/>
      <c r="J21" s="541">
        <f t="shared" si="2"/>
        <v>36916</v>
      </c>
      <c r="K21" s="498"/>
      <c r="L21" s="543">
        <f t="shared" si="3"/>
        <v>0</v>
      </c>
      <c r="M21" s="347"/>
      <c r="N21" s="500"/>
      <c r="O21" s="501"/>
      <c r="P21" s="501"/>
      <c r="Q21" s="549">
        <f t="shared" si="4"/>
        <v>159814</v>
      </c>
      <c r="R21" s="502"/>
      <c r="S21" s="551">
        <f t="shared" si="5"/>
        <v>0</v>
      </c>
      <c r="T21" s="347"/>
      <c r="U21" s="504"/>
      <c r="V21" s="505"/>
      <c r="W21" s="505"/>
      <c r="X21" s="556">
        <f t="shared" si="6"/>
        <v>26290</v>
      </c>
      <c r="Y21" s="506"/>
      <c r="AA21" s="507"/>
      <c r="AB21" s="508"/>
      <c r="AC21" s="508"/>
      <c r="AD21" s="560">
        <f t="shared" si="7"/>
        <v>21907</v>
      </c>
      <c r="AE21" s="509"/>
      <c r="AG21" s="510"/>
      <c r="AH21" s="511"/>
      <c r="AI21" s="511"/>
      <c r="AJ21" s="564">
        <f t="shared" si="8"/>
        <v>82000</v>
      </c>
      <c r="AK21" s="512"/>
      <c r="AL21" s="513"/>
      <c r="AM21" s="514"/>
      <c r="AN21" s="515"/>
      <c r="AO21" s="515"/>
      <c r="AP21" s="568">
        <f t="shared" si="9"/>
        <v>46000</v>
      </c>
      <c r="AQ21" s="516"/>
      <c r="AR21" s="513"/>
      <c r="AS21" s="514"/>
      <c r="AT21" s="515"/>
      <c r="AU21" s="515"/>
      <c r="AV21" s="568">
        <f t="shared" si="10"/>
        <v>69862</v>
      </c>
      <c r="AW21" s="516"/>
    </row>
    <row r="22" spans="1:55">
      <c r="A22" s="332"/>
      <c r="B22" s="334"/>
      <c r="C22" s="334"/>
      <c r="D22" s="379">
        <f t="shared" si="0"/>
        <v>856669</v>
      </c>
      <c r="E22" s="535">
        <f t="shared" si="1"/>
        <v>0</v>
      </c>
      <c r="H22" s="496"/>
      <c r="I22" s="497"/>
      <c r="J22" s="541">
        <f t="shared" si="2"/>
        <v>36916</v>
      </c>
      <c r="K22" s="498"/>
      <c r="L22" s="543">
        <f t="shared" si="3"/>
        <v>0</v>
      </c>
      <c r="M22" s="347"/>
      <c r="N22" s="500"/>
      <c r="O22" s="501"/>
      <c r="P22" s="501"/>
      <c r="Q22" s="549">
        <f t="shared" si="4"/>
        <v>159814</v>
      </c>
      <c r="R22" s="502"/>
      <c r="S22" s="551">
        <f t="shared" si="5"/>
        <v>0</v>
      </c>
      <c r="T22" s="347"/>
      <c r="U22" s="504"/>
      <c r="V22" s="505"/>
      <c r="W22" s="505"/>
      <c r="X22" s="556">
        <f t="shared" si="6"/>
        <v>26290</v>
      </c>
      <c r="Y22" s="506"/>
      <c r="AA22" s="507"/>
      <c r="AB22" s="508"/>
      <c r="AC22" s="508"/>
      <c r="AD22" s="560">
        <f t="shared" si="7"/>
        <v>21907</v>
      </c>
      <c r="AE22" s="509"/>
      <c r="AG22" s="510"/>
      <c r="AH22" s="511"/>
      <c r="AI22" s="511"/>
      <c r="AJ22" s="564">
        <f t="shared" si="8"/>
        <v>82000</v>
      </c>
      <c r="AK22" s="512"/>
      <c r="AL22" s="513"/>
      <c r="AM22" s="514"/>
      <c r="AN22" s="515"/>
      <c r="AO22" s="515"/>
      <c r="AP22" s="568">
        <f t="shared" si="9"/>
        <v>46000</v>
      </c>
      <c r="AQ22" s="516"/>
      <c r="AR22" s="513"/>
      <c r="AS22" s="514"/>
      <c r="AT22" s="515"/>
      <c r="AU22" s="515"/>
      <c r="AV22" s="568">
        <f t="shared" si="10"/>
        <v>69862</v>
      </c>
      <c r="AW22" s="516"/>
    </row>
    <row r="23" spans="1:55">
      <c r="A23" s="332"/>
      <c r="B23" s="334"/>
      <c r="C23" s="334"/>
      <c r="D23" s="379">
        <f t="shared" si="0"/>
        <v>856669</v>
      </c>
      <c r="E23" s="535">
        <f t="shared" si="1"/>
        <v>0</v>
      </c>
      <c r="H23" s="496"/>
      <c r="I23" s="497"/>
      <c r="J23" s="541">
        <f t="shared" si="2"/>
        <v>36916</v>
      </c>
      <c r="K23" s="498"/>
      <c r="L23" s="543">
        <f t="shared" si="3"/>
        <v>0</v>
      </c>
      <c r="M23" s="347"/>
      <c r="N23" s="500"/>
      <c r="O23" s="501"/>
      <c r="P23" s="501"/>
      <c r="Q23" s="549">
        <f t="shared" si="4"/>
        <v>159814</v>
      </c>
      <c r="R23" s="502"/>
      <c r="S23" s="551">
        <f t="shared" si="5"/>
        <v>0</v>
      </c>
      <c r="T23" s="347"/>
      <c r="U23" s="504"/>
      <c r="V23" s="505"/>
      <c r="W23" s="505"/>
      <c r="X23" s="556">
        <f t="shared" si="6"/>
        <v>26290</v>
      </c>
      <c r="Y23" s="506"/>
      <c r="AA23" s="507"/>
      <c r="AB23" s="508"/>
      <c r="AC23" s="508"/>
      <c r="AD23" s="560">
        <f t="shared" si="7"/>
        <v>21907</v>
      </c>
      <c r="AE23" s="509"/>
      <c r="AG23" s="510"/>
      <c r="AH23" s="511"/>
      <c r="AI23" s="511"/>
      <c r="AJ23" s="564">
        <f t="shared" si="8"/>
        <v>82000</v>
      </c>
      <c r="AK23" s="512"/>
      <c r="AL23" s="513"/>
      <c r="AM23" s="514"/>
      <c r="AN23" s="515"/>
      <c r="AO23" s="515"/>
      <c r="AP23" s="568">
        <f t="shared" si="9"/>
        <v>46000</v>
      </c>
      <c r="AQ23" s="516"/>
      <c r="AR23" s="513"/>
      <c r="AS23" s="514"/>
      <c r="AT23" s="515"/>
      <c r="AU23" s="515"/>
      <c r="AV23" s="568">
        <f t="shared" si="10"/>
        <v>69862</v>
      </c>
      <c r="AW23" s="516"/>
    </row>
    <row r="24" spans="1:55">
      <c r="A24" s="332"/>
      <c r="B24" s="334"/>
      <c r="C24" s="334"/>
      <c r="D24" s="379">
        <f t="shared" si="0"/>
        <v>856669</v>
      </c>
      <c r="E24" s="535">
        <f t="shared" si="1"/>
        <v>0</v>
      </c>
      <c r="H24" s="496"/>
      <c r="I24" s="497"/>
      <c r="J24" s="541">
        <f t="shared" si="2"/>
        <v>36916</v>
      </c>
      <c r="K24" s="498"/>
      <c r="L24" s="543">
        <f t="shared" si="3"/>
        <v>0</v>
      </c>
      <c r="M24" s="347"/>
      <c r="N24" s="500"/>
      <c r="O24" s="501"/>
      <c r="P24" s="501"/>
      <c r="Q24" s="549">
        <f t="shared" si="4"/>
        <v>159814</v>
      </c>
      <c r="R24" s="502"/>
      <c r="S24" s="551">
        <f t="shared" si="5"/>
        <v>0</v>
      </c>
      <c r="T24" s="347"/>
      <c r="U24" s="504"/>
      <c r="V24" s="505"/>
      <c r="W24" s="505"/>
      <c r="X24" s="556">
        <f t="shared" si="6"/>
        <v>26290</v>
      </c>
      <c r="Y24" s="506"/>
      <c r="AA24" s="507"/>
      <c r="AB24" s="508"/>
      <c r="AC24" s="508"/>
      <c r="AD24" s="560">
        <f t="shared" si="7"/>
        <v>21907</v>
      </c>
      <c r="AE24" s="509"/>
      <c r="AG24" s="510"/>
      <c r="AH24" s="511"/>
      <c r="AI24" s="511"/>
      <c r="AJ24" s="564">
        <f t="shared" si="8"/>
        <v>82000</v>
      </c>
      <c r="AK24" s="512"/>
      <c r="AL24" s="513"/>
      <c r="AM24" s="514"/>
      <c r="AN24" s="515"/>
      <c r="AO24" s="515"/>
      <c r="AP24" s="568">
        <f t="shared" si="9"/>
        <v>46000</v>
      </c>
      <c r="AQ24" s="516"/>
      <c r="AR24" s="513"/>
      <c r="AS24" s="514"/>
      <c r="AT24" s="515"/>
      <c r="AU24" s="515"/>
      <c r="AV24" s="568">
        <f t="shared" si="10"/>
        <v>69862</v>
      </c>
      <c r="AW24" s="516"/>
    </row>
    <row r="25" spans="1:55">
      <c r="A25" s="332"/>
      <c r="B25" s="334"/>
      <c r="C25" s="334"/>
      <c r="D25" s="379">
        <f t="shared" si="0"/>
        <v>856669</v>
      </c>
      <c r="E25" s="535">
        <f t="shared" si="1"/>
        <v>0</v>
      </c>
      <c r="H25" s="496"/>
      <c r="I25" s="497"/>
      <c r="J25" s="541">
        <f t="shared" si="2"/>
        <v>36916</v>
      </c>
      <c r="K25" s="498"/>
      <c r="L25" s="543">
        <f t="shared" si="3"/>
        <v>0</v>
      </c>
      <c r="M25" s="347"/>
      <c r="N25" s="500"/>
      <c r="O25" s="501"/>
      <c r="P25" s="501"/>
      <c r="Q25" s="549">
        <f t="shared" si="4"/>
        <v>159814</v>
      </c>
      <c r="R25" s="502"/>
      <c r="S25" s="551">
        <f t="shared" si="5"/>
        <v>0</v>
      </c>
      <c r="T25" s="347"/>
      <c r="U25" s="504"/>
      <c r="V25" s="505"/>
      <c r="W25" s="505"/>
      <c r="X25" s="556">
        <f t="shared" si="6"/>
        <v>26290</v>
      </c>
      <c r="Y25" s="506"/>
      <c r="AA25" s="507"/>
      <c r="AB25" s="508"/>
      <c r="AC25" s="508"/>
      <c r="AD25" s="560">
        <f t="shared" si="7"/>
        <v>21907</v>
      </c>
      <c r="AE25" s="509"/>
      <c r="AG25" s="510"/>
      <c r="AH25" s="511"/>
      <c r="AI25" s="511"/>
      <c r="AJ25" s="564">
        <f t="shared" si="8"/>
        <v>82000</v>
      </c>
      <c r="AK25" s="512"/>
      <c r="AL25" s="513"/>
      <c r="AM25" s="514"/>
      <c r="AN25" s="515"/>
      <c r="AO25" s="515"/>
      <c r="AP25" s="568">
        <f t="shared" si="9"/>
        <v>46000</v>
      </c>
      <c r="AQ25" s="516"/>
      <c r="AR25" s="513"/>
      <c r="AS25" s="514"/>
      <c r="AT25" s="515"/>
      <c r="AU25" s="515"/>
      <c r="AV25" s="568">
        <f t="shared" si="10"/>
        <v>69862</v>
      </c>
      <c r="AW25" s="516"/>
    </row>
    <row r="26" spans="1:55">
      <c r="A26" s="332"/>
      <c r="B26" s="334"/>
      <c r="C26" s="334"/>
      <c r="D26" s="379">
        <f t="shared" si="0"/>
        <v>856669</v>
      </c>
      <c r="E26" s="535">
        <f t="shared" si="1"/>
        <v>0</v>
      </c>
      <c r="H26" s="496"/>
      <c r="I26" s="497"/>
      <c r="J26" s="541">
        <f t="shared" si="2"/>
        <v>36916</v>
      </c>
      <c r="K26" s="498"/>
      <c r="L26" s="543">
        <f t="shared" si="3"/>
        <v>0</v>
      </c>
      <c r="M26" s="347"/>
      <c r="N26" s="500"/>
      <c r="O26" s="501"/>
      <c r="P26" s="501"/>
      <c r="Q26" s="549">
        <f t="shared" si="4"/>
        <v>159814</v>
      </c>
      <c r="R26" s="502"/>
      <c r="S26" s="551">
        <f t="shared" si="5"/>
        <v>0</v>
      </c>
      <c r="T26" s="347"/>
      <c r="U26" s="504"/>
      <c r="V26" s="505"/>
      <c r="W26" s="505"/>
      <c r="X26" s="556">
        <f t="shared" si="6"/>
        <v>26290</v>
      </c>
      <c r="Y26" s="506"/>
      <c r="AA26" s="507"/>
      <c r="AB26" s="508"/>
      <c r="AC26" s="508"/>
      <c r="AD26" s="560">
        <f t="shared" si="7"/>
        <v>21907</v>
      </c>
      <c r="AE26" s="509"/>
      <c r="AG26" s="510"/>
      <c r="AH26" s="511"/>
      <c r="AI26" s="511"/>
      <c r="AJ26" s="564">
        <f t="shared" si="8"/>
        <v>82000</v>
      </c>
      <c r="AK26" s="512"/>
      <c r="AL26" s="513"/>
      <c r="AM26" s="514"/>
      <c r="AN26" s="515"/>
      <c r="AO26" s="515"/>
      <c r="AP26" s="568">
        <f t="shared" si="9"/>
        <v>46000</v>
      </c>
      <c r="AQ26" s="516"/>
      <c r="AR26" s="513"/>
      <c r="AS26" s="514"/>
      <c r="AT26" s="515"/>
      <c r="AU26" s="515"/>
      <c r="AV26" s="568">
        <f t="shared" si="10"/>
        <v>69862</v>
      </c>
      <c r="AW26" s="516"/>
    </row>
    <row r="27" spans="1:55">
      <c r="A27" s="332"/>
      <c r="B27" s="334"/>
      <c r="C27" s="334"/>
      <c r="D27" s="379">
        <f t="shared" si="0"/>
        <v>856669</v>
      </c>
      <c r="E27" s="535">
        <f t="shared" si="1"/>
        <v>0</v>
      </c>
      <c r="H27" s="496"/>
      <c r="I27" s="497"/>
      <c r="J27" s="541">
        <f t="shared" si="2"/>
        <v>36916</v>
      </c>
      <c r="K27" s="498"/>
      <c r="L27" s="543">
        <f t="shared" si="3"/>
        <v>0</v>
      </c>
      <c r="M27" s="347"/>
      <c r="N27" s="500"/>
      <c r="O27" s="501"/>
      <c r="P27" s="501"/>
      <c r="Q27" s="549">
        <f t="shared" si="4"/>
        <v>159814</v>
      </c>
      <c r="R27" s="502"/>
      <c r="S27" s="551">
        <f t="shared" si="5"/>
        <v>0</v>
      </c>
      <c r="T27" s="347"/>
      <c r="U27" s="504"/>
      <c r="V27" s="505"/>
      <c r="W27" s="505"/>
      <c r="X27" s="556">
        <f t="shared" si="6"/>
        <v>26290</v>
      </c>
      <c r="Y27" s="506"/>
      <c r="AA27" s="507"/>
      <c r="AB27" s="508"/>
      <c r="AC27" s="508"/>
      <c r="AD27" s="560">
        <f t="shared" si="7"/>
        <v>21907</v>
      </c>
      <c r="AE27" s="509"/>
      <c r="AG27" s="510"/>
      <c r="AH27" s="511"/>
      <c r="AI27" s="511"/>
      <c r="AJ27" s="564">
        <f t="shared" si="8"/>
        <v>82000</v>
      </c>
      <c r="AK27" s="512"/>
      <c r="AL27" s="513"/>
      <c r="AM27" s="514"/>
      <c r="AN27" s="515"/>
      <c r="AO27" s="515"/>
      <c r="AP27" s="568">
        <f t="shared" si="9"/>
        <v>46000</v>
      </c>
      <c r="AQ27" s="516"/>
      <c r="AR27" s="513"/>
      <c r="AS27" s="514"/>
      <c r="AT27" s="515"/>
      <c r="AU27" s="515"/>
      <c r="AV27" s="568">
        <f t="shared" si="10"/>
        <v>69862</v>
      </c>
      <c r="AW27" s="516"/>
    </row>
    <row r="28" spans="1:55">
      <c r="A28" s="332"/>
      <c r="B28" s="334"/>
      <c r="C28" s="334"/>
      <c r="D28" s="379">
        <f t="shared" si="0"/>
        <v>856669</v>
      </c>
      <c r="E28" s="535">
        <f t="shared" si="1"/>
        <v>0</v>
      </c>
      <c r="H28" s="496"/>
      <c r="I28" s="497"/>
      <c r="J28" s="541">
        <f t="shared" si="2"/>
        <v>36916</v>
      </c>
      <c r="K28" s="498"/>
      <c r="L28" s="543">
        <f t="shared" si="3"/>
        <v>0</v>
      </c>
      <c r="M28" s="347"/>
      <c r="N28" s="500"/>
      <c r="O28" s="501"/>
      <c r="P28" s="501"/>
      <c r="Q28" s="549">
        <f t="shared" si="4"/>
        <v>159814</v>
      </c>
      <c r="R28" s="502"/>
      <c r="S28" s="551">
        <f t="shared" si="5"/>
        <v>0</v>
      </c>
      <c r="T28" s="347"/>
      <c r="U28" s="504"/>
      <c r="V28" s="505"/>
      <c r="W28" s="505"/>
      <c r="X28" s="556">
        <f t="shared" si="6"/>
        <v>26290</v>
      </c>
      <c r="Y28" s="506"/>
      <c r="AA28" s="507"/>
      <c r="AB28" s="508"/>
      <c r="AC28" s="508"/>
      <c r="AD28" s="560">
        <f t="shared" si="7"/>
        <v>21907</v>
      </c>
      <c r="AE28" s="509"/>
      <c r="AG28" s="510"/>
      <c r="AH28" s="511"/>
      <c r="AI28" s="511"/>
      <c r="AJ28" s="564">
        <f t="shared" si="8"/>
        <v>82000</v>
      </c>
      <c r="AK28" s="512"/>
      <c r="AL28" s="513"/>
      <c r="AM28" s="514"/>
      <c r="AN28" s="515"/>
      <c r="AO28" s="515"/>
      <c r="AP28" s="568">
        <f t="shared" si="9"/>
        <v>46000</v>
      </c>
      <c r="AQ28" s="516"/>
      <c r="AR28" s="513"/>
      <c r="AS28" s="514"/>
      <c r="AT28" s="515"/>
      <c r="AU28" s="515"/>
      <c r="AV28" s="568">
        <f t="shared" si="10"/>
        <v>69862</v>
      </c>
      <c r="AW28" s="516"/>
    </row>
    <row r="29" spans="1:55">
      <c r="A29" s="332"/>
      <c r="B29" s="334"/>
      <c r="C29" s="334"/>
      <c r="D29" s="379">
        <f t="shared" si="0"/>
        <v>856669</v>
      </c>
      <c r="E29" s="535">
        <f t="shared" si="1"/>
        <v>0</v>
      </c>
      <c r="H29" s="496"/>
      <c r="I29" s="497"/>
      <c r="J29" s="541">
        <f t="shared" si="2"/>
        <v>36916</v>
      </c>
      <c r="K29" s="498"/>
      <c r="L29" s="543">
        <f t="shared" si="3"/>
        <v>0</v>
      </c>
      <c r="M29" s="347"/>
      <c r="N29" s="500"/>
      <c r="O29" s="501"/>
      <c r="P29" s="501"/>
      <c r="Q29" s="549">
        <f t="shared" si="4"/>
        <v>159814</v>
      </c>
      <c r="R29" s="502"/>
      <c r="S29" s="551">
        <f t="shared" si="5"/>
        <v>0</v>
      </c>
      <c r="T29" s="347"/>
      <c r="U29" s="504"/>
      <c r="V29" s="505"/>
      <c r="W29" s="505"/>
      <c r="X29" s="556">
        <f t="shared" si="6"/>
        <v>26290</v>
      </c>
      <c r="Y29" s="506"/>
      <c r="AA29" s="507"/>
      <c r="AB29" s="508"/>
      <c r="AC29" s="508"/>
      <c r="AD29" s="560">
        <f t="shared" si="7"/>
        <v>21907</v>
      </c>
      <c r="AE29" s="509"/>
      <c r="AG29" s="510"/>
      <c r="AH29" s="511"/>
      <c r="AI29" s="511"/>
      <c r="AJ29" s="564">
        <f t="shared" si="8"/>
        <v>82000</v>
      </c>
      <c r="AK29" s="512"/>
      <c r="AL29" s="513"/>
      <c r="AM29" s="514"/>
      <c r="AN29" s="515"/>
      <c r="AO29" s="515"/>
      <c r="AP29" s="568">
        <f t="shared" si="9"/>
        <v>46000</v>
      </c>
      <c r="AQ29" s="516"/>
      <c r="AR29" s="513"/>
      <c r="AS29" s="514"/>
      <c r="AT29" s="515"/>
      <c r="AU29" s="515"/>
      <c r="AV29" s="568">
        <f t="shared" si="10"/>
        <v>69862</v>
      </c>
      <c r="AW29" s="516"/>
    </row>
    <row r="30" spans="1:55">
      <c r="A30" s="332"/>
      <c r="B30" s="334"/>
      <c r="C30" s="334"/>
      <c r="D30" s="379">
        <f t="shared" si="0"/>
        <v>856669</v>
      </c>
      <c r="E30" s="535">
        <f t="shared" si="1"/>
        <v>0</v>
      </c>
      <c r="H30" s="496"/>
      <c r="I30" s="497"/>
      <c r="J30" s="541">
        <f t="shared" si="2"/>
        <v>36916</v>
      </c>
      <c r="K30" s="498"/>
      <c r="L30" s="543">
        <f t="shared" si="3"/>
        <v>0</v>
      </c>
      <c r="M30" s="347"/>
      <c r="N30" s="500"/>
      <c r="O30" s="501"/>
      <c r="P30" s="501"/>
      <c r="Q30" s="549">
        <f t="shared" si="4"/>
        <v>159814</v>
      </c>
      <c r="R30" s="502"/>
      <c r="S30" s="551">
        <f t="shared" si="5"/>
        <v>0</v>
      </c>
      <c r="T30" s="347"/>
      <c r="U30" s="504"/>
      <c r="V30" s="505"/>
      <c r="W30" s="505"/>
      <c r="X30" s="556">
        <f t="shared" si="6"/>
        <v>26290</v>
      </c>
      <c r="Y30" s="506"/>
      <c r="AA30" s="507"/>
      <c r="AB30" s="508"/>
      <c r="AC30" s="508"/>
      <c r="AD30" s="560">
        <f t="shared" si="7"/>
        <v>21907</v>
      </c>
      <c r="AE30" s="509"/>
      <c r="AG30" s="510"/>
      <c r="AH30" s="511"/>
      <c r="AI30" s="511"/>
      <c r="AJ30" s="564">
        <f t="shared" si="8"/>
        <v>82000</v>
      </c>
      <c r="AK30" s="512"/>
      <c r="AL30" s="513"/>
      <c r="AM30" s="514"/>
      <c r="AN30" s="515"/>
      <c r="AO30" s="515"/>
      <c r="AP30" s="568">
        <f t="shared" si="9"/>
        <v>46000</v>
      </c>
      <c r="AQ30" s="516"/>
      <c r="AR30" s="513"/>
      <c r="AS30" s="514"/>
      <c r="AT30" s="515"/>
      <c r="AU30" s="515"/>
      <c r="AV30" s="568">
        <f t="shared" si="10"/>
        <v>69862</v>
      </c>
      <c r="AW30" s="516"/>
    </row>
    <row r="31" spans="1:55">
      <c r="A31" s="332"/>
      <c r="B31" s="334"/>
      <c r="C31" s="334"/>
      <c r="D31" s="379">
        <f t="shared" si="0"/>
        <v>856669</v>
      </c>
      <c r="E31" s="535">
        <f t="shared" si="1"/>
        <v>0</v>
      </c>
      <c r="H31" s="496"/>
      <c r="I31" s="497"/>
      <c r="J31" s="541">
        <f t="shared" si="2"/>
        <v>36916</v>
      </c>
      <c r="K31" s="498"/>
      <c r="L31" s="543">
        <f t="shared" si="3"/>
        <v>0</v>
      </c>
      <c r="M31" s="347"/>
      <c r="N31" s="500"/>
      <c r="O31" s="501"/>
      <c r="P31" s="501"/>
      <c r="Q31" s="549">
        <f t="shared" si="4"/>
        <v>159814</v>
      </c>
      <c r="R31" s="502"/>
      <c r="S31" s="551">
        <f t="shared" si="5"/>
        <v>0</v>
      </c>
      <c r="T31" s="347"/>
      <c r="U31" s="504"/>
      <c r="V31" s="505"/>
      <c r="W31" s="505"/>
      <c r="X31" s="556">
        <f t="shared" si="6"/>
        <v>26290</v>
      </c>
      <c r="Y31" s="506"/>
      <c r="AA31" s="507"/>
      <c r="AB31" s="508"/>
      <c r="AC31" s="508"/>
      <c r="AD31" s="560">
        <f t="shared" si="7"/>
        <v>21907</v>
      </c>
      <c r="AE31" s="509"/>
      <c r="AG31" s="510"/>
      <c r="AH31" s="511"/>
      <c r="AI31" s="511"/>
      <c r="AJ31" s="564">
        <f t="shared" si="8"/>
        <v>82000</v>
      </c>
      <c r="AK31" s="512"/>
      <c r="AL31" s="513"/>
      <c r="AM31" s="514"/>
      <c r="AN31" s="515"/>
      <c r="AO31" s="515"/>
      <c r="AP31" s="568">
        <f t="shared" si="9"/>
        <v>46000</v>
      </c>
      <c r="AQ31" s="516"/>
      <c r="AR31" s="513"/>
      <c r="AS31" s="514"/>
      <c r="AT31" s="515"/>
      <c r="AU31" s="515"/>
      <c r="AV31" s="568">
        <f t="shared" si="10"/>
        <v>69862</v>
      </c>
      <c r="AW31" s="516"/>
    </row>
    <row r="32" spans="1:55">
      <c r="A32" s="332"/>
      <c r="B32" s="334"/>
      <c r="C32" s="334"/>
      <c r="D32" s="379">
        <f t="shared" si="0"/>
        <v>856669</v>
      </c>
      <c r="E32" s="535">
        <f t="shared" si="1"/>
        <v>0</v>
      </c>
      <c r="H32" s="496"/>
      <c r="I32" s="497"/>
      <c r="J32" s="541">
        <f t="shared" si="2"/>
        <v>36916</v>
      </c>
      <c r="K32" s="498"/>
      <c r="L32" s="543">
        <f t="shared" si="3"/>
        <v>0</v>
      </c>
      <c r="M32" s="347"/>
      <c r="N32" s="500"/>
      <c r="O32" s="501"/>
      <c r="P32" s="501"/>
      <c r="Q32" s="549">
        <f t="shared" si="4"/>
        <v>159814</v>
      </c>
      <c r="R32" s="502"/>
      <c r="S32" s="551">
        <f t="shared" si="5"/>
        <v>0</v>
      </c>
      <c r="T32" s="347"/>
      <c r="U32" s="504"/>
      <c r="V32" s="505"/>
      <c r="W32" s="505"/>
      <c r="X32" s="556">
        <f t="shared" si="6"/>
        <v>26290</v>
      </c>
      <c r="Y32" s="506"/>
      <c r="AA32" s="507"/>
      <c r="AB32" s="508"/>
      <c r="AC32" s="508"/>
      <c r="AD32" s="560">
        <f t="shared" si="7"/>
        <v>21907</v>
      </c>
      <c r="AE32" s="509"/>
      <c r="AG32" s="510"/>
      <c r="AH32" s="511"/>
      <c r="AI32" s="511"/>
      <c r="AJ32" s="564">
        <f t="shared" si="8"/>
        <v>82000</v>
      </c>
      <c r="AK32" s="512"/>
      <c r="AL32" s="513"/>
      <c r="AM32" s="514"/>
      <c r="AN32" s="515"/>
      <c r="AO32" s="515"/>
      <c r="AP32" s="568">
        <f t="shared" si="9"/>
        <v>46000</v>
      </c>
      <c r="AQ32" s="516"/>
      <c r="AR32" s="513"/>
      <c r="AS32" s="514"/>
      <c r="AT32" s="515"/>
      <c r="AU32" s="515"/>
      <c r="AV32" s="568">
        <f t="shared" si="10"/>
        <v>69862</v>
      </c>
      <c r="AW32" s="516"/>
    </row>
    <row r="33" spans="1:49">
      <c r="A33" s="332"/>
      <c r="B33" s="334"/>
      <c r="C33" s="334"/>
      <c r="D33" s="379">
        <f t="shared" si="0"/>
        <v>856669</v>
      </c>
      <c r="E33" s="535">
        <f t="shared" si="1"/>
        <v>0</v>
      </c>
      <c r="H33" s="496"/>
      <c r="I33" s="497"/>
      <c r="J33" s="541">
        <f t="shared" si="2"/>
        <v>36916</v>
      </c>
      <c r="K33" s="498"/>
      <c r="L33" s="543">
        <f t="shared" si="3"/>
        <v>0</v>
      </c>
      <c r="M33" s="347"/>
      <c r="N33" s="500"/>
      <c r="O33" s="501"/>
      <c r="P33" s="501"/>
      <c r="Q33" s="549">
        <f t="shared" si="4"/>
        <v>159814</v>
      </c>
      <c r="R33" s="502"/>
      <c r="S33" s="551">
        <f t="shared" si="5"/>
        <v>0</v>
      </c>
      <c r="T33" s="347"/>
      <c r="U33" s="504"/>
      <c r="V33" s="505"/>
      <c r="W33" s="505"/>
      <c r="X33" s="556">
        <f t="shared" si="6"/>
        <v>26290</v>
      </c>
      <c r="Y33" s="506"/>
      <c r="AA33" s="507"/>
      <c r="AB33" s="508"/>
      <c r="AC33" s="508"/>
      <c r="AD33" s="560">
        <f t="shared" si="7"/>
        <v>21907</v>
      </c>
      <c r="AE33" s="509"/>
      <c r="AG33" s="510"/>
      <c r="AH33" s="511"/>
      <c r="AI33" s="511"/>
      <c r="AJ33" s="564">
        <f t="shared" si="8"/>
        <v>82000</v>
      </c>
      <c r="AK33" s="512"/>
      <c r="AL33" s="513"/>
      <c r="AM33" s="514"/>
      <c r="AN33" s="515"/>
      <c r="AO33" s="515"/>
      <c r="AP33" s="568">
        <f t="shared" si="9"/>
        <v>46000</v>
      </c>
      <c r="AQ33" s="516"/>
      <c r="AR33" s="513"/>
      <c r="AS33" s="514"/>
      <c r="AT33" s="515"/>
      <c r="AU33" s="515"/>
      <c r="AV33" s="568">
        <f t="shared" si="10"/>
        <v>69862</v>
      </c>
      <c r="AW33" s="516"/>
    </row>
    <row r="34" spans="1:49">
      <c r="A34" s="332"/>
      <c r="B34" s="334"/>
      <c r="C34" s="334"/>
      <c r="D34" s="379">
        <f t="shared" si="0"/>
        <v>856669</v>
      </c>
      <c r="E34" s="535">
        <f t="shared" si="1"/>
        <v>0</v>
      </c>
      <c r="H34" s="496"/>
      <c r="I34" s="497"/>
      <c r="J34" s="541">
        <f t="shared" si="2"/>
        <v>36916</v>
      </c>
      <c r="K34" s="498"/>
      <c r="L34" s="543">
        <f t="shared" si="3"/>
        <v>0</v>
      </c>
      <c r="M34" s="347"/>
      <c r="N34" s="500"/>
      <c r="O34" s="501"/>
      <c r="P34" s="501"/>
      <c r="Q34" s="549">
        <f t="shared" si="4"/>
        <v>159814</v>
      </c>
      <c r="R34" s="502"/>
      <c r="S34" s="551">
        <f t="shared" si="5"/>
        <v>0</v>
      </c>
      <c r="T34" s="347"/>
      <c r="U34" s="504"/>
      <c r="V34" s="505"/>
      <c r="W34" s="505"/>
      <c r="X34" s="556">
        <f t="shared" si="6"/>
        <v>26290</v>
      </c>
      <c r="Y34" s="506"/>
      <c r="AA34" s="507"/>
      <c r="AB34" s="508"/>
      <c r="AC34" s="508"/>
      <c r="AD34" s="560">
        <f t="shared" si="7"/>
        <v>21907</v>
      </c>
      <c r="AE34" s="509"/>
      <c r="AG34" s="510"/>
      <c r="AH34" s="511"/>
      <c r="AI34" s="511"/>
      <c r="AJ34" s="564">
        <f t="shared" si="8"/>
        <v>82000</v>
      </c>
      <c r="AK34" s="512"/>
      <c r="AL34" s="513"/>
      <c r="AM34" s="514"/>
      <c r="AN34" s="515"/>
      <c r="AO34" s="515"/>
      <c r="AP34" s="568">
        <f t="shared" si="9"/>
        <v>46000</v>
      </c>
      <c r="AQ34" s="516"/>
      <c r="AR34" s="513"/>
      <c r="AS34" s="514"/>
      <c r="AT34" s="515"/>
      <c r="AU34" s="515"/>
      <c r="AV34" s="568">
        <f t="shared" si="10"/>
        <v>69862</v>
      </c>
      <c r="AW34" s="516"/>
    </row>
    <row r="35" spans="1:49">
      <c r="A35" s="332"/>
      <c r="B35" s="334"/>
      <c r="C35" s="334"/>
      <c r="D35" s="379">
        <f t="shared" si="0"/>
        <v>856669</v>
      </c>
      <c r="E35" s="535">
        <f t="shared" si="1"/>
        <v>0</v>
      </c>
      <c r="H35" s="496"/>
      <c r="I35" s="497"/>
      <c r="J35" s="541">
        <f t="shared" si="2"/>
        <v>36916</v>
      </c>
      <c r="K35" s="498"/>
      <c r="L35" s="543">
        <f t="shared" si="3"/>
        <v>0</v>
      </c>
      <c r="M35" s="347"/>
      <c r="N35" s="500"/>
      <c r="O35" s="501"/>
      <c r="P35" s="501"/>
      <c r="Q35" s="549">
        <f t="shared" si="4"/>
        <v>159814</v>
      </c>
      <c r="R35" s="502"/>
      <c r="S35" s="551">
        <f t="shared" si="5"/>
        <v>0</v>
      </c>
      <c r="T35" s="347"/>
      <c r="U35" s="504"/>
      <c r="V35" s="505"/>
      <c r="W35" s="505"/>
      <c r="X35" s="556">
        <f t="shared" si="6"/>
        <v>26290</v>
      </c>
      <c r="Y35" s="506"/>
      <c r="AA35" s="507"/>
      <c r="AB35" s="508"/>
      <c r="AC35" s="508"/>
      <c r="AD35" s="560">
        <f t="shared" si="7"/>
        <v>21907</v>
      </c>
      <c r="AE35" s="509"/>
      <c r="AG35" s="510"/>
      <c r="AH35" s="511"/>
      <c r="AI35" s="511"/>
      <c r="AJ35" s="564">
        <f t="shared" si="8"/>
        <v>82000</v>
      </c>
      <c r="AK35" s="512"/>
      <c r="AL35" s="513"/>
      <c r="AM35" s="514"/>
      <c r="AN35" s="515"/>
      <c r="AO35" s="515"/>
      <c r="AP35" s="568">
        <f t="shared" si="9"/>
        <v>46000</v>
      </c>
      <c r="AQ35" s="516"/>
      <c r="AR35" s="513"/>
      <c r="AS35" s="514"/>
      <c r="AT35" s="515"/>
      <c r="AU35" s="515"/>
      <c r="AV35" s="568">
        <f t="shared" si="10"/>
        <v>69862</v>
      </c>
      <c r="AW35" s="516"/>
    </row>
    <row r="36" spans="1:49">
      <c r="A36" s="332"/>
      <c r="B36" s="334"/>
      <c r="C36" s="334"/>
      <c r="D36" s="379">
        <f t="shared" si="0"/>
        <v>856669</v>
      </c>
      <c r="E36" s="535">
        <f t="shared" si="1"/>
        <v>0</v>
      </c>
      <c r="H36" s="496"/>
      <c r="I36" s="497"/>
      <c r="J36" s="541">
        <f t="shared" si="2"/>
        <v>36916</v>
      </c>
      <c r="K36" s="498"/>
      <c r="L36" s="543">
        <f t="shared" si="3"/>
        <v>0</v>
      </c>
      <c r="M36" s="347"/>
      <c r="N36" s="500"/>
      <c r="O36" s="501"/>
      <c r="P36" s="501"/>
      <c r="Q36" s="549">
        <f t="shared" si="4"/>
        <v>159814</v>
      </c>
      <c r="R36" s="502"/>
      <c r="S36" s="551">
        <f t="shared" si="5"/>
        <v>0</v>
      </c>
      <c r="T36" s="347"/>
      <c r="U36" s="504"/>
      <c r="V36" s="505"/>
      <c r="W36" s="505"/>
      <c r="X36" s="556">
        <f t="shared" si="6"/>
        <v>26290</v>
      </c>
      <c r="Y36" s="506"/>
      <c r="AA36" s="507"/>
      <c r="AB36" s="508"/>
      <c r="AC36" s="508"/>
      <c r="AD36" s="560">
        <f t="shared" si="7"/>
        <v>21907</v>
      </c>
      <c r="AE36" s="509"/>
      <c r="AG36" s="510"/>
      <c r="AH36" s="511"/>
      <c r="AI36" s="511"/>
      <c r="AJ36" s="564">
        <f t="shared" si="8"/>
        <v>82000</v>
      </c>
      <c r="AK36" s="512"/>
      <c r="AL36" s="513"/>
      <c r="AM36" s="514"/>
      <c r="AN36" s="515"/>
      <c r="AO36" s="515"/>
      <c r="AP36" s="568">
        <f t="shared" si="9"/>
        <v>46000</v>
      </c>
      <c r="AQ36" s="516"/>
      <c r="AR36" s="513"/>
      <c r="AS36" s="514"/>
      <c r="AT36" s="515"/>
      <c r="AU36" s="515"/>
      <c r="AV36" s="568">
        <f t="shared" si="10"/>
        <v>69862</v>
      </c>
      <c r="AW36" s="516"/>
    </row>
    <row r="37" spans="1:49">
      <c r="A37" s="332"/>
      <c r="B37" s="334"/>
      <c r="C37" s="334"/>
      <c r="D37" s="379">
        <f t="shared" si="0"/>
        <v>856669</v>
      </c>
      <c r="E37" s="535">
        <f t="shared" si="1"/>
        <v>0</v>
      </c>
      <c r="H37" s="496"/>
      <c r="I37" s="497"/>
      <c r="J37" s="541">
        <f t="shared" si="2"/>
        <v>36916</v>
      </c>
      <c r="K37" s="498"/>
      <c r="L37" s="543">
        <f t="shared" si="3"/>
        <v>0</v>
      </c>
      <c r="M37" s="347"/>
      <c r="N37" s="500"/>
      <c r="O37" s="501"/>
      <c r="P37" s="501"/>
      <c r="Q37" s="549">
        <f t="shared" si="4"/>
        <v>159814</v>
      </c>
      <c r="R37" s="502"/>
      <c r="S37" s="551">
        <f t="shared" si="5"/>
        <v>0</v>
      </c>
      <c r="T37" s="347"/>
      <c r="U37" s="504"/>
      <c r="V37" s="505"/>
      <c r="W37" s="505"/>
      <c r="X37" s="556">
        <f t="shared" si="6"/>
        <v>26290</v>
      </c>
      <c r="Y37" s="506"/>
      <c r="AA37" s="507"/>
      <c r="AB37" s="508"/>
      <c r="AC37" s="508"/>
      <c r="AD37" s="560">
        <f t="shared" si="7"/>
        <v>21907</v>
      </c>
      <c r="AE37" s="509"/>
      <c r="AG37" s="510"/>
      <c r="AH37" s="511"/>
      <c r="AI37" s="511"/>
      <c r="AJ37" s="564">
        <f t="shared" si="8"/>
        <v>82000</v>
      </c>
      <c r="AK37" s="512"/>
      <c r="AL37" s="513"/>
      <c r="AM37" s="514"/>
      <c r="AN37" s="515"/>
      <c r="AO37" s="515"/>
      <c r="AP37" s="568">
        <f t="shared" si="9"/>
        <v>46000</v>
      </c>
      <c r="AQ37" s="516"/>
      <c r="AR37" s="513"/>
      <c r="AS37" s="514"/>
      <c r="AT37" s="515"/>
      <c r="AU37" s="515"/>
      <c r="AV37" s="568">
        <f t="shared" si="10"/>
        <v>69862</v>
      </c>
      <c r="AW37" s="516"/>
    </row>
    <row r="38" spans="1:49">
      <c r="A38" s="332"/>
      <c r="B38" s="334"/>
      <c r="C38" s="334"/>
      <c r="D38" s="379">
        <f t="shared" si="0"/>
        <v>856669</v>
      </c>
      <c r="E38" s="535">
        <f t="shared" si="1"/>
        <v>0</v>
      </c>
      <c r="H38" s="496"/>
      <c r="I38" s="497"/>
      <c r="J38" s="541">
        <f t="shared" si="2"/>
        <v>36916</v>
      </c>
      <c r="K38" s="498"/>
      <c r="L38" s="543">
        <f t="shared" si="3"/>
        <v>0</v>
      </c>
      <c r="M38" s="347"/>
      <c r="N38" s="500"/>
      <c r="O38" s="501"/>
      <c r="P38" s="501"/>
      <c r="Q38" s="549">
        <f t="shared" si="4"/>
        <v>159814</v>
      </c>
      <c r="R38" s="502"/>
      <c r="S38" s="551">
        <f t="shared" si="5"/>
        <v>0</v>
      </c>
      <c r="T38" s="347"/>
      <c r="U38" s="504"/>
      <c r="V38" s="505"/>
      <c r="W38" s="505"/>
      <c r="X38" s="556">
        <f t="shared" si="6"/>
        <v>26290</v>
      </c>
      <c r="Y38" s="506"/>
      <c r="AA38" s="507"/>
      <c r="AB38" s="508"/>
      <c r="AC38" s="508"/>
      <c r="AD38" s="560">
        <f t="shared" si="7"/>
        <v>21907</v>
      </c>
      <c r="AE38" s="509"/>
      <c r="AG38" s="510"/>
      <c r="AH38" s="511"/>
      <c r="AI38" s="511"/>
      <c r="AJ38" s="564">
        <f t="shared" si="8"/>
        <v>82000</v>
      </c>
      <c r="AK38" s="512"/>
      <c r="AL38" s="513"/>
      <c r="AM38" s="514"/>
      <c r="AN38" s="515"/>
      <c r="AO38" s="515"/>
      <c r="AP38" s="568">
        <f t="shared" si="9"/>
        <v>46000</v>
      </c>
      <c r="AQ38" s="516"/>
      <c r="AR38" s="513"/>
      <c r="AS38" s="514"/>
      <c r="AT38" s="515"/>
      <c r="AU38" s="515"/>
      <c r="AV38" s="568">
        <f t="shared" si="10"/>
        <v>69862</v>
      </c>
      <c r="AW38" s="516"/>
    </row>
    <row r="39" spans="1:49">
      <c r="A39" s="332"/>
      <c r="B39" s="334"/>
      <c r="C39" s="334"/>
      <c r="D39" s="379">
        <f t="shared" si="0"/>
        <v>856669</v>
      </c>
      <c r="E39" s="535">
        <f t="shared" si="1"/>
        <v>0</v>
      </c>
      <c r="H39" s="496"/>
      <c r="I39" s="497"/>
      <c r="J39" s="541">
        <f t="shared" si="2"/>
        <v>36916</v>
      </c>
      <c r="K39" s="498"/>
      <c r="L39" s="543">
        <f t="shared" si="3"/>
        <v>0</v>
      </c>
      <c r="M39" s="347"/>
      <c r="N39" s="500"/>
      <c r="O39" s="501"/>
      <c r="P39" s="501"/>
      <c r="Q39" s="549">
        <f t="shared" si="4"/>
        <v>159814</v>
      </c>
      <c r="R39" s="502"/>
      <c r="S39" s="551">
        <f t="shared" si="5"/>
        <v>0</v>
      </c>
      <c r="T39" s="347"/>
      <c r="U39" s="504"/>
      <c r="V39" s="505"/>
      <c r="W39" s="505"/>
      <c r="X39" s="556">
        <f t="shared" si="6"/>
        <v>26290</v>
      </c>
      <c r="Y39" s="506"/>
      <c r="AA39" s="507"/>
      <c r="AB39" s="508"/>
      <c r="AC39" s="508"/>
      <c r="AD39" s="560">
        <f t="shared" si="7"/>
        <v>21907</v>
      </c>
      <c r="AE39" s="509"/>
      <c r="AG39" s="510"/>
      <c r="AH39" s="511"/>
      <c r="AI39" s="511"/>
      <c r="AJ39" s="564">
        <f t="shared" si="8"/>
        <v>82000</v>
      </c>
      <c r="AK39" s="512"/>
      <c r="AL39" s="513"/>
      <c r="AM39" s="514"/>
      <c r="AN39" s="515"/>
      <c r="AO39" s="515"/>
      <c r="AP39" s="568">
        <f t="shared" si="9"/>
        <v>46000</v>
      </c>
      <c r="AQ39" s="516"/>
      <c r="AR39" s="513"/>
      <c r="AS39" s="514"/>
      <c r="AT39" s="515"/>
      <c r="AU39" s="515"/>
      <c r="AV39" s="568">
        <f t="shared" si="10"/>
        <v>69862</v>
      </c>
      <c r="AW39" s="516"/>
    </row>
    <row r="40" spans="1:49">
      <c r="A40" s="332"/>
      <c r="B40" s="334"/>
      <c r="C40" s="334"/>
      <c r="D40" s="379">
        <f t="shared" si="0"/>
        <v>856669</v>
      </c>
      <c r="E40" s="535">
        <f t="shared" si="1"/>
        <v>0</v>
      </c>
      <c r="H40" s="496"/>
      <c r="I40" s="497"/>
      <c r="J40" s="541">
        <f t="shared" si="2"/>
        <v>36916</v>
      </c>
      <c r="K40" s="498"/>
      <c r="L40" s="543">
        <f t="shared" si="3"/>
        <v>0</v>
      </c>
      <c r="M40" s="347"/>
      <c r="N40" s="500"/>
      <c r="O40" s="501"/>
      <c r="P40" s="501"/>
      <c r="Q40" s="549">
        <f t="shared" si="4"/>
        <v>159814</v>
      </c>
      <c r="R40" s="502"/>
      <c r="S40" s="551">
        <f t="shared" si="5"/>
        <v>0</v>
      </c>
      <c r="T40" s="347"/>
      <c r="U40" s="504"/>
      <c r="V40" s="505"/>
      <c r="W40" s="505"/>
      <c r="X40" s="556">
        <f t="shared" si="6"/>
        <v>26290</v>
      </c>
      <c r="Y40" s="506"/>
      <c r="AA40" s="507"/>
      <c r="AB40" s="508"/>
      <c r="AC40" s="508"/>
      <c r="AD40" s="560">
        <f t="shared" si="7"/>
        <v>21907</v>
      </c>
      <c r="AE40" s="509"/>
      <c r="AG40" s="510"/>
      <c r="AH40" s="511"/>
      <c r="AI40" s="511"/>
      <c r="AJ40" s="564">
        <f t="shared" si="8"/>
        <v>82000</v>
      </c>
      <c r="AK40" s="512"/>
      <c r="AL40" s="513"/>
      <c r="AM40" s="514"/>
      <c r="AN40" s="515"/>
      <c r="AO40" s="515"/>
      <c r="AP40" s="568">
        <f t="shared" si="9"/>
        <v>46000</v>
      </c>
      <c r="AQ40" s="516"/>
      <c r="AR40" s="513"/>
      <c r="AS40" s="514"/>
      <c r="AT40" s="515"/>
      <c r="AU40" s="515"/>
      <c r="AV40" s="568">
        <f t="shared" si="10"/>
        <v>69862</v>
      </c>
      <c r="AW40" s="516"/>
    </row>
    <row r="41" spans="1:49">
      <c r="A41" s="332"/>
      <c r="B41" s="334"/>
      <c r="C41" s="334"/>
      <c r="D41" s="379">
        <f t="shared" si="0"/>
        <v>856669</v>
      </c>
      <c r="E41" s="535">
        <f t="shared" si="1"/>
        <v>0</v>
      </c>
      <c r="H41" s="496"/>
      <c r="I41" s="497"/>
      <c r="J41" s="541">
        <f t="shared" si="2"/>
        <v>36916</v>
      </c>
      <c r="K41" s="498"/>
      <c r="L41" s="543">
        <f t="shared" si="3"/>
        <v>0</v>
      </c>
      <c r="M41" s="347"/>
      <c r="N41" s="500"/>
      <c r="O41" s="501"/>
      <c r="P41" s="501"/>
      <c r="Q41" s="549">
        <f t="shared" si="4"/>
        <v>159814</v>
      </c>
      <c r="R41" s="502"/>
      <c r="S41" s="551">
        <f t="shared" si="5"/>
        <v>0</v>
      </c>
      <c r="T41" s="347"/>
      <c r="U41" s="504"/>
      <c r="V41" s="505"/>
      <c r="W41" s="505"/>
      <c r="X41" s="556">
        <f t="shared" si="6"/>
        <v>26290</v>
      </c>
      <c r="Y41" s="506"/>
      <c r="AA41" s="507"/>
      <c r="AB41" s="508"/>
      <c r="AC41" s="508"/>
      <c r="AD41" s="560">
        <f t="shared" si="7"/>
        <v>21907</v>
      </c>
      <c r="AE41" s="509"/>
      <c r="AG41" s="510"/>
      <c r="AH41" s="511"/>
      <c r="AI41" s="511"/>
      <c r="AJ41" s="564">
        <f t="shared" si="8"/>
        <v>82000</v>
      </c>
      <c r="AK41" s="512"/>
      <c r="AL41" s="513"/>
      <c r="AM41" s="514"/>
      <c r="AN41" s="515"/>
      <c r="AO41" s="515"/>
      <c r="AP41" s="568">
        <f t="shared" si="9"/>
        <v>46000</v>
      </c>
      <c r="AQ41" s="516"/>
      <c r="AR41" s="513"/>
      <c r="AS41" s="514"/>
      <c r="AT41" s="515"/>
      <c r="AU41" s="515"/>
      <c r="AV41" s="568">
        <f t="shared" si="10"/>
        <v>69862</v>
      </c>
      <c r="AW41" s="516"/>
    </row>
    <row r="42" spans="1:49">
      <c r="A42" s="332"/>
      <c r="B42" s="334"/>
      <c r="C42" s="334"/>
      <c r="D42" s="379">
        <f t="shared" si="0"/>
        <v>856669</v>
      </c>
      <c r="E42" s="535">
        <f t="shared" si="1"/>
        <v>0</v>
      </c>
      <c r="H42" s="496"/>
      <c r="I42" s="497"/>
      <c r="J42" s="541">
        <f t="shared" si="2"/>
        <v>36916</v>
      </c>
      <c r="K42" s="498"/>
      <c r="L42" s="543">
        <f t="shared" si="3"/>
        <v>0</v>
      </c>
      <c r="M42" s="347"/>
      <c r="N42" s="500"/>
      <c r="O42" s="501"/>
      <c r="P42" s="501"/>
      <c r="Q42" s="549">
        <f t="shared" si="4"/>
        <v>159814</v>
      </c>
      <c r="R42" s="502"/>
      <c r="S42" s="551">
        <f t="shared" si="5"/>
        <v>0</v>
      </c>
      <c r="T42" s="347"/>
      <c r="U42" s="504"/>
      <c r="V42" s="505"/>
      <c r="W42" s="505"/>
      <c r="X42" s="556">
        <f t="shared" si="6"/>
        <v>26290</v>
      </c>
      <c r="Y42" s="506"/>
      <c r="AA42" s="507"/>
      <c r="AB42" s="508"/>
      <c r="AC42" s="508"/>
      <c r="AD42" s="560">
        <f t="shared" si="7"/>
        <v>21907</v>
      </c>
      <c r="AE42" s="509"/>
      <c r="AG42" s="510"/>
      <c r="AH42" s="511"/>
      <c r="AI42" s="511"/>
      <c r="AJ42" s="564">
        <f t="shared" si="8"/>
        <v>82000</v>
      </c>
      <c r="AK42" s="512"/>
      <c r="AL42" s="513"/>
      <c r="AM42" s="514"/>
      <c r="AN42" s="515"/>
      <c r="AO42" s="515"/>
      <c r="AP42" s="568">
        <f t="shared" si="9"/>
        <v>46000</v>
      </c>
      <c r="AQ42" s="516"/>
      <c r="AR42" s="513"/>
      <c r="AS42" s="514"/>
      <c r="AT42" s="515"/>
      <c r="AU42" s="515"/>
      <c r="AV42" s="568">
        <f t="shared" si="10"/>
        <v>69862</v>
      </c>
      <c r="AW42" s="516"/>
    </row>
    <row r="43" spans="1:49">
      <c r="A43" s="332"/>
      <c r="B43" s="334"/>
      <c r="C43" s="334"/>
      <c r="D43" s="379">
        <f t="shared" si="0"/>
        <v>856669</v>
      </c>
      <c r="E43" s="535">
        <f t="shared" si="1"/>
        <v>0</v>
      </c>
      <c r="H43" s="496"/>
      <c r="I43" s="497"/>
      <c r="J43" s="541">
        <f t="shared" si="2"/>
        <v>36916</v>
      </c>
      <c r="K43" s="498"/>
      <c r="L43" s="543">
        <f t="shared" si="3"/>
        <v>0</v>
      </c>
      <c r="M43" s="347"/>
      <c r="N43" s="500"/>
      <c r="O43" s="501"/>
      <c r="P43" s="501"/>
      <c r="Q43" s="549">
        <f t="shared" si="4"/>
        <v>159814</v>
      </c>
      <c r="R43" s="502"/>
      <c r="S43" s="551">
        <f t="shared" si="5"/>
        <v>0</v>
      </c>
      <c r="T43" s="347"/>
      <c r="U43" s="504"/>
      <c r="V43" s="505"/>
      <c r="W43" s="505"/>
      <c r="X43" s="556">
        <f t="shared" si="6"/>
        <v>26290</v>
      </c>
      <c r="Y43" s="506"/>
      <c r="AA43" s="507"/>
      <c r="AB43" s="508"/>
      <c r="AC43" s="508"/>
      <c r="AD43" s="560">
        <f t="shared" si="7"/>
        <v>21907</v>
      </c>
      <c r="AE43" s="509"/>
      <c r="AG43" s="510"/>
      <c r="AH43" s="511"/>
      <c r="AI43" s="511"/>
      <c r="AJ43" s="564">
        <f t="shared" si="8"/>
        <v>82000</v>
      </c>
      <c r="AK43" s="512"/>
      <c r="AL43" s="513"/>
      <c r="AM43" s="514"/>
      <c r="AN43" s="515"/>
      <c r="AO43" s="515"/>
      <c r="AP43" s="568">
        <f t="shared" si="9"/>
        <v>46000</v>
      </c>
      <c r="AQ43" s="516"/>
      <c r="AR43" s="513"/>
      <c r="AS43" s="514"/>
      <c r="AT43" s="515"/>
      <c r="AU43" s="515"/>
      <c r="AV43" s="568">
        <f t="shared" si="10"/>
        <v>69862</v>
      </c>
      <c r="AW43" s="516"/>
    </row>
    <row r="44" spans="1:49">
      <c r="A44" s="332"/>
      <c r="B44" s="334"/>
      <c r="C44" s="334"/>
      <c r="D44" s="379">
        <f t="shared" si="0"/>
        <v>856669</v>
      </c>
      <c r="E44" s="535">
        <f t="shared" si="1"/>
        <v>0</v>
      </c>
      <c r="H44" s="496"/>
      <c r="I44" s="497"/>
      <c r="J44" s="541">
        <f t="shared" si="2"/>
        <v>36916</v>
      </c>
      <c r="K44" s="498"/>
      <c r="L44" s="543">
        <f t="shared" si="3"/>
        <v>0</v>
      </c>
      <c r="M44" s="347"/>
      <c r="N44" s="500"/>
      <c r="O44" s="501"/>
      <c r="P44" s="501"/>
      <c r="Q44" s="549">
        <f t="shared" si="4"/>
        <v>159814</v>
      </c>
      <c r="R44" s="502"/>
      <c r="S44" s="551">
        <f t="shared" si="5"/>
        <v>0</v>
      </c>
      <c r="T44" s="347"/>
      <c r="U44" s="504"/>
      <c r="V44" s="505"/>
      <c r="W44" s="505"/>
      <c r="X44" s="556">
        <f t="shared" si="6"/>
        <v>26290</v>
      </c>
      <c r="Y44" s="506"/>
      <c r="AA44" s="507"/>
      <c r="AB44" s="508"/>
      <c r="AC44" s="508"/>
      <c r="AD44" s="560">
        <f t="shared" si="7"/>
        <v>21907</v>
      </c>
      <c r="AE44" s="509"/>
      <c r="AG44" s="510"/>
      <c r="AH44" s="511"/>
      <c r="AI44" s="511"/>
      <c r="AJ44" s="564">
        <f t="shared" si="8"/>
        <v>82000</v>
      </c>
      <c r="AK44" s="512"/>
      <c r="AL44" s="513"/>
      <c r="AM44" s="514"/>
      <c r="AN44" s="515"/>
      <c r="AO44" s="515"/>
      <c r="AP44" s="568">
        <f t="shared" si="9"/>
        <v>46000</v>
      </c>
      <c r="AQ44" s="516"/>
      <c r="AR44" s="513"/>
      <c r="AS44" s="514"/>
      <c r="AT44" s="515"/>
      <c r="AU44" s="515"/>
      <c r="AV44" s="568">
        <f t="shared" si="10"/>
        <v>69862</v>
      </c>
      <c r="AW44" s="516"/>
    </row>
    <row r="45" spans="1:49">
      <c r="A45" s="332"/>
      <c r="B45" s="334"/>
      <c r="C45" s="334"/>
      <c r="D45" s="379">
        <f t="shared" si="0"/>
        <v>856669</v>
      </c>
      <c r="E45" s="535">
        <f t="shared" si="1"/>
        <v>0</v>
      </c>
      <c r="H45" s="496"/>
      <c r="I45" s="497"/>
      <c r="J45" s="541">
        <f t="shared" si="2"/>
        <v>36916</v>
      </c>
      <c r="K45" s="498"/>
      <c r="L45" s="543">
        <f t="shared" si="3"/>
        <v>0</v>
      </c>
      <c r="M45" s="347"/>
      <c r="N45" s="500"/>
      <c r="O45" s="501"/>
      <c r="P45" s="501"/>
      <c r="Q45" s="549">
        <f t="shared" si="4"/>
        <v>159814</v>
      </c>
      <c r="R45" s="502"/>
      <c r="S45" s="551">
        <f t="shared" si="5"/>
        <v>0</v>
      </c>
      <c r="T45" s="347"/>
      <c r="U45" s="504"/>
      <c r="V45" s="505"/>
      <c r="W45" s="505"/>
      <c r="X45" s="556">
        <f t="shared" si="6"/>
        <v>26290</v>
      </c>
      <c r="Y45" s="506"/>
      <c r="AA45" s="507"/>
      <c r="AB45" s="508"/>
      <c r="AC45" s="508"/>
      <c r="AD45" s="560">
        <f t="shared" si="7"/>
        <v>21907</v>
      </c>
      <c r="AE45" s="509"/>
      <c r="AG45" s="510"/>
      <c r="AH45" s="511"/>
      <c r="AI45" s="511"/>
      <c r="AJ45" s="564">
        <f t="shared" si="8"/>
        <v>82000</v>
      </c>
      <c r="AK45" s="512"/>
      <c r="AL45" s="513"/>
      <c r="AM45" s="514"/>
      <c r="AN45" s="515"/>
      <c r="AO45" s="515"/>
      <c r="AP45" s="568">
        <f t="shared" si="9"/>
        <v>46000</v>
      </c>
      <c r="AQ45" s="516"/>
      <c r="AR45" s="513"/>
      <c r="AS45" s="514"/>
      <c r="AT45" s="515"/>
      <c r="AU45" s="515"/>
      <c r="AV45" s="568">
        <f t="shared" si="10"/>
        <v>69862</v>
      </c>
      <c r="AW45" s="516"/>
    </row>
    <row r="46" spans="1:49">
      <c r="A46" s="332"/>
      <c r="B46" s="334"/>
      <c r="C46" s="334"/>
      <c r="D46" s="379">
        <f t="shared" si="0"/>
        <v>856669</v>
      </c>
      <c r="E46" s="535">
        <f t="shared" si="1"/>
        <v>0</v>
      </c>
      <c r="H46" s="496"/>
      <c r="I46" s="497"/>
      <c r="J46" s="541">
        <f t="shared" si="2"/>
        <v>36916</v>
      </c>
      <c r="K46" s="498"/>
      <c r="L46" s="543">
        <f t="shared" si="3"/>
        <v>0</v>
      </c>
      <c r="M46" s="347"/>
      <c r="N46" s="500"/>
      <c r="O46" s="501"/>
      <c r="P46" s="501"/>
      <c r="Q46" s="549">
        <f t="shared" si="4"/>
        <v>159814</v>
      </c>
      <c r="R46" s="502"/>
      <c r="S46" s="551">
        <f t="shared" si="5"/>
        <v>0</v>
      </c>
      <c r="T46" s="347"/>
      <c r="U46" s="504"/>
      <c r="V46" s="505"/>
      <c r="W46" s="505"/>
      <c r="X46" s="556">
        <f t="shared" si="6"/>
        <v>26290</v>
      </c>
      <c r="Y46" s="506"/>
      <c r="AA46" s="507"/>
      <c r="AB46" s="508"/>
      <c r="AC46" s="508"/>
      <c r="AD46" s="560">
        <f t="shared" si="7"/>
        <v>21907</v>
      </c>
      <c r="AE46" s="509"/>
      <c r="AG46" s="510"/>
      <c r="AH46" s="511"/>
      <c r="AI46" s="511"/>
      <c r="AJ46" s="564">
        <f t="shared" si="8"/>
        <v>82000</v>
      </c>
      <c r="AK46" s="512"/>
      <c r="AL46" s="513"/>
      <c r="AM46" s="514"/>
      <c r="AN46" s="515"/>
      <c r="AO46" s="515"/>
      <c r="AP46" s="568">
        <f t="shared" si="9"/>
        <v>46000</v>
      </c>
      <c r="AQ46" s="516"/>
      <c r="AR46" s="513"/>
      <c r="AS46" s="514"/>
      <c r="AT46" s="515"/>
      <c r="AU46" s="515"/>
      <c r="AV46" s="568">
        <f t="shared" si="10"/>
        <v>69862</v>
      </c>
      <c r="AW46" s="516"/>
    </row>
    <row r="47" spans="1:49">
      <c r="A47" s="332"/>
      <c r="B47" s="334"/>
      <c r="C47" s="334"/>
      <c r="D47" s="379">
        <f t="shared" si="0"/>
        <v>856669</v>
      </c>
      <c r="E47" s="535">
        <f t="shared" si="1"/>
        <v>0</v>
      </c>
      <c r="H47" s="496"/>
      <c r="I47" s="497"/>
      <c r="J47" s="541">
        <f t="shared" si="2"/>
        <v>36916</v>
      </c>
      <c r="K47" s="498"/>
      <c r="L47" s="543">
        <f t="shared" si="3"/>
        <v>0</v>
      </c>
      <c r="M47" s="347"/>
      <c r="N47" s="500"/>
      <c r="O47" s="501"/>
      <c r="P47" s="501"/>
      <c r="Q47" s="549">
        <f t="shared" si="4"/>
        <v>159814</v>
      </c>
      <c r="R47" s="502"/>
      <c r="S47" s="551">
        <f t="shared" si="5"/>
        <v>0</v>
      </c>
      <c r="T47" s="347"/>
      <c r="U47" s="504"/>
      <c r="V47" s="505"/>
      <c r="W47" s="505"/>
      <c r="X47" s="556">
        <f t="shared" si="6"/>
        <v>26290</v>
      </c>
      <c r="Y47" s="506"/>
      <c r="AA47" s="507"/>
      <c r="AB47" s="508"/>
      <c r="AC47" s="508"/>
      <c r="AD47" s="560">
        <f t="shared" si="7"/>
        <v>21907</v>
      </c>
      <c r="AE47" s="509"/>
      <c r="AG47" s="510"/>
      <c r="AH47" s="511"/>
      <c r="AI47" s="511"/>
      <c r="AJ47" s="564">
        <f t="shared" si="8"/>
        <v>82000</v>
      </c>
      <c r="AK47" s="512"/>
      <c r="AL47" s="513"/>
      <c r="AM47" s="514"/>
      <c r="AN47" s="515"/>
      <c r="AO47" s="515"/>
      <c r="AP47" s="568">
        <f t="shared" si="9"/>
        <v>46000</v>
      </c>
      <c r="AQ47" s="516"/>
      <c r="AR47" s="513"/>
      <c r="AS47" s="514"/>
      <c r="AT47" s="515"/>
      <c r="AU47" s="515"/>
      <c r="AV47" s="568">
        <f t="shared" si="10"/>
        <v>69862</v>
      </c>
      <c r="AW47" s="516"/>
    </row>
    <row r="48" spans="1:49">
      <c r="A48" s="332"/>
      <c r="B48" s="334"/>
      <c r="C48" s="334"/>
      <c r="D48" s="379">
        <f t="shared" si="0"/>
        <v>856669</v>
      </c>
      <c r="E48" s="535">
        <f t="shared" si="1"/>
        <v>0</v>
      </c>
      <c r="H48" s="496"/>
      <c r="I48" s="497"/>
      <c r="J48" s="541">
        <f t="shared" si="2"/>
        <v>36916</v>
      </c>
      <c r="K48" s="498"/>
      <c r="L48" s="543">
        <f t="shared" si="3"/>
        <v>0</v>
      </c>
      <c r="M48" s="347"/>
      <c r="N48" s="500"/>
      <c r="O48" s="501"/>
      <c r="P48" s="501"/>
      <c r="Q48" s="549">
        <f t="shared" si="4"/>
        <v>159814</v>
      </c>
      <c r="R48" s="502"/>
      <c r="S48" s="551">
        <f t="shared" si="5"/>
        <v>0</v>
      </c>
      <c r="T48" s="347"/>
      <c r="U48" s="504"/>
      <c r="V48" s="505"/>
      <c r="W48" s="505"/>
      <c r="X48" s="556">
        <f t="shared" si="6"/>
        <v>26290</v>
      </c>
      <c r="Y48" s="506"/>
      <c r="AA48" s="507"/>
      <c r="AB48" s="508"/>
      <c r="AC48" s="508"/>
      <c r="AD48" s="560">
        <f t="shared" si="7"/>
        <v>21907</v>
      </c>
      <c r="AE48" s="509"/>
      <c r="AG48" s="510"/>
      <c r="AH48" s="511"/>
      <c r="AI48" s="511"/>
      <c r="AJ48" s="564">
        <f t="shared" si="8"/>
        <v>82000</v>
      </c>
      <c r="AK48" s="512"/>
      <c r="AL48" s="513"/>
      <c r="AM48" s="514"/>
      <c r="AN48" s="515"/>
      <c r="AO48" s="515"/>
      <c r="AP48" s="568">
        <f t="shared" si="9"/>
        <v>46000</v>
      </c>
      <c r="AQ48" s="516"/>
      <c r="AR48" s="513"/>
      <c r="AS48" s="514"/>
      <c r="AT48" s="515"/>
      <c r="AU48" s="515"/>
      <c r="AV48" s="568">
        <f t="shared" si="10"/>
        <v>69862</v>
      </c>
      <c r="AW48" s="516"/>
    </row>
    <row r="49" spans="1:49">
      <c r="A49" s="332"/>
      <c r="B49" s="334"/>
      <c r="C49" s="334"/>
      <c r="D49" s="379">
        <f t="shared" si="0"/>
        <v>856669</v>
      </c>
      <c r="E49" s="535">
        <f t="shared" si="1"/>
        <v>0</v>
      </c>
      <c r="H49" s="496"/>
      <c r="I49" s="497"/>
      <c r="J49" s="541">
        <f t="shared" si="2"/>
        <v>36916</v>
      </c>
      <c r="K49" s="498"/>
      <c r="L49" s="543">
        <f t="shared" si="3"/>
        <v>0</v>
      </c>
      <c r="M49" s="347"/>
      <c r="N49" s="500"/>
      <c r="O49" s="501"/>
      <c r="P49" s="501"/>
      <c r="Q49" s="549">
        <f t="shared" si="4"/>
        <v>159814</v>
      </c>
      <c r="R49" s="502"/>
      <c r="S49" s="551">
        <f t="shared" si="5"/>
        <v>0</v>
      </c>
      <c r="T49" s="347"/>
      <c r="U49" s="504"/>
      <c r="V49" s="505"/>
      <c r="W49" s="505"/>
      <c r="X49" s="556">
        <f t="shared" si="6"/>
        <v>26290</v>
      </c>
      <c r="Y49" s="506"/>
      <c r="AA49" s="507"/>
      <c r="AB49" s="508"/>
      <c r="AC49" s="508"/>
      <c r="AD49" s="560">
        <f t="shared" si="7"/>
        <v>21907</v>
      </c>
      <c r="AE49" s="509"/>
      <c r="AG49" s="510"/>
      <c r="AH49" s="511"/>
      <c r="AI49" s="511"/>
      <c r="AJ49" s="564">
        <f t="shared" si="8"/>
        <v>82000</v>
      </c>
      <c r="AK49" s="512"/>
      <c r="AL49" s="513"/>
      <c r="AM49" s="514"/>
      <c r="AN49" s="515"/>
      <c r="AO49" s="515"/>
      <c r="AP49" s="568">
        <f t="shared" si="9"/>
        <v>46000</v>
      </c>
      <c r="AQ49" s="516"/>
      <c r="AR49" s="513"/>
      <c r="AS49" s="514"/>
      <c r="AT49" s="515"/>
      <c r="AU49" s="515"/>
      <c r="AV49" s="568">
        <f t="shared" si="10"/>
        <v>69862</v>
      </c>
      <c r="AW49" s="516"/>
    </row>
    <row r="50" spans="1:49">
      <c r="A50" s="332"/>
      <c r="B50" s="334"/>
      <c r="C50" s="334"/>
      <c r="D50" s="379">
        <f t="shared" si="0"/>
        <v>856669</v>
      </c>
      <c r="E50" s="535">
        <f t="shared" si="1"/>
        <v>0</v>
      </c>
      <c r="H50" s="496"/>
      <c r="I50" s="497"/>
      <c r="J50" s="541">
        <f t="shared" si="2"/>
        <v>36916</v>
      </c>
      <c r="K50" s="498"/>
      <c r="L50" s="543">
        <f t="shared" si="3"/>
        <v>0</v>
      </c>
      <c r="M50" s="347"/>
      <c r="N50" s="500"/>
      <c r="O50" s="501"/>
      <c r="P50" s="501"/>
      <c r="Q50" s="549">
        <f t="shared" si="4"/>
        <v>159814</v>
      </c>
      <c r="R50" s="502"/>
      <c r="S50" s="551">
        <f t="shared" si="5"/>
        <v>0</v>
      </c>
      <c r="T50" s="347"/>
      <c r="U50" s="504"/>
      <c r="V50" s="505"/>
      <c r="W50" s="505"/>
      <c r="X50" s="556">
        <f t="shared" si="6"/>
        <v>26290</v>
      </c>
      <c r="Y50" s="506"/>
      <c r="AA50" s="507"/>
      <c r="AB50" s="508"/>
      <c r="AC50" s="508"/>
      <c r="AD50" s="560">
        <f t="shared" si="7"/>
        <v>21907</v>
      </c>
      <c r="AE50" s="509"/>
      <c r="AG50" s="510"/>
      <c r="AH50" s="511"/>
      <c r="AI50" s="511"/>
      <c r="AJ50" s="564">
        <f t="shared" si="8"/>
        <v>82000</v>
      </c>
      <c r="AK50" s="512"/>
      <c r="AL50" s="513"/>
      <c r="AM50" s="514"/>
      <c r="AN50" s="515"/>
      <c r="AO50" s="515"/>
      <c r="AP50" s="568">
        <f t="shared" si="9"/>
        <v>46000</v>
      </c>
      <c r="AQ50" s="516"/>
      <c r="AR50" s="513"/>
      <c r="AS50" s="514"/>
      <c r="AT50" s="515"/>
      <c r="AU50" s="515"/>
      <c r="AV50" s="568">
        <f t="shared" si="10"/>
        <v>69862</v>
      </c>
      <c r="AW50" s="516"/>
    </row>
    <row r="51" spans="1:49">
      <c r="A51" s="332"/>
      <c r="B51" s="334"/>
      <c r="C51" s="334"/>
      <c r="D51" s="379">
        <f t="shared" si="0"/>
        <v>856669</v>
      </c>
      <c r="E51" s="535">
        <f t="shared" si="1"/>
        <v>0</v>
      </c>
      <c r="H51" s="496"/>
      <c r="I51" s="497"/>
      <c r="J51" s="541">
        <f t="shared" si="2"/>
        <v>36916</v>
      </c>
      <c r="K51" s="498"/>
      <c r="L51" s="543">
        <f t="shared" si="3"/>
        <v>0</v>
      </c>
      <c r="M51" s="347"/>
      <c r="N51" s="500"/>
      <c r="O51" s="501"/>
      <c r="P51" s="501"/>
      <c r="Q51" s="549">
        <f t="shared" si="4"/>
        <v>159814</v>
      </c>
      <c r="R51" s="502"/>
      <c r="S51" s="551">
        <f t="shared" si="5"/>
        <v>0</v>
      </c>
      <c r="T51" s="347"/>
      <c r="U51" s="504"/>
      <c r="V51" s="505"/>
      <c r="W51" s="505"/>
      <c r="X51" s="556">
        <f t="shared" si="6"/>
        <v>26290</v>
      </c>
      <c r="Y51" s="506"/>
      <c r="AA51" s="507"/>
      <c r="AB51" s="508"/>
      <c r="AC51" s="508"/>
      <c r="AD51" s="560">
        <f t="shared" si="7"/>
        <v>21907</v>
      </c>
      <c r="AE51" s="509"/>
      <c r="AG51" s="510"/>
      <c r="AH51" s="511"/>
      <c r="AI51" s="511"/>
      <c r="AJ51" s="564">
        <f t="shared" si="8"/>
        <v>82000</v>
      </c>
      <c r="AK51" s="512"/>
      <c r="AL51" s="513"/>
      <c r="AM51" s="514"/>
      <c r="AN51" s="515"/>
      <c r="AO51" s="515"/>
      <c r="AP51" s="568">
        <f t="shared" si="9"/>
        <v>46000</v>
      </c>
      <c r="AQ51" s="516"/>
      <c r="AR51" s="513"/>
      <c r="AS51" s="514"/>
      <c r="AT51" s="515"/>
      <c r="AU51" s="515"/>
      <c r="AV51" s="568">
        <f t="shared" si="10"/>
        <v>69862</v>
      </c>
      <c r="AW51" s="516"/>
    </row>
    <row r="52" spans="1:49">
      <c r="A52" s="332"/>
      <c r="B52" s="334"/>
      <c r="C52" s="334"/>
      <c r="D52" s="379">
        <f t="shared" si="0"/>
        <v>856669</v>
      </c>
      <c r="E52" s="535">
        <f t="shared" si="1"/>
        <v>0</v>
      </c>
      <c r="H52" s="496"/>
      <c r="I52" s="497"/>
      <c r="J52" s="541">
        <f t="shared" si="2"/>
        <v>36916</v>
      </c>
      <c r="K52" s="498"/>
      <c r="L52" s="543">
        <f t="shared" si="3"/>
        <v>0</v>
      </c>
      <c r="M52" s="347"/>
      <c r="N52" s="500"/>
      <c r="O52" s="501"/>
      <c r="P52" s="501"/>
      <c r="Q52" s="549">
        <f t="shared" si="4"/>
        <v>159814</v>
      </c>
      <c r="R52" s="502"/>
      <c r="S52" s="551">
        <f t="shared" si="5"/>
        <v>0</v>
      </c>
      <c r="T52" s="347"/>
      <c r="U52" s="504"/>
      <c r="V52" s="505"/>
      <c r="W52" s="505"/>
      <c r="X52" s="556">
        <f t="shared" si="6"/>
        <v>26290</v>
      </c>
      <c r="Y52" s="506"/>
      <c r="AA52" s="507"/>
      <c r="AB52" s="508"/>
      <c r="AC52" s="508"/>
      <c r="AD52" s="560">
        <f t="shared" si="7"/>
        <v>21907</v>
      </c>
      <c r="AE52" s="509"/>
      <c r="AG52" s="510"/>
      <c r="AH52" s="511"/>
      <c r="AI52" s="511"/>
      <c r="AJ52" s="564">
        <f t="shared" si="8"/>
        <v>82000</v>
      </c>
      <c r="AK52" s="512"/>
      <c r="AL52" s="513"/>
      <c r="AM52" s="514"/>
      <c r="AN52" s="515"/>
      <c r="AO52" s="515"/>
      <c r="AP52" s="568">
        <f t="shared" si="9"/>
        <v>46000</v>
      </c>
      <c r="AQ52" s="516"/>
      <c r="AR52" s="513"/>
      <c r="AS52" s="514"/>
      <c r="AT52" s="515"/>
      <c r="AU52" s="515"/>
      <c r="AV52" s="568">
        <f t="shared" si="10"/>
        <v>69862</v>
      </c>
      <c r="AW52" s="516"/>
    </row>
    <row r="53" spans="1:49">
      <c r="A53" s="332"/>
      <c r="B53" s="334"/>
      <c r="C53" s="334"/>
      <c r="D53" s="379">
        <f t="shared" si="0"/>
        <v>856669</v>
      </c>
      <c r="E53" s="535">
        <f t="shared" si="1"/>
        <v>0</v>
      </c>
      <c r="H53" s="496"/>
      <c r="I53" s="497"/>
      <c r="J53" s="541">
        <f t="shared" si="2"/>
        <v>36916</v>
      </c>
      <c r="K53" s="498"/>
      <c r="L53" s="543">
        <f t="shared" si="3"/>
        <v>0</v>
      </c>
      <c r="M53" s="347"/>
      <c r="N53" s="500"/>
      <c r="O53" s="501"/>
      <c r="P53" s="501"/>
      <c r="Q53" s="549">
        <f t="shared" si="4"/>
        <v>159814</v>
      </c>
      <c r="R53" s="502"/>
      <c r="S53" s="551">
        <f t="shared" si="5"/>
        <v>0</v>
      </c>
      <c r="T53" s="347"/>
      <c r="U53" s="504"/>
      <c r="V53" s="505"/>
      <c r="W53" s="505"/>
      <c r="X53" s="556">
        <f t="shared" si="6"/>
        <v>26290</v>
      </c>
      <c r="Y53" s="506"/>
      <c r="AA53" s="507"/>
      <c r="AB53" s="508"/>
      <c r="AC53" s="508"/>
      <c r="AD53" s="560">
        <f t="shared" si="7"/>
        <v>21907</v>
      </c>
      <c r="AE53" s="509"/>
      <c r="AG53" s="510"/>
      <c r="AH53" s="511"/>
      <c r="AI53" s="511"/>
      <c r="AJ53" s="564">
        <f t="shared" si="8"/>
        <v>82000</v>
      </c>
      <c r="AK53" s="512"/>
      <c r="AL53" s="513"/>
      <c r="AM53" s="514"/>
      <c r="AN53" s="515"/>
      <c r="AO53" s="515"/>
      <c r="AP53" s="568">
        <f t="shared" si="9"/>
        <v>46000</v>
      </c>
      <c r="AQ53" s="516"/>
      <c r="AR53" s="513"/>
      <c r="AS53" s="514"/>
      <c r="AT53" s="515"/>
      <c r="AU53" s="515"/>
      <c r="AV53" s="568">
        <f t="shared" si="10"/>
        <v>69862</v>
      </c>
      <c r="AW53" s="516"/>
    </row>
    <row r="54" spans="1:49">
      <c r="A54" s="332"/>
      <c r="B54" s="334"/>
      <c r="C54" s="334"/>
      <c r="D54" s="379">
        <f t="shared" si="0"/>
        <v>856669</v>
      </c>
      <c r="E54" s="535">
        <f t="shared" si="1"/>
        <v>0</v>
      </c>
      <c r="H54" s="496"/>
      <c r="I54" s="497"/>
      <c r="J54" s="541">
        <f t="shared" si="2"/>
        <v>36916</v>
      </c>
      <c r="K54" s="498"/>
      <c r="L54" s="543">
        <f t="shared" si="3"/>
        <v>0</v>
      </c>
      <c r="M54" s="347"/>
      <c r="N54" s="500"/>
      <c r="O54" s="501"/>
      <c r="P54" s="501"/>
      <c r="Q54" s="549">
        <f t="shared" si="4"/>
        <v>159814</v>
      </c>
      <c r="R54" s="502"/>
      <c r="S54" s="551">
        <f t="shared" si="5"/>
        <v>0</v>
      </c>
      <c r="T54" s="347"/>
      <c r="U54" s="504"/>
      <c r="V54" s="505"/>
      <c r="W54" s="505"/>
      <c r="X54" s="556">
        <f t="shared" si="6"/>
        <v>26290</v>
      </c>
      <c r="Y54" s="506"/>
      <c r="AA54" s="507"/>
      <c r="AB54" s="508"/>
      <c r="AC54" s="508"/>
      <c r="AD54" s="560">
        <f t="shared" si="7"/>
        <v>21907</v>
      </c>
      <c r="AE54" s="509"/>
      <c r="AG54" s="510"/>
      <c r="AH54" s="511"/>
      <c r="AI54" s="511"/>
      <c r="AJ54" s="564">
        <f t="shared" si="8"/>
        <v>82000</v>
      </c>
      <c r="AK54" s="512"/>
      <c r="AL54" s="513"/>
      <c r="AM54" s="514"/>
      <c r="AN54" s="515"/>
      <c r="AO54" s="515"/>
      <c r="AP54" s="568">
        <f t="shared" si="9"/>
        <v>46000</v>
      </c>
      <c r="AQ54" s="516"/>
      <c r="AR54" s="513"/>
      <c r="AS54" s="514"/>
      <c r="AT54" s="515"/>
      <c r="AU54" s="515"/>
      <c r="AV54" s="568">
        <f t="shared" si="10"/>
        <v>69862</v>
      </c>
      <c r="AW54" s="516"/>
    </row>
    <row r="55" spans="1:49">
      <c r="A55" s="332"/>
      <c r="B55" s="334"/>
      <c r="C55" s="334"/>
      <c r="D55" s="379">
        <f t="shared" si="0"/>
        <v>856669</v>
      </c>
      <c r="E55" s="535">
        <f t="shared" si="1"/>
        <v>0</v>
      </c>
      <c r="H55" s="496"/>
      <c r="I55" s="497"/>
      <c r="J55" s="541">
        <f t="shared" si="2"/>
        <v>36916</v>
      </c>
      <c r="K55" s="498"/>
      <c r="L55" s="543">
        <f t="shared" si="3"/>
        <v>0</v>
      </c>
      <c r="M55" s="347"/>
      <c r="N55" s="500"/>
      <c r="O55" s="501"/>
      <c r="P55" s="501"/>
      <c r="Q55" s="549">
        <f t="shared" si="4"/>
        <v>159814</v>
      </c>
      <c r="R55" s="502"/>
      <c r="S55" s="551">
        <f t="shared" si="5"/>
        <v>0</v>
      </c>
      <c r="T55" s="347"/>
      <c r="U55" s="504"/>
      <c r="V55" s="505"/>
      <c r="W55" s="505"/>
      <c r="X55" s="556">
        <f t="shared" si="6"/>
        <v>26290</v>
      </c>
      <c r="Y55" s="506"/>
      <c r="AA55" s="507"/>
      <c r="AB55" s="508"/>
      <c r="AC55" s="508"/>
      <c r="AD55" s="560">
        <f t="shared" si="7"/>
        <v>21907</v>
      </c>
      <c r="AE55" s="509"/>
      <c r="AG55" s="510"/>
      <c r="AH55" s="511"/>
      <c r="AI55" s="511"/>
      <c r="AJ55" s="564">
        <f t="shared" si="8"/>
        <v>82000</v>
      </c>
      <c r="AK55" s="512"/>
      <c r="AL55" s="513"/>
      <c r="AM55" s="514"/>
      <c r="AN55" s="515"/>
      <c r="AO55" s="515"/>
      <c r="AP55" s="568">
        <f t="shared" si="9"/>
        <v>46000</v>
      </c>
      <c r="AQ55" s="516"/>
      <c r="AR55" s="513"/>
      <c r="AS55" s="514"/>
      <c r="AT55" s="515"/>
      <c r="AU55" s="515"/>
      <c r="AV55" s="568">
        <f t="shared" si="10"/>
        <v>69862</v>
      </c>
      <c r="AW55" s="516"/>
    </row>
    <row r="56" spans="1:49">
      <c r="A56" s="332"/>
      <c r="B56" s="334"/>
      <c r="C56" s="334"/>
      <c r="D56" s="379">
        <f t="shared" si="0"/>
        <v>856669</v>
      </c>
      <c r="E56" s="535">
        <f t="shared" si="1"/>
        <v>0</v>
      </c>
      <c r="H56" s="496"/>
      <c r="I56" s="497"/>
      <c r="J56" s="541">
        <f t="shared" si="2"/>
        <v>36916</v>
      </c>
      <c r="K56" s="498"/>
      <c r="L56" s="543">
        <f t="shared" si="3"/>
        <v>0</v>
      </c>
      <c r="M56" s="347"/>
      <c r="N56" s="500"/>
      <c r="O56" s="501"/>
      <c r="P56" s="501"/>
      <c r="Q56" s="549">
        <f t="shared" si="4"/>
        <v>159814</v>
      </c>
      <c r="R56" s="502"/>
      <c r="S56" s="551">
        <f t="shared" si="5"/>
        <v>0</v>
      </c>
      <c r="T56" s="347"/>
      <c r="U56" s="504"/>
      <c r="V56" s="505"/>
      <c r="W56" s="505"/>
      <c r="X56" s="556">
        <f t="shared" si="6"/>
        <v>26290</v>
      </c>
      <c r="Y56" s="506"/>
      <c r="AA56" s="507"/>
      <c r="AB56" s="508"/>
      <c r="AC56" s="508"/>
      <c r="AD56" s="560">
        <f t="shared" si="7"/>
        <v>21907</v>
      </c>
      <c r="AE56" s="509"/>
      <c r="AG56" s="510"/>
      <c r="AH56" s="511"/>
      <c r="AI56" s="511"/>
      <c r="AJ56" s="564">
        <f t="shared" si="8"/>
        <v>82000</v>
      </c>
      <c r="AK56" s="512"/>
      <c r="AL56" s="513"/>
      <c r="AM56" s="514"/>
      <c r="AN56" s="515"/>
      <c r="AO56" s="515"/>
      <c r="AP56" s="568">
        <f t="shared" si="9"/>
        <v>46000</v>
      </c>
      <c r="AQ56" s="516"/>
      <c r="AR56" s="513"/>
      <c r="AS56" s="514"/>
      <c r="AT56" s="515"/>
      <c r="AU56" s="515"/>
      <c r="AV56" s="568">
        <f t="shared" si="10"/>
        <v>69862</v>
      </c>
      <c r="AW56" s="516"/>
    </row>
    <row r="57" spans="1:49">
      <c r="A57" s="332"/>
      <c r="B57" s="334"/>
      <c r="C57" s="334"/>
      <c r="D57" s="379">
        <f t="shared" si="0"/>
        <v>856669</v>
      </c>
      <c r="E57" s="535">
        <f t="shared" si="1"/>
        <v>0</v>
      </c>
      <c r="H57" s="496"/>
      <c r="I57" s="497"/>
      <c r="J57" s="541">
        <f t="shared" si="2"/>
        <v>36916</v>
      </c>
      <c r="K57" s="498"/>
      <c r="L57" s="543">
        <f t="shared" si="3"/>
        <v>0</v>
      </c>
      <c r="M57" s="347"/>
      <c r="N57" s="500"/>
      <c r="O57" s="501"/>
      <c r="P57" s="501"/>
      <c r="Q57" s="549">
        <f t="shared" si="4"/>
        <v>159814</v>
      </c>
      <c r="R57" s="502"/>
      <c r="S57" s="551">
        <f t="shared" si="5"/>
        <v>0</v>
      </c>
      <c r="T57" s="347"/>
      <c r="U57" s="504"/>
      <c r="V57" s="505"/>
      <c r="W57" s="505"/>
      <c r="X57" s="556">
        <f t="shared" si="6"/>
        <v>26290</v>
      </c>
      <c r="Y57" s="506"/>
      <c r="AA57" s="507"/>
      <c r="AB57" s="508"/>
      <c r="AC57" s="508"/>
      <c r="AD57" s="560">
        <f t="shared" si="7"/>
        <v>21907</v>
      </c>
      <c r="AE57" s="509"/>
      <c r="AG57" s="510"/>
      <c r="AH57" s="511"/>
      <c r="AI57" s="511"/>
      <c r="AJ57" s="564">
        <f t="shared" si="8"/>
        <v>82000</v>
      </c>
      <c r="AK57" s="512"/>
      <c r="AL57" s="513"/>
      <c r="AM57" s="514"/>
      <c r="AN57" s="515"/>
      <c r="AO57" s="515"/>
      <c r="AP57" s="568">
        <f t="shared" si="9"/>
        <v>46000</v>
      </c>
      <c r="AQ57" s="516"/>
      <c r="AR57" s="513"/>
      <c r="AS57" s="514"/>
      <c r="AT57" s="515"/>
      <c r="AU57" s="515"/>
      <c r="AV57" s="568">
        <f t="shared" si="10"/>
        <v>69862</v>
      </c>
      <c r="AW57" s="516"/>
    </row>
    <row r="58" spans="1:49">
      <c r="A58" s="332"/>
      <c r="B58" s="334"/>
      <c r="C58" s="334"/>
      <c r="D58" s="379">
        <f t="shared" si="0"/>
        <v>856669</v>
      </c>
      <c r="E58" s="535">
        <f t="shared" si="1"/>
        <v>0</v>
      </c>
      <c r="H58" s="496"/>
      <c r="I58" s="497"/>
      <c r="J58" s="541">
        <f t="shared" si="2"/>
        <v>36916</v>
      </c>
      <c r="K58" s="498"/>
      <c r="L58" s="543">
        <f t="shared" si="3"/>
        <v>0</v>
      </c>
      <c r="M58" s="347"/>
      <c r="N58" s="500"/>
      <c r="O58" s="501"/>
      <c r="P58" s="501"/>
      <c r="Q58" s="549">
        <f t="shared" si="4"/>
        <v>159814</v>
      </c>
      <c r="R58" s="502"/>
      <c r="S58" s="551">
        <f t="shared" si="5"/>
        <v>0</v>
      </c>
      <c r="T58" s="347"/>
      <c r="U58" s="504"/>
      <c r="V58" s="505"/>
      <c r="W58" s="505"/>
      <c r="X58" s="556">
        <f t="shared" si="6"/>
        <v>26290</v>
      </c>
      <c r="Y58" s="506"/>
      <c r="AA58" s="507"/>
      <c r="AB58" s="508"/>
      <c r="AC58" s="508"/>
      <c r="AD58" s="560">
        <f t="shared" si="7"/>
        <v>21907</v>
      </c>
      <c r="AE58" s="509"/>
      <c r="AG58" s="510"/>
      <c r="AH58" s="511"/>
      <c r="AI58" s="511"/>
      <c r="AJ58" s="564">
        <f t="shared" si="8"/>
        <v>82000</v>
      </c>
      <c r="AK58" s="512"/>
      <c r="AL58" s="513"/>
      <c r="AM58" s="514"/>
      <c r="AN58" s="515"/>
      <c r="AO58" s="515"/>
      <c r="AP58" s="568">
        <f t="shared" si="9"/>
        <v>46000</v>
      </c>
      <c r="AQ58" s="516"/>
      <c r="AR58" s="513"/>
      <c r="AS58" s="514"/>
      <c r="AT58" s="515"/>
      <c r="AU58" s="515"/>
      <c r="AV58" s="568">
        <f t="shared" si="10"/>
        <v>69862</v>
      </c>
      <c r="AW58" s="516"/>
    </row>
    <row r="59" spans="1:49">
      <c r="A59" s="332"/>
      <c r="B59" s="334"/>
      <c r="C59" s="334"/>
      <c r="D59" s="379">
        <f t="shared" si="0"/>
        <v>856669</v>
      </c>
      <c r="E59" s="535">
        <f t="shared" si="1"/>
        <v>0</v>
      </c>
      <c r="H59" s="496"/>
      <c r="I59" s="497"/>
      <c r="J59" s="541">
        <f t="shared" si="2"/>
        <v>36916</v>
      </c>
      <c r="K59" s="498"/>
      <c r="L59" s="543">
        <f t="shared" si="3"/>
        <v>0</v>
      </c>
      <c r="M59" s="347"/>
      <c r="N59" s="500"/>
      <c r="O59" s="501"/>
      <c r="P59" s="501"/>
      <c r="Q59" s="549">
        <f t="shared" si="4"/>
        <v>159814</v>
      </c>
      <c r="R59" s="502"/>
      <c r="S59" s="551">
        <f t="shared" si="5"/>
        <v>0</v>
      </c>
      <c r="T59" s="347"/>
      <c r="U59" s="504"/>
      <c r="V59" s="505"/>
      <c r="W59" s="505"/>
      <c r="X59" s="556">
        <f t="shared" si="6"/>
        <v>26290</v>
      </c>
      <c r="Y59" s="506"/>
      <c r="AA59" s="507"/>
      <c r="AB59" s="508"/>
      <c r="AC59" s="508"/>
      <c r="AD59" s="560">
        <f t="shared" si="7"/>
        <v>21907</v>
      </c>
      <c r="AE59" s="509"/>
      <c r="AG59" s="510"/>
      <c r="AH59" s="511"/>
      <c r="AI59" s="511"/>
      <c r="AJ59" s="564">
        <f t="shared" si="8"/>
        <v>82000</v>
      </c>
      <c r="AK59" s="512"/>
      <c r="AL59" s="513"/>
      <c r="AM59" s="514"/>
      <c r="AN59" s="515"/>
      <c r="AO59" s="515"/>
      <c r="AP59" s="568">
        <f t="shared" si="9"/>
        <v>46000</v>
      </c>
      <c r="AQ59" s="516"/>
      <c r="AR59" s="513"/>
      <c r="AS59" s="514"/>
      <c r="AT59" s="515"/>
      <c r="AU59" s="515"/>
      <c r="AV59" s="568">
        <f t="shared" si="10"/>
        <v>69862</v>
      </c>
      <c r="AW59" s="516"/>
    </row>
    <row r="60" spans="1:49">
      <c r="A60" s="332"/>
      <c r="B60" s="334"/>
      <c r="C60" s="334"/>
      <c r="D60" s="379">
        <f t="shared" si="0"/>
        <v>856669</v>
      </c>
      <c r="E60" s="535">
        <f t="shared" si="1"/>
        <v>0</v>
      </c>
      <c r="H60" s="496"/>
      <c r="I60" s="497"/>
      <c r="J60" s="541">
        <f t="shared" si="2"/>
        <v>36916</v>
      </c>
      <c r="K60" s="498"/>
      <c r="L60" s="543">
        <f t="shared" si="3"/>
        <v>0</v>
      </c>
      <c r="M60" s="347"/>
      <c r="N60" s="500"/>
      <c r="O60" s="501"/>
      <c r="P60" s="501"/>
      <c r="Q60" s="549">
        <f t="shared" si="4"/>
        <v>159814</v>
      </c>
      <c r="R60" s="502"/>
      <c r="S60" s="551">
        <f t="shared" si="5"/>
        <v>0</v>
      </c>
      <c r="T60" s="347"/>
      <c r="U60" s="504"/>
      <c r="V60" s="505"/>
      <c r="W60" s="505"/>
      <c r="X60" s="556">
        <f t="shared" si="6"/>
        <v>26290</v>
      </c>
      <c r="Y60" s="506"/>
      <c r="AA60" s="507"/>
      <c r="AB60" s="508"/>
      <c r="AC60" s="508"/>
      <c r="AD60" s="560">
        <f t="shared" si="7"/>
        <v>21907</v>
      </c>
      <c r="AE60" s="509"/>
      <c r="AG60" s="510"/>
      <c r="AH60" s="511"/>
      <c r="AI60" s="511"/>
      <c r="AJ60" s="564">
        <f t="shared" si="8"/>
        <v>82000</v>
      </c>
      <c r="AK60" s="512"/>
      <c r="AL60" s="513"/>
      <c r="AM60" s="514"/>
      <c r="AN60" s="515"/>
      <c r="AO60" s="515"/>
      <c r="AP60" s="568">
        <f t="shared" si="9"/>
        <v>46000</v>
      </c>
      <c r="AQ60" s="516"/>
      <c r="AR60" s="513"/>
      <c r="AS60" s="514"/>
      <c r="AT60" s="515"/>
      <c r="AU60" s="515"/>
      <c r="AV60" s="568">
        <f t="shared" si="10"/>
        <v>69862</v>
      </c>
      <c r="AW60" s="516"/>
    </row>
    <row r="61" spans="1:49">
      <c r="A61" s="332"/>
      <c r="B61" s="334"/>
      <c r="C61" s="334"/>
      <c r="D61" s="379">
        <f t="shared" si="0"/>
        <v>856669</v>
      </c>
      <c r="E61" s="535">
        <f t="shared" si="1"/>
        <v>0</v>
      </c>
      <c r="H61" s="496"/>
      <c r="I61" s="497"/>
      <c r="J61" s="541">
        <f t="shared" si="2"/>
        <v>36916</v>
      </c>
      <c r="K61" s="498"/>
      <c r="L61" s="543">
        <f t="shared" si="3"/>
        <v>0</v>
      </c>
      <c r="M61" s="347"/>
      <c r="N61" s="500"/>
      <c r="O61" s="501"/>
      <c r="P61" s="501"/>
      <c r="Q61" s="549">
        <f t="shared" si="4"/>
        <v>159814</v>
      </c>
      <c r="R61" s="502"/>
      <c r="S61" s="551">
        <f t="shared" si="5"/>
        <v>0</v>
      </c>
      <c r="T61" s="347"/>
      <c r="U61" s="504"/>
      <c r="V61" s="505"/>
      <c r="W61" s="505"/>
      <c r="X61" s="556">
        <f t="shared" si="6"/>
        <v>26290</v>
      </c>
      <c r="Y61" s="506"/>
      <c r="AA61" s="507"/>
      <c r="AB61" s="508"/>
      <c r="AC61" s="508"/>
      <c r="AD61" s="560">
        <f t="shared" si="7"/>
        <v>21907</v>
      </c>
      <c r="AE61" s="509"/>
      <c r="AG61" s="510"/>
      <c r="AH61" s="511"/>
      <c r="AI61" s="511"/>
      <c r="AJ61" s="564">
        <f t="shared" si="8"/>
        <v>82000</v>
      </c>
      <c r="AK61" s="512"/>
      <c r="AL61" s="513"/>
      <c r="AM61" s="514"/>
      <c r="AN61" s="515"/>
      <c r="AO61" s="515"/>
      <c r="AP61" s="568">
        <f t="shared" si="9"/>
        <v>46000</v>
      </c>
      <c r="AQ61" s="516"/>
      <c r="AR61" s="513"/>
      <c r="AS61" s="514"/>
      <c r="AT61" s="515"/>
      <c r="AU61" s="515"/>
      <c r="AV61" s="568">
        <f t="shared" si="10"/>
        <v>69862</v>
      </c>
      <c r="AW61" s="516"/>
    </row>
    <row r="62" spans="1:49">
      <c r="A62" s="332"/>
      <c r="B62" s="334"/>
      <c r="C62" s="334"/>
      <c r="D62" s="379">
        <f t="shared" si="0"/>
        <v>856669</v>
      </c>
      <c r="E62" s="535">
        <f t="shared" si="1"/>
        <v>0</v>
      </c>
      <c r="H62" s="496"/>
      <c r="I62" s="497"/>
      <c r="J62" s="541">
        <f t="shared" si="2"/>
        <v>36916</v>
      </c>
      <c r="K62" s="498"/>
      <c r="L62" s="543">
        <f t="shared" si="3"/>
        <v>0</v>
      </c>
      <c r="M62" s="347"/>
      <c r="N62" s="500"/>
      <c r="O62" s="501"/>
      <c r="P62" s="501"/>
      <c r="Q62" s="549">
        <f t="shared" si="4"/>
        <v>159814</v>
      </c>
      <c r="R62" s="502"/>
      <c r="S62" s="551">
        <f t="shared" si="5"/>
        <v>0</v>
      </c>
      <c r="T62" s="347"/>
      <c r="U62" s="504"/>
      <c r="V62" s="505"/>
      <c r="W62" s="505"/>
      <c r="X62" s="556">
        <f t="shared" si="6"/>
        <v>26290</v>
      </c>
      <c r="Y62" s="506"/>
      <c r="AA62" s="507"/>
      <c r="AB62" s="508"/>
      <c r="AC62" s="508"/>
      <c r="AD62" s="560">
        <f t="shared" si="7"/>
        <v>21907</v>
      </c>
      <c r="AE62" s="509"/>
      <c r="AG62" s="510"/>
      <c r="AH62" s="511"/>
      <c r="AI62" s="511"/>
      <c r="AJ62" s="564">
        <f t="shared" si="8"/>
        <v>82000</v>
      </c>
      <c r="AK62" s="512"/>
      <c r="AL62" s="513"/>
      <c r="AM62" s="514"/>
      <c r="AN62" s="515"/>
      <c r="AO62" s="515"/>
      <c r="AP62" s="568">
        <f t="shared" si="9"/>
        <v>46000</v>
      </c>
      <c r="AQ62" s="516"/>
      <c r="AR62" s="513"/>
      <c r="AS62" s="514"/>
      <c r="AT62" s="515"/>
      <c r="AU62" s="515"/>
      <c r="AV62" s="568">
        <f t="shared" si="10"/>
        <v>69862</v>
      </c>
      <c r="AW62" s="516"/>
    </row>
    <row r="63" spans="1:49">
      <c r="A63" s="332"/>
      <c r="B63" s="334"/>
      <c r="C63" s="334"/>
      <c r="D63" s="379">
        <f t="shared" si="0"/>
        <v>856669</v>
      </c>
      <c r="E63" s="535">
        <f t="shared" si="1"/>
        <v>0</v>
      </c>
      <c r="H63" s="496"/>
      <c r="I63" s="497"/>
      <c r="J63" s="541">
        <f t="shared" si="2"/>
        <v>36916</v>
      </c>
      <c r="K63" s="498"/>
      <c r="L63" s="543">
        <f t="shared" si="3"/>
        <v>0</v>
      </c>
      <c r="M63" s="347"/>
      <c r="N63" s="500"/>
      <c r="O63" s="501"/>
      <c r="P63" s="501"/>
      <c r="Q63" s="549">
        <f t="shared" si="4"/>
        <v>159814</v>
      </c>
      <c r="R63" s="502"/>
      <c r="S63" s="551">
        <f t="shared" si="5"/>
        <v>0</v>
      </c>
      <c r="T63" s="347"/>
      <c r="U63" s="504"/>
      <c r="V63" s="505"/>
      <c r="W63" s="505"/>
      <c r="X63" s="556">
        <f t="shared" si="6"/>
        <v>26290</v>
      </c>
      <c r="Y63" s="506"/>
      <c r="AA63" s="507"/>
      <c r="AB63" s="508"/>
      <c r="AC63" s="508"/>
      <c r="AD63" s="560">
        <f t="shared" si="7"/>
        <v>21907</v>
      </c>
      <c r="AE63" s="509"/>
      <c r="AG63" s="510"/>
      <c r="AH63" s="511"/>
      <c r="AI63" s="511"/>
      <c r="AJ63" s="564">
        <f t="shared" si="8"/>
        <v>82000</v>
      </c>
      <c r="AK63" s="512"/>
      <c r="AL63" s="513"/>
      <c r="AM63" s="514"/>
      <c r="AN63" s="515"/>
      <c r="AO63" s="515"/>
      <c r="AP63" s="568">
        <f t="shared" si="9"/>
        <v>46000</v>
      </c>
      <c r="AQ63" s="516"/>
      <c r="AR63" s="513"/>
      <c r="AS63" s="514"/>
      <c r="AT63" s="515"/>
      <c r="AU63" s="515"/>
      <c r="AV63" s="568">
        <f t="shared" si="10"/>
        <v>69862</v>
      </c>
      <c r="AW63" s="516"/>
    </row>
    <row r="64" spans="1:49">
      <c r="A64" s="332"/>
      <c r="B64" s="334"/>
      <c r="C64" s="334"/>
      <c r="D64" s="379">
        <f t="shared" si="0"/>
        <v>856669</v>
      </c>
      <c r="E64" s="535">
        <f t="shared" si="1"/>
        <v>0</v>
      </c>
      <c r="H64" s="496"/>
      <c r="I64" s="497"/>
      <c r="J64" s="541">
        <f t="shared" si="2"/>
        <v>36916</v>
      </c>
      <c r="K64" s="498"/>
      <c r="L64" s="543">
        <f t="shared" si="3"/>
        <v>0</v>
      </c>
      <c r="M64" s="347"/>
      <c r="N64" s="500"/>
      <c r="O64" s="501"/>
      <c r="P64" s="501"/>
      <c r="Q64" s="549">
        <f t="shared" si="4"/>
        <v>159814</v>
      </c>
      <c r="R64" s="502"/>
      <c r="S64" s="551">
        <f t="shared" si="5"/>
        <v>0</v>
      </c>
      <c r="T64" s="347"/>
      <c r="U64" s="504"/>
      <c r="V64" s="505"/>
      <c r="W64" s="505"/>
      <c r="X64" s="556">
        <f t="shared" si="6"/>
        <v>26290</v>
      </c>
      <c r="Y64" s="506"/>
      <c r="AA64" s="507"/>
      <c r="AB64" s="508"/>
      <c r="AC64" s="508"/>
      <c r="AD64" s="560">
        <f t="shared" si="7"/>
        <v>21907</v>
      </c>
      <c r="AE64" s="509"/>
      <c r="AG64" s="510"/>
      <c r="AH64" s="511"/>
      <c r="AI64" s="511"/>
      <c r="AJ64" s="564">
        <f t="shared" si="8"/>
        <v>82000</v>
      </c>
      <c r="AK64" s="512"/>
      <c r="AL64" s="513"/>
      <c r="AM64" s="514"/>
      <c r="AN64" s="515"/>
      <c r="AO64" s="515"/>
      <c r="AP64" s="568">
        <f t="shared" si="9"/>
        <v>46000</v>
      </c>
      <c r="AQ64" s="516"/>
      <c r="AR64" s="513"/>
      <c r="AS64" s="514"/>
      <c r="AT64" s="515"/>
      <c r="AU64" s="515"/>
      <c r="AV64" s="568">
        <f t="shared" si="10"/>
        <v>69862</v>
      </c>
      <c r="AW64" s="516"/>
    </row>
    <row r="65" spans="1:49">
      <c r="A65" s="332"/>
      <c r="B65" s="334"/>
      <c r="C65" s="334"/>
      <c r="D65" s="379">
        <f t="shared" si="0"/>
        <v>856669</v>
      </c>
      <c r="E65" s="535">
        <f t="shared" si="1"/>
        <v>0</v>
      </c>
      <c r="H65" s="496"/>
      <c r="I65" s="497"/>
      <c r="J65" s="541">
        <f t="shared" si="2"/>
        <v>36916</v>
      </c>
      <c r="K65" s="498"/>
      <c r="L65" s="543">
        <f t="shared" si="3"/>
        <v>0</v>
      </c>
      <c r="M65" s="347"/>
      <c r="N65" s="500"/>
      <c r="O65" s="501"/>
      <c r="P65" s="501"/>
      <c r="Q65" s="549">
        <f t="shared" si="4"/>
        <v>159814</v>
      </c>
      <c r="R65" s="502"/>
      <c r="S65" s="551">
        <f t="shared" si="5"/>
        <v>0</v>
      </c>
      <c r="T65" s="347"/>
      <c r="U65" s="504"/>
      <c r="V65" s="505"/>
      <c r="W65" s="505"/>
      <c r="X65" s="556">
        <f t="shared" si="6"/>
        <v>26290</v>
      </c>
      <c r="Y65" s="506"/>
      <c r="AA65" s="507"/>
      <c r="AB65" s="508"/>
      <c r="AC65" s="508"/>
      <c r="AD65" s="560">
        <f t="shared" si="7"/>
        <v>21907</v>
      </c>
      <c r="AE65" s="509"/>
      <c r="AG65" s="510"/>
      <c r="AH65" s="511"/>
      <c r="AI65" s="511"/>
      <c r="AJ65" s="564">
        <f t="shared" si="8"/>
        <v>82000</v>
      </c>
      <c r="AK65" s="512"/>
      <c r="AL65" s="513"/>
      <c r="AM65" s="514"/>
      <c r="AN65" s="515"/>
      <c r="AO65" s="515"/>
      <c r="AP65" s="568">
        <f t="shared" si="9"/>
        <v>46000</v>
      </c>
      <c r="AQ65" s="516"/>
      <c r="AR65" s="513"/>
      <c r="AS65" s="514"/>
      <c r="AT65" s="515"/>
      <c r="AU65" s="515"/>
      <c r="AV65" s="568">
        <f t="shared" si="10"/>
        <v>69862</v>
      </c>
      <c r="AW65" s="516"/>
    </row>
    <row r="66" spans="1:49">
      <c r="A66" s="332"/>
      <c r="B66" s="334"/>
      <c r="C66" s="334"/>
      <c r="D66" s="379">
        <f t="shared" si="0"/>
        <v>856669</v>
      </c>
      <c r="E66" s="535">
        <f t="shared" si="1"/>
        <v>0</v>
      </c>
      <c r="H66" s="496"/>
      <c r="I66" s="497"/>
      <c r="J66" s="541">
        <f t="shared" si="2"/>
        <v>36916</v>
      </c>
      <c r="K66" s="498"/>
      <c r="L66" s="543">
        <f t="shared" si="3"/>
        <v>0</v>
      </c>
      <c r="M66" s="347"/>
      <c r="N66" s="500"/>
      <c r="O66" s="501"/>
      <c r="P66" s="501"/>
      <c r="Q66" s="549">
        <f t="shared" si="4"/>
        <v>159814</v>
      </c>
      <c r="R66" s="502"/>
      <c r="S66" s="551">
        <f t="shared" si="5"/>
        <v>0</v>
      </c>
      <c r="T66" s="347"/>
      <c r="U66" s="504"/>
      <c r="V66" s="505"/>
      <c r="W66" s="505"/>
      <c r="X66" s="556">
        <f t="shared" si="6"/>
        <v>26290</v>
      </c>
      <c r="Y66" s="506"/>
      <c r="AA66" s="507"/>
      <c r="AB66" s="508"/>
      <c r="AC66" s="508"/>
      <c r="AD66" s="560">
        <f t="shared" si="7"/>
        <v>21907</v>
      </c>
      <c r="AE66" s="509"/>
      <c r="AG66" s="510"/>
      <c r="AH66" s="511"/>
      <c r="AI66" s="511"/>
      <c r="AJ66" s="564">
        <f t="shared" si="8"/>
        <v>82000</v>
      </c>
      <c r="AK66" s="512"/>
      <c r="AL66" s="513"/>
      <c r="AM66" s="514"/>
      <c r="AN66" s="515"/>
      <c r="AO66" s="515"/>
      <c r="AP66" s="568">
        <f t="shared" si="9"/>
        <v>46000</v>
      </c>
      <c r="AQ66" s="516"/>
      <c r="AR66" s="513"/>
      <c r="AS66" s="514"/>
      <c r="AT66" s="515"/>
      <c r="AU66" s="515"/>
      <c r="AV66" s="568">
        <f t="shared" si="10"/>
        <v>69862</v>
      </c>
      <c r="AW66" s="516"/>
    </row>
    <row r="67" spans="1:49">
      <c r="A67" s="332"/>
      <c r="B67" s="334"/>
      <c r="C67" s="334"/>
      <c r="D67" s="379">
        <f t="shared" si="0"/>
        <v>856669</v>
      </c>
      <c r="E67" s="535">
        <f t="shared" si="1"/>
        <v>0</v>
      </c>
      <c r="H67" s="496"/>
      <c r="I67" s="497"/>
      <c r="J67" s="541">
        <f t="shared" si="2"/>
        <v>36916</v>
      </c>
      <c r="K67" s="498"/>
      <c r="L67" s="543">
        <f t="shared" si="3"/>
        <v>0</v>
      </c>
      <c r="M67" s="347"/>
      <c r="N67" s="500"/>
      <c r="O67" s="501"/>
      <c r="P67" s="501"/>
      <c r="Q67" s="549">
        <f t="shared" si="4"/>
        <v>159814</v>
      </c>
      <c r="R67" s="502"/>
      <c r="S67" s="551">
        <f t="shared" si="5"/>
        <v>0</v>
      </c>
      <c r="T67" s="347"/>
      <c r="U67" s="504"/>
      <c r="V67" s="505"/>
      <c r="W67" s="505"/>
      <c r="X67" s="556">
        <f t="shared" si="6"/>
        <v>26290</v>
      </c>
      <c r="Y67" s="506"/>
      <c r="AA67" s="507"/>
      <c r="AB67" s="508"/>
      <c r="AC67" s="508"/>
      <c r="AD67" s="560">
        <f t="shared" si="7"/>
        <v>21907</v>
      </c>
      <c r="AE67" s="509"/>
      <c r="AG67" s="510"/>
      <c r="AH67" s="511"/>
      <c r="AI67" s="511"/>
      <c r="AJ67" s="564">
        <f t="shared" si="8"/>
        <v>82000</v>
      </c>
      <c r="AK67" s="512"/>
      <c r="AL67" s="513"/>
      <c r="AM67" s="514"/>
      <c r="AN67" s="515"/>
      <c r="AO67" s="515"/>
      <c r="AP67" s="568">
        <f t="shared" si="9"/>
        <v>46000</v>
      </c>
      <c r="AQ67" s="516"/>
      <c r="AR67" s="513"/>
      <c r="AS67" s="514"/>
      <c r="AT67" s="515"/>
      <c r="AU67" s="515"/>
      <c r="AV67" s="568">
        <f t="shared" si="10"/>
        <v>69862</v>
      </c>
      <c r="AW67" s="516"/>
    </row>
    <row r="68" spans="1:49">
      <c r="A68" s="332"/>
      <c r="B68" s="334"/>
      <c r="C68" s="334"/>
      <c r="D68" s="379">
        <f t="shared" si="0"/>
        <v>856669</v>
      </c>
      <c r="E68" s="535">
        <f t="shared" si="1"/>
        <v>0</v>
      </c>
      <c r="H68" s="496"/>
      <c r="I68" s="497"/>
      <c r="J68" s="541">
        <f t="shared" si="2"/>
        <v>36916</v>
      </c>
      <c r="K68" s="498"/>
      <c r="L68" s="543">
        <f t="shared" si="3"/>
        <v>0</v>
      </c>
      <c r="M68" s="347"/>
      <c r="N68" s="500"/>
      <c r="O68" s="501"/>
      <c r="P68" s="501"/>
      <c r="Q68" s="549">
        <f t="shared" si="4"/>
        <v>159814</v>
      </c>
      <c r="R68" s="502"/>
      <c r="S68" s="551">
        <f t="shared" si="5"/>
        <v>0</v>
      </c>
      <c r="T68" s="347"/>
      <c r="U68" s="504"/>
      <c r="V68" s="505"/>
      <c r="W68" s="505"/>
      <c r="X68" s="556">
        <f t="shared" si="6"/>
        <v>26290</v>
      </c>
      <c r="Y68" s="506"/>
      <c r="AA68" s="507"/>
      <c r="AB68" s="508"/>
      <c r="AC68" s="508"/>
      <c r="AD68" s="560">
        <f t="shared" si="7"/>
        <v>21907</v>
      </c>
      <c r="AE68" s="509"/>
      <c r="AG68" s="510"/>
      <c r="AH68" s="511"/>
      <c r="AI68" s="511"/>
      <c r="AJ68" s="564">
        <f t="shared" si="8"/>
        <v>82000</v>
      </c>
      <c r="AK68" s="512"/>
      <c r="AL68" s="513"/>
      <c r="AM68" s="514"/>
      <c r="AN68" s="515"/>
      <c r="AO68" s="515"/>
      <c r="AP68" s="568">
        <f t="shared" si="9"/>
        <v>46000</v>
      </c>
      <c r="AQ68" s="516"/>
      <c r="AR68" s="513"/>
      <c r="AS68" s="514"/>
      <c r="AT68" s="515"/>
      <c r="AU68" s="515"/>
      <c r="AV68" s="568">
        <f t="shared" si="10"/>
        <v>69862</v>
      </c>
      <c r="AW68" s="516"/>
    </row>
    <row r="69" spans="1:49">
      <c r="A69" s="332"/>
      <c r="B69" s="334"/>
      <c r="C69" s="334"/>
      <c r="D69" s="379">
        <f t="shared" si="0"/>
        <v>856669</v>
      </c>
      <c r="E69" s="535">
        <f t="shared" si="1"/>
        <v>0</v>
      </c>
      <c r="H69" s="496"/>
      <c r="I69" s="497"/>
      <c r="J69" s="541">
        <f t="shared" si="2"/>
        <v>36916</v>
      </c>
      <c r="K69" s="498"/>
      <c r="L69" s="543">
        <f t="shared" si="3"/>
        <v>0</v>
      </c>
      <c r="M69" s="347"/>
      <c r="N69" s="500"/>
      <c r="O69" s="501"/>
      <c r="P69" s="501"/>
      <c r="Q69" s="549">
        <f t="shared" si="4"/>
        <v>159814</v>
      </c>
      <c r="R69" s="502"/>
      <c r="S69" s="551">
        <f t="shared" si="5"/>
        <v>0</v>
      </c>
      <c r="T69" s="347"/>
      <c r="U69" s="504"/>
      <c r="V69" s="505"/>
      <c r="W69" s="505"/>
      <c r="X69" s="556">
        <f t="shared" si="6"/>
        <v>26290</v>
      </c>
      <c r="Y69" s="506"/>
      <c r="AA69" s="507"/>
      <c r="AB69" s="508"/>
      <c r="AC69" s="508"/>
      <c r="AD69" s="560">
        <f t="shared" si="7"/>
        <v>21907</v>
      </c>
      <c r="AE69" s="509"/>
      <c r="AG69" s="510"/>
      <c r="AH69" s="511"/>
      <c r="AI69" s="511"/>
      <c r="AJ69" s="564">
        <f t="shared" si="8"/>
        <v>82000</v>
      </c>
      <c r="AK69" s="512"/>
      <c r="AL69" s="513"/>
      <c r="AM69" s="514"/>
      <c r="AN69" s="515"/>
      <c r="AO69" s="515"/>
      <c r="AP69" s="568">
        <f t="shared" si="9"/>
        <v>46000</v>
      </c>
      <c r="AQ69" s="516"/>
      <c r="AR69" s="513"/>
      <c r="AS69" s="514"/>
      <c r="AT69" s="515"/>
      <c r="AU69" s="515"/>
      <c r="AV69" s="568">
        <f t="shared" si="10"/>
        <v>69862</v>
      </c>
      <c r="AW69" s="516"/>
    </row>
    <row r="70" spans="1:49">
      <c r="A70" s="332"/>
      <c r="B70" s="334"/>
      <c r="C70" s="334"/>
      <c r="D70" s="379">
        <f t="shared" si="0"/>
        <v>856669</v>
      </c>
      <c r="E70" s="535">
        <f t="shared" si="1"/>
        <v>0</v>
      </c>
      <c r="H70" s="496"/>
      <c r="I70" s="497"/>
      <c r="J70" s="541">
        <f t="shared" si="2"/>
        <v>36916</v>
      </c>
      <c r="K70" s="498"/>
      <c r="L70" s="543">
        <f t="shared" si="3"/>
        <v>0</v>
      </c>
      <c r="M70" s="347"/>
      <c r="N70" s="500"/>
      <c r="O70" s="501"/>
      <c r="P70" s="501"/>
      <c r="Q70" s="549">
        <f t="shared" si="4"/>
        <v>159814</v>
      </c>
      <c r="R70" s="502"/>
      <c r="S70" s="551">
        <f t="shared" si="5"/>
        <v>0</v>
      </c>
      <c r="T70" s="347"/>
      <c r="U70" s="504"/>
      <c r="V70" s="505"/>
      <c r="W70" s="505"/>
      <c r="X70" s="556">
        <f t="shared" si="6"/>
        <v>26290</v>
      </c>
      <c r="Y70" s="506"/>
      <c r="AA70" s="507"/>
      <c r="AB70" s="508"/>
      <c r="AC70" s="508"/>
      <c r="AD70" s="560">
        <f t="shared" si="7"/>
        <v>21907</v>
      </c>
      <c r="AE70" s="509"/>
      <c r="AG70" s="510"/>
      <c r="AH70" s="511"/>
      <c r="AI70" s="511"/>
      <c r="AJ70" s="564">
        <f t="shared" si="8"/>
        <v>82000</v>
      </c>
      <c r="AK70" s="512"/>
      <c r="AL70" s="513"/>
      <c r="AM70" s="514"/>
      <c r="AN70" s="515"/>
      <c r="AO70" s="515"/>
      <c r="AP70" s="568">
        <f t="shared" si="9"/>
        <v>46000</v>
      </c>
      <c r="AQ70" s="516"/>
      <c r="AR70" s="513"/>
      <c r="AS70" s="514"/>
      <c r="AT70" s="515"/>
      <c r="AU70" s="515"/>
      <c r="AV70" s="568">
        <f t="shared" si="10"/>
        <v>69862</v>
      </c>
      <c r="AW70" s="516"/>
    </row>
    <row r="71" spans="1:49">
      <c r="A71" s="332"/>
      <c r="B71" s="334"/>
      <c r="C71" s="334"/>
      <c r="D71" s="379">
        <f t="shared" si="0"/>
        <v>856669</v>
      </c>
      <c r="E71" s="535">
        <f t="shared" si="1"/>
        <v>0</v>
      </c>
      <c r="H71" s="496"/>
      <c r="I71" s="497"/>
      <c r="J71" s="541">
        <f t="shared" si="2"/>
        <v>36916</v>
      </c>
      <c r="K71" s="498"/>
      <c r="L71" s="543">
        <f t="shared" si="3"/>
        <v>0</v>
      </c>
      <c r="M71" s="347"/>
      <c r="N71" s="500"/>
      <c r="O71" s="501"/>
      <c r="P71" s="501"/>
      <c r="Q71" s="549">
        <f t="shared" si="4"/>
        <v>159814</v>
      </c>
      <c r="R71" s="502"/>
      <c r="S71" s="551">
        <f t="shared" si="5"/>
        <v>0</v>
      </c>
      <c r="T71" s="347"/>
      <c r="U71" s="504"/>
      <c r="V71" s="505"/>
      <c r="W71" s="505"/>
      <c r="X71" s="556">
        <f t="shared" si="6"/>
        <v>26290</v>
      </c>
      <c r="Y71" s="506"/>
      <c r="AA71" s="507"/>
      <c r="AB71" s="508"/>
      <c r="AC71" s="508"/>
      <c r="AD71" s="560">
        <f t="shared" si="7"/>
        <v>21907</v>
      </c>
      <c r="AE71" s="509"/>
      <c r="AG71" s="510"/>
      <c r="AH71" s="511"/>
      <c r="AI71" s="511"/>
      <c r="AJ71" s="564">
        <f t="shared" si="8"/>
        <v>82000</v>
      </c>
      <c r="AK71" s="512"/>
      <c r="AL71" s="513"/>
      <c r="AM71" s="514"/>
      <c r="AN71" s="515"/>
      <c r="AO71" s="515"/>
      <c r="AP71" s="568">
        <f t="shared" si="9"/>
        <v>46000</v>
      </c>
      <c r="AQ71" s="516"/>
      <c r="AR71" s="513"/>
      <c r="AS71" s="514"/>
      <c r="AT71" s="515"/>
      <c r="AU71" s="515"/>
      <c r="AV71" s="568">
        <f t="shared" si="10"/>
        <v>69862</v>
      </c>
      <c r="AW71" s="516"/>
    </row>
    <row r="72" spans="1:49">
      <c r="A72" s="332"/>
      <c r="B72" s="334"/>
      <c r="C72" s="334"/>
      <c r="D72" s="379">
        <f t="shared" ref="D72:D135" si="12">D71+A72-C72</f>
        <v>856669</v>
      </c>
      <c r="E72" s="535">
        <f t="shared" ref="E72:E135" si="13">B72-C72</f>
        <v>0</v>
      </c>
      <c r="H72" s="496"/>
      <c r="I72" s="497"/>
      <c r="J72" s="541">
        <f t="shared" ref="J72:J135" si="14">J71+H72-I72</f>
        <v>36916</v>
      </c>
      <c r="K72" s="498"/>
      <c r="L72" s="543">
        <f t="shared" ref="L72:L135" si="15">K72-I72</f>
        <v>0</v>
      </c>
      <c r="M72" s="347"/>
      <c r="N72" s="500"/>
      <c r="O72" s="501"/>
      <c r="P72" s="501"/>
      <c r="Q72" s="549">
        <f t="shared" ref="Q72:Q135" si="16">Q71+N72-O72+P72</f>
        <v>159814</v>
      </c>
      <c r="R72" s="502"/>
      <c r="S72" s="551">
        <f t="shared" ref="S72:S135" si="17">R72-O72+P72</f>
        <v>0</v>
      </c>
      <c r="T72" s="347"/>
      <c r="U72" s="504"/>
      <c r="V72" s="505"/>
      <c r="W72" s="505"/>
      <c r="X72" s="556">
        <f t="shared" ref="X72:X135" si="18">X71+U72-V72-W72</f>
        <v>26290</v>
      </c>
      <c r="Y72" s="506"/>
      <c r="AA72" s="507"/>
      <c r="AB72" s="508"/>
      <c r="AC72" s="508"/>
      <c r="AD72" s="560">
        <f t="shared" ref="AD72:AD135" si="19">AD71+AA72-AB72-AC72</f>
        <v>21907</v>
      </c>
      <c r="AE72" s="509"/>
      <c r="AG72" s="510"/>
      <c r="AH72" s="511"/>
      <c r="AI72" s="511"/>
      <c r="AJ72" s="564">
        <f t="shared" ref="AJ72:AJ135" si="20">AJ71+AG72-AH72-AI72</f>
        <v>82000</v>
      </c>
      <c r="AK72" s="512"/>
      <c r="AL72" s="513"/>
      <c r="AM72" s="514"/>
      <c r="AN72" s="515"/>
      <c r="AO72" s="515"/>
      <c r="AP72" s="568">
        <f t="shared" ref="AP72:AP135" si="21">AP71+AM72-AN72-AO72</f>
        <v>46000</v>
      </c>
      <c r="AQ72" s="516"/>
      <c r="AR72" s="513"/>
      <c r="AS72" s="514"/>
      <c r="AT72" s="515"/>
      <c r="AU72" s="515"/>
      <c r="AV72" s="568">
        <f t="shared" ref="AV72:AV135" si="22">AV71+AS72-AT72-AU72</f>
        <v>69862</v>
      </c>
      <c r="AW72" s="516"/>
    </row>
    <row r="73" spans="1:49">
      <c r="A73" s="332"/>
      <c r="B73" s="334"/>
      <c r="C73" s="334"/>
      <c r="D73" s="379">
        <f t="shared" si="12"/>
        <v>856669</v>
      </c>
      <c r="E73" s="535">
        <f t="shared" si="13"/>
        <v>0</v>
      </c>
      <c r="H73" s="496"/>
      <c r="I73" s="497"/>
      <c r="J73" s="541">
        <f t="shared" si="14"/>
        <v>36916</v>
      </c>
      <c r="K73" s="498"/>
      <c r="L73" s="543">
        <f t="shared" si="15"/>
        <v>0</v>
      </c>
      <c r="M73" s="347"/>
      <c r="N73" s="500"/>
      <c r="O73" s="501"/>
      <c r="P73" s="501"/>
      <c r="Q73" s="549">
        <f t="shared" si="16"/>
        <v>159814</v>
      </c>
      <c r="R73" s="502"/>
      <c r="S73" s="551">
        <f t="shared" si="17"/>
        <v>0</v>
      </c>
      <c r="T73" s="347"/>
      <c r="U73" s="504"/>
      <c r="V73" s="505"/>
      <c r="W73" s="505"/>
      <c r="X73" s="556">
        <f t="shared" si="18"/>
        <v>26290</v>
      </c>
      <c r="Y73" s="506"/>
      <c r="AA73" s="507"/>
      <c r="AB73" s="508"/>
      <c r="AC73" s="508"/>
      <c r="AD73" s="560">
        <f t="shared" si="19"/>
        <v>21907</v>
      </c>
      <c r="AE73" s="509"/>
      <c r="AG73" s="510"/>
      <c r="AH73" s="511"/>
      <c r="AI73" s="511"/>
      <c r="AJ73" s="564">
        <f t="shared" si="20"/>
        <v>82000</v>
      </c>
      <c r="AK73" s="512"/>
      <c r="AL73" s="513"/>
      <c r="AM73" s="514"/>
      <c r="AN73" s="515"/>
      <c r="AO73" s="515"/>
      <c r="AP73" s="568">
        <f t="shared" si="21"/>
        <v>46000</v>
      </c>
      <c r="AQ73" s="516"/>
      <c r="AR73" s="513"/>
      <c r="AS73" s="514"/>
      <c r="AT73" s="515"/>
      <c r="AU73" s="515"/>
      <c r="AV73" s="568">
        <f t="shared" si="22"/>
        <v>69862</v>
      </c>
      <c r="AW73" s="516"/>
    </row>
    <row r="74" spans="1:49">
      <c r="A74" s="332"/>
      <c r="B74" s="334"/>
      <c r="C74" s="334"/>
      <c r="D74" s="379">
        <f t="shared" si="12"/>
        <v>856669</v>
      </c>
      <c r="E74" s="535">
        <f t="shared" si="13"/>
        <v>0</v>
      </c>
      <c r="H74" s="496"/>
      <c r="I74" s="497"/>
      <c r="J74" s="541">
        <f t="shared" si="14"/>
        <v>36916</v>
      </c>
      <c r="K74" s="498"/>
      <c r="L74" s="543">
        <f t="shared" si="15"/>
        <v>0</v>
      </c>
      <c r="M74" s="347"/>
      <c r="N74" s="500"/>
      <c r="O74" s="501"/>
      <c r="P74" s="501"/>
      <c r="Q74" s="549">
        <f t="shared" si="16"/>
        <v>159814</v>
      </c>
      <c r="R74" s="502"/>
      <c r="S74" s="551">
        <f t="shared" si="17"/>
        <v>0</v>
      </c>
      <c r="T74" s="347"/>
      <c r="U74" s="504"/>
      <c r="V74" s="505"/>
      <c r="W74" s="505"/>
      <c r="X74" s="556">
        <f t="shared" si="18"/>
        <v>26290</v>
      </c>
      <c r="Y74" s="506"/>
      <c r="AA74" s="507"/>
      <c r="AB74" s="508"/>
      <c r="AC74" s="508"/>
      <c r="AD74" s="560">
        <f t="shared" si="19"/>
        <v>21907</v>
      </c>
      <c r="AE74" s="509"/>
      <c r="AG74" s="510"/>
      <c r="AH74" s="511"/>
      <c r="AI74" s="511"/>
      <c r="AJ74" s="564">
        <f t="shared" si="20"/>
        <v>82000</v>
      </c>
      <c r="AK74" s="512"/>
      <c r="AL74" s="513"/>
      <c r="AM74" s="514"/>
      <c r="AN74" s="515"/>
      <c r="AO74" s="515"/>
      <c r="AP74" s="568">
        <f t="shared" si="21"/>
        <v>46000</v>
      </c>
      <c r="AQ74" s="516"/>
      <c r="AR74" s="513"/>
      <c r="AS74" s="514"/>
      <c r="AT74" s="515"/>
      <c r="AU74" s="515"/>
      <c r="AV74" s="568">
        <f t="shared" si="22"/>
        <v>69862</v>
      </c>
      <c r="AW74" s="516"/>
    </row>
    <row r="75" spans="1:49">
      <c r="A75" s="332"/>
      <c r="B75" s="334"/>
      <c r="C75" s="334"/>
      <c r="D75" s="379">
        <f t="shared" si="12"/>
        <v>856669</v>
      </c>
      <c r="E75" s="535">
        <f t="shared" si="13"/>
        <v>0</v>
      </c>
      <c r="H75" s="496"/>
      <c r="I75" s="497"/>
      <c r="J75" s="541">
        <f t="shared" si="14"/>
        <v>36916</v>
      </c>
      <c r="K75" s="498"/>
      <c r="L75" s="543">
        <f t="shared" si="15"/>
        <v>0</v>
      </c>
      <c r="M75" s="347"/>
      <c r="N75" s="500"/>
      <c r="O75" s="501"/>
      <c r="P75" s="501"/>
      <c r="Q75" s="549">
        <f t="shared" si="16"/>
        <v>159814</v>
      </c>
      <c r="R75" s="502"/>
      <c r="S75" s="551">
        <f t="shared" si="17"/>
        <v>0</v>
      </c>
      <c r="T75" s="347"/>
      <c r="U75" s="504"/>
      <c r="V75" s="505"/>
      <c r="W75" s="505"/>
      <c r="X75" s="556">
        <f t="shared" si="18"/>
        <v>26290</v>
      </c>
      <c r="Y75" s="506"/>
      <c r="AA75" s="507"/>
      <c r="AB75" s="508"/>
      <c r="AC75" s="508"/>
      <c r="AD75" s="560">
        <f t="shared" si="19"/>
        <v>21907</v>
      </c>
      <c r="AE75" s="509"/>
      <c r="AG75" s="510"/>
      <c r="AH75" s="511"/>
      <c r="AI75" s="511"/>
      <c r="AJ75" s="564">
        <f t="shared" si="20"/>
        <v>82000</v>
      </c>
      <c r="AK75" s="512"/>
      <c r="AL75" s="513"/>
      <c r="AM75" s="514"/>
      <c r="AN75" s="515"/>
      <c r="AO75" s="515"/>
      <c r="AP75" s="568">
        <f t="shared" si="21"/>
        <v>46000</v>
      </c>
      <c r="AQ75" s="516"/>
      <c r="AR75" s="513"/>
      <c r="AS75" s="514"/>
      <c r="AT75" s="515"/>
      <c r="AU75" s="515"/>
      <c r="AV75" s="568">
        <f t="shared" si="22"/>
        <v>69862</v>
      </c>
      <c r="AW75" s="516"/>
    </row>
    <row r="76" spans="1:49">
      <c r="A76" s="332"/>
      <c r="B76" s="334"/>
      <c r="C76" s="334"/>
      <c r="D76" s="379">
        <f t="shared" si="12"/>
        <v>856669</v>
      </c>
      <c r="E76" s="535">
        <f t="shared" si="13"/>
        <v>0</v>
      </c>
      <c r="H76" s="496"/>
      <c r="I76" s="497"/>
      <c r="J76" s="541">
        <f t="shared" si="14"/>
        <v>36916</v>
      </c>
      <c r="K76" s="498"/>
      <c r="L76" s="543">
        <f t="shared" si="15"/>
        <v>0</v>
      </c>
      <c r="M76" s="347"/>
      <c r="N76" s="500"/>
      <c r="O76" s="501"/>
      <c r="P76" s="501"/>
      <c r="Q76" s="549">
        <f t="shared" si="16"/>
        <v>159814</v>
      </c>
      <c r="R76" s="502"/>
      <c r="S76" s="551">
        <f t="shared" si="17"/>
        <v>0</v>
      </c>
      <c r="T76" s="347"/>
      <c r="U76" s="504"/>
      <c r="V76" s="505"/>
      <c r="W76" s="505"/>
      <c r="X76" s="556">
        <f t="shared" si="18"/>
        <v>26290</v>
      </c>
      <c r="Y76" s="506"/>
      <c r="AA76" s="507"/>
      <c r="AB76" s="508"/>
      <c r="AC76" s="508"/>
      <c r="AD76" s="560">
        <f t="shared" si="19"/>
        <v>21907</v>
      </c>
      <c r="AE76" s="509"/>
      <c r="AG76" s="510"/>
      <c r="AH76" s="511"/>
      <c r="AI76" s="511"/>
      <c r="AJ76" s="564">
        <f t="shared" si="20"/>
        <v>82000</v>
      </c>
      <c r="AK76" s="512"/>
      <c r="AL76" s="513"/>
      <c r="AM76" s="514"/>
      <c r="AN76" s="515"/>
      <c r="AO76" s="515"/>
      <c r="AP76" s="568">
        <f t="shared" si="21"/>
        <v>46000</v>
      </c>
      <c r="AQ76" s="516"/>
      <c r="AR76" s="513"/>
      <c r="AS76" s="514"/>
      <c r="AT76" s="515"/>
      <c r="AU76" s="515"/>
      <c r="AV76" s="568">
        <f t="shared" si="22"/>
        <v>69862</v>
      </c>
      <c r="AW76" s="516"/>
    </row>
    <row r="77" spans="1:49">
      <c r="A77" s="332"/>
      <c r="B77" s="334"/>
      <c r="C77" s="334"/>
      <c r="D77" s="379">
        <f t="shared" si="12"/>
        <v>856669</v>
      </c>
      <c r="E77" s="535">
        <f t="shared" si="13"/>
        <v>0</v>
      </c>
      <c r="H77" s="496"/>
      <c r="I77" s="497"/>
      <c r="J77" s="541">
        <f t="shared" si="14"/>
        <v>36916</v>
      </c>
      <c r="K77" s="498"/>
      <c r="L77" s="543">
        <f t="shared" si="15"/>
        <v>0</v>
      </c>
      <c r="M77" s="347"/>
      <c r="N77" s="500"/>
      <c r="O77" s="501"/>
      <c r="P77" s="501"/>
      <c r="Q77" s="549">
        <f t="shared" si="16"/>
        <v>159814</v>
      </c>
      <c r="R77" s="502"/>
      <c r="S77" s="551">
        <f t="shared" si="17"/>
        <v>0</v>
      </c>
      <c r="T77" s="347"/>
      <c r="U77" s="504"/>
      <c r="V77" s="505"/>
      <c r="W77" s="505"/>
      <c r="X77" s="556">
        <f t="shared" si="18"/>
        <v>26290</v>
      </c>
      <c r="Y77" s="506"/>
      <c r="AA77" s="507"/>
      <c r="AB77" s="508"/>
      <c r="AC77" s="508"/>
      <c r="AD77" s="560">
        <f t="shared" si="19"/>
        <v>21907</v>
      </c>
      <c r="AE77" s="509"/>
      <c r="AG77" s="510"/>
      <c r="AH77" s="511"/>
      <c r="AI77" s="511"/>
      <c r="AJ77" s="564">
        <f t="shared" si="20"/>
        <v>82000</v>
      </c>
      <c r="AK77" s="512"/>
      <c r="AL77" s="513"/>
      <c r="AM77" s="514"/>
      <c r="AN77" s="515"/>
      <c r="AO77" s="515"/>
      <c r="AP77" s="568">
        <f t="shared" si="21"/>
        <v>46000</v>
      </c>
      <c r="AQ77" s="516"/>
      <c r="AR77" s="513"/>
      <c r="AS77" s="514"/>
      <c r="AT77" s="515"/>
      <c r="AU77" s="515"/>
      <c r="AV77" s="568">
        <f t="shared" si="22"/>
        <v>69862</v>
      </c>
      <c r="AW77" s="516"/>
    </row>
    <row r="78" spans="1:49">
      <c r="A78" s="332"/>
      <c r="B78" s="334"/>
      <c r="C78" s="334"/>
      <c r="D78" s="379">
        <f t="shared" si="12"/>
        <v>856669</v>
      </c>
      <c r="E78" s="535">
        <f t="shared" si="13"/>
        <v>0</v>
      </c>
      <c r="H78" s="496"/>
      <c r="I78" s="497"/>
      <c r="J78" s="541">
        <f t="shared" si="14"/>
        <v>36916</v>
      </c>
      <c r="K78" s="498"/>
      <c r="L78" s="543">
        <f t="shared" si="15"/>
        <v>0</v>
      </c>
      <c r="M78" s="347"/>
      <c r="N78" s="500"/>
      <c r="O78" s="501"/>
      <c r="P78" s="501"/>
      <c r="Q78" s="549">
        <f t="shared" si="16"/>
        <v>159814</v>
      </c>
      <c r="R78" s="502"/>
      <c r="S78" s="551">
        <f t="shared" si="17"/>
        <v>0</v>
      </c>
      <c r="T78" s="347"/>
      <c r="U78" s="504"/>
      <c r="V78" s="505"/>
      <c r="W78" s="505"/>
      <c r="X78" s="556">
        <f t="shared" si="18"/>
        <v>26290</v>
      </c>
      <c r="Y78" s="506"/>
      <c r="AA78" s="507"/>
      <c r="AB78" s="508"/>
      <c r="AC78" s="508"/>
      <c r="AD78" s="560">
        <f t="shared" si="19"/>
        <v>21907</v>
      </c>
      <c r="AE78" s="509"/>
      <c r="AG78" s="510"/>
      <c r="AH78" s="511"/>
      <c r="AI78" s="511"/>
      <c r="AJ78" s="564">
        <f t="shared" si="20"/>
        <v>82000</v>
      </c>
      <c r="AK78" s="512"/>
      <c r="AL78" s="513"/>
      <c r="AM78" s="514"/>
      <c r="AN78" s="515"/>
      <c r="AO78" s="515"/>
      <c r="AP78" s="568">
        <f t="shared" si="21"/>
        <v>46000</v>
      </c>
      <c r="AQ78" s="516"/>
      <c r="AR78" s="513"/>
      <c r="AS78" s="514"/>
      <c r="AT78" s="515"/>
      <c r="AU78" s="515"/>
      <c r="AV78" s="568">
        <f t="shared" si="22"/>
        <v>69862</v>
      </c>
      <c r="AW78" s="516"/>
    </row>
    <row r="79" spans="1:49">
      <c r="A79" s="332"/>
      <c r="B79" s="334"/>
      <c r="C79" s="334"/>
      <c r="D79" s="379">
        <f t="shared" si="12"/>
        <v>856669</v>
      </c>
      <c r="E79" s="535">
        <f t="shared" si="13"/>
        <v>0</v>
      </c>
      <c r="H79" s="496"/>
      <c r="I79" s="497"/>
      <c r="J79" s="541">
        <f t="shared" si="14"/>
        <v>36916</v>
      </c>
      <c r="K79" s="498"/>
      <c r="L79" s="543">
        <f t="shared" si="15"/>
        <v>0</v>
      </c>
      <c r="M79" s="347"/>
      <c r="N79" s="500"/>
      <c r="O79" s="501"/>
      <c r="P79" s="501"/>
      <c r="Q79" s="549">
        <f t="shared" si="16"/>
        <v>159814</v>
      </c>
      <c r="R79" s="502"/>
      <c r="S79" s="551">
        <f t="shared" si="17"/>
        <v>0</v>
      </c>
      <c r="T79" s="347"/>
      <c r="U79" s="504"/>
      <c r="V79" s="505"/>
      <c r="W79" s="505"/>
      <c r="X79" s="556">
        <f t="shared" si="18"/>
        <v>26290</v>
      </c>
      <c r="Y79" s="506"/>
      <c r="AA79" s="507"/>
      <c r="AB79" s="508"/>
      <c r="AC79" s="508"/>
      <c r="AD79" s="560">
        <f t="shared" si="19"/>
        <v>21907</v>
      </c>
      <c r="AE79" s="509"/>
      <c r="AG79" s="510"/>
      <c r="AH79" s="511"/>
      <c r="AI79" s="511"/>
      <c r="AJ79" s="564">
        <f t="shared" si="20"/>
        <v>82000</v>
      </c>
      <c r="AK79" s="512"/>
      <c r="AL79" s="513"/>
      <c r="AM79" s="514"/>
      <c r="AN79" s="515"/>
      <c r="AO79" s="515"/>
      <c r="AP79" s="568">
        <f t="shared" si="21"/>
        <v>46000</v>
      </c>
      <c r="AQ79" s="516"/>
      <c r="AR79" s="513"/>
      <c r="AS79" s="514"/>
      <c r="AT79" s="515"/>
      <c r="AU79" s="515"/>
      <c r="AV79" s="568">
        <f t="shared" si="22"/>
        <v>69862</v>
      </c>
      <c r="AW79" s="516"/>
    </row>
    <row r="80" spans="1:49">
      <c r="A80" s="332"/>
      <c r="B80" s="334"/>
      <c r="C80" s="334"/>
      <c r="D80" s="379">
        <f t="shared" si="12"/>
        <v>856669</v>
      </c>
      <c r="E80" s="535">
        <f t="shared" si="13"/>
        <v>0</v>
      </c>
      <c r="H80" s="496"/>
      <c r="I80" s="497"/>
      <c r="J80" s="541">
        <f t="shared" si="14"/>
        <v>36916</v>
      </c>
      <c r="K80" s="498"/>
      <c r="L80" s="543">
        <f t="shared" si="15"/>
        <v>0</v>
      </c>
      <c r="M80" s="347"/>
      <c r="N80" s="500"/>
      <c r="O80" s="501"/>
      <c r="P80" s="501"/>
      <c r="Q80" s="549">
        <f t="shared" si="16"/>
        <v>159814</v>
      </c>
      <c r="R80" s="502"/>
      <c r="S80" s="551">
        <f t="shared" si="17"/>
        <v>0</v>
      </c>
      <c r="T80" s="347"/>
      <c r="U80" s="504"/>
      <c r="V80" s="505"/>
      <c r="W80" s="505"/>
      <c r="X80" s="556">
        <f t="shared" si="18"/>
        <v>26290</v>
      </c>
      <c r="Y80" s="506"/>
      <c r="AA80" s="507"/>
      <c r="AB80" s="508"/>
      <c r="AC80" s="508"/>
      <c r="AD80" s="560">
        <f t="shared" si="19"/>
        <v>21907</v>
      </c>
      <c r="AE80" s="509"/>
      <c r="AG80" s="510"/>
      <c r="AH80" s="511"/>
      <c r="AI80" s="511"/>
      <c r="AJ80" s="564">
        <f t="shared" si="20"/>
        <v>82000</v>
      </c>
      <c r="AK80" s="512"/>
      <c r="AL80" s="513"/>
      <c r="AM80" s="514"/>
      <c r="AN80" s="515"/>
      <c r="AO80" s="515"/>
      <c r="AP80" s="568">
        <f t="shared" si="21"/>
        <v>46000</v>
      </c>
      <c r="AQ80" s="516"/>
      <c r="AR80" s="513"/>
      <c r="AS80" s="514"/>
      <c r="AT80" s="515"/>
      <c r="AU80" s="515"/>
      <c r="AV80" s="568">
        <f t="shared" si="22"/>
        <v>69862</v>
      </c>
      <c r="AW80" s="516"/>
    </row>
    <row r="81" spans="1:49">
      <c r="A81" s="332"/>
      <c r="B81" s="334"/>
      <c r="C81" s="334"/>
      <c r="D81" s="379">
        <f t="shared" si="12"/>
        <v>856669</v>
      </c>
      <c r="E81" s="535">
        <f t="shared" si="13"/>
        <v>0</v>
      </c>
      <c r="H81" s="496"/>
      <c r="I81" s="497"/>
      <c r="J81" s="541">
        <f t="shared" si="14"/>
        <v>36916</v>
      </c>
      <c r="K81" s="498"/>
      <c r="L81" s="543">
        <f t="shared" si="15"/>
        <v>0</v>
      </c>
      <c r="M81" s="347"/>
      <c r="N81" s="500"/>
      <c r="O81" s="501"/>
      <c r="P81" s="501"/>
      <c r="Q81" s="549">
        <f t="shared" si="16"/>
        <v>159814</v>
      </c>
      <c r="R81" s="502"/>
      <c r="S81" s="551">
        <f t="shared" si="17"/>
        <v>0</v>
      </c>
      <c r="T81" s="347"/>
      <c r="U81" s="504"/>
      <c r="V81" s="505"/>
      <c r="W81" s="505"/>
      <c r="X81" s="556">
        <f t="shared" si="18"/>
        <v>26290</v>
      </c>
      <c r="Y81" s="506"/>
      <c r="AA81" s="507"/>
      <c r="AB81" s="508"/>
      <c r="AC81" s="508"/>
      <c r="AD81" s="560">
        <f t="shared" si="19"/>
        <v>21907</v>
      </c>
      <c r="AE81" s="509"/>
      <c r="AG81" s="510"/>
      <c r="AH81" s="511"/>
      <c r="AI81" s="511"/>
      <c r="AJ81" s="564">
        <f t="shared" si="20"/>
        <v>82000</v>
      </c>
      <c r="AK81" s="512"/>
      <c r="AL81" s="513"/>
      <c r="AM81" s="514"/>
      <c r="AN81" s="515"/>
      <c r="AO81" s="515"/>
      <c r="AP81" s="568">
        <f t="shared" si="21"/>
        <v>46000</v>
      </c>
      <c r="AQ81" s="516"/>
      <c r="AR81" s="513"/>
      <c r="AS81" s="514"/>
      <c r="AT81" s="515"/>
      <c r="AU81" s="515"/>
      <c r="AV81" s="568">
        <f t="shared" si="22"/>
        <v>69862</v>
      </c>
      <c r="AW81" s="516"/>
    </row>
    <row r="82" spans="1:49">
      <c r="A82" s="332"/>
      <c r="B82" s="334"/>
      <c r="C82" s="334"/>
      <c r="D82" s="379">
        <f t="shared" si="12"/>
        <v>856669</v>
      </c>
      <c r="E82" s="535">
        <f t="shared" si="13"/>
        <v>0</v>
      </c>
      <c r="H82" s="496"/>
      <c r="I82" s="497"/>
      <c r="J82" s="541">
        <f t="shared" si="14"/>
        <v>36916</v>
      </c>
      <c r="K82" s="498"/>
      <c r="L82" s="543">
        <f t="shared" si="15"/>
        <v>0</v>
      </c>
      <c r="M82" s="347"/>
      <c r="N82" s="500"/>
      <c r="O82" s="501"/>
      <c r="P82" s="501"/>
      <c r="Q82" s="549">
        <f t="shared" si="16"/>
        <v>159814</v>
      </c>
      <c r="R82" s="502"/>
      <c r="S82" s="551">
        <f t="shared" si="17"/>
        <v>0</v>
      </c>
      <c r="T82" s="347"/>
      <c r="U82" s="504"/>
      <c r="V82" s="505"/>
      <c r="W82" s="505"/>
      <c r="X82" s="556">
        <f t="shared" si="18"/>
        <v>26290</v>
      </c>
      <c r="Y82" s="506"/>
      <c r="AA82" s="507"/>
      <c r="AB82" s="508"/>
      <c r="AC82" s="508"/>
      <c r="AD82" s="560">
        <f t="shared" si="19"/>
        <v>21907</v>
      </c>
      <c r="AE82" s="509"/>
      <c r="AG82" s="510"/>
      <c r="AH82" s="511"/>
      <c r="AI82" s="511"/>
      <c r="AJ82" s="564">
        <f t="shared" si="20"/>
        <v>82000</v>
      </c>
      <c r="AK82" s="512"/>
      <c r="AL82" s="513"/>
      <c r="AM82" s="514"/>
      <c r="AN82" s="515"/>
      <c r="AO82" s="515"/>
      <c r="AP82" s="568">
        <f t="shared" si="21"/>
        <v>46000</v>
      </c>
      <c r="AQ82" s="516"/>
      <c r="AR82" s="513"/>
      <c r="AS82" s="514"/>
      <c r="AT82" s="515"/>
      <c r="AU82" s="515"/>
      <c r="AV82" s="568">
        <f t="shared" si="22"/>
        <v>69862</v>
      </c>
      <c r="AW82" s="516"/>
    </row>
    <row r="83" spans="1:49">
      <c r="A83" s="332"/>
      <c r="B83" s="334"/>
      <c r="C83" s="334"/>
      <c r="D83" s="379">
        <f t="shared" si="12"/>
        <v>856669</v>
      </c>
      <c r="E83" s="535">
        <f t="shared" si="13"/>
        <v>0</v>
      </c>
      <c r="H83" s="496"/>
      <c r="I83" s="497"/>
      <c r="J83" s="541">
        <f t="shared" si="14"/>
        <v>36916</v>
      </c>
      <c r="K83" s="498"/>
      <c r="L83" s="543">
        <f t="shared" si="15"/>
        <v>0</v>
      </c>
      <c r="M83" s="347"/>
      <c r="N83" s="500"/>
      <c r="O83" s="501"/>
      <c r="P83" s="501"/>
      <c r="Q83" s="549">
        <f t="shared" si="16"/>
        <v>159814</v>
      </c>
      <c r="R83" s="502"/>
      <c r="S83" s="551">
        <f t="shared" si="17"/>
        <v>0</v>
      </c>
      <c r="T83" s="347"/>
      <c r="U83" s="504"/>
      <c r="V83" s="505"/>
      <c r="W83" s="505"/>
      <c r="X83" s="556">
        <f t="shared" si="18"/>
        <v>26290</v>
      </c>
      <c r="Y83" s="506"/>
      <c r="AA83" s="507"/>
      <c r="AB83" s="508"/>
      <c r="AC83" s="508"/>
      <c r="AD83" s="560">
        <f t="shared" si="19"/>
        <v>21907</v>
      </c>
      <c r="AE83" s="509"/>
      <c r="AG83" s="510"/>
      <c r="AH83" s="511"/>
      <c r="AI83" s="511"/>
      <c r="AJ83" s="564">
        <f t="shared" si="20"/>
        <v>82000</v>
      </c>
      <c r="AK83" s="512"/>
      <c r="AL83" s="513"/>
      <c r="AM83" s="514"/>
      <c r="AN83" s="515"/>
      <c r="AO83" s="515"/>
      <c r="AP83" s="568">
        <f t="shared" si="21"/>
        <v>46000</v>
      </c>
      <c r="AQ83" s="516"/>
      <c r="AR83" s="513"/>
      <c r="AS83" s="514"/>
      <c r="AT83" s="515"/>
      <c r="AU83" s="515"/>
      <c r="AV83" s="568">
        <f t="shared" si="22"/>
        <v>69862</v>
      </c>
      <c r="AW83" s="516"/>
    </row>
    <row r="84" spans="1:49">
      <c r="A84" s="332"/>
      <c r="B84" s="334"/>
      <c r="C84" s="334"/>
      <c r="D84" s="379">
        <f t="shared" si="12"/>
        <v>856669</v>
      </c>
      <c r="E84" s="535">
        <f t="shared" si="13"/>
        <v>0</v>
      </c>
      <c r="H84" s="496"/>
      <c r="I84" s="497"/>
      <c r="J84" s="541">
        <f t="shared" si="14"/>
        <v>36916</v>
      </c>
      <c r="K84" s="498"/>
      <c r="L84" s="543">
        <f t="shared" si="15"/>
        <v>0</v>
      </c>
      <c r="M84" s="347"/>
      <c r="N84" s="500"/>
      <c r="O84" s="501"/>
      <c r="P84" s="501"/>
      <c r="Q84" s="549">
        <f t="shared" si="16"/>
        <v>159814</v>
      </c>
      <c r="R84" s="502"/>
      <c r="S84" s="551">
        <f t="shared" si="17"/>
        <v>0</v>
      </c>
      <c r="T84" s="347"/>
      <c r="U84" s="504"/>
      <c r="V84" s="505"/>
      <c r="W84" s="505"/>
      <c r="X84" s="556">
        <f t="shared" si="18"/>
        <v>26290</v>
      </c>
      <c r="Y84" s="506"/>
      <c r="AA84" s="507"/>
      <c r="AB84" s="508"/>
      <c r="AC84" s="508"/>
      <c r="AD84" s="560">
        <f t="shared" si="19"/>
        <v>21907</v>
      </c>
      <c r="AE84" s="509"/>
      <c r="AG84" s="510"/>
      <c r="AH84" s="511"/>
      <c r="AI84" s="511"/>
      <c r="AJ84" s="564">
        <f t="shared" si="20"/>
        <v>82000</v>
      </c>
      <c r="AK84" s="512"/>
      <c r="AL84" s="513"/>
      <c r="AM84" s="514"/>
      <c r="AN84" s="515"/>
      <c r="AO84" s="515"/>
      <c r="AP84" s="568">
        <f t="shared" si="21"/>
        <v>46000</v>
      </c>
      <c r="AQ84" s="516"/>
      <c r="AR84" s="513"/>
      <c r="AS84" s="514"/>
      <c r="AT84" s="515"/>
      <c r="AU84" s="515"/>
      <c r="AV84" s="568">
        <f t="shared" si="22"/>
        <v>69862</v>
      </c>
      <c r="AW84" s="516"/>
    </row>
    <row r="85" spans="1:49">
      <c r="A85" s="332"/>
      <c r="B85" s="334"/>
      <c r="C85" s="334"/>
      <c r="D85" s="379">
        <f t="shared" si="12"/>
        <v>856669</v>
      </c>
      <c r="E85" s="535">
        <f t="shared" si="13"/>
        <v>0</v>
      </c>
      <c r="H85" s="496"/>
      <c r="I85" s="497"/>
      <c r="J85" s="541">
        <f t="shared" si="14"/>
        <v>36916</v>
      </c>
      <c r="K85" s="498"/>
      <c r="L85" s="543">
        <f t="shared" si="15"/>
        <v>0</v>
      </c>
      <c r="M85" s="347"/>
      <c r="N85" s="500"/>
      <c r="O85" s="501"/>
      <c r="P85" s="501"/>
      <c r="Q85" s="549">
        <f t="shared" si="16"/>
        <v>159814</v>
      </c>
      <c r="R85" s="502"/>
      <c r="S85" s="551">
        <f t="shared" si="17"/>
        <v>0</v>
      </c>
      <c r="T85" s="347"/>
      <c r="U85" s="504"/>
      <c r="V85" s="505"/>
      <c r="W85" s="505"/>
      <c r="X85" s="556">
        <f t="shared" si="18"/>
        <v>26290</v>
      </c>
      <c r="Y85" s="506"/>
      <c r="AA85" s="507"/>
      <c r="AB85" s="508"/>
      <c r="AC85" s="508"/>
      <c r="AD85" s="560">
        <f t="shared" si="19"/>
        <v>21907</v>
      </c>
      <c r="AE85" s="509"/>
      <c r="AG85" s="510"/>
      <c r="AH85" s="511"/>
      <c r="AI85" s="511"/>
      <c r="AJ85" s="564">
        <f t="shared" si="20"/>
        <v>82000</v>
      </c>
      <c r="AK85" s="512"/>
      <c r="AL85" s="513"/>
      <c r="AM85" s="514"/>
      <c r="AN85" s="515"/>
      <c r="AO85" s="515"/>
      <c r="AP85" s="568">
        <f t="shared" si="21"/>
        <v>46000</v>
      </c>
      <c r="AQ85" s="516"/>
      <c r="AR85" s="513"/>
      <c r="AS85" s="514"/>
      <c r="AT85" s="515"/>
      <c r="AU85" s="515"/>
      <c r="AV85" s="568">
        <f t="shared" si="22"/>
        <v>69862</v>
      </c>
      <c r="AW85" s="516"/>
    </row>
    <row r="86" spans="1:49">
      <c r="A86" s="332"/>
      <c r="B86" s="334"/>
      <c r="C86" s="334"/>
      <c r="D86" s="379">
        <f t="shared" si="12"/>
        <v>856669</v>
      </c>
      <c r="E86" s="535">
        <f t="shared" si="13"/>
        <v>0</v>
      </c>
      <c r="H86" s="496"/>
      <c r="I86" s="497"/>
      <c r="J86" s="541">
        <f t="shared" si="14"/>
        <v>36916</v>
      </c>
      <c r="K86" s="498"/>
      <c r="L86" s="543">
        <f t="shared" si="15"/>
        <v>0</v>
      </c>
      <c r="M86" s="347"/>
      <c r="N86" s="500"/>
      <c r="O86" s="501"/>
      <c r="P86" s="501"/>
      <c r="Q86" s="549">
        <f t="shared" si="16"/>
        <v>159814</v>
      </c>
      <c r="R86" s="502"/>
      <c r="S86" s="551">
        <f t="shared" si="17"/>
        <v>0</v>
      </c>
      <c r="T86" s="347"/>
      <c r="U86" s="504"/>
      <c r="V86" s="505"/>
      <c r="W86" s="505"/>
      <c r="X86" s="556">
        <f t="shared" si="18"/>
        <v>26290</v>
      </c>
      <c r="Y86" s="506"/>
      <c r="AA86" s="507"/>
      <c r="AB86" s="508"/>
      <c r="AC86" s="508"/>
      <c r="AD86" s="560">
        <f t="shared" si="19"/>
        <v>21907</v>
      </c>
      <c r="AE86" s="509"/>
      <c r="AG86" s="510"/>
      <c r="AH86" s="511"/>
      <c r="AI86" s="511"/>
      <c r="AJ86" s="564">
        <f t="shared" si="20"/>
        <v>82000</v>
      </c>
      <c r="AK86" s="512"/>
      <c r="AL86" s="513"/>
      <c r="AM86" s="514"/>
      <c r="AN86" s="515"/>
      <c r="AO86" s="515"/>
      <c r="AP86" s="568">
        <f t="shared" si="21"/>
        <v>46000</v>
      </c>
      <c r="AQ86" s="516"/>
      <c r="AR86" s="513"/>
      <c r="AS86" s="514"/>
      <c r="AT86" s="515"/>
      <c r="AU86" s="515"/>
      <c r="AV86" s="568">
        <f t="shared" si="22"/>
        <v>69862</v>
      </c>
      <c r="AW86" s="516"/>
    </row>
    <row r="87" spans="1:49">
      <c r="A87" s="332"/>
      <c r="B87" s="334"/>
      <c r="C87" s="334"/>
      <c r="D87" s="379">
        <f t="shared" si="12"/>
        <v>856669</v>
      </c>
      <c r="E87" s="535">
        <f t="shared" si="13"/>
        <v>0</v>
      </c>
      <c r="H87" s="496"/>
      <c r="I87" s="497"/>
      <c r="J87" s="541">
        <f t="shared" si="14"/>
        <v>36916</v>
      </c>
      <c r="K87" s="498"/>
      <c r="L87" s="543">
        <f t="shared" si="15"/>
        <v>0</v>
      </c>
      <c r="M87" s="347"/>
      <c r="N87" s="500"/>
      <c r="O87" s="501"/>
      <c r="P87" s="501"/>
      <c r="Q87" s="549">
        <f t="shared" si="16"/>
        <v>159814</v>
      </c>
      <c r="R87" s="502"/>
      <c r="S87" s="551">
        <f t="shared" si="17"/>
        <v>0</v>
      </c>
      <c r="T87" s="347"/>
      <c r="U87" s="504"/>
      <c r="V87" s="505"/>
      <c r="W87" s="505"/>
      <c r="X87" s="556">
        <f t="shared" si="18"/>
        <v>26290</v>
      </c>
      <c r="Y87" s="506"/>
      <c r="AA87" s="507"/>
      <c r="AB87" s="508"/>
      <c r="AC87" s="508"/>
      <c r="AD87" s="560">
        <f t="shared" si="19"/>
        <v>21907</v>
      </c>
      <c r="AE87" s="509"/>
      <c r="AG87" s="510"/>
      <c r="AH87" s="511"/>
      <c r="AI87" s="511"/>
      <c r="AJ87" s="564">
        <f t="shared" si="20"/>
        <v>82000</v>
      </c>
      <c r="AK87" s="512"/>
      <c r="AL87" s="513"/>
      <c r="AM87" s="514"/>
      <c r="AN87" s="515"/>
      <c r="AO87" s="515"/>
      <c r="AP87" s="568">
        <f t="shared" si="21"/>
        <v>46000</v>
      </c>
      <c r="AQ87" s="516"/>
      <c r="AR87" s="513"/>
      <c r="AS87" s="514"/>
      <c r="AT87" s="515"/>
      <c r="AU87" s="515"/>
      <c r="AV87" s="568">
        <f t="shared" si="22"/>
        <v>69862</v>
      </c>
      <c r="AW87" s="516"/>
    </row>
    <row r="88" spans="1:49">
      <c r="A88" s="332"/>
      <c r="B88" s="334"/>
      <c r="C88" s="334"/>
      <c r="D88" s="379">
        <f t="shared" si="12"/>
        <v>856669</v>
      </c>
      <c r="E88" s="535">
        <f t="shared" si="13"/>
        <v>0</v>
      </c>
      <c r="H88" s="496"/>
      <c r="I88" s="497"/>
      <c r="J88" s="541">
        <f t="shared" si="14"/>
        <v>36916</v>
      </c>
      <c r="K88" s="498"/>
      <c r="L88" s="543">
        <f t="shared" si="15"/>
        <v>0</v>
      </c>
      <c r="M88" s="347"/>
      <c r="N88" s="500"/>
      <c r="O88" s="501"/>
      <c r="P88" s="501"/>
      <c r="Q88" s="549">
        <f t="shared" si="16"/>
        <v>159814</v>
      </c>
      <c r="R88" s="502"/>
      <c r="S88" s="551">
        <f t="shared" si="17"/>
        <v>0</v>
      </c>
      <c r="T88" s="347"/>
      <c r="U88" s="504"/>
      <c r="V88" s="505"/>
      <c r="W88" s="505"/>
      <c r="X88" s="556">
        <f t="shared" si="18"/>
        <v>26290</v>
      </c>
      <c r="Y88" s="506"/>
      <c r="AA88" s="507"/>
      <c r="AB88" s="508"/>
      <c r="AC88" s="508"/>
      <c r="AD88" s="560">
        <f t="shared" si="19"/>
        <v>21907</v>
      </c>
      <c r="AE88" s="509"/>
      <c r="AG88" s="510"/>
      <c r="AH88" s="511"/>
      <c r="AI88" s="511"/>
      <c r="AJ88" s="564">
        <f t="shared" si="20"/>
        <v>82000</v>
      </c>
      <c r="AK88" s="512"/>
      <c r="AL88" s="513"/>
      <c r="AM88" s="514"/>
      <c r="AN88" s="515"/>
      <c r="AO88" s="515"/>
      <c r="AP88" s="568">
        <f t="shared" si="21"/>
        <v>46000</v>
      </c>
      <c r="AQ88" s="516"/>
      <c r="AR88" s="513"/>
      <c r="AS88" s="514"/>
      <c r="AT88" s="515"/>
      <c r="AU88" s="515"/>
      <c r="AV88" s="568">
        <f t="shared" si="22"/>
        <v>69862</v>
      </c>
      <c r="AW88" s="516"/>
    </row>
    <row r="89" spans="1:49">
      <c r="A89" s="332"/>
      <c r="B89" s="334"/>
      <c r="C89" s="334"/>
      <c r="D89" s="379">
        <f t="shared" si="12"/>
        <v>856669</v>
      </c>
      <c r="E89" s="535">
        <f t="shared" si="13"/>
        <v>0</v>
      </c>
      <c r="H89" s="496"/>
      <c r="I89" s="497"/>
      <c r="J89" s="541">
        <f t="shared" si="14"/>
        <v>36916</v>
      </c>
      <c r="K89" s="498"/>
      <c r="L89" s="543">
        <f t="shared" si="15"/>
        <v>0</v>
      </c>
      <c r="M89" s="347"/>
      <c r="N89" s="500"/>
      <c r="O89" s="501"/>
      <c r="P89" s="501"/>
      <c r="Q89" s="549">
        <f t="shared" si="16"/>
        <v>159814</v>
      </c>
      <c r="R89" s="502"/>
      <c r="S89" s="551">
        <f t="shared" si="17"/>
        <v>0</v>
      </c>
      <c r="T89" s="347"/>
      <c r="U89" s="504"/>
      <c r="V89" s="505"/>
      <c r="W89" s="505"/>
      <c r="X89" s="556">
        <f t="shared" si="18"/>
        <v>26290</v>
      </c>
      <c r="Y89" s="506"/>
      <c r="AA89" s="507"/>
      <c r="AB89" s="508"/>
      <c r="AC89" s="508"/>
      <c r="AD89" s="560">
        <f t="shared" si="19"/>
        <v>21907</v>
      </c>
      <c r="AE89" s="509"/>
      <c r="AG89" s="510"/>
      <c r="AH89" s="511"/>
      <c r="AI89" s="511"/>
      <c r="AJ89" s="564">
        <f t="shared" si="20"/>
        <v>82000</v>
      </c>
      <c r="AK89" s="512"/>
      <c r="AL89" s="513"/>
      <c r="AM89" s="514"/>
      <c r="AN89" s="515"/>
      <c r="AO89" s="515"/>
      <c r="AP89" s="568">
        <f t="shared" si="21"/>
        <v>46000</v>
      </c>
      <c r="AQ89" s="516"/>
      <c r="AR89" s="513"/>
      <c r="AS89" s="514"/>
      <c r="AT89" s="515"/>
      <c r="AU89" s="515"/>
      <c r="AV89" s="568">
        <f t="shared" si="22"/>
        <v>69862</v>
      </c>
      <c r="AW89" s="516"/>
    </row>
    <row r="90" spans="1:49">
      <c r="A90" s="332"/>
      <c r="B90" s="334"/>
      <c r="C90" s="334"/>
      <c r="D90" s="379">
        <f t="shared" si="12"/>
        <v>856669</v>
      </c>
      <c r="E90" s="535">
        <f t="shared" si="13"/>
        <v>0</v>
      </c>
      <c r="H90" s="496"/>
      <c r="I90" s="497"/>
      <c r="J90" s="541">
        <f t="shared" si="14"/>
        <v>36916</v>
      </c>
      <c r="K90" s="498"/>
      <c r="L90" s="543">
        <f t="shared" si="15"/>
        <v>0</v>
      </c>
      <c r="M90" s="347"/>
      <c r="N90" s="500"/>
      <c r="O90" s="501"/>
      <c r="P90" s="501"/>
      <c r="Q90" s="549">
        <f t="shared" si="16"/>
        <v>159814</v>
      </c>
      <c r="R90" s="502"/>
      <c r="S90" s="551">
        <f t="shared" si="17"/>
        <v>0</v>
      </c>
      <c r="T90" s="347"/>
      <c r="U90" s="504"/>
      <c r="V90" s="505"/>
      <c r="W90" s="505"/>
      <c r="X90" s="556">
        <f t="shared" si="18"/>
        <v>26290</v>
      </c>
      <c r="Y90" s="506"/>
      <c r="AA90" s="507"/>
      <c r="AB90" s="508"/>
      <c r="AC90" s="508"/>
      <c r="AD90" s="560">
        <f t="shared" si="19"/>
        <v>21907</v>
      </c>
      <c r="AE90" s="509"/>
      <c r="AG90" s="510"/>
      <c r="AH90" s="511"/>
      <c r="AI90" s="511"/>
      <c r="AJ90" s="564">
        <f t="shared" si="20"/>
        <v>82000</v>
      </c>
      <c r="AK90" s="512"/>
      <c r="AL90" s="513"/>
      <c r="AM90" s="514"/>
      <c r="AN90" s="515"/>
      <c r="AO90" s="515"/>
      <c r="AP90" s="568">
        <f t="shared" si="21"/>
        <v>46000</v>
      </c>
      <c r="AQ90" s="516"/>
      <c r="AR90" s="513"/>
      <c r="AS90" s="514"/>
      <c r="AT90" s="515"/>
      <c r="AU90" s="515"/>
      <c r="AV90" s="568">
        <f t="shared" si="22"/>
        <v>69862</v>
      </c>
      <c r="AW90" s="516"/>
    </row>
    <row r="91" spans="1:49">
      <c r="A91" s="332"/>
      <c r="B91" s="334"/>
      <c r="C91" s="334"/>
      <c r="D91" s="379">
        <f t="shared" si="12"/>
        <v>856669</v>
      </c>
      <c r="E91" s="535">
        <f t="shared" si="13"/>
        <v>0</v>
      </c>
      <c r="H91" s="496"/>
      <c r="I91" s="497"/>
      <c r="J91" s="541">
        <f t="shared" si="14"/>
        <v>36916</v>
      </c>
      <c r="K91" s="498"/>
      <c r="L91" s="543">
        <f t="shared" si="15"/>
        <v>0</v>
      </c>
      <c r="M91" s="347"/>
      <c r="N91" s="500"/>
      <c r="O91" s="501"/>
      <c r="P91" s="501"/>
      <c r="Q91" s="549">
        <f t="shared" si="16"/>
        <v>159814</v>
      </c>
      <c r="R91" s="502"/>
      <c r="S91" s="551">
        <f t="shared" si="17"/>
        <v>0</v>
      </c>
      <c r="T91" s="347"/>
      <c r="U91" s="504"/>
      <c r="V91" s="505"/>
      <c r="W91" s="505"/>
      <c r="X91" s="556">
        <f t="shared" si="18"/>
        <v>26290</v>
      </c>
      <c r="Y91" s="506"/>
      <c r="AA91" s="507"/>
      <c r="AB91" s="508"/>
      <c r="AC91" s="508"/>
      <c r="AD91" s="560">
        <f t="shared" si="19"/>
        <v>21907</v>
      </c>
      <c r="AE91" s="509"/>
      <c r="AG91" s="510"/>
      <c r="AH91" s="511"/>
      <c r="AI91" s="511"/>
      <c r="AJ91" s="564">
        <f t="shared" si="20"/>
        <v>82000</v>
      </c>
      <c r="AK91" s="512"/>
      <c r="AL91" s="513"/>
      <c r="AM91" s="514"/>
      <c r="AN91" s="515"/>
      <c r="AO91" s="515"/>
      <c r="AP91" s="568">
        <f t="shared" si="21"/>
        <v>46000</v>
      </c>
      <c r="AQ91" s="516"/>
      <c r="AR91" s="513"/>
      <c r="AS91" s="514"/>
      <c r="AT91" s="515"/>
      <c r="AU91" s="515"/>
      <c r="AV91" s="568">
        <f t="shared" si="22"/>
        <v>69862</v>
      </c>
      <c r="AW91" s="516"/>
    </row>
    <row r="92" spans="1:49">
      <c r="A92" s="332"/>
      <c r="B92" s="334"/>
      <c r="C92" s="334"/>
      <c r="D92" s="379">
        <f t="shared" si="12"/>
        <v>856669</v>
      </c>
      <c r="E92" s="535">
        <f t="shared" si="13"/>
        <v>0</v>
      </c>
      <c r="H92" s="496"/>
      <c r="I92" s="497"/>
      <c r="J92" s="541">
        <f t="shared" si="14"/>
        <v>36916</v>
      </c>
      <c r="K92" s="498"/>
      <c r="L92" s="543">
        <f t="shared" si="15"/>
        <v>0</v>
      </c>
      <c r="M92" s="347"/>
      <c r="N92" s="500"/>
      <c r="O92" s="501"/>
      <c r="P92" s="501"/>
      <c r="Q92" s="549">
        <f t="shared" si="16"/>
        <v>159814</v>
      </c>
      <c r="R92" s="502"/>
      <c r="S92" s="551">
        <f t="shared" si="17"/>
        <v>0</v>
      </c>
      <c r="T92" s="347"/>
      <c r="U92" s="504"/>
      <c r="V92" s="505"/>
      <c r="W92" s="505"/>
      <c r="X92" s="556">
        <f t="shared" si="18"/>
        <v>26290</v>
      </c>
      <c r="Y92" s="506"/>
      <c r="AA92" s="507"/>
      <c r="AB92" s="508"/>
      <c r="AC92" s="508"/>
      <c r="AD92" s="560">
        <f t="shared" si="19"/>
        <v>21907</v>
      </c>
      <c r="AE92" s="509"/>
      <c r="AG92" s="510"/>
      <c r="AH92" s="511"/>
      <c r="AI92" s="511"/>
      <c r="AJ92" s="564">
        <f t="shared" si="20"/>
        <v>82000</v>
      </c>
      <c r="AK92" s="512"/>
      <c r="AL92" s="513"/>
      <c r="AM92" s="514"/>
      <c r="AN92" s="515"/>
      <c r="AO92" s="515"/>
      <c r="AP92" s="568">
        <f t="shared" si="21"/>
        <v>46000</v>
      </c>
      <c r="AQ92" s="516"/>
      <c r="AR92" s="513"/>
      <c r="AS92" s="514"/>
      <c r="AT92" s="515"/>
      <c r="AU92" s="515"/>
      <c r="AV92" s="568">
        <f t="shared" si="22"/>
        <v>69862</v>
      </c>
      <c r="AW92" s="516"/>
    </row>
    <row r="93" spans="1:49">
      <c r="A93" s="332"/>
      <c r="B93" s="334"/>
      <c r="C93" s="334"/>
      <c r="D93" s="379">
        <f t="shared" si="12"/>
        <v>856669</v>
      </c>
      <c r="E93" s="535">
        <f t="shared" si="13"/>
        <v>0</v>
      </c>
      <c r="H93" s="496"/>
      <c r="I93" s="497"/>
      <c r="J93" s="541">
        <f t="shared" si="14"/>
        <v>36916</v>
      </c>
      <c r="K93" s="498"/>
      <c r="L93" s="543">
        <f t="shared" si="15"/>
        <v>0</v>
      </c>
      <c r="M93" s="347"/>
      <c r="N93" s="500"/>
      <c r="O93" s="501"/>
      <c r="P93" s="501"/>
      <c r="Q93" s="549">
        <f t="shared" si="16"/>
        <v>159814</v>
      </c>
      <c r="R93" s="502"/>
      <c r="S93" s="551">
        <f t="shared" si="17"/>
        <v>0</v>
      </c>
      <c r="T93" s="347"/>
      <c r="U93" s="504"/>
      <c r="V93" s="505"/>
      <c r="W93" s="505"/>
      <c r="X93" s="556">
        <f t="shared" si="18"/>
        <v>26290</v>
      </c>
      <c r="Y93" s="506"/>
      <c r="AA93" s="507"/>
      <c r="AB93" s="508"/>
      <c r="AC93" s="508"/>
      <c r="AD93" s="560">
        <f t="shared" si="19"/>
        <v>21907</v>
      </c>
      <c r="AE93" s="509"/>
      <c r="AG93" s="510"/>
      <c r="AH93" s="511"/>
      <c r="AI93" s="511"/>
      <c r="AJ93" s="564">
        <f t="shared" si="20"/>
        <v>82000</v>
      </c>
      <c r="AK93" s="512"/>
      <c r="AL93" s="513"/>
      <c r="AM93" s="514"/>
      <c r="AN93" s="515"/>
      <c r="AO93" s="515"/>
      <c r="AP93" s="568">
        <f t="shared" si="21"/>
        <v>46000</v>
      </c>
      <c r="AQ93" s="516"/>
      <c r="AR93" s="513"/>
      <c r="AS93" s="514"/>
      <c r="AT93" s="515"/>
      <c r="AU93" s="515"/>
      <c r="AV93" s="568">
        <f t="shared" si="22"/>
        <v>69862</v>
      </c>
      <c r="AW93" s="516"/>
    </row>
    <row r="94" spans="1:49">
      <c r="A94" s="332"/>
      <c r="B94" s="334"/>
      <c r="C94" s="334"/>
      <c r="D94" s="379">
        <f t="shared" si="12"/>
        <v>856669</v>
      </c>
      <c r="E94" s="535">
        <f t="shared" si="13"/>
        <v>0</v>
      </c>
      <c r="H94" s="496"/>
      <c r="I94" s="497"/>
      <c r="J94" s="541">
        <f t="shared" si="14"/>
        <v>36916</v>
      </c>
      <c r="K94" s="498"/>
      <c r="L94" s="543">
        <f t="shared" si="15"/>
        <v>0</v>
      </c>
      <c r="M94" s="347"/>
      <c r="N94" s="500"/>
      <c r="O94" s="501"/>
      <c r="P94" s="501"/>
      <c r="Q94" s="549">
        <f t="shared" si="16"/>
        <v>159814</v>
      </c>
      <c r="R94" s="502"/>
      <c r="S94" s="551">
        <f t="shared" si="17"/>
        <v>0</v>
      </c>
      <c r="T94" s="347"/>
      <c r="U94" s="504"/>
      <c r="V94" s="505"/>
      <c r="W94" s="505"/>
      <c r="X94" s="556">
        <f t="shared" si="18"/>
        <v>26290</v>
      </c>
      <c r="Y94" s="506"/>
      <c r="AA94" s="507"/>
      <c r="AB94" s="508"/>
      <c r="AC94" s="508"/>
      <c r="AD94" s="560">
        <f t="shared" si="19"/>
        <v>21907</v>
      </c>
      <c r="AE94" s="509"/>
      <c r="AG94" s="510"/>
      <c r="AH94" s="511"/>
      <c r="AI94" s="511"/>
      <c r="AJ94" s="564">
        <f t="shared" si="20"/>
        <v>82000</v>
      </c>
      <c r="AK94" s="512"/>
      <c r="AL94" s="513"/>
      <c r="AM94" s="514"/>
      <c r="AN94" s="515"/>
      <c r="AO94" s="515"/>
      <c r="AP94" s="568">
        <f t="shared" si="21"/>
        <v>46000</v>
      </c>
      <c r="AQ94" s="516"/>
      <c r="AR94" s="513"/>
      <c r="AS94" s="514"/>
      <c r="AT94" s="515"/>
      <c r="AU94" s="515"/>
      <c r="AV94" s="568">
        <f t="shared" si="22"/>
        <v>69862</v>
      </c>
      <c r="AW94" s="516"/>
    </row>
    <row r="95" spans="1:49">
      <c r="A95" s="332"/>
      <c r="B95" s="334"/>
      <c r="C95" s="334"/>
      <c r="D95" s="379">
        <f t="shared" si="12"/>
        <v>856669</v>
      </c>
      <c r="E95" s="535">
        <f t="shared" si="13"/>
        <v>0</v>
      </c>
      <c r="H95" s="496"/>
      <c r="I95" s="497"/>
      <c r="J95" s="541">
        <f t="shared" si="14"/>
        <v>36916</v>
      </c>
      <c r="K95" s="498"/>
      <c r="L95" s="543">
        <f t="shared" si="15"/>
        <v>0</v>
      </c>
      <c r="M95" s="347"/>
      <c r="N95" s="500"/>
      <c r="O95" s="501"/>
      <c r="P95" s="501"/>
      <c r="Q95" s="549">
        <f t="shared" si="16"/>
        <v>159814</v>
      </c>
      <c r="R95" s="502"/>
      <c r="S95" s="551">
        <f t="shared" si="17"/>
        <v>0</v>
      </c>
      <c r="T95" s="347"/>
      <c r="U95" s="504"/>
      <c r="V95" s="505"/>
      <c r="W95" s="505"/>
      <c r="X95" s="556">
        <f t="shared" si="18"/>
        <v>26290</v>
      </c>
      <c r="Y95" s="506"/>
      <c r="AA95" s="507"/>
      <c r="AB95" s="508"/>
      <c r="AC95" s="508"/>
      <c r="AD95" s="560">
        <f t="shared" si="19"/>
        <v>21907</v>
      </c>
      <c r="AE95" s="509"/>
      <c r="AG95" s="510"/>
      <c r="AH95" s="511"/>
      <c r="AI95" s="511"/>
      <c r="AJ95" s="564">
        <f t="shared" si="20"/>
        <v>82000</v>
      </c>
      <c r="AK95" s="512"/>
      <c r="AL95" s="513"/>
      <c r="AM95" s="514"/>
      <c r="AN95" s="515"/>
      <c r="AO95" s="515"/>
      <c r="AP95" s="568">
        <f t="shared" si="21"/>
        <v>46000</v>
      </c>
      <c r="AQ95" s="516"/>
      <c r="AR95" s="513"/>
      <c r="AS95" s="514"/>
      <c r="AT95" s="515"/>
      <c r="AU95" s="515"/>
      <c r="AV95" s="568">
        <f t="shared" si="22"/>
        <v>69862</v>
      </c>
      <c r="AW95" s="516"/>
    </row>
    <row r="96" spans="1:49">
      <c r="A96" s="332"/>
      <c r="B96" s="334"/>
      <c r="C96" s="334"/>
      <c r="D96" s="379">
        <f t="shared" si="12"/>
        <v>856669</v>
      </c>
      <c r="E96" s="535">
        <f t="shared" si="13"/>
        <v>0</v>
      </c>
      <c r="H96" s="496"/>
      <c r="I96" s="497"/>
      <c r="J96" s="541">
        <f t="shared" si="14"/>
        <v>36916</v>
      </c>
      <c r="K96" s="498"/>
      <c r="L96" s="543">
        <f t="shared" si="15"/>
        <v>0</v>
      </c>
      <c r="M96" s="347"/>
      <c r="N96" s="500"/>
      <c r="O96" s="501"/>
      <c r="P96" s="501"/>
      <c r="Q96" s="549">
        <f t="shared" si="16"/>
        <v>159814</v>
      </c>
      <c r="R96" s="502"/>
      <c r="S96" s="551">
        <f t="shared" si="17"/>
        <v>0</v>
      </c>
      <c r="T96" s="347"/>
      <c r="U96" s="504"/>
      <c r="V96" s="505"/>
      <c r="W96" s="505"/>
      <c r="X96" s="556">
        <f t="shared" si="18"/>
        <v>26290</v>
      </c>
      <c r="Y96" s="506"/>
      <c r="AA96" s="507"/>
      <c r="AB96" s="508"/>
      <c r="AC96" s="508"/>
      <c r="AD96" s="560">
        <f t="shared" si="19"/>
        <v>21907</v>
      </c>
      <c r="AE96" s="509"/>
      <c r="AG96" s="510"/>
      <c r="AH96" s="511"/>
      <c r="AI96" s="511"/>
      <c r="AJ96" s="564">
        <f t="shared" si="20"/>
        <v>82000</v>
      </c>
      <c r="AK96" s="512"/>
      <c r="AL96" s="513"/>
      <c r="AM96" s="514"/>
      <c r="AN96" s="515"/>
      <c r="AO96" s="515"/>
      <c r="AP96" s="568">
        <f t="shared" si="21"/>
        <v>46000</v>
      </c>
      <c r="AQ96" s="516"/>
      <c r="AR96" s="513"/>
      <c r="AS96" s="514"/>
      <c r="AT96" s="515"/>
      <c r="AU96" s="515"/>
      <c r="AV96" s="568">
        <f t="shared" si="22"/>
        <v>69862</v>
      </c>
      <c r="AW96" s="516"/>
    </row>
    <row r="97" spans="1:49">
      <c r="A97" s="332"/>
      <c r="B97" s="334"/>
      <c r="C97" s="334"/>
      <c r="D97" s="379">
        <f t="shared" si="12"/>
        <v>856669</v>
      </c>
      <c r="E97" s="535">
        <f t="shared" si="13"/>
        <v>0</v>
      </c>
      <c r="H97" s="496"/>
      <c r="I97" s="497"/>
      <c r="J97" s="541">
        <f t="shared" si="14"/>
        <v>36916</v>
      </c>
      <c r="K97" s="498"/>
      <c r="L97" s="543">
        <f t="shared" si="15"/>
        <v>0</v>
      </c>
      <c r="M97" s="347"/>
      <c r="N97" s="500"/>
      <c r="O97" s="501"/>
      <c r="P97" s="501"/>
      <c r="Q97" s="549">
        <f t="shared" si="16"/>
        <v>159814</v>
      </c>
      <c r="R97" s="502"/>
      <c r="S97" s="551">
        <f t="shared" si="17"/>
        <v>0</v>
      </c>
      <c r="T97" s="347"/>
      <c r="U97" s="504"/>
      <c r="V97" s="505"/>
      <c r="W97" s="505"/>
      <c r="X97" s="556">
        <f t="shared" si="18"/>
        <v>26290</v>
      </c>
      <c r="Y97" s="506"/>
      <c r="AA97" s="507"/>
      <c r="AB97" s="508"/>
      <c r="AC97" s="508"/>
      <c r="AD97" s="560">
        <f t="shared" si="19"/>
        <v>21907</v>
      </c>
      <c r="AE97" s="509"/>
      <c r="AG97" s="510"/>
      <c r="AH97" s="511"/>
      <c r="AI97" s="511"/>
      <c r="AJ97" s="564">
        <f t="shared" si="20"/>
        <v>82000</v>
      </c>
      <c r="AK97" s="512"/>
      <c r="AL97" s="513"/>
      <c r="AM97" s="514"/>
      <c r="AN97" s="515"/>
      <c r="AO97" s="515"/>
      <c r="AP97" s="568">
        <f t="shared" si="21"/>
        <v>46000</v>
      </c>
      <c r="AQ97" s="516"/>
      <c r="AR97" s="513"/>
      <c r="AS97" s="514"/>
      <c r="AT97" s="515"/>
      <c r="AU97" s="515"/>
      <c r="AV97" s="568">
        <f t="shared" si="22"/>
        <v>69862</v>
      </c>
      <c r="AW97" s="516"/>
    </row>
    <row r="98" spans="1:49">
      <c r="A98" s="332"/>
      <c r="B98" s="334"/>
      <c r="C98" s="334"/>
      <c r="D98" s="379">
        <f t="shared" si="12"/>
        <v>856669</v>
      </c>
      <c r="E98" s="535">
        <f t="shared" si="13"/>
        <v>0</v>
      </c>
      <c r="H98" s="496"/>
      <c r="I98" s="497"/>
      <c r="J98" s="541">
        <f t="shared" si="14"/>
        <v>36916</v>
      </c>
      <c r="K98" s="498"/>
      <c r="L98" s="543">
        <f t="shared" si="15"/>
        <v>0</v>
      </c>
      <c r="M98" s="347"/>
      <c r="N98" s="500"/>
      <c r="O98" s="501"/>
      <c r="P98" s="501"/>
      <c r="Q98" s="549">
        <f t="shared" si="16"/>
        <v>159814</v>
      </c>
      <c r="R98" s="502"/>
      <c r="S98" s="551">
        <f t="shared" si="17"/>
        <v>0</v>
      </c>
      <c r="T98" s="347"/>
      <c r="U98" s="504"/>
      <c r="V98" s="505"/>
      <c r="W98" s="505"/>
      <c r="X98" s="556">
        <f t="shared" si="18"/>
        <v>26290</v>
      </c>
      <c r="Y98" s="506"/>
      <c r="AA98" s="507"/>
      <c r="AB98" s="508"/>
      <c r="AC98" s="508"/>
      <c r="AD98" s="560">
        <f t="shared" si="19"/>
        <v>21907</v>
      </c>
      <c r="AE98" s="509"/>
      <c r="AG98" s="510"/>
      <c r="AH98" s="511"/>
      <c r="AI98" s="511"/>
      <c r="AJ98" s="564">
        <f t="shared" si="20"/>
        <v>82000</v>
      </c>
      <c r="AK98" s="512"/>
      <c r="AL98" s="513"/>
      <c r="AM98" s="514"/>
      <c r="AN98" s="515"/>
      <c r="AO98" s="515"/>
      <c r="AP98" s="568">
        <f t="shared" si="21"/>
        <v>46000</v>
      </c>
      <c r="AQ98" s="516"/>
      <c r="AR98" s="513"/>
      <c r="AS98" s="514"/>
      <c r="AT98" s="515"/>
      <c r="AU98" s="515"/>
      <c r="AV98" s="568">
        <f t="shared" si="22"/>
        <v>69862</v>
      </c>
      <c r="AW98" s="516"/>
    </row>
    <row r="99" spans="1:49">
      <c r="A99" s="332"/>
      <c r="B99" s="334"/>
      <c r="C99" s="334"/>
      <c r="D99" s="379">
        <f t="shared" si="12"/>
        <v>856669</v>
      </c>
      <c r="E99" s="535">
        <f t="shared" si="13"/>
        <v>0</v>
      </c>
      <c r="H99" s="496"/>
      <c r="I99" s="497"/>
      <c r="J99" s="541">
        <f t="shared" si="14"/>
        <v>36916</v>
      </c>
      <c r="K99" s="498"/>
      <c r="L99" s="543">
        <f t="shared" si="15"/>
        <v>0</v>
      </c>
      <c r="M99" s="347"/>
      <c r="N99" s="500"/>
      <c r="O99" s="501"/>
      <c r="P99" s="501"/>
      <c r="Q99" s="549">
        <f t="shared" si="16"/>
        <v>159814</v>
      </c>
      <c r="R99" s="502"/>
      <c r="S99" s="551">
        <f t="shared" si="17"/>
        <v>0</v>
      </c>
      <c r="T99" s="347"/>
      <c r="U99" s="504"/>
      <c r="V99" s="505"/>
      <c r="W99" s="505"/>
      <c r="X99" s="556">
        <f t="shared" si="18"/>
        <v>26290</v>
      </c>
      <c r="Y99" s="506"/>
      <c r="AA99" s="507"/>
      <c r="AB99" s="508"/>
      <c r="AC99" s="508"/>
      <c r="AD99" s="560">
        <f t="shared" si="19"/>
        <v>21907</v>
      </c>
      <c r="AE99" s="509"/>
      <c r="AG99" s="510"/>
      <c r="AH99" s="511"/>
      <c r="AI99" s="511"/>
      <c r="AJ99" s="564">
        <f t="shared" si="20"/>
        <v>82000</v>
      </c>
      <c r="AK99" s="512"/>
      <c r="AL99" s="513"/>
      <c r="AM99" s="514"/>
      <c r="AN99" s="515"/>
      <c r="AO99" s="515"/>
      <c r="AP99" s="568">
        <f t="shared" si="21"/>
        <v>46000</v>
      </c>
      <c r="AQ99" s="516"/>
      <c r="AR99" s="513"/>
      <c r="AS99" s="514"/>
      <c r="AT99" s="515"/>
      <c r="AU99" s="515"/>
      <c r="AV99" s="568">
        <f t="shared" si="22"/>
        <v>69862</v>
      </c>
      <c r="AW99" s="516"/>
    </row>
    <row r="100" spans="1:49">
      <c r="A100" s="332"/>
      <c r="B100" s="334"/>
      <c r="C100" s="334"/>
      <c r="D100" s="379">
        <f t="shared" si="12"/>
        <v>856669</v>
      </c>
      <c r="E100" s="535">
        <f t="shared" si="13"/>
        <v>0</v>
      </c>
      <c r="H100" s="496"/>
      <c r="I100" s="497"/>
      <c r="J100" s="541">
        <f t="shared" si="14"/>
        <v>36916</v>
      </c>
      <c r="K100" s="498"/>
      <c r="L100" s="543">
        <f t="shared" si="15"/>
        <v>0</v>
      </c>
      <c r="M100" s="347"/>
      <c r="N100" s="500"/>
      <c r="O100" s="501"/>
      <c r="P100" s="501"/>
      <c r="Q100" s="549">
        <f t="shared" si="16"/>
        <v>159814</v>
      </c>
      <c r="R100" s="502"/>
      <c r="S100" s="551">
        <f t="shared" si="17"/>
        <v>0</v>
      </c>
      <c r="T100" s="347"/>
      <c r="U100" s="504"/>
      <c r="V100" s="505"/>
      <c r="W100" s="505"/>
      <c r="X100" s="556">
        <f t="shared" si="18"/>
        <v>26290</v>
      </c>
      <c r="Y100" s="506"/>
      <c r="AA100" s="507"/>
      <c r="AB100" s="508"/>
      <c r="AC100" s="508"/>
      <c r="AD100" s="560">
        <f t="shared" si="19"/>
        <v>21907</v>
      </c>
      <c r="AE100" s="509"/>
      <c r="AG100" s="510"/>
      <c r="AH100" s="511"/>
      <c r="AI100" s="511"/>
      <c r="AJ100" s="564">
        <f t="shared" si="20"/>
        <v>82000</v>
      </c>
      <c r="AK100" s="512"/>
      <c r="AL100" s="513"/>
      <c r="AM100" s="514"/>
      <c r="AN100" s="515"/>
      <c r="AO100" s="515"/>
      <c r="AP100" s="568">
        <f t="shared" si="21"/>
        <v>46000</v>
      </c>
      <c r="AQ100" s="516"/>
      <c r="AR100" s="513"/>
      <c r="AS100" s="514"/>
      <c r="AT100" s="515"/>
      <c r="AU100" s="515"/>
      <c r="AV100" s="568">
        <f t="shared" si="22"/>
        <v>69862</v>
      </c>
      <c r="AW100" s="516"/>
    </row>
    <row r="101" spans="1:49">
      <c r="A101" s="332"/>
      <c r="B101" s="334"/>
      <c r="C101" s="334"/>
      <c r="D101" s="379">
        <f t="shared" si="12"/>
        <v>856669</v>
      </c>
      <c r="E101" s="535">
        <f t="shared" si="13"/>
        <v>0</v>
      </c>
      <c r="H101" s="496"/>
      <c r="I101" s="497"/>
      <c r="J101" s="541">
        <f t="shared" si="14"/>
        <v>36916</v>
      </c>
      <c r="K101" s="498"/>
      <c r="L101" s="543">
        <f t="shared" si="15"/>
        <v>0</v>
      </c>
      <c r="M101" s="347"/>
      <c r="N101" s="500"/>
      <c r="O101" s="501"/>
      <c r="P101" s="501"/>
      <c r="Q101" s="549">
        <f t="shared" si="16"/>
        <v>159814</v>
      </c>
      <c r="R101" s="502"/>
      <c r="S101" s="551">
        <f t="shared" si="17"/>
        <v>0</v>
      </c>
      <c r="T101" s="347"/>
      <c r="U101" s="504"/>
      <c r="V101" s="505"/>
      <c r="W101" s="505"/>
      <c r="X101" s="556">
        <f t="shared" si="18"/>
        <v>26290</v>
      </c>
      <c r="Y101" s="506"/>
      <c r="AA101" s="507"/>
      <c r="AB101" s="508"/>
      <c r="AC101" s="508"/>
      <c r="AD101" s="560">
        <f t="shared" si="19"/>
        <v>21907</v>
      </c>
      <c r="AE101" s="509"/>
      <c r="AG101" s="510"/>
      <c r="AH101" s="511"/>
      <c r="AI101" s="511"/>
      <c r="AJ101" s="564">
        <f t="shared" si="20"/>
        <v>82000</v>
      </c>
      <c r="AK101" s="512"/>
      <c r="AL101" s="513"/>
      <c r="AM101" s="514"/>
      <c r="AN101" s="515"/>
      <c r="AO101" s="515"/>
      <c r="AP101" s="568">
        <f t="shared" si="21"/>
        <v>46000</v>
      </c>
      <c r="AQ101" s="516"/>
      <c r="AR101" s="513"/>
      <c r="AS101" s="514"/>
      <c r="AT101" s="515"/>
      <c r="AU101" s="515"/>
      <c r="AV101" s="568">
        <f t="shared" si="22"/>
        <v>69862</v>
      </c>
      <c r="AW101" s="516"/>
    </row>
    <row r="102" spans="1:49">
      <c r="A102" s="332"/>
      <c r="B102" s="334"/>
      <c r="C102" s="334"/>
      <c r="D102" s="379">
        <f t="shared" si="12"/>
        <v>856669</v>
      </c>
      <c r="E102" s="535">
        <f t="shared" si="13"/>
        <v>0</v>
      </c>
      <c r="H102" s="496"/>
      <c r="I102" s="497"/>
      <c r="J102" s="541">
        <f t="shared" si="14"/>
        <v>36916</v>
      </c>
      <c r="K102" s="498"/>
      <c r="L102" s="543">
        <f t="shared" si="15"/>
        <v>0</v>
      </c>
      <c r="M102" s="347"/>
      <c r="N102" s="500"/>
      <c r="O102" s="501"/>
      <c r="P102" s="501"/>
      <c r="Q102" s="549">
        <f t="shared" si="16"/>
        <v>159814</v>
      </c>
      <c r="R102" s="502"/>
      <c r="S102" s="551">
        <f t="shared" si="17"/>
        <v>0</v>
      </c>
      <c r="T102" s="347"/>
      <c r="U102" s="504"/>
      <c r="V102" s="505"/>
      <c r="W102" s="505"/>
      <c r="X102" s="556">
        <f t="shared" si="18"/>
        <v>26290</v>
      </c>
      <c r="Y102" s="506"/>
      <c r="AA102" s="507"/>
      <c r="AB102" s="508"/>
      <c r="AC102" s="508"/>
      <c r="AD102" s="560">
        <f t="shared" si="19"/>
        <v>21907</v>
      </c>
      <c r="AE102" s="509"/>
      <c r="AG102" s="510"/>
      <c r="AH102" s="511"/>
      <c r="AI102" s="511"/>
      <c r="AJ102" s="564">
        <f t="shared" si="20"/>
        <v>82000</v>
      </c>
      <c r="AK102" s="512"/>
      <c r="AL102" s="513"/>
      <c r="AM102" s="514"/>
      <c r="AN102" s="515"/>
      <c r="AO102" s="515"/>
      <c r="AP102" s="568">
        <f t="shared" si="21"/>
        <v>46000</v>
      </c>
      <c r="AQ102" s="516"/>
      <c r="AR102" s="513"/>
      <c r="AS102" s="514"/>
      <c r="AT102" s="515"/>
      <c r="AU102" s="515"/>
      <c r="AV102" s="568">
        <f t="shared" si="22"/>
        <v>69862</v>
      </c>
      <c r="AW102" s="516"/>
    </row>
    <row r="103" spans="1:49">
      <c r="A103" s="332"/>
      <c r="B103" s="334"/>
      <c r="C103" s="334"/>
      <c r="D103" s="379">
        <f t="shared" si="12"/>
        <v>856669</v>
      </c>
      <c r="E103" s="535">
        <f t="shared" si="13"/>
        <v>0</v>
      </c>
      <c r="H103" s="496"/>
      <c r="I103" s="497"/>
      <c r="J103" s="541">
        <f t="shared" si="14"/>
        <v>36916</v>
      </c>
      <c r="K103" s="498"/>
      <c r="L103" s="543">
        <f t="shared" si="15"/>
        <v>0</v>
      </c>
      <c r="M103" s="347"/>
      <c r="N103" s="500"/>
      <c r="O103" s="501"/>
      <c r="P103" s="501"/>
      <c r="Q103" s="549">
        <f t="shared" si="16"/>
        <v>159814</v>
      </c>
      <c r="R103" s="502"/>
      <c r="S103" s="551">
        <f t="shared" si="17"/>
        <v>0</v>
      </c>
      <c r="T103" s="347"/>
      <c r="U103" s="504"/>
      <c r="V103" s="505"/>
      <c r="W103" s="505"/>
      <c r="X103" s="556">
        <f t="shared" si="18"/>
        <v>26290</v>
      </c>
      <c r="Y103" s="506"/>
      <c r="AA103" s="507"/>
      <c r="AB103" s="508"/>
      <c r="AC103" s="508"/>
      <c r="AD103" s="560">
        <f t="shared" si="19"/>
        <v>21907</v>
      </c>
      <c r="AE103" s="509"/>
      <c r="AG103" s="510"/>
      <c r="AH103" s="511"/>
      <c r="AI103" s="511"/>
      <c r="AJ103" s="564">
        <f t="shared" si="20"/>
        <v>82000</v>
      </c>
      <c r="AK103" s="512"/>
      <c r="AL103" s="513"/>
      <c r="AM103" s="514"/>
      <c r="AN103" s="515"/>
      <c r="AO103" s="515"/>
      <c r="AP103" s="568">
        <f t="shared" si="21"/>
        <v>46000</v>
      </c>
      <c r="AQ103" s="516"/>
      <c r="AR103" s="513"/>
      <c r="AS103" s="514"/>
      <c r="AT103" s="515"/>
      <c r="AU103" s="515"/>
      <c r="AV103" s="568">
        <f t="shared" si="22"/>
        <v>69862</v>
      </c>
      <c r="AW103" s="516"/>
    </row>
    <row r="104" spans="1:49">
      <c r="A104" s="332"/>
      <c r="B104" s="334"/>
      <c r="C104" s="334"/>
      <c r="D104" s="379">
        <f t="shared" si="12"/>
        <v>856669</v>
      </c>
      <c r="E104" s="535">
        <f t="shared" si="13"/>
        <v>0</v>
      </c>
      <c r="H104" s="496"/>
      <c r="I104" s="497"/>
      <c r="J104" s="541">
        <f t="shared" si="14"/>
        <v>36916</v>
      </c>
      <c r="K104" s="498"/>
      <c r="L104" s="543">
        <f t="shared" si="15"/>
        <v>0</v>
      </c>
      <c r="M104" s="347"/>
      <c r="N104" s="500"/>
      <c r="O104" s="501"/>
      <c r="P104" s="501"/>
      <c r="Q104" s="549">
        <f t="shared" si="16"/>
        <v>159814</v>
      </c>
      <c r="R104" s="502"/>
      <c r="S104" s="551">
        <f t="shared" si="17"/>
        <v>0</v>
      </c>
      <c r="T104" s="347"/>
      <c r="U104" s="504"/>
      <c r="V104" s="505"/>
      <c r="W104" s="505"/>
      <c r="X104" s="556">
        <f t="shared" si="18"/>
        <v>26290</v>
      </c>
      <c r="Y104" s="506"/>
      <c r="AA104" s="507"/>
      <c r="AB104" s="508"/>
      <c r="AC104" s="508"/>
      <c r="AD104" s="560">
        <f t="shared" si="19"/>
        <v>21907</v>
      </c>
      <c r="AE104" s="509"/>
      <c r="AG104" s="510"/>
      <c r="AH104" s="511"/>
      <c r="AI104" s="511"/>
      <c r="AJ104" s="564">
        <f t="shared" si="20"/>
        <v>82000</v>
      </c>
      <c r="AK104" s="512"/>
      <c r="AL104" s="513"/>
      <c r="AM104" s="514"/>
      <c r="AN104" s="515"/>
      <c r="AO104" s="515"/>
      <c r="AP104" s="568">
        <f t="shared" si="21"/>
        <v>46000</v>
      </c>
      <c r="AQ104" s="516"/>
      <c r="AR104" s="513"/>
      <c r="AS104" s="514"/>
      <c r="AT104" s="515"/>
      <c r="AU104" s="515"/>
      <c r="AV104" s="568">
        <f t="shared" si="22"/>
        <v>69862</v>
      </c>
      <c r="AW104" s="516"/>
    </row>
    <row r="105" spans="1:49">
      <c r="A105" s="332"/>
      <c r="B105" s="334"/>
      <c r="C105" s="334"/>
      <c r="D105" s="379">
        <f t="shared" si="12"/>
        <v>856669</v>
      </c>
      <c r="E105" s="535">
        <f t="shared" si="13"/>
        <v>0</v>
      </c>
      <c r="H105" s="496"/>
      <c r="I105" s="497"/>
      <c r="J105" s="541">
        <f t="shared" si="14"/>
        <v>36916</v>
      </c>
      <c r="K105" s="498"/>
      <c r="L105" s="543">
        <f t="shared" si="15"/>
        <v>0</v>
      </c>
      <c r="M105" s="347"/>
      <c r="N105" s="500"/>
      <c r="O105" s="501"/>
      <c r="P105" s="501"/>
      <c r="Q105" s="549">
        <f t="shared" si="16"/>
        <v>159814</v>
      </c>
      <c r="R105" s="502"/>
      <c r="S105" s="551">
        <f t="shared" si="17"/>
        <v>0</v>
      </c>
      <c r="T105" s="347"/>
      <c r="U105" s="504"/>
      <c r="V105" s="505"/>
      <c r="W105" s="505"/>
      <c r="X105" s="556">
        <f t="shared" si="18"/>
        <v>26290</v>
      </c>
      <c r="Y105" s="506"/>
      <c r="AA105" s="507"/>
      <c r="AB105" s="508"/>
      <c r="AC105" s="508"/>
      <c r="AD105" s="560">
        <f t="shared" si="19"/>
        <v>21907</v>
      </c>
      <c r="AE105" s="509"/>
      <c r="AG105" s="510"/>
      <c r="AH105" s="511"/>
      <c r="AI105" s="511"/>
      <c r="AJ105" s="564">
        <f t="shared" si="20"/>
        <v>82000</v>
      </c>
      <c r="AK105" s="512"/>
      <c r="AL105" s="513"/>
      <c r="AM105" s="514"/>
      <c r="AN105" s="515"/>
      <c r="AO105" s="515"/>
      <c r="AP105" s="568">
        <f t="shared" si="21"/>
        <v>46000</v>
      </c>
      <c r="AQ105" s="516"/>
      <c r="AR105" s="513"/>
      <c r="AS105" s="514"/>
      <c r="AT105" s="515"/>
      <c r="AU105" s="515"/>
      <c r="AV105" s="568">
        <f t="shared" si="22"/>
        <v>69862</v>
      </c>
      <c r="AW105" s="516"/>
    </row>
    <row r="106" spans="1:49">
      <c r="A106" s="332"/>
      <c r="B106" s="334"/>
      <c r="C106" s="334"/>
      <c r="D106" s="379">
        <f t="shared" si="12"/>
        <v>856669</v>
      </c>
      <c r="E106" s="535">
        <f t="shared" si="13"/>
        <v>0</v>
      </c>
      <c r="H106" s="496"/>
      <c r="I106" s="497"/>
      <c r="J106" s="541">
        <f t="shared" si="14"/>
        <v>36916</v>
      </c>
      <c r="K106" s="498"/>
      <c r="L106" s="543">
        <f t="shared" si="15"/>
        <v>0</v>
      </c>
      <c r="M106" s="347"/>
      <c r="N106" s="500"/>
      <c r="O106" s="501"/>
      <c r="P106" s="501"/>
      <c r="Q106" s="549">
        <f t="shared" si="16"/>
        <v>159814</v>
      </c>
      <c r="R106" s="502"/>
      <c r="S106" s="551">
        <f t="shared" si="17"/>
        <v>0</v>
      </c>
      <c r="T106" s="347"/>
      <c r="U106" s="504"/>
      <c r="V106" s="505"/>
      <c r="W106" s="505"/>
      <c r="X106" s="556">
        <f t="shared" si="18"/>
        <v>26290</v>
      </c>
      <c r="Y106" s="506"/>
      <c r="AA106" s="507"/>
      <c r="AB106" s="508"/>
      <c r="AC106" s="508"/>
      <c r="AD106" s="560">
        <f t="shared" si="19"/>
        <v>21907</v>
      </c>
      <c r="AE106" s="509"/>
      <c r="AG106" s="510"/>
      <c r="AH106" s="511"/>
      <c r="AI106" s="511"/>
      <c r="AJ106" s="564">
        <f t="shared" si="20"/>
        <v>82000</v>
      </c>
      <c r="AK106" s="512"/>
      <c r="AL106" s="513"/>
      <c r="AM106" s="514"/>
      <c r="AN106" s="515"/>
      <c r="AO106" s="515"/>
      <c r="AP106" s="568">
        <f t="shared" si="21"/>
        <v>46000</v>
      </c>
      <c r="AQ106" s="516"/>
      <c r="AR106" s="513"/>
      <c r="AS106" s="514"/>
      <c r="AT106" s="515"/>
      <c r="AU106" s="515"/>
      <c r="AV106" s="568">
        <f t="shared" si="22"/>
        <v>69862</v>
      </c>
      <c r="AW106" s="516"/>
    </row>
    <row r="107" spans="1:49">
      <c r="A107" s="332"/>
      <c r="B107" s="334"/>
      <c r="C107" s="334"/>
      <c r="D107" s="379">
        <f t="shared" si="12"/>
        <v>856669</v>
      </c>
      <c r="E107" s="535">
        <f t="shared" si="13"/>
        <v>0</v>
      </c>
      <c r="H107" s="496"/>
      <c r="I107" s="497"/>
      <c r="J107" s="541">
        <f t="shared" si="14"/>
        <v>36916</v>
      </c>
      <c r="K107" s="498"/>
      <c r="L107" s="543">
        <f t="shared" si="15"/>
        <v>0</v>
      </c>
      <c r="M107" s="347"/>
      <c r="N107" s="500"/>
      <c r="O107" s="501"/>
      <c r="P107" s="501"/>
      <c r="Q107" s="549">
        <f t="shared" si="16"/>
        <v>159814</v>
      </c>
      <c r="R107" s="502"/>
      <c r="S107" s="551">
        <f t="shared" si="17"/>
        <v>0</v>
      </c>
      <c r="T107" s="347"/>
      <c r="U107" s="504"/>
      <c r="V107" s="505"/>
      <c r="W107" s="505"/>
      <c r="X107" s="556">
        <f t="shared" si="18"/>
        <v>26290</v>
      </c>
      <c r="Y107" s="506"/>
      <c r="AA107" s="507"/>
      <c r="AB107" s="508"/>
      <c r="AC107" s="508"/>
      <c r="AD107" s="560">
        <f t="shared" si="19"/>
        <v>21907</v>
      </c>
      <c r="AE107" s="509"/>
      <c r="AG107" s="510"/>
      <c r="AH107" s="511"/>
      <c r="AI107" s="511"/>
      <c r="AJ107" s="564">
        <f t="shared" si="20"/>
        <v>82000</v>
      </c>
      <c r="AK107" s="512"/>
      <c r="AL107" s="513"/>
      <c r="AM107" s="514"/>
      <c r="AN107" s="515"/>
      <c r="AO107" s="515"/>
      <c r="AP107" s="568">
        <f t="shared" si="21"/>
        <v>46000</v>
      </c>
      <c r="AQ107" s="516"/>
      <c r="AR107" s="513"/>
      <c r="AS107" s="514"/>
      <c r="AT107" s="515"/>
      <c r="AU107" s="515"/>
      <c r="AV107" s="568">
        <f t="shared" si="22"/>
        <v>69862</v>
      </c>
      <c r="AW107" s="516"/>
    </row>
    <row r="108" spans="1:49">
      <c r="A108" s="332"/>
      <c r="B108" s="334"/>
      <c r="C108" s="334"/>
      <c r="D108" s="379">
        <f t="shared" si="12"/>
        <v>856669</v>
      </c>
      <c r="E108" s="535">
        <f t="shared" si="13"/>
        <v>0</v>
      </c>
      <c r="H108" s="496"/>
      <c r="I108" s="497"/>
      <c r="J108" s="541">
        <f t="shared" si="14"/>
        <v>36916</v>
      </c>
      <c r="K108" s="498"/>
      <c r="L108" s="543">
        <f t="shared" si="15"/>
        <v>0</v>
      </c>
      <c r="M108" s="347"/>
      <c r="N108" s="500"/>
      <c r="O108" s="501"/>
      <c r="P108" s="501"/>
      <c r="Q108" s="549">
        <f t="shared" si="16"/>
        <v>159814</v>
      </c>
      <c r="R108" s="502"/>
      <c r="S108" s="551">
        <f t="shared" si="17"/>
        <v>0</v>
      </c>
      <c r="T108" s="347"/>
      <c r="U108" s="504"/>
      <c r="V108" s="505"/>
      <c r="W108" s="505"/>
      <c r="X108" s="556">
        <f t="shared" si="18"/>
        <v>26290</v>
      </c>
      <c r="Y108" s="506"/>
      <c r="AA108" s="507"/>
      <c r="AB108" s="508"/>
      <c r="AC108" s="508"/>
      <c r="AD108" s="560">
        <f t="shared" si="19"/>
        <v>21907</v>
      </c>
      <c r="AE108" s="509"/>
      <c r="AG108" s="510"/>
      <c r="AH108" s="511"/>
      <c r="AI108" s="511"/>
      <c r="AJ108" s="564">
        <f t="shared" si="20"/>
        <v>82000</v>
      </c>
      <c r="AK108" s="512"/>
      <c r="AL108" s="513"/>
      <c r="AM108" s="514"/>
      <c r="AN108" s="515"/>
      <c r="AO108" s="515"/>
      <c r="AP108" s="568">
        <f t="shared" si="21"/>
        <v>46000</v>
      </c>
      <c r="AQ108" s="516"/>
      <c r="AR108" s="513"/>
      <c r="AS108" s="514"/>
      <c r="AT108" s="515"/>
      <c r="AU108" s="515"/>
      <c r="AV108" s="568">
        <f t="shared" si="22"/>
        <v>69862</v>
      </c>
      <c r="AW108" s="516"/>
    </row>
    <row r="109" spans="1:49">
      <c r="A109" s="332"/>
      <c r="B109" s="334"/>
      <c r="C109" s="334"/>
      <c r="D109" s="379">
        <f t="shared" si="12"/>
        <v>856669</v>
      </c>
      <c r="E109" s="535">
        <f t="shared" si="13"/>
        <v>0</v>
      </c>
      <c r="H109" s="496"/>
      <c r="I109" s="497"/>
      <c r="J109" s="541">
        <f t="shared" si="14"/>
        <v>36916</v>
      </c>
      <c r="K109" s="498"/>
      <c r="L109" s="543">
        <f t="shared" si="15"/>
        <v>0</v>
      </c>
      <c r="M109" s="347"/>
      <c r="N109" s="500"/>
      <c r="O109" s="501"/>
      <c r="P109" s="501"/>
      <c r="Q109" s="549">
        <f t="shared" si="16"/>
        <v>159814</v>
      </c>
      <c r="R109" s="502"/>
      <c r="S109" s="551">
        <f t="shared" si="17"/>
        <v>0</v>
      </c>
      <c r="T109" s="347"/>
      <c r="U109" s="504"/>
      <c r="V109" s="505"/>
      <c r="W109" s="505"/>
      <c r="X109" s="556">
        <f t="shared" si="18"/>
        <v>26290</v>
      </c>
      <c r="Y109" s="506"/>
      <c r="AA109" s="507"/>
      <c r="AB109" s="508"/>
      <c r="AC109" s="508"/>
      <c r="AD109" s="560">
        <f t="shared" si="19"/>
        <v>21907</v>
      </c>
      <c r="AE109" s="509"/>
      <c r="AG109" s="510"/>
      <c r="AH109" s="511"/>
      <c r="AI109" s="511"/>
      <c r="AJ109" s="564">
        <f t="shared" si="20"/>
        <v>82000</v>
      </c>
      <c r="AK109" s="512"/>
      <c r="AL109" s="513"/>
      <c r="AM109" s="514"/>
      <c r="AN109" s="515"/>
      <c r="AO109" s="515"/>
      <c r="AP109" s="568">
        <f t="shared" si="21"/>
        <v>46000</v>
      </c>
      <c r="AQ109" s="516"/>
      <c r="AR109" s="513"/>
      <c r="AS109" s="514"/>
      <c r="AT109" s="515"/>
      <c r="AU109" s="515"/>
      <c r="AV109" s="568">
        <f t="shared" si="22"/>
        <v>69862</v>
      </c>
      <c r="AW109" s="516"/>
    </row>
    <row r="110" spans="1:49">
      <c r="A110" s="332"/>
      <c r="B110" s="334"/>
      <c r="C110" s="334"/>
      <c r="D110" s="379">
        <f t="shared" si="12"/>
        <v>856669</v>
      </c>
      <c r="E110" s="535">
        <f t="shared" si="13"/>
        <v>0</v>
      </c>
      <c r="H110" s="496"/>
      <c r="I110" s="497"/>
      <c r="J110" s="541">
        <f t="shared" si="14"/>
        <v>36916</v>
      </c>
      <c r="K110" s="498"/>
      <c r="L110" s="543">
        <f t="shared" si="15"/>
        <v>0</v>
      </c>
      <c r="M110" s="347"/>
      <c r="N110" s="500"/>
      <c r="O110" s="501"/>
      <c r="P110" s="501"/>
      <c r="Q110" s="549">
        <f t="shared" si="16"/>
        <v>159814</v>
      </c>
      <c r="R110" s="502"/>
      <c r="S110" s="551">
        <f t="shared" si="17"/>
        <v>0</v>
      </c>
      <c r="T110" s="347"/>
      <c r="U110" s="504"/>
      <c r="V110" s="505"/>
      <c r="W110" s="505"/>
      <c r="X110" s="556">
        <f t="shared" si="18"/>
        <v>26290</v>
      </c>
      <c r="Y110" s="506"/>
      <c r="AA110" s="507"/>
      <c r="AB110" s="508"/>
      <c r="AC110" s="508"/>
      <c r="AD110" s="560">
        <f t="shared" si="19"/>
        <v>21907</v>
      </c>
      <c r="AE110" s="509"/>
      <c r="AG110" s="510"/>
      <c r="AH110" s="511"/>
      <c r="AI110" s="511"/>
      <c r="AJ110" s="564">
        <f t="shared" si="20"/>
        <v>82000</v>
      </c>
      <c r="AK110" s="512"/>
      <c r="AL110" s="513"/>
      <c r="AM110" s="514"/>
      <c r="AN110" s="515"/>
      <c r="AO110" s="515"/>
      <c r="AP110" s="568">
        <f t="shared" si="21"/>
        <v>46000</v>
      </c>
      <c r="AQ110" s="516"/>
      <c r="AR110" s="513"/>
      <c r="AS110" s="514"/>
      <c r="AT110" s="515"/>
      <c r="AU110" s="515"/>
      <c r="AV110" s="568">
        <f t="shared" si="22"/>
        <v>69862</v>
      </c>
      <c r="AW110" s="516"/>
    </row>
    <row r="111" spans="1:49">
      <c r="A111" s="332"/>
      <c r="B111" s="334"/>
      <c r="C111" s="334"/>
      <c r="D111" s="379">
        <f t="shared" si="12"/>
        <v>856669</v>
      </c>
      <c r="E111" s="535">
        <f t="shared" si="13"/>
        <v>0</v>
      </c>
      <c r="H111" s="496"/>
      <c r="I111" s="497"/>
      <c r="J111" s="541">
        <f t="shared" si="14"/>
        <v>36916</v>
      </c>
      <c r="K111" s="498"/>
      <c r="L111" s="543">
        <f t="shared" si="15"/>
        <v>0</v>
      </c>
      <c r="M111" s="347"/>
      <c r="N111" s="500"/>
      <c r="O111" s="501"/>
      <c r="P111" s="501"/>
      <c r="Q111" s="549">
        <f t="shared" si="16"/>
        <v>159814</v>
      </c>
      <c r="R111" s="502"/>
      <c r="S111" s="551">
        <f t="shared" si="17"/>
        <v>0</v>
      </c>
      <c r="T111" s="347"/>
      <c r="U111" s="504"/>
      <c r="V111" s="505"/>
      <c r="W111" s="505"/>
      <c r="X111" s="556">
        <f t="shared" si="18"/>
        <v>26290</v>
      </c>
      <c r="Y111" s="506"/>
      <c r="AA111" s="507"/>
      <c r="AB111" s="508"/>
      <c r="AC111" s="508"/>
      <c r="AD111" s="560">
        <f t="shared" si="19"/>
        <v>21907</v>
      </c>
      <c r="AE111" s="509"/>
      <c r="AG111" s="510"/>
      <c r="AH111" s="511"/>
      <c r="AI111" s="511"/>
      <c r="AJ111" s="564">
        <f t="shared" si="20"/>
        <v>82000</v>
      </c>
      <c r="AK111" s="512"/>
      <c r="AL111" s="513"/>
      <c r="AM111" s="514"/>
      <c r="AN111" s="515"/>
      <c r="AO111" s="515"/>
      <c r="AP111" s="568">
        <f t="shared" si="21"/>
        <v>46000</v>
      </c>
      <c r="AQ111" s="516"/>
      <c r="AR111" s="513"/>
      <c r="AS111" s="514"/>
      <c r="AT111" s="515"/>
      <c r="AU111" s="515"/>
      <c r="AV111" s="568">
        <f t="shared" si="22"/>
        <v>69862</v>
      </c>
      <c r="AW111" s="516"/>
    </row>
    <row r="112" spans="1:49">
      <c r="A112" s="332"/>
      <c r="B112" s="334"/>
      <c r="C112" s="334"/>
      <c r="D112" s="379">
        <f t="shared" si="12"/>
        <v>856669</v>
      </c>
      <c r="E112" s="535">
        <f t="shared" si="13"/>
        <v>0</v>
      </c>
      <c r="H112" s="496"/>
      <c r="I112" s="497"/>
      <c r="J112" s="541">
        <f t="shared" si="14"/>
        <v>36916</v>
      </c>
      <c r="K112" s="498"/>
      <c r="L112" s="543">
        <f t="shared" si="15"/>
        <v>0</v>
      </c>
      <c r="M112" s="347"/>
      <c r="N112" s="500"/>
      <c r="O112" s="501"/>
      <c r="P112" s="501"/>
      <c r="Q112" s="549">
        <f t="shared" si="16"/>
        <v>159814</v>
      </c>
      <c r="R112" s="502"/>
      <c r="S112" s="551">
        <f t="shared" si="17"/>
        <v>0</v>
      </c>
      <c r="T112" s="347"/>
      <c r="U112" s="504"/>
      <c r="V112" s="505"/>
      <c r="W112" s="505"/>
      <c r="X112" s="556">
        <f t="shared" si="18"/>
        <v>26290</v>
      </c>
      <c r="Y112" s="506"/>
      <c r="AA112" s="507"/>
      <c r="AB112" s="508"/>
      <c r="AC112" s="508"/>
      <c r="AD112" s="560">
        <f t="shared" si="19"/>
        <v>21907</v>
      </c>
      <c r="AE112" s="509"/>
      <c r="AG112" s="510"/>
      <c r="AH112" s="511"/>
      <c r="AI112" s="511"/>
      <c r="AJ112" s="564">
        <f t="shared" si="20"/>
        <v>82000</v>
      </c>
      <c r="AK112" s="512"/>
      <c r="AL112" s="513"/>
      <c r="AM112" s="514"/>
      <c r="AN112" s="515"/>
      <c r="AO112" s="515"/>
      <c r="AP112" s="568">
        <f t="shared" si="21"/>
        <v>46000</v>
      </c>
      <c r="AQ112" s="516"/>
      <c r="AR112" s="513"/>
      <c r="AS112" s="514"/>
      <c r="AT112" s="515"/>
      <c r="AU112" s="515"/>
      <c r="AV112" s="568">
        <f t="shared" si="22"/>
        <v>69862</v>
      </c>
      <c r="AW112" s="516"/>
    </row>
    <row r="113" spans="1:49">
      <c r="A113" s="332"/>
      <c r="B113" s="334"/>
      <c r="C113" s="334"/>
      <c r="D113" s="379">
        <f t="shared" si="12"/>
        <v>856669</v>
      </c>
      <c r="E113" s="535">
        <f t="shared" si="13"/>
        <v>0</v>
      </c>
      <c r="H113" s="496"/>
      <c r="I113" s="497"/>
      <c r="J113" s="541">
        <f t="shared" si="14"/>
        <v>36916</v>
      </c>
      <c r="K113" s="498"/>
      <c r="L113" s="543">
        <f t="shared" si="15"/>
        <v>0</v>
      </c>
      <c r="M113" s="347"/>
      <c r="N113" s="500"/>
      <c r="O113" s="501"/>
      <c r="P113" s="501"/>
      <c r="Q113" s="549">
        <f t="shared" si="16"/>
        <v>159814</v>
      </c>
      <c r="R113" s="502"/>
      <c r="S113" s="551">
        <f t="shared" si="17"/>
        <v>0</v>
      </c>
      <c r="T113" s="347"/>
      <c r="U113" s="504"/>
      <c r="V113" s="505"/>
      <c r="W113" s="505"/>
      <c r="X113" s="556">
        <f t="shared" si="18"/>
        <v>26290</v>
      </c>
      <c r="Y113" s="506"/>
      <c r="AA113" s="507"/>
      <c r="AB113" s="508"/>
      <c r="AC113" s="508"/>
      <c r="AD113" s="560">
        <f t="shared" si="19"/>
        <v>21907</v>
      </c>
      <c r="AE113" s="509"/>
      <c r="AG113" s="510"/>
      <c r="AH113" s="511"/>
      <c r="AI113" s="511"/>
      <c r="AJ113" s="564">
        <f t="shared" si="20"/>
        <v>82000</v>
      </c>
      <c r="AK113" s="512"/>
      <c r="AL113" s="513"/>
      <c r="AM113" s="514"/>
      <c r="AN113" s="515"/>
      <c r="AO113" s="515"/>
      <c r="AP113" s="568">
        <f t="shared" si="21"/>
        <v>46000</v>
      </c>
      <c r="AQ113" s="516"/>
      <c r="AR113" s="513"/>
      <c r="AS113" s="514"/>
      <c r="AT113" s="515"/>
      <c r="AU113" s="515"/>
      <c r="AV113" s="568">
        <f t="shared" si="22"/>
        <v>69862</v>
      </c>
      <c r="AW113" s="516"/>
    </row>
    <row r="114" spans="1:49">
      <c r="A114" s="332"/>
      <c r="B114" s="334"/>
      <c r="C114" s="334"/>
      <c r="D114" s="379">
        <f t="shared" si="12"/>
        <v>856669</v>
      </c>
      <c r="E114" s="535">
        <f t="shared" si="13"/>
        <v>0</v>
      </c>
      <c r="H114" s="496"/>
      <c r="I114" s="497"/>
      <c r="J114" s="541">
        <f t="shared" si="14"/>
        <v>36916</v>
      </c>
      <c r="K114" s="498"/>
      <c r="L114" s="543">
        <f t="shared" si="15"/>
        <v>0</v>
      </c>
      <c r="M114" s="347"/>
      <c r="N114" s="500"/>
      <c r="O114" s="501"/>
      <c r="P114" s="501"/>
      <c r="Q114" s="549">
        <f t="shared" si="16"/>
        <v>159814</v>
      </c>
      <c r="R114" s="502"/>
      <c r="S114" s="551">
        <f t="shared" si="17"/>
        <v>0</v>
      </c>
      <c r="T114" s="347"/>
      <c r="U114" s="504"/>
      <c r="V114" s="505"/>
      <c r="W114" s="505"/>
      <c r="X114" s="556">
        <f t="shared" si="18"/>
        <v>26290</v>
      </c>
      <c r="Y114" s="506"/>
      <c r="AA114" s="507"/>
      <c r="AB114" s="508"/>
      <c r="AC114" s="508"/>
      <c r="AD114" s="560">
        <f t="shared" si="19"/>
        <v>21907</v>
      </c>
      <c r="AE114" s="509"/>
      <c r="AG114" s="510"/>
      <c r="AH114" s="511"/>
      <c r="AI114" s="511"/>
      <c r="AJ114" s="564">
        <f t="shared" si="20"/>
        <v>82000</v>
      </c>
      <c r="AK114" s="512"/>
      <c r="AL114" s="513"/>
      <c r="AM114" s="514"/>
      <c r="AN114" s="515"/>
      <c r="AO114" s="515"/>
      <c r="AP114" s="568">
        <f t="shared" si="21"/>
        <v>46000</v>
      </c>
      <c r="AQ114" s="516"/>
      <c r="AR114" s="513"/>
      <c r="AS114" s="514"/>
      <c r="AT114" s="515"/>
      <c r="AU114" s="515"/>
      <c r="AV114" s="568">
        <f t="shared" si="22"/>
        <v>69862</v>
      </c>
      <c r="AW114" s="516"/>
    </row>
    <row r="115" spans="1:49">
      <c r="A115" s="332"/>
      <c r="B115" s="334"/>
      <c r="C115" s="334"/>
      <c r="D115" s="379">
        <f t="shared" si="12"/>
        <v>856669</v>
      </c>
      <c r="E115" s="535">
        <f t="shared" si="13"/>
        <v>0</v>
      </c>
      <c r="H115" s="496"/>
      <c r="I115" s="497"/>
      <c r="J115" s="541">
        <f t="shared" si="14"/>
        <v>36916</v>
      </c>
      <c r="K115" s="498"/>
      <c r="L115" s="543">
        <f t="shared" si="15"/>
        <v>0</v>
      </c>
      <c r="M115" s="347"/>
      <c r="N115" s="500"/>
      <c r="O115" s="501"/>
      <c r="P115" s="501"/>
      <c r="Q115" s="549">
        <f t="shared" si="16"/>
        <v>159814</v>
      </c>
      <c r="R115" s="502"/>
      <c r="S115" s="551">
        <f t="shared" si="17"/>
        <v>0</v>
      </c>
      <c r="T115" s="347"/>
      <c r="U115" s="504"/>
      <c r="V115" s="505"/>
      <c r="W115" s="505"/>
      <c r="X115" s="556">
        <f t="shared" si="18"/>
        <v>26290</v>
      </c>
      <c r="Y115" s="506"/>
      <c r="AA115" s="507"/>
      <c r="AB115" s="508"/>
      <c r="AC115" s="508"/>
      <c r="AD115" s="560">
        <f t="shared" si="19"/>
        <v>21907</v>
      </c>
      <c r="AE115" s="509"/>
      <c r="AG115" s="510"/>
      <c r="AH115" s="511"/>
      <c r="AI115" s="511"/>
      <c r="AJ115" s="564">
        <f t="shared" si="20"/>
        <v>82000</v>
      </c>
      <c r="AK115" s="512"/>
      <c r="AL115" s="513"/>
      <c r="AM115" s="514"/>
      <c r="AN115" s="515"/>
      <c r="AO115" s="515"/>
      <c r="AP115" s="568">
        <f t="shared" si="21"/>
        <v>46000</v>
      </c>
      <c r="AQ115" s="516"/>
      <c r="AR115" s="513"/>
      <c r="AS115" s="514"/>
      <c r="AT115" s="515"/>
      <c r="AU115" s="515"/>
      <c r="AV115" s="568">
        <f t="shared" si="22"/>
        <v>69862</v>
      </c>
      <c r="AW115" s="516"/>
    </row>
    <row r="116" spans="1:49">
      <c r="A116" s="332"/>
      <c r="B116" s="334"/>
      <c r="C116" s="334"/>
      <c r="D116" s="379">
        <f t="shared" si="12"/>
        <v>856669</v>
      </c>
      <c r="E116" s="535">
        <f t="shared" si="13"/>
        <v>0</v>
      </c>
      <c r="H116" s="496"/>
      <c r="I116" s="497"/>
      <c r="J116" s="541">
        <f t="shared" si="14"/>
        <v>36916</v>
      </c>
      <c r="K116" s="498"/>
      <c r="L116" s="543">
        <f t="shared" si="15"/>
        <v>0</v>
      </c>
      <c r="M116" s="347"/>
      <c r="N116" s="500"/>
      <c r="O116" s="501"/>
      <c r="P116" s="501"/>
      <c r="Q116" s="549">
        <f t="shared" si="16"/>
        <v>159814</v>
      </c>
      <c r="R116" s="502"/>
      <c r="S116" s="551">
        <f t="shared" si="17"/>
        <v>0</v>
      </c>
      <c r="T116" s="347"/>
      <c r="U116" s="504"/>
      <c r="V116" s="505"/>
      <c r="W116" s="505"/>
      <c r="X116" s="556">
        <f t="shared" si="18"/>
        <v>26290</v>
      </c>
      <c r="Y116" s="506"/>
      <c r="AA116" s="507"/>
      <c r="AB116" s="508"/>
      <c r="AC116" s="508"/>
      <c r="AD116" s="560">
        <f t="shared" si="19"/>
        <v>21907</v>
      </c>
      <c r="AE116" s="509"/>
      <c r="AG116" s="510"/>
      <c r="AH116" s="511"/>
      <c r="AI116" s="511"/>
      <c r="AJ116" s="564">
        <f t="shared" si="20"/>
        <v>82000</v>
      </c>
      <c r="AK116" s="512"/>
      <c r="AL116" s="513"/>
      <c r="AM116" s="514"/>
      <c r="AN116" s="515"/>
      <c r="AO116" s="515"/>
      <c r="AP116" s="568">
        <f t="shared" si="21"/>
        <v>46000</v>
      </c>
      <c r="AQ116" s="516"/>
      <c r="AR116" s="513"/>
      <c r="AS116" s="514"/>
      <c r="AT116" s="515"/>
      <c r="AU116" s="515"/>
      <c r="AV116" s="568">
        <f t="shared" si="22"/>
        <v>69862</v>
      </c>
      <c r="AW116" s="516"/>
    </row>
    <row r="117" spans="1:49">
      <c r="A117" s="332"/>
      <c r="B117" s="334"/>
      <c r="C117" s="334"/>
      <c r="D117" s="379">
        <f t="shared" si="12"/>
        <v>856669</v>
      </c>
      <c r="E117" s="535">
        <f t="shared" si="13"/>
        <v>0</v>
      </c>
      <c r="H117" s="496"/>
      <c r="I117" s="497"/>
      <c r="J117" s="541">
        <f t="shared" si="14"/>
        <v>36916</v>
      </c>
      <c r="K117" s="498"/>
      <c r="L117" s="543">
        <f t="shared" si="15"/>
        <v>0</v>
      </c>
      <c r="M117" s="347"/>
      <c r="N117" s="500"/>
      <c r="O117" s="501"/>
      <c r="P117" s="501"/>
      <c r="Q117" s="549">
        <f t="shared" si="16"/>
        <v>159814</v>
      </c>
      <c r="R117" s="502"/>
      <c r="S117" s="551">
        <f t="shared" si="17"/>
        <v>0</v>
      </c>
      <c r="T117" s="347"/>
      <c r="U117" s="504"/>
      <c r="V117" s="505"/>
      <c r="W117" s="505"/>
      <c r="X117" s="556">
        <f t="shared" si="18"/>
        <v>26290</v>
      </c>
      <c r="Y117" s="506"/>
      <c r="AA117" s="507"/>
      <c r="AB117" s="508"/>
      <c r="AC117" s="508"/>
      <c r="AD117" s="560">
        <f t="shared" si="19"/>
        <v>21907</v>
      </c>
      <c r="AE117" s="509"/>
      <c r="AG117" s="510"/>
      <c r="AH117" s="511"/>
      <c r="AI117" s="511"/>
      <c r="AJ117" s="564">
        <f t="shared" si="20"/>
        <v>82000</v>
      </c>
      <c r="AK117" s="512"/>
      <c r="AL117" s="513"/>
      <c r="AM117" s="514"/>
      <c r="AN117" s="515"/>
      <c r="AO117" s="515"/>
      <c r="AP117" s="568">
        <f t="shared" si="21"/>
        <v>46000</v>
      </c>
      <c r="AQ117" s="516"/>
      <c r="AR117" s="513"/>
      <c r="AS117" s="514"/>
      <c r="AT117" s="515"/>
      <c r="AU117" s="515"/>
      <c r="AV117" s="568">
        <f t="shared" si="22"/>
        <v>69862</v>
      </c>
      <c r="AW117" s="516"/>
    </row>
    <row r="118" spans="1:49">
      <c r="A118" s="332"/>
      <c r="B118" s="334"/>
      <c r="C118" s="334"/>
      <c r="D118" s="379">
        <f t="shared" si="12"/>
        <v>856669</v>
      </c>
      <c r="E118" s="535">
        <f t="shared" si="13"/>
        <v>0</v>
      </c>
      <c r="H118" s="496"/>
      <c r="I118" s="497"/>
      <c r="J118" s="541">
        <f t="shared" si="14"/>
        <v>36916</v>
      </c>
      <c r="K118" s="498"/>
      <c r="L118" s="543">
        <f t="shared" si="15"/>
        <v>0</v>
      </c>
      <c r="M118" s="347"/>
      <c r="N118" s="500"/>
      <c r="O118" s="501"/>
      <c r="P118" s="501"/>
      <c r="Q118" s="549">
        <f t="shared" si="16"/>
        <v>159814</v>
      </c>
      <c r="R118" s="502"/>
      <c r="S118" s="551">
        <f t="shared" si="17"/>
        <v>0</v>
      </c>
      <c r="T118" s="347"/>
      <c r="U118" s="504"/>
      <c r="V118" s="505"/>
      <c r="W118" s="505"/>
      <c r="X118" s="556">
        <f t="shared" si="18"/>
        <v>26290</v>
      </c>
      <c r="Y118" s="506"/>
      <c r="AA118" s="507"/>
      <c r="AB118" s="508"/>
      <c r="AC118" s="508"/>
      <c r="AD118" s="560">
        <f t="shared" si="19"/>
        <v>21907</v>
      </c>
      <c r="AE118" s="509"/>
      <c r="AG118" s="510"/>
      <c r="AH118" s="511"/>
      <c r="AI118" s="511"/>
      <c r="AJ118" s="564">
        <f t="shared" si="20"/>
        <v>82000</v>
      </c>
      <c r="AK118" s="512"/>
      <c r="AL118" s="513"/>
      <c r="AM118" s="514"/>
      <c r="AN118" s="515"/>
      <c r="AO118" s="515"/>
      <c r="AP118" s="568">
        <f t="shared" si="21"/>
        <v>46000</v>
      </c>
      <c r="AQ118" s="516"/>
      <c r="AR118" s="513"/>
      <c r="AS118" s="514"/>
      <c r="AT118" s="515"/>
      <c r="AU118" s="515"/>
      <c r="AV118" s="568">
        <f t="shared" si="22"/>
        <v>69862</v>
      </c>
      <c r="AW118" s="516"/>
    </row>
    <row r="119" spans="1:49">
      <c r="A119" s="332"/>
      <c r="B119" s="334"/>
      <c r="C119" s="334"/>
      <c r="D119" s="379">
        <f t="shared" si="12"/>
        <v>856669</v>
      </c>
      <c r="E119" s="535">
        <f t="shared" si="13"/>
        <v>0</v>
      </c>
      <c r="H119" s="496"/>
      <c r="I119" s="497"/>
      <c r="J119" s="541">
        <f t="shared" si="14"/>
        <v>36916</v>
      </c>
      <c r="K119" s="498"/>
      <c r="L119" s="543">
        <f t="shared" si="15"/>
        <v>0</v>
      </c>
      <c r="M119" s="347"/>
      <c r="N119" s="500"/>
      <c r="O119" s="501"/>
      <c r="P119" s="501"/>
      <c r="Q119" s="549">
        <f t="shared" si="16"/>
        <v>159814</v>
      </c>
      <c r="R119" s="502"/>
      <c r="S119" s="551">
        <f t="shared" si="17"/>
        <v>0</v>
      </c>
      <c r="T119" s="347"/>
      <c r="U119" s="504"/>
      <c r="V119" s="505"/>
      <c r="W119" s="505"/>
      <c r="X119" s="556">
        <f t="shared" si="18"/>
        <v>26290</v>
      </c>
      <c r="Y119" s="506"/>
      <c r="AA119" s="507"/>
      <c r="AB119" s="508"/>
      <c r="AC119" s="508"/>
      <c r="AD119" s="560">
        <f t="shared" si="19"/>
        <v>21907</v>
      </c>
      <c r="AE119" s="509"/>
      <c r="AG119" s="510"/>
      <c r="AH119" s="511"/>
      <c r="AI119" s="511"/>
      <c r="AJ119" s="564">
        <f t="shared" si="20"/>
        <v>82000</v>
      </c>
      <c r="AK119" s="512"/>
      <c r="AL119" s="513"/>
      <c r="AM119" s="514"/>
      <c r="AN119" s="515"/>
      <c r="AO119" s="515"/>
      <c r="AP119" s="568">
        <f t="shared" si="21"/>
        <v>46000</v>
      </c>
      <c r="AQ119" s="516"/>
      <c r="AR119" s="513"/>
      <c r="AS119" s="514"/>
      <c r="AT119" s="515"/>
      <c r="AU119" s="515"/>
      <c r="AV119" s="568">
        <f t="shared" si="22"/>
        <v>69862</v>
      </c>
      <c r="AW119" s="516"/>
    </row>
    <row r="120" spans="1:49">
      <c r="A120" s="332"/>
      <c r="B120" s="334"/>
      <c r="C120" s="334"/>
      <c r="D120" s="379">
        <f t="shared" si="12"/>
        <v>856669</v>
      </c>
      <c r="E120" s="535">
        <f t="shared" si="13"/>
        <v>0</v>
      </c>
      <c r="H120" s="496"/>
      <c r="I120" s="497"/>
      <c r="J120" s="541">
        <f t="shared" si="14"/>
        <v>36916</v>
      </c>
      <c r="K120" s="498"/>
      <c r="L120" s="543">
        <f t="shared" si="15"/>
        <v>0</v>
      </c>
      <c r="M120" s="347"/>
      <c r="N120" s="500"/>
      <c r="O120" s="501"/>
      <c r="P120" s="501"/>
      <c r="Q120" s="549">
        <f t="shared" si="16"/>
        <v>159814</v>
      </c>
      <c r="R120" s="502"/>
      <c r="S120" s="551">
        <f t="shared" si="17"/>
        <v>0</v>
      </c>
      <c r="T120" s="347"/>
      <c r="U120" s="504"/>
      <c r="V120" s="505"/>
      <c r="W120" s="505"/>
      <c r="X120" s="556">
        <f t="shared" si="18"/>
        <v>26290</v>
      </c>
      <c r="Y120" s="506"/>
      <c r="AA120" s="507"/>
      <c r="AB120" s="508"/>
      <c r="AC120" s="508"/>
      <c r="AD120" s="560">
        <f t="shared" si="19"/>
        <v>21907</v>
      </c>
      <c r="AE120" s="509"/>
      <c r="AG120" s="510"/>
      <c r="AH120" s="511"/>
      <c r="AI120" s="511"/>
      <c r="AJ120" s="564">
        <f t="shared" si="20"/>
        <v>82000</v>
      </c>
      <c r="AK120" s="512"/>
      <c r="AL120" s="513"/>
      <c r="AM120" s="514"/>
      <c r="AN120" s="515"/>
      <c r="AO120" s="515"/>
      <c r="AP120" s="568">
        <f t="shared" si="21"/>
        <v>46000</v>
      </c>
      <c r="AQ120" s="516"/>
      <c r="AR120" s="513"/>
      <c r="AS120" s="514"/>
      <c r="AT120" s="515"/>
      <c r="AU120" s="515"/>
      <c r="AV120" s="568">
        <f t="shared" si="22"/>
        <v>69862</v>
      </c>
      <c r="AW120" s="516"/>
    </row>
    <row r="121" spans="1:49">
      <c r="A121" s="332"/>
      <c r="B121" s="334"/>
      <c r="C121" s="334"/>
      <c r="D121" s="379">
        <f t="shared" si="12"/>
        <v>856669</v>
      </c>
      <c r="E121" s="535">
        <f t="shared" si="13"/>
        <v>0</v>
      </c>
      <c r="H121" s="496"/>
      <c r="I121" s="497"/>
      <c r="J121" s="541">
        <f t="shared" si="14"/>
        <v>36916</v>
      </c>
      <c r="K121" s="498"/>
      <c r="L121" s="543">
        <f t="shared" si="15"/>
        <v>0</v>
      </c>
      <c r="M121" s="347"/>
      <c r="N121" s="500"/>
      <c r="O121" s="501"/>
      <c r="P121" s="501"/>
      <c r="Q121" s="549">
        <f t="shared" si="16"/>
        <v>159814</v>
      </c>
      <c r="R121" s="502"/>
      <c r="S121" s="551">
        <f t="shared" si="17"/>
        <v>0</v>
      </c>
      <c r="T121" s="347"/>
      <c r="U121" s="504"/>
      <c r="V121" s="505"/>
      <c r="W121" s="505"/>
      <c r="X121" s="556">
        <f t="shared" si="18"/>
        <v>26290</v>
      </c>
      <c r="Y121" s="506"/>
      <c r="AA121" s="507"/>
      <c r="AB121" s="508"/>
      <c r="AC121" s="508"/>
      <c r="AD121" s="560">
        <f t="shared" si="19"/>
        <v>21907</v>
      </c>
      <c r="AE121" s="509"/>
      <c r="AG121" s="510"/>
      <c r="AH121" s="511"/>
      <c r="AI121" s="511"/>
      <c r="AJ121" s="564">
        <f t="shared" si="20"/>
        <v>82000</v>
      </c>
      <c r="AK121" s="512"/>
      <c r="AL121" s="513"/>
      <c r="AM121" s="514"/>
      <c r="AN121" s="515"/>
      <c r="AO121" s="515"/>
      <c r="AP121" s="568">
        <f t="shared" si="21"/>
        <v>46000</v>
      </c>
      <c r="AQ121" s="516"/>
      <c r="AR121" s="513"/>
      <c r="AS121" s="514"/>
      <c r="AT121" s="515"/>
      <c r="AU121" s="515"/>
      <c r="AV121" s="568">
        <f t="shared" si="22"/>
        <v>69862</v>
      </c>
      <c r="AW121" s="516"/>
    </row>
    <row r="122" spans="1:49">
      <c r="A122" s="332"/>
      <c r="B122" s="334"/>
      <c r="C122" s="334"/>
      <c r="D122" s="379">
        <f t="shared" si="12"/>
        <v>856669</v>
      </c>
      <c r="E122" s="535">
        <f t="shared" si="13"/>
        <v>0</v>
      </c>
      <c r="H122" s="496"/>
      <c r="I122" s="497"/>
      <c r="J122" s="541">
        <f t="shared" si="14"/>
        <v>36916</v>
      </c>
      <c r="K122" s="498"/>
      <c r="L122" s="543">
        <f t="shared" si="15"/>
        <v>0</v>
      </c>
      <c r="M122" s="347"/>
      <c r="N122" s="500"/>
      <c r="O122" s="501"/>
      <c r="P122" s="501"/>
      <c r="Q122" s="549">
        <f t="shared" si="16"/>
        <v>159814</v>
      </c>
      <c r="R122" s="502"/>
      <c r="S122" s="551">
        <f t="shared" si="17"/>
        <v>0</v>
      </c>
      <c r="T122" s="347"/>
      <c r="U122" s="504"/>
      <c r="V122" s="505"/>
      <c r="W122" s="505"/>
      <c r="X122" s="556">
        <f t="shared" si="18"/>
        <v>26290</v>
      </c>
      <c r="Y122" s="506"/>
      <c r="AA122" s="507"/>
      <c r="AB122" s="508"/>
      <c r="AC122" s="508"/>
      <c r="AD122" s="560">
        <f t="shared" si="19"/>
        <v>21907</v>
      </c>
      <c r="AE122" s="509"/>
      <c r="AG122" s="510"/>
      <c r="AH122" s="511"/>
      <c r="AI122" s="511"/>
      <c r="AJ122" s="564">
        <f t="shared" si="20"/>
        <v>82000</v>
      </c>
      <c r="AK122" s="512"/>
      <c r="AL122" s="513"/>
      <c r="AM122" s="514"/>
      <c r="AN122" s="515"/>
      <c r="AO122" s="515"/>
      <c r="AP122" s="568">
        <f t="shared" si="21"/>
        <v>46000</v>
      </c>
      <c r="AQ122" s="516"/>
      <c r="AR122" s="513"/>
      <c r="AS122" s="514"/>
      <c r="AT122" s="515"/>
      <c r="AU122" s="515"/>
      <c r="AV122" s="568">
        <f t="shared" si="22"/>
        <v>69862</v>
      </c>
      <c r="AW122" s="516"/>
    </row>
    <row r="123" spans="1:49">
      <c r="A123" s="332"/>
      <c r="B123" s="334"/>
      <c r="C123" s="334"/>
      <c r="D123" s="379">
        <f t="shared" si="12"/>
        <v>856669</v>
      </c>
      <c r="E123" s="535">
        <f t="shared" si="13"/>
        <v>0</v>
      </c>
      <c r="H123" s="496"/>
      <c r="I123" s="497"/>
      <c r="J123" s="541">
        <f t="shared" si="14"/>
        <v>36916</v>
      </c>
      <c r="K123" s="498"/>
      <c r="L123" s="543">
        <f t="shared" si="15"/>
        <v>0</v>
      </c>
      <c r="M123" s="347"/>
      <c r="N123" s="500"/>
      <c r="O123" s="501"/>
      <c r="P123" s="501"/>
      <c r="Q123" s="549">
        <f t="shared" si="16"/>
        <v>159814</v>
      </c>
      <c r="R123" s="502"/>
      <c r="S123" s="551">
        <f t="shared" si="17"/>
        <v>0</v>
      </c>
      <c r="T123" s="347"/>
      <c r="U123" s="504"/>
      <c r="V123" s="505"/>
      <c r="W123" s="505"/>
      <c r="X123" s="556">
        <f t="shared" si="18"/>
        <v>26290</v>
      </c>
      <c r="Y123" s="506"/>
      <c r="AA123" s="507"/>
      <c r="AB123" s="508"/>
      <c r="AC123" s="508"/>
      <c r="AD123" s="560">
        <f t="shared" si="19"/>
        <v>21907</v>
      </c>
      <c r="AE123" s="509"/>
      <c r="AG123" s="510"/>
      <c r="AH123" s="511"/>
      <c r="AI123" s="511"/>
      <c r="AJ123" s="564">
        <f t="shared" si="20"/>
        <v>82000</v>
      </c>
      <c r="AK123" s="512"/>
      <c r="AL123" s="513"/>
      <c r="AM123" s="514"/>
      <c r="AN123" s="515"/>
      <c r="AO123" s="515"/>
      <c r="AP123" s="568">
        <f t="shared" si="21"/>
        <v>46000</v>
      </c>
      <c r="AQ123" s="516"/>
      <c r="AR123" s="513"/>
      <c r="AS123" s="514"/>
      <c r="AT123" s="515"/>
      <c r="AU123" s="515"/>
      <c r="AV123" s="568">
        <f t="shared" si="22"/>
        <v>69862</v>
      </c>
      <c r="AW123" s="516"/>
    </row>
    <row r="124" spans="1:49">
      <c r="A124" s="332"/>
      <c r="B124" s="334"/>
      <c r="C124" s="334"/>
      <c r="D124" s="379">
        <f t="shared" si="12"/>
        <v>856669</v>
      </c>
      <c r="E124" s="535">
        <f t="shared" si="13"/>
        <v>0</v>
      </c>
      <c r="H124" s="496"/>
      <c r="I124" s="497"/>
      <c r="J124" s="541">
        <f t="shared" si="14"/>
        <v>36916</v>
      </c>
      <c r="K124" s="498"/>
      <c r="L124" s="543">
        <f t="shared" si="15"/>
        <v>0</v>
      </c>
      <c r="M124" s="347"/>
      <c r="N124" s="500"/>
      <c r="O124" s="501"/>
      <c r="P124" s="501"/>
      <c r="Q124" s="549">
        <f t="shared" si="16"/>
        <v>159814</v>
      </c>
      <c r="R124" s="502"/>
      <c r="S124" s="551">
        <f t="shared" si="17"/>
        <v>0</v>
      </c>
      <c r="T124" s="347"/>
      <c r="U124" s="504"/>
      <c r="V124" s="505"/>
      <c r="W124" s="505"/>
      <c r="X124" s="556">
        <f t="shared" si="18"/>
        <v>26290</v>
      </c>
      <c r="Y124" s="506"/>
      <c r="AA124" s="507"/>
      <c r="AB124" s="508"/>
      <c r="AC124" s="508"/>
      <c r="AD124" s="560">
        <f t="shared" si="19"/>
        <v>21907</v>
      </c>
      <c r="AE124" s="509"/>
      <c r="AG124" s="510"/>
      <c r="AH124" s="511"/>
      <c r="AI124" s="511"/>
      <c r="AJ124" s="564">
        <f t="shared" si="20"/>
        <v>82000</v>
      </c>
      <c r="AK124" s="512"/>
      <c r="AL124" s="513"/>
      <c r="AM124" s="514"/>
      <c r="AN124" s="515"/>
      <c r="AO124" s="515"/>
      <c r="AP124" s="568">
        <f t="shared" si="21"/>
        <v>46000</v>
      </c>
      <c r="AQ124" s="516"/>
      <c r="AR124" s="513"/>
      <c r="AS124" s="514"/>
      <c r="AT124" s="515"/>
      <c r="AU124" s="515"/>
      <c r="AV124" s="568">
        <f t="shared" si="22"/>
        <v>69862</v>
      </c>
      <c r="AW124" s="516"/>
    </row>
    <row r="125" spans="1:49">
      <c r="A125" s="332"/>
      <c r="B125" s="334"/>
      <c r="C125" s="334"/>
      <c r="D125" s="379">
        <f t="shared" si="12"/>
        <v>856669</v>
      </c>
      <c r="E125" s="535">
        <f t="shared" si="13"/>
        <v>0</v>
      </c>
      <c r="H125" s="496"/>
      <c r="I125" s="497"/>
      <c r="J125" s="541">
        <f t="shared" si="14"/>
        <v>36916</v>
      </c>
      <c r="K125" s="498"/>
      <c r="L125" s="543">
        <f t="shared" si="15"/>
        <v>0</v>
      </c>
      <c r="M125" s="347"/>
      <c r="N125" s="500"/>
      <c r="O125" s="501"/>
      <c r="P125" s="501"/>
      <c r="Q125" s="549">
        <f t="shared" si="16"/>
        <v>159814</v>
      </c>
      <c r="R125" s="502"/>
      <c r="S125" s="551">
        <f t="shared" si="17"/>
        <v>0</v>
      </c>
      <c r="T125" s="347"/>
      <c r="U125" s="504"/>
      <c r="V125" s="505"/>
      <c r="W125" s="505"/>
      <c r="X125" s="556">
        <f t="shared" si="18"/>
        <v>26290</v>
      </c>
      <c r="Y125" s="506"/>
      <c r="AA125" s="507"/>
      <c r="AB125" s="508"/>
      <c r="AC125" s="508"/>
      <c r="AD125" s="560">
        <f t="shared" si="19"/>
        <v>21907</v>
      </c>
      <c r="AE125" s="509"/>
      <c r="AG125" s="510"/>
      <c r="AH125" s="511"/>
      <c r="AI125" s="511"/>
      <c r="AJ125" s="564">
        <f t="shared" si="20"/>
        <v>82000</v>
      </c>
      <c r="AK125" s="512"/>
      <c r="AL125" s="513"/>
      <c r="AM125" s="514"/>
      <c r="AN125" s="515"/>
      <c r="AO125" s="515"/>
      <c r="AP125" s="568">
        <f t="shared" si="21"/>
        <v>46000</v>
      </c>
      <c r="AQ125" s="516"/>
      <c r="AR125" s="513"/>
      <c r="AS125" s="514"/>
      <c r="AT125" s="515"/>
      <c r="AU125" s="515"/>
      <c r="AV125" s="568">
        <f t="shared" si="22"/>
        <v>69862</v>
      </c>
      <c r="AW125" s="516"/>
    </row>
    <row r="126" spans="1:49">
      <c r="A126" s="332"/>
      <c r="B126" s="334"/>
      <c r="C126" s="334"/>
      <c r="D126" s="379">
        <f t="shared" si="12"/>
        <v>856669</v>
      </c>
      <c r="E126" s="535">
        <f t="shared" si="13"/>
        <v>0</v>
      </c>
      <c r="H126" s="496"/>
      <c r="I126" s="497"/>
      <c r="J126" s="541">
        <f t="shared" si="14"/>
        <v>36916</v>
      </c>
      <c r="K126" s="498"/>
      <c r="L126" s="543">
        <f t="shared" si="15"/>
        <v>0</v>
      </c>
      <c r="M126" s="347"/>
      <c r="N126" s="500"/>
      <c r="O126" s="501"/>
      <c r="P126" s="501"/>
      <c r="Q126" s="549">
        <f t="shared" si="16"/>
        <v>159814</v>
      </c>
      <c r="R126" s="502"/>
      <c r="S126" s="551">
        <f t="shared" si="17"/>
        <v>0</v>
      </c>
      <c r="T126" s="347"/>
      <c r="U126" s="504"/>
      <c r="V126" s="505"/>
      <c r="W126" s="505"/>
      <c r="X126" s="556">
        <f t="shared" si="18"/>
        <v>26290</v>
      </c>
      <c r="Y126" s="506"/>
      <c r="AA126" s="507"/>
      <c r="AB126" s="508"/>
      <c r="AC126" s="508"/>
      <c r="AD126" s="560">
        <f t="shared" si="19"/>
        <v>21907</v>
      </c>
      <c r="AE126" s="509"/>
      <c r="AG126" s="510"/>
      <c r="AH126" s="511"/>
      <c r="AI126" s="511"/>
      <c r="AJ126" s="564">
        <f t="shared" si="20"/>
        <v>82000</v>
      </c>
      <c r="AK126" s="512"/>
      <c r="AL126" s="513"/>
      <c r="AM126" s="514"/>
      <c r="AN126" s="515"/>
      <c r="AO126" s="515"/>
      <c r="AP126" s="568">
        <f t="shared" si="21"/>
        <v>46000</v>
      </c>
      <c r="AQ126" s="516"/>
      <c r="AR126" s="513"/>
      <c r="AS126" s="514"/>
      <c r="AT126" s="515"/>
      <c r="AU126" s="515"/>
      <c r="AV126" s="568">
        <f t="shared" si="22"/>
        <v>69862</v>
      </c>
      <c r="AW126" s="516"/>
    </row>
    <row r="127" spans="1:49">
      <c r="A127" s="332"/>
      <c r="B127" s="334"/>
      <c r="C127" s="334"/>
      <c r="D127" s="379">
        <f t="shared" si="12"/>
        <v>856669</v>
      </c>
      <c r="E127" s="535">
        <f t="shared" si="13"/>
        <v>0</v>
      </c>
      <c r="H127" s="496"/>
      <c r="I127" s="497"/>
      <c r="J127" s="541">
        <f t="shared" si="14"/>
        <v>36916</v>
      </c>
      <c r="K127" s="498"/>
      <c r="L127" s="543">
        <f t="shared" si="15"/>
        <v>0</v>
      </c>
      <c r="M127" s="347"/>
      <c r="N127" s="500"/>
      <c r="O127" s="501"/>
      <c r="P127" s="501"/>
      <c r="Q127" s="549">
        <f t="shared" si="16"/>
        <v>159814</v>
      </c>
      <c r="R127" s="502"/>
      <c r="S127" s="551">
        <f t="shared" si="17"/>
        <v>0</v>
      </c>
      <c r="T127" s="347"/>
      <c r="U127" s="504"/>
      <c r="V127" s="505"/>
      <c r="W127" s="505"/>
      <c r="X127" s="556">
        <f t="shared" si="18"/>
        <v>26290</v>
      </c>
      <c r="Y127" s="506"/>
      <c r="AA127" s="507"/>
      <c r="AB127" s="508"/>
      <c r="AC127" s="508"/>
      <c r="AD127" s="560">
        <f t="shared" si="19"/>
        <v>21907</v>
      </c>
      <c r="AE127" s="509"/>
      <c r="AG127" s="510"/>
      <c r="AH127" s="511"/>
      <c r="AI127" s="511"/>
      <c r="AJ127" s="564">
        <f t="shared" si="20"/>
        <v>82000</v>
      </c>
      <c r="AK127" s="512"/>
      <c r="AL127" s="513"/>
      <c r="AM127" s="514"/>
      <c r="AN127" s="515"/>
      <c r="AO127" s="515"/>
      <c r="AP127" s="568">
        <f t="shared" si="21"/>
        <v>46000</v>
      </c>
      <c r="AQ127" s="516"/>
      <c r="AR127" s="513"/>
      <c r="AS127" s="514"/>
      <c r="AT127" s="515"/>
      <c r="AU127" s="515"/>
      <c r="AV127" s="568">
        <f t="shared" si="22"/>
        <v>69862</v>
      </c>
      <c r="AW127" s="516"/>
    </row>
    <row r="128" spans="1:49">
      <c r="A128" s="332"/>
      <c r="B128" s="334"/>
      <c r="C128" s="334"/>
      <c r="D128" s="379">
        <f t="shared" si="12"/>
        <v>856669</v>
      </c>
      <c r="E128" s="535">
        <f t="shared" si="13"/>
        <v>0</v>
      </c>
      <c r="H128" s="496"/>
      <c r="I128" s="497"/>
      <c r="J128" s="541">
        <f t="shared" si="14"/>
        <v>36916</v>
      </c>
      <c r="K128" s="498"/>
      <c r="L128" s="543">
        <f t="shared" si="15"/>
        <v>0</v>
      </c>
      <c r="M128" s="347"/>
      <c r="N128" s="500"/>
      <c r="O128" s="501"/>
      <c r="P128" s="501"/>
      <c r="Q128" s="549">
        <f t="shared" si="16"/>
        <v>159814</v>
      </c>
      <c r="R128" s="502"/>
      <c r="S128" s="551">
        <f t="shared" si="17"/>
        <v>0</v>
      </c>
      <c r="T128" s="347"/>
      <c r="U128" s="504"/>
      <c r="V128" s="505"/>
      <c r="W128" s="505"/>
      <c r="X128" s="556">
        <f t="shared" si="18"/>
        <v>26290</v>
      </c>
      <c r="Y128" s="506"/>
      <c r="AA128" s="507"/>
      <c r="AB128" s="508"/>
      <c r="AC128" s="508"/>
      <c r="AD128" s="560">
        <f t="shared" si="19"/>
        <v>21907</v>
      </c>
      <c r="AE128" s="509"/>
      <c r="AG128" s="510"/>
      <c r="AH128" s="511"/>
      <c r="AI128" s="511"/>
      <c r="AJ128" s="564">
        <f t="shared" si="20"/>
        <v>82000</v>
      </c>
      <c r="AK128" s="512"/>
      <c r="AL128" s="513"/>
      <c r="AM128" s="514"/>
      <c r="AN128" s="515"/>
      <c r="AO128" s="515"/>
      <c r="AP128" s="568">
        <f t="shared" si="21"/>
        <v>46000</v>
      </c>
      <c r="AQ128" s="516"/>
      <c r="AR128" s="513"/>
      <c r="AS128" s="514"/>
      <c r="AT128" s="515"/>
      <c r="AU128" s="515"/>
      <c r="AV128" s="568">
        <f t="shared" si="22"/>
        <v>69862</v>
      </c>
      <c r="AW128" s="516"/>
    </row>
    <row r="129" spans="1:49">
      <c r="A129" s="332"/>
      <c r="B129" s="334"/>
      <c r="C129" s="334"/>
      <c r="D129" s="379">
        <f t="shared" si="12"/>
        <v>856669</v>
      </c>
      <c r="E129" s="535">
        <f t="shared" si="13"/>
        <v>0</v>
      </c>
      <c r="H129" s="496"/>
      <c r="I129" s="497"/>
      <c r="J129" s="541">
        <f t="shared" si="14"/>
        <v>36916</v>
      </c>
      <c r="K129" s="498"/>
      <c r="L129" s="543">
        <f t="shared" si="15"/>
        <v>0</v>
      </c>
      <c r="M129" s="347"/>
      <c r="N129" s="500"/>
      <c r="O129" s="501"/>
      <c r="P129" s="501"/>
      <c r="Q129" s="549">
        <f t="shared" si="16"/>
        <v>159814</v>
      </c>
      <c r="R129" s="502"/>
      <c r="S129" s="551">
        <f t="shared" si="17"/>
        <v>0</v>
      </c>
      <c r="T129" s="347"/>
      <c r="U129" s="504"/>
      <c r="V129" s="505"/>
      <c r="W129" s="505"/>
      <c r="X129" s="556">
        <f t="shared" si="18"/>
        <v>26290</v>
      </c>
      <c r="Y129" s="506"/>
      <c r="AA129" s="507"/>
      <c r="AB129" s="508"/>
      <c r="AC129" s="508"/>
      <c r="AD129" s="560">
        <f t="shared" si="19"/>
        <v>21907</v>
      </c>
      <c r="AE129" s="509"/>
      <c r="AG129" s="510"/>
      <c r="AH129" s="511"/>
      <c r="AI129" s="511"/>
      <c r="AJ129" s="564">
        <f t="shared" si="20"/>
        <v>82000</v>
      </c>
      <c r="AK129" s="512"/>
      <c r="AL129" s="513"/>
      <c r="AM129" s="514"/>
      <c r="AN129" s="515"/>
      <c r="AO129" s="515"/>
      <c r="AP129" s="568">
        <f t="shared" si="21"/>
        <v>46000</v>
      </c>
      <c r="AQ129" s="516"/>
      <c r="AR129" s="513"/>
      <c r="AS129" s="514"/>
      <c r="AT129" s="515"/>
      <c r="AU129" s="515"/>
      <c r="AV129" s="568">
        <f t="shared" si="22"/>
        <v>69862</v>
      </c>
      <c r="AW129" s="516"/>
    </row>
    <row r="130" spans="1:49">
      <c r="A130" s="332"/>
      <c r="B130" s="334"/>
      <c r="C130" s="334"/>
      <c r="D130" s="379">
        <f t="shared" si="12"/>
        <v>856669</v>
      </c>
      <c r="E130" s="535">
        <f t="shared" si="13"/>
        <v>0</v>
      </c>
      <c r="H130" s="496"/>
      <c r="I130" s="497"/>
      <c r="J130" s="541">
        <f t="shared" si="14"/>
        <v>36916</v>
      </c>
      <c r="K130" s="498"/>
      <c r="L130" s="543">
        <f t="shared" si="15"/>
        <v>0</v>
      </c>
      <c r="M130" s="347"/>
      <c r="N130" s="500"/>
      <c r="O130" s="501"/>
      <c r="P130" s="501"/>
      <c r="Q130" s="549">
        <f t="shared" si="16"/>
        <v>159814</v>
      </c>
      <c r="R130" s="502"/>
      <c r="S130" s="551">
        <f t="shared" si="17"/>
        <v>0</v>
      </c>
      <c r="T130" s="347"/>
      <c r="U130" s="504"/>
      <c r="V130" s="505"/>
      <c r="W130" s="505"/>
      <c r="X130" s="556">
        <f t="shared" si="18"/>
        <v>26290</v>
      </c>
      <c r="Y130" s="506"/>
      <c r="AA130" s="507"/>
      <c r="AB130" s="508"/>
      <c r="AC130" s="508"/>
      <c r="AD130" s="560">
        <f t="shared" si="19"/>
        <v>21907</v>
      </c>
      <c r="AE130" s="509"/>
      <c r="AG130" s="510"/>
      <c r="AH130" s="511"/>
      <c r="AI130" s="511"/>
      <c r="AJ130" s="564">
        <f t="shared" si="20"/>
        <v>82000</v>
      </c>
      <c r="AK130" s="512"/>
      <c r="AL130" s="513"/>
      <c r="AM130" s="514"/>
      <c r="AN130" s="515"/>
      <c r="AO130" s="515"/>
      <c r="AP130" s="568">
        <f t="shared" si="21"/>
        <v>46000</v>
      </c>
      <c r="AQ130" s="516"/>
      <c r="AR130" s="513"/>
      <c r="AS130" s="514"/>
      <c r="AT130" s="515"/>
      <c r="AU130" s="515"/>
      <c r="AV130" s="568">
        <f t="shared" si="22"/>
        <v>69862</v>
      </c>
      <c r="AW130" s="516"/>
    </row>
    <row r="131" spans="1:49">
      <c r="A131" s="332"/>
      <c r="B131" s="334"/>
      <c r="C131" s="334"/>
      <c r="D131" s="379">
        <f t="shared" si="12"/>
        <v>856669</v>
      </c>
      <c r="E131" s="535">
        <f t="shared" si="13"/>
        <v>0</v>
      </c>
      <c r="H131" s="496"/>
      <c r="I131" s="497"/>
      <c r="J131" s="541">
        <f t="shared" si="14"/>
        <v>36916</v>
      </c>
      <c r="K131" s="498"/>
      <c r="L131" s="543">
        <f t="shared" si="15"/>
        <v>0</v>
      </c>
      <c r="M131" s="347"/>
      <c r="N131" s="500"/>
      <c r="O131" s="501"/>
      <c r="P131" s="501"/>
      <c r="Q131" s="549">
        <f t="shared" si="16"/>
        <v>159814</v>
      </c>
      <c r="R131" s="502"/>
      <c r="S131" s="551">
        <f t="shared" si="17"/>
        <v>0</v>
      </c>
      <c r="T131" s="347"/>
      <c r="U131" s="504"/>
      <c r="V131" s="505"/>
      <c r="W131" s="505"/>
      <c r="X131" s="556">
        <f t="shared" si="18"/>
        <v>26290</v>
      </c>
      <c r="Y131" s="506"/>
      <c r="AA131" s="507"/>
      <c r="AB131" s="508"/>
      <c r="AC131" s="508"/>
      <c r="AD131" s="560">
        <f t="shared" si="19"/>
        <v>21907</v>
      </c>
      <c r="AE131" s="509"/>
      <c r="AG131" s="510"/>
      <c r="AH131" s="511"/>
      <c r="AI131" s="511"/>
      <c r="AJ131" s="564">
        <f t="shared" si="20"/>
        <v>82000</v>
      </c>
      <c r="AK131" s="512"/>
      <c r="AL131" s="513"/>
      <c r="AM131" s="514"/>
      <c r="AN131" s="515"/>
      <c r="AO131" s="515"/>
      <c r="AP131" s="568">
        <f t="shared" si="21"/>
        <v>46000</v>
      </c>
      <c r="AQ131" s="516"/>
      <c r="AR131" s="513"/>
      <c r="AS131" s="514"/>
      <c r="AT131" s="515"/>
      <c r="AU131" s="515"/>
      <c r="AV131" s="568">
        <f t="shared" si="22"/>
        <v>69862</v>
      </c>
      <c r="AW131" s="516"/>
    </row>
    <row r="132" spans="1:49">
      <c r="A132" s="332"/>
      <c r="B132" s="334"/>
      <c r="C132" s="334"/>
      <c r="D132" s="379">
        <f t="shared" si="12"/>
        <v>856669</v>
      </c>
      <c r="E132" s="535">
        <f t="shared" si="13"/>
        <v>0</v>
      </c>
      <c r="H132" s="496"/>
      <c r="I132" s="497"/>
      <c r="J132" s="541">
        <f t="shared" si="14"/>
        <v>36916</v>
      </c>
      <c r="K132" s="498"/>
      <c r="L132" s="543">
        <f t="shared" si="15"/>
        <v>0</v>
      </c>
      <c r="M132" s="347"/>
      <c r="N132" s="500"/>
      <c r="O132" s="501"/>
      <c r="P132" s="501"/>
      <c r="Q132" s="549">
        <f t="shared" si="16"/>
        <v>159814</v>
      </c>
      <c r="R132" s="502"/>
      <c r="S132" s="551">
        <f t="shared" si="17"/>
        <v>0</v>
      </c>
      <c r="T132" s="347"/>
      <c r="U132" s="504"/>
      <c r="V132" s="505"/>
      <c r="W132" s="505"/>
      <c r="X132" s="556">
        <f t="shared" si="18"/>
        <v>26290</v>
      </c>
      <c r="Y132" s="506"/>
      <c r="AA132" s="507"/>
      <c r="AB132" s="508"/>
      <c r="AC132" s="508"/>
      <c r="AD132" s="560">
        <f t="shared" si="19"/>
        <v>21907</v>
      </c>
      <c r="AE132" s="509"/>
      <c r="AG132" s="510"/>
      <c r="AH132" s="511"/>
      <c r="AI132" s="511"/>
      <c r="AJ132" s="564">
        <f t="shared" si="20"/>
        <v>82000</v>
      </c>
      <c r="AK132" s="512"/>
      <c r="AL132" s="513"/>
      <c r="AM132" s="514"/>
      <c r="AN132" s="515"/>
      <c r="AO132" s="515"/>
      <c r="AP132" s="568">
        <f t="shared" si="21"/>
        <v>46000</v>
      </c>
      <c r="AQ132" s="516"/>
      <c r="AR132" s="513"/>
      <c r="AS132" s="514"/>
      <c r="AT132" s="515"/>
      <c r="AU132" s="515"/>
      <c r="AV132" s="568">
        <f t="shared" si="22"/>
        <v>69862</v>
      </c>
      <c r="AW132" s="516"/>
    </row>
    <row r="133" spans="1:49">
      <c r="A133" s="332"/>
      <c r="B133" s="334"/>
      <c r="C133" s="334"/>
      <c r="D133" s="379">
        <f t="shared" si="12"/>
        <v>856669</v>
      </c>
      <c r="E133" s="535">
        <f t="shared" si="13"/>
        <v>0</v>
      </c>
      <c r="H133" s="496"/>
      <c r="I133" s="497"/>
      <c r="J133" s="541">
        <f t="shared" si="14"/>
        <v>36916</v>
      </c>
      <c r="K133" s="498"/>
      <c r="L133" s="543">
        <f t="shared" si="15"/>
        <v>0</v>
      </c>
      <c r="M133" s="347"/>
      <c r="N133" s="500"/>
      <c r="O133" s="501"/>
      <c r="P133" s="501"/>
      <c r="Q133" s="549">
        <f t="shared" si="16"/>
        <v>159814</v>
      </c>
      <c r="R133" s="502"/>
      <c r="S133" s="551">
        <f t="shared" si="17"/>
        <v>0</v>
      </c>
      <c r="T133" s="347"/>
      <c r="U133" s="504"/>
      <c r="V133" s="505"/>
      <c r="W133" s="505"/>
      <c r="X133" s="556">
        <f t="shared" si="18"/>
        <v>26290</v>
      </c>
      <c r="Y133" s="506"/>
      <c r="AA133" s="507"/>
      <c r="AB133" s="508"/>
      <c r="AC133" s="508"/>
      <c r="AD133" s="560">
        <f t="shared" si="19"/>
        <v>21907</v>
      </c>
      <c r="AE133" s="509"/>
      <c r="AG133" s="510"/>
      <c r="AH133" s="511"/>
      <c r="AI133" s="511"/>
      <c r="AJ133" s="564">
        <f t="shared" si="20"/>
        <v>82000</v>
      </c>
      <c r="AK133" s="512"/>
      <c r="AL133" s="513"/>
      <c r="AM133" s="514"/>
      <c r="AN133" s="515"/>
      <c r="AO133" s="515"/>
      <c r="AP133" s="568">
        <f t="shared" si="21"/>
        <v>46000</v>
      </c>
      <c r="AQ133" s="516"/>
      <c r="AR133" s="513"/>
      <c r="AS133" s="514"/>
      <c r="AT133" s="515"/>
      <c r="AU133" s="515"/>
      <c r="AV133" s="568">
        <f t="shared" si="22"/>
        <v>69862</v>
      </c>
      <c r="AW133" s="516"/>
    </row>
    <row r="134" spans="1:49">
      <c r="A134" s="332"/>
      <c r="B134" s="334"/>
      <c r="C134" s="334"/>
      <c r="D134" s="379">
        <f t="shared" si="12"/>
        <v>856669</v>
      </c>
      <c r="E134" s="535">
        <f t="shared" si="13"/>
        <v>0</v>
      </c>
      <c r="H134" s="496"/>
      <c r="I134" s="497"/>
      <c r="J134" s="541">
        <f t="shared" si="14"/>
        <v>36916</v>
      </c>
      <c r="K134" s="498"/>
      <c r="L134" s="543">
        <f t="shared" si="15"/>
        <v>0</v>
      </c>
      <c r="M134" s="347"/>
      <c r="N134" s="500"/>
      <c r="O134" s="501"/>
      <c r="P134" s="501"/>
      <c r="Q134" s="549">
        <f t="shared" si="16"/>
        <v>159814</v>
      </c>
      <c r="R134" s="502"/>
      <c r="S134" s="551">
        <f t="shared" si="17"/>
        <v>0</v>
      </c>
      <c r="T134" s="347"/>
      <c r="U134" s="504"/>
      <c r="V134" s="505"/>
      <c r="W134" s="505"/>
      <c r="X134" s="556">
        <f t="shared" si="18"/>
        <v>26290</v>
      </c>
      <c r="Y134" s="506"/>
      <c r="AA134" s="507"/>
      <c r="AB134" s="508"/>
      <c r="AC134" s="508"/>
      <c r="AD134" s="560">
        <f t="shared" si="19"/>
        <v>21907</v>
      </c>
      <c r="AE134" s="509"/>
      <c r="AG134" s="510"/>
      <c r="AH134" s="511"/>
      <c r="AI134" s="511"/>
      <c r="AJ134" s="564">
        <f t="shared" si="20"/>
        <v>82000</v>
      </c>
      <c r="AK134" s="512"/>
      <c r="AL134" s="513"/>
      <c r="AM134" s="514"/>
      <c r="AN134" s="515"/>
      <c r="AO134" s="515"/>
      <c r="AP134" s="568">
        <f t="shared" si="21"/>
        <v>46000</v>
      </c>
      <c r="AQ134" s="516"/>
      <c r="AR134" s="513"/>
      <c r="AS134" s="514"/>
      <c r="AT134" s="515"/>
      <c r="AU134" s="515"/>
      <c r="AV134" s="568">
        <f t="shared" si="22"/>
        <v>69862</v>
      </c>
      <c r="AW134" s="516"/>
    </row>
    <row r="135" spans="1:49">
      <c r="A135" s="332"/>
      <c r="B135" s="334"/>
      <c r="C135" s="334"/>
      <c r="D135" s="379">
        <f t="shared" si="12"/>
        <v>856669</v>
      </c>
      <c r="E135" s="535">
        <f t="shared" si="13"/>
        <v>0</v>
      </c>
      <c r="H135" s="496"/>
      <c r="I135" s="497"/>
      <c r="J135" s="541">
        <f t="shared" si="14"/>
        <v>36916</v>
      </c>
      <c r="K135" s="498"/>
      <c r="L135" s="543">
        <f t="shared" si="15"/>
        <v>0</v>
      </c>
      <c r="M135" s="347"/>
      <c r="N135" s="500"/>
      <c r="O135" s="501"/>
      <c r="P135" s="501"/>
      <c r="Q135" s="549">
        <f t="shared" si="16"/>
        <v>159814</v>
      </c>
      <c r="R135" s="502"/>
      <c r="S135" s="551">
        <f t="shared" si="17"/>
        <v>0</v>
      </c>
      <c r="T135" s="347"/>
      <c r="U135" s="504"/>
      <c r="V135" s="505"/>
      <c r="W135" s="505"/>
      <c r="X135" s="556">
        <f t="shared" si="18"/>
        <v>26290</v>
      </c>
      <c r="Y135" s="506"/>
      <c r="AA135" s="507"/>
      <c r="AB135" s="508"/>
      <c r="AC135" s="508"/>
      <c r="AD135" s="560">
        <f t="shared" si="19"/>
        <v>21907</v>
      </c>
      <c r="AE135" s="509"/>
      <c r="AG135" s="510"/>
      <c r="AH135" s="511"/>
      <c r="AI135" s="511"/>
      <c r="AJ135" s="564">
        <f t="shared" si="20"/>
        <v>82000</v>
      </c>
      <c r="AK135" s="512"/>
      <c r="AL135" s="513"/>
      <c r="AM135" s="514"/>
      <c r="AN135" s="515"/>
      <c r="AO135" s="515"/>
      <c r="AP135" s="568">
        <f t="shared" si="21"/>
        <v>46000</v>
      </c>
      <c r="AQ135" s="516"/>
      <c r="AR135" s="513"/>
      <c r="AS135" s="514"/>
      <c r="AT135" s="515"/>
      <c r="AU135" s="515"/>
      <c r="AV135" s="568">
        <f t="shared" si="22"/>
        <v>69862</v>
      </c>
      <c r="AW135" s="516"/>
    </row>
    <row r="136" spans="1:49">
      <c r="A136" s="332"/>
      <c r="B136" s="334"/>
      <c r="C136" s="334"/>
      <c r="D136" s="379">
        <f t="shared" ref="D136:D191" si="23">D135+A136-C136</f>
        <v>856669</v>
      </c>
      <c r="E136" s="535">
        <f t="shared" ref="E136:E191" si="24">B136-C136</f>
        <v>0</v>
      </c>
      <c r="H136" s="496"/>
      <c r="I136" s="497"/>
      <c r="J136" s="541">
        <f t="shared" ref="J136:J191" si="25">J135+H136-I136</f>
        <v>36916</v>
      </c>
      <c r="K136" s="498"/>
      <c r="L136" s="543">
        <f t="shared" ref="L136:L191" si="26">K136-I136</f>
        <v>0</v>
      </c>
      <c r="M136" s="347"/>
      <c r="N136" s="500"/>
      <c r="O136" s="501"/>
      <c r="P136" s="501"/>
      <c r="Q136" s="549">
        <f t="shared" ref="Q136:Q191" si="27">Q135+N136-O136+P136</f>
        <v>159814</v>
      </c>
      <c r="R136" s="502"/>
      <c r="S136" s="551">
        <f t="shared" ref="S136:S191" si="28">R136-O136+P136</f>
        <v>0</v>
      </c>
      <c r="T136" s="347"/>
      <c r="U136" s="504"/>
      <c r="V136" s="505"/>
      <c r="W136" s="505"/>
      <c r="X136" s="556">
        <f t="shared" ref="X136:X191" si="29">X135+U136-V136-W136</f>
        <v>26290</v>
      </c>
      <c r="Y136" s="506"/>
      <c r="AA136" s="507"/>
      <c r="AB136" s="508"/>
      <c r="AC136" s="508"/>
      <c r="AD136" s="560">
        <f t="shared" ref="AD136:AD191" si="30">AD135+AA136-AB136-AC136</f>
        <v>21907</v>
      </c>
      <c r="AE136" s="509"/>
      <c r="AG136" s="510"/>
      <c r="AH136" s="511"/>
      <c r="AI136" s="511"/>
      <c r="AJ136" s="564">
        <f t="shared" ref="AJ136:AJ191" si="31">AJ135+AG136-AH136-AI136</f>
        <v>82000</v>
      </c>
      <c r="AK136" s="512"/>
      <c r="AL136" s="513"/>
      <c r="AM136" s="514"/>
      <c r="AN136" s="515"/>
      <c r="AO136" s="515"/>
      <c r="AP136" s="568">
        <f t="shared" ref="AP136:AP191" si="32">AP135+AM136-AN136-AO136</f>
        <v>46000</v>
      </c>
      <c r="AQ136" s="516"/>
      <c r="AR136" s="513"/>
      <c r="AS136" s="514"/>
      <c r="AT136" s="515"/>
      <c r="AU136" s="515"/>
      <c r="AV136" s="568">
        <f t="shared" ref="AV136:AV191" si="33">AV135+AS136-AT136-AU136</f>
        <v>69862</v>
      </c>
      <c r="AW136" s="516"/>
    </row>
    <row r="137" spans="1:49">
      <c r="A137" s="332"/>
      <c r="B137" s="334"/>
      <c r="C137" s="334"/>
      <c r="D137" s="379">
        <f t="shared" si="23"/>
        <v>856669</v>
      </c>
      <c r="E137" s="535">
        <f t="shared" si="24"/>
        <v>0</v>
      </c>
      <c r="H137" s="496"/>
      <c r="I137" s="497"/>
      <c r="J137" s="541">
        <f t="shared" si="25"/>
        <v>36916</v>
      </c>
      <c r="K137" s="498"/>
      <c r="L137" s="543">
        <f t="shared" si="26"/>
        <v>0</v>
      </c>
      <c r="M137" s="347"/>
      <c r="N137" s="500"/>
      <c r="O137" s="501"/>
      <c r="P137" s="501"/>
      <c r="Q137" s="549">
        <f t="shared" si="27"/>
        <v>159814</v>
      </c>
      <c r="R137" s="502"/>
      <c r="S137" s="551">
        <f t="shared" si="28"/>
        <v>0</v>
      </c>
      <c r="T137" s="347"/>
      <c r="U137" s="504"/>
      <c r="V137" s="505"/>
      <c r="W137" s="505"/>
      <c r="X137" s="556">
        <f t="shared" si="29"/>
        <v>26290</v>
      </c>
      <c r="Y137" s="506"/>
      <c r="AA137" s="507"/>
      <c r="AB137" s="508"/>
      <c r="AC137" s="508"/>
      <c r="AD137" s="560">
        <f t="shared" si="30"/>
        <v>21907</v>
      </c>
      <c r="AE137" s="509"/>
      <c r="AG137" s="510"/>
      <c r="AH137" s="511"/>
      <c r="AI137" s="511"/>
      <c r="AJ137" s="564">
        <f t="shared" si="31"/>
        <v>82000</v>
      </c>
      <c r="AK137" s="512"/>
      <c r="AL137" s="513"/>
      <c r="AM137" s="514"/>
      <c r="AN137" s="515"/>
      <c r="AO137" s="515"/>
      <c r="AP137" s="568">
        <f t="shared" si="32"/>
        <v>46000</v>
      </c>
      <c r="AQ137" s="516"/>
      <c r="AR137" s="513"/>
      <c r="AS137" s="514"/>
      <c r="AT137" s="515"/>
      <c r="AU137" s="515"/>
      <c r="AV137" s="568">
        <f t="shared" si="33"/>
        <v>69862</v>
      </c>
      <c r="AW137" s="516"/>
    </row>
    <row r="138" spans="1:49">
      <c r="A138" s="332"/>
      <c r="B138" s="334"/>
      <c r="C138" s="334"/>
      <c r="D138" s="379">
        <f t="shared" si="23"/>
        <v>856669</v>
      </c>
      <c r="E138" s="535">
        <f t="shared" si="24"/>
        <v>0</v>
      </c>
      <c r="H138" s="496"/>
      <c r="I138" s="497"/>
      <c r="J138" s="541">
        <f t="shared" si="25"/>
        <v>36916</v>
      </c>
      <c r="K138" s="498"/>
      <c r="L138" s="543">
        <f t="shared" si="26"/>
        <v>0</v>
      </c>
      <c r="M138" s="347"/>
      <c r="N138" s="500"/>
      <c r="O138" s="501"/>
      <c r="P138" s="501"/>
      <c r="Q138" s="549">
        <f t="shared" si="27"/>
        <v>159814</v>
      </c>
      <c r="R138" s="502"/>
      <c r="S138" s="551">
        <f t="shared" si="28"/>
        <v>0</v>
      </c>
      <c r="T138" s="347"/>
      <c r="U138" s="504"/>
      <c r="V138" s="505"/>
      <c r="W138" s="505"/>
      <c r="X138" s="556">
        <f t="shared" si="29"/>
        <v>26290</v>
      </c>
      <c r="Y138" s="506"/>
      <c r="AA138" s="507"/>
      <c r="AB138" s="508"/>
      <c r="AC138" s="508"/>
      <c r="AD138" s="560">
        <f t="shared" si="30"/>
        <v>21907</v>
      </c>
      <c r="AE138" s="509"/>
      <c r="AG138" s="510"/>
      <c r="AH138" s="511"/>
      <c r="AI138" s="511"/>
      <c r="AJ138" s="564">
        <f t="shared" si="31"/>
        <v>82000</v>
      </c>
      <c r="AK138" s="512"/>
      <c r="AL138" s="513"/>
      <c r="AM138" s="514"/>
      <c r="AN138" s="515"/>
      <c r="AO138" s="515"/>
      <c r="AP138" s="568">
        <f t="shared" si="32"/>
        <v>46000</v>
      </c>
      <c r="AQ138" s="516"/>
      <c r="AR138" s="513"/>
      <c r="AS138" s="514"/>
      <c r="AT138" s="515"/>
      <c r="AU138" s="515"/>
      <c r="AV138" s="568">
        <f t="shared" si="33"/>
        <v>69862</v>
      </c>
      <c r="AW138" s="516"/>
    </row>
    <row r="139" spans="1:49">
      <c r="A139" s="332"/>
      <c r="B139" s="334"/>
      <c r="C139" s="334"/>
      <c r="D139" s="379">
        <f t="shared" si="23"/>
        <v>856669</v>
      </c>
      <c r="E139" s="535">
        <f t="shared" si="24"/>
        <v>0</v>
      </c>
      <c r="H139" s="496"/>
      <c r="I139" s="497"/>
      <c r="J139" s="541">
        <f t="shared" si="25"/>
        <v>36916</v>
      </c>
      <c r="K139" s="498"/>
      <c r="L139" s="543">
        <f t="shared" si="26"/>
        <v>0</v>
      </c>
      <c r="M139" s="347"/>
      <c r="N139" s="500"/>
      <c r="O139" s="501"/>
      <c r="P139" s="501"/>
      <c r="Q139" s="549">
        <f t="shared" si="27"/>
        <v>159814</v>
      </c>
      <c r="R139" s="502"/>
      <c r="S139" s="551">
        <f t="shared" si="28"/>
        <v>0</v>
      </c>
      <c r="T139" s="347"/>
      <c r="U139" s="504"/>
      <c r="V139" s="505"/>
      <c r="W139" s="505"/>
      <c r="X139" s="556">
        <f t="shared" si="29"/>
        <v>26290</v>
      </c>
      <c r="Y139" s="506"/>
      <c r="AA139" s="507"/>
      <c r="AB139" s="508"/>
      <c r="AC139" s="508"/>
      <c r="AD139" s="560">
        <f t="shared" si="30"/>
        <v>21907</v>
      </c>
      <c r="AE139" s="509"/>
      <c r="AG139" s="510"/>
      <c r="AH139" s="511"/>
      <c r="AI139" s="511"/>
      <c r="AJ139" s="564">
        <f t="shared" si="31"/>
        <v>82000</v>
      </c>
      <c r="AK139" s="512"/>
      <c r="AL139" s="513"/>
      <c r="AM139" s="514"/>
      <c r="AN139" s="515"/>
      <c r="AO139" s="515"/>
      <c r="AP139" s="568">
        <f t="shared" si="32"/>
        <v>46000</v>
      </c>
      <c r="AQ139" s="516"/>
      <c r="AR139" s="513"/>
      <c r="AS139" s="514"/>
      <c r="AT139" s="515"/>
      <c r="AU139" s="515"/>
      <c r="AV139" s="568">
        <f t="shared" si="33"/>
        <v>69862</v>
      </c>
      <c r="AW139" s="516"/>
    </row>
    <row r="140" spans="1:49">
      <c r="A140" s="332"/>
      <c r="B140" s="334"/>
      <c r="C140" s="334"/>
      <c r="D140" s="379">
        <f t="shared" si="23"/>
        <v>856669</v>
      </c>
      <c r="E140" s="535">
        <f t="shared" si="24"/>
        <v>0</v>
      </c>
      <c r="H140" s="496"/>
      <c r="I140" s="497"/>
      <c r="J140" s="541">
        <f t="shared" si="25"/>
        <v>36916</v>
      </c>
      <c r="K140" s="498"/>
      <c r="L140" s="543">
        <f t="shared" si="26"/>
        <v>0</v>
      </c>
      <c r="M140" s="347"/>
      <c r="N140" s="500"/>
      <c r="O140" s="501"/>
      <c r="P140" s="501"/>
      <c r="Q140" s="549">
        <f t="shared" si="27"/>
        <v>159814</v>
      </c>
      <c r="R140" s="502"/>
      <c r="S140" s="551">
        <f t="shared" si="28"/>
        <v>0</v>
      </c>
      <c r="T140" s="347"/>
      <c r="U140" s="504"/>
      <c r="V140" s="505"/>
      <c r="W140" s="505"/>
      <c r="X140" s="556">
        <f t="shared" si="29"/>
        <v>26290</v>
      </c>
      <c r="Y140" s="506"/>
      <c r="AA140" s="507"/>
      <c r="AB140" s="508"/>
      <c r="AC140" s="508"/>
      <c r="AD140" s="560">
        <f t="shared" si="30"/>
        <v>21907</v>
      </c>
      <c r="AE140" s="509"/>
      <c r="AG140" s="510"/>
      <c r="AH140" s="511"/>
      <c r="AI140" s="511"/>
      <c r="AJ140" s="564">
        <f t="shared" si="31"/>
        <v>82000</v>
      </c>
      <c r="AK140" s="512"/>
      <c r="AL140" s="513"/>
      <c r="AM140" s="514"/>
      <c r="AN140" s="515"/>
      <c r="AO140" s="515"/>
      <c r="AP140" s="568">
        <f t="shared" si="32"/>
        <v>46000</v>
      </c>
      <c r="AQ140" s="516"/>
      <c r="AR140" s="513"/>
      <c r="AS140" s="514"/>
      <c r="AT140" s="515"/>
      <c r="AU140" s="515"/>
      <c r="AV140" s="568">
        <f t="shared" si="33"/>
        <v>69862</v>
      </c>
      <c r="AW140" s="516"/>
    </row>
    <row r="141" spans="1:49">
      <c r="A141" s="332"/>
      <c r="B141" s="334"/>
      <c r="C141" s="334"/>
      <c r="D141" s="379">
        <f t="shared" si="23"/>
        <v>856669</v>
      </c>
      <c r="E141" s="535">
        <f t="shared" si="24"/>
        <v>0</v>
      </c>
      <c r="H141" s="496"/>
      <c r="I141" s="497"/>
      <c r="J141" s="541">
        <f t="shared" si="25"/>
        <v>36916</v>
      </c>
      <c r="K141" s="498"/>
      <c r="L141" s="543">
        <f t="shared" si="26"/>
        <v>0</v>
      </c>
      <c r="M141" s="347"/>
      <c r="N141" s="500"/>
      <c r="O141" s="501"/>
      <c r="P141" s="501"/>
      <c r="Q141" s="549">
        <f t="shared" si="27"/>
        <v>159814</v>
      </c>
      <c r="R141" s="502"/>
      <c r="S141" s="551">
        <f t="shared" si="28"/>
        <v>0</v>
      </c>
      <c r="T141" s="347"/>
      <c r="U141" s="504"/>
      <c r="V141" s="505"/>
      <c r="W141" s="505"/>
      <c r="X141" s="556">
        <f t="shared" si="29"/>
        <v>26290</v>
      </c>
      <c r="Y141" s="506"/>
      <c r="AA141" s="507"/>
      <c r="AB141" s="508"/>
      <c r="AC141" s="508"/>
      <c r="AD141" s="560">
        <f t="shared" si="30"/>
        <v>21907</v>
      </c>
      <c r="AE141" s="509"/>
      <c r="AG141" s="510"/>
      <c r="AH141" s="511"/>
      <c r="AI141" s="511"/>
      <c r="AJ141" s="564">
        <f t="shared" si="31"/>
        <v>82000</v>
      </c>
      <c r="AK141" s="512"/>
      <c r="AL141" s="513"/>
      <c r="AM141" s="514"/>
      <c r="AN141" s="515"/>
      <c r="AO141" s="515"/>
      <c r="AP141" s="568">
        <f t="shared" si="32"/>
        <v>46000</v>
      </c>
      <c r="AQ141" s="516"/>
      <c r="AR141" s="513"/>
      <c r="AS141" s="514"/>
      <c r="AT141" s="515"/>
      <c r="AU141" s="515"/>
      <c r="AV141" s="568">
        <f t="shared" si="33"/>
        <v>69862</v>
      </c>
      <c r="AW141" s="516"/>
    </row>
    <row r="142" spans="1:49">
      <c r="A142" s="332"/>
      <c r="B142" s="334"/>
      <c r="C142" s="334"/>
      <c r="D142" s="379">
        <f t="shared" si="23"/>
        <v>856669</v>
      </c>
      <c r="E142" s="535">
        <f t="shared" si="24"/>
        <v>0</v>
      </c>
      <c r="H142" s="496"/>
      <c r="I142" s="497"/>
      <c r="J142" s="541">
        <f t="shared" si="25"/>
        <v>36916</v>
      </c>
      <c r="K142" s="498"/>
      <c r="L142" s="543">
        <f t="shared" si="26"/>
        <v>0</v>
      </c>
      <c r="M142" s="347"/>
      <c r="N142" s="500"/>
      <c r="O142" s="501"/>
      <c r="P142" s="501"/>
      <c r="Q142" s="549">
        <f t="shared" si="27"/>
        <v>159814</v>
      </c>
      <c r="R142" s="502"/>
      <c r="S142" s="551">
        <f t="shared" si="28"/>
        <v>0</v>
      </c>
      <c r="T142" s="347"/>
      <c r="U142" s="504"/>
      <c r="V142" s="505"/>
      <c r="W142" s="505"/>
      <c r="X142" s="556">
        <f t="shared" si="29"/>
        <v>26290</v>
      </c>
      <c r="Y142" s="506"/>
      <c r="AA142" s="507"/>
      <c r="AB142" s="508"/>
      <c r="AC142" s="508"/>
      <c r="AD142" s="560">
        <f t="shared" si="30"/>
        <v>21907</v>
      </c>
      <c r="AE142" s="509"/>
      <c r="AG142" s="510"/>
      <c r="AH142" s="511"/>
      <c r="AI142" s="511"/>
      <c r="AJ142" s="564">
        <f t="shared" si="31"/>
        <v>82000</v>
      </c>
      <c r="AK142" s="512"/>
      <c r="AL142" s="513"/>
      <c r="AM142" s="514"/>
      <c r="AN142" s="515"/>
      <c r="AO142" s="515"/>
      <c r="AP142" s="568">
        <f t="shared" si="32"/>
        <v>46000</v>
      </c>
      <c r="AQ142" s="516"/>
      <c r="AR142" s="513"/>
      <c r="AS142" s="514"/>
      <c r="AT142" s="515"/>
      <c r="AU142" s="515"/>
      <c r="AV142" s="568">
        <f t="shared" si="33"/>
        <v>69862</v>
      </c>
      <c r="AW142" s="516"/>
    </row>
    <row r="143" spans="1:49">
      <c r="A143" s="332"/>
      <c r="B143" s="334"/>
      <c r="C143" s="334"/>
      <c r="D143" s="379">
        <f t="shared" si="23"/>
        <v>856669</v>
      </c>
      <c r="E143" s="535">
        <f t="shared" si="24"/>
        <v>0</v>
      </c>
      <c r="H143" s="496"/>
      <c r="I143" s="497"/>
      <c r="J143" s="541">
        <f t="shared" si="25"/>
        <v>36916</v>
      </c>
      <c r="K143" s="498"/>
      <c r="L143" s="543">
        <f t="shared" si="26"/>
        <v>0</v>
      </c>
      <c r="M143" s="347"/>
      <c r="N143" s="500"/>
      <c r="O143" s="501"/>
      <c r="P143" s="501"/>
      <c r="Q143" s="549">
        <f t="shared" si="27"/>
        <v>159814</v>
      </c>
      <c r="R143" s="502"/>
      <c r="S143" s="551">
        <f t="shared" si="28"/>
        <v>0</v>
      </c>
      <c r="T143" s="347"/>
      <c r="U143" s="504"/>
      <c r="V143" s="505"/>
      <c r="W143" s="505"/>
      <c r="X143" s="556">
        <f t="shared" si="29"/>
        <v>26290</v>
      </c>
      <c r="Y143" s="506"/>
      <c r="AA143" s="507"/>
      <c r="AB143" s="508"/>
      <c r="AC143" s="508"/>
      <c r="AD143" s="560">
        <f t="shared" si="30"/>
        <v>21907</v>
      </c>
      <c r="AE143" s="509"/>
      <c r="AG143" s="510"/>
      <c r="AH143" s="511"/>
      <c r="AI143" s="511"/>
      <c r="AJ143" s="564">
        <f t="shared" si="31"/>
        <v>82000</v>
      </c>
      <c r="AK143" s="512"/>
      <c r="AL143" s="513"/>
      <c r="AM143" s="514"/>
      <c r="AN143" s="515"/>
      <c r="AO143" s="515"/>
      <c r="AP143" s="568">
        <f t="shared" si="32"/>
        <v>46000</v>
      </c>
      <c r="AQ143" s="516"/>
      <c r="AR143" s="513"/>
      <c r="AS143" s="514"/>
      <c r="AT143" s="515"/>
      <c r="AU143" s="515"/>
      <c r="AV143" s="568">
        <f t="shared" si="33"/>
        <v>69862</v>
      </c>
      <c r="AW143" s="516"/>
    </row>
    <row r="144" spans="1:49">
      <c r="A144" s="332"/>
      <c r="B144" s="334"/>
      <c r="C144" s="334"/>
      <c r="D144" s="379">
        <f t="shared" si="23"/>
        <v>856669</v>
      </c>
      <c r="E144" s="535">
        <f t="shared" si="24"/>
        <v>0</v>
      </c>
      <c r="H144" s="496"/>
      <c r="I144" s="497"/>
      <c r="J144" s="541">
        <f t="shared" si="25"/>
        <v>36916</v>
      </c>
      <c r="K144" s="498"/>
      <c r="L144" s="543">
        <f t="shared" si="26"/>
        <v>0</v>
      </c>
      <c r="M144" s="347"/>
      <c r="N144" s="500"/>
      <c r="O144" s="501"/>
      <c r="P144" s="501"/>
      <c r="Q144" s="549">
        <f t="shared" si="27"/>
        <v>159814</v>
      </c>
      <c r="R144" s="502"/>
      <c r="S144" s="551">
        <f t="shared" si="28"/>
        <v>0</v>
      </c>
      <c r="T144" s="347"/>
      <c r="U144" s="504"/>
      <c r="V144" s="505"/>
      <c r="W144" s="505"/>
      <c r="X144" s="556">
        <f t="shared" si="29"/>
        <v>26290</v>
      </c>
      <c r="Y144" s="506"/>
      <c r="AA144" s="507"/>
      <c r="AB144" s="508"/>
      <c r="AC144" s="508"/>
      <c r="AD144" s="560">
        <f t="shared" si="30"/>
        <v>21907</v>
      </c>
      <c r="AE144" s="509"/>
      <c r="AG144" s="510"/>
      <c r="AH144" s="511"/>
      <c r="AI144" s="511"/>
      <c r="AJ144" s="564">
        <f t="shared" si="31"/>
        <v>82000</v>
      </c>
      <c r="AK144" s="512"/>
      <c r="AL144" s="513"/>
      <c r="AM144" s="514"/>
      <c r="AN144" s="515"/>
      <c r="AO144" s="515"/>
      <c r="AP144" s="568">
        <f t="shared" si="32"/>
        <v>46000</v>
      </c>
      <c r="AQ144" s="516"/>
      <c r="AR144" s="513"/>
      <c r="AS144" s="514"/>
      <c r="AT144" s="515"/>
      <c r="AU144" s="515"/>
      <c r="AV144" s="568">
        <f t="shared" si="33"/>
        <v>69862</v>
      </c>
      <c r="AW144" s="516"/>
    </row>
    <row r="145" spans="1:49">
      <c r="A145" s="332"/>
      <c r="B145" s="334"/>
      <c r="C145" s="334"/>
      <c r="D145" s="379">
        <f t="shared" si="23"/>
        <v>856669</v>
      </c>
      <c r="E145" s="535">
        <f t="shared" si="24"/>
        <v>0</v>
      </c>
      <c r="H145" s="496"/>
      <c r="I145" s="497"/>
      <c r="J145" s="541">
        <f t="shared" si="25"/>
        <v>36916</v>
      </c>
      <c r="K145" s="498"/>
      <c r="L145" s="543">
        <f t="shared" si="26"/>
        <v>0</v>
      </c>
      <c r="M145" s="347"/>
      <c r="N145" s="500"/>
      <c r="O145" s="501"/>
      <c r="P145" s="501"/>
      <c r="Q145" s="549">
        <f t="shared" si="27"/>
        <v>159814</v>
      </c>
      <c r="R145" s="502"/>
      <c r="S145" s="551">
        <f t="shared" si="28"/>
        <v>0</v>
      </c>
      <c r="T145" s="347"/>
      <c r="U145" s="504"/>
      <c r="V145" s="505"/>
      <c r="W145" s="505"/>
      <c r="X145" s="556">
        <f t="shared" si="29"/>
        <v>26290</v>
      </c>
      <c r="Y145" s="506"/>
      <c r="AA145" s="507"/>
      <c r="AB145" s="508"/>
      <c r="AC145" s="508"/>
      <c r="AD145" s="560">
        <f t="shared" si="30"/>
        <v>21907</v>
      </c>
      <c r="AE145" s="509"/>
      <c r="AG145" s="510"/>
      <c r="AH145" s="511"/>
      <c r="AI145" s="511"/>
      <c r="AJ145" s="564">
        <f t="shared" si="31"/>
        <v>82000</v>
      </c>
      <c r="AK145" s="512"/>
      <c r="AL145" s="513"/>
      <c r="AM145" s="514"/>
      <c r="AN145" s="515"/>
      <c r="AO145" s="515"/>
      <c r="AP145" s="568">
        <f t="shared" si="32"/>
        <v>46000</v>
      </c>
      <c r="AQ145" s="516"/>
      <c r="AR145" s="513"/>
      <c r="AS145" s="514"/>
      <c r="AT145" s="515"/>
      <c r="AU145" s="515"/>
      <c r="AV145" s="568">
        <f t="shared" si="33"/>
        <v>69862</v>
      </c>
      <c r="AW145" s="516"/>
    </row>
    <row r="146" spans="1:49">
      <c r="A146" s="332"/>
      <c r="B146" s="334"/>
      <c r="C146" s="334"/>
      <c r="D146" s="379">
        <f t="shared" si="23"/>
        <v>856669</v>
      </c>
      <c r="E146" s="535">
        <f t="shared" si="24"/>
        <v>0</v>
      </c>
      <c r="H146" s="496"/>
      <c r="I146" s="497"/>
      <c r="J146" s="541">
        <f t="shared" si="25"/>
        <v>36916</v>
      </c>
      <c r="K146" s="498"/>
      <c r="L146" s="543">
        <f t="shared" si="26"/>
        <v>0</v>
      </c>
      <c r="M146" s="347"/>
      <c r="N146" s="500"/>
      <c r="O146" s="501"/>
      <c r="P146" s="501"/>
      <c r="Q146" s="549">
        <f t="shared" si="27"/>
        <v>159814</v>
      </c>
      <c r="R146" s="502"/>
      <c r="S146" s="551">
        <f t="shared" si="28"/>
        <v>0</v>
      </c>
      <c r="T146" s="347"/>
      <c r="U146" s="504"/>
      <c r="V146" s="505"/>
      <c r="W146" s="505"/>
      <c r="X146" s="556">
        <f t="shared" si="29"/>
        <v>26290</v>
      </c>
      <c r="Y146" s="506"/>
      <c r="AA146" s="507"/>
      <c r="AB146" s="508"/>
      <c r="AC146" s="508"/>
      <c r="AD146" s="560">
        <f t="shared" si="30"/>
        <v>21907</v>
      </c>
      <c r="AE146" s="509"/>
      <c r="AG146" s="510"/>
      <c r="AH146" s="511"/>
      <c r="AI146" s="511"/>
      <c r="AJ146" s="564">
        <f t="shared" si="31"/>
        <v>82000</v>
      </c>
      <c r="AK146" s="512"/>
      <c r="AL146" s="513"/>
      <c r="AM146" s="514"/>
      <c r="AN146" s="515"/>
      <c r="AO146" s="515"/>
      <c r="AP146" s="568">
        <f t="shared" si="32"/>
        <v>46000</v>
      </c>
      <c r="AQ146" s="516"/>
      <c r="AR146" s="513"/>
      <c r="AS146" s="514"/>
      <c r="AT146" s="515"/>
      <c r="AU146" s="515"/>
      <c r="AV146" s="568">
        <f t="shared" si="33"/>
        <v>69862</v>
      </c>
      <c r="AW146" s="516"/>
    </row>
    <row r="147" spans="1:49">
      <c r="A147" s="332"/>
      <c r="B147" s="334"/>
      <c r="C147" s="334"/>
      <c r="D147" s="379">
        <f t="shared" si="23"/>
        <v>856669</v>
      </c>
      <c r="E147" s="535">
        <f t="shared" si="24"/>
        <v>0</v>
      </c>
      <c r="H147" s="496"/>
      <c r="I147" s="497"/>
      <c r="J147" s="541">
        <f t="shared" si="25"/>
        <v>36916</v>
      </c>
      <c r="K147" s="498"/>
      <c r="L147" s="543">
        <f t="shared" si="26"/>
        <v>0</v>
      </c>
      <c r="M147" s="347"/>
      <c r="N147" s="500"/>
      <c r="O147" s="501"/>
      <c r="P147" s="501"/>
      <c r="Q147" s="549">
        <f t="shared" si="27"/>
        <v>159814</v>
      </c>
      <c r="R147" s="502"/>
      <c r="S147" s="551">
        <f t="shared" si="28"/>
        <v>0</v>
      </c>
      <c r="T147" s="347"/>
      <c r="U147" s="504"/>
      <c r="V147" s="505"/>
      <c r="W147" s="505"/>
      <c r="X147" s="556">
        <f t="shared" si="29"/>
        <v>26290</v>
      </c>
      <c r="Y147" s="506"/>
      <c r="AA147" s="507"/>
      <c r="AB147" s="508"/>
      <c r="AC147" s="508"/>
      <c r="AD147" s="560">
        <f t="shared" si="30"/>
        <v>21907</v>
      </c>
      <c r="AE147" s="509"/>
      <c r="AG147" s="510"/>
      <c r="AH147" s="511"/>
      <c r="AI147" s="511"/>
      <c r="AJ147" s="564">
        <f t="shared" si="31"/>
        <v>82000</v>
      </c>
      <c r="AK147" s="512"/>
      <c r="AL147" s="513"/>
      <c r="AM147" s="514"/>
      <c r="AN147" s="515"/>
      <c r="AO147" s="515"/>
      <c r="AP147" s="568">
        <f t="shared" si="32"/>
        <v>46000</v>
      </c>
      <c r="AQ147" s="516"/>
      <c r="AR147" s="513"/>
      <c r="AS147" s="514"/>
      <c r="AT147" s="515"/>
      <c r="AU147" s="515"/>
      <c r="AV147" s="568">
        <f t="shared" si="33"/>
        <v>69862</v>
      </c>
      <c r="AW147" s="516"/>
    </row>
    <row r="148" spans="1:49">
      <c r="A148" s="332"/>
      <c r="B148" s="334"/>
      <c r="C148" s="334"/>
      <c r="D148" s="379">
        <f t="shared" si="23"/>
        <v>856669</v>
      </c>
      <c r="E148" s="535">
        <f t="shared" si="24"/>
        <v>0</v>
      </c>
      <c r="H148" s="496"/>
      <c r="I148" s="497"/>
      <c r="J148" s="541">
        <f t="shared" si="25"/>
        <v>36916</v>
      </c>
      <c r="K148" s="498"/>
      <c r="L148" s="543">
        <f t="shared" si="26"/>
        <v>0</v>
      </c>
      <c r="M148" s="347"/>
      <c r="N148" s="500"/>
      <c r="O148" s="501"/>
      <c r="P148" s="501"/>
      <c r="Q148" s="549">
        <f t="shared" si="27"/>
        <v>159814</v>
      </c>
      <c r="R148" s="502"/>
      <c r="S148" s="551">
        <f t="shared" si="28"/>
        <v>0</v>
      </c>
      <c r="T148" s="347"/>
      <c r="U148" s="504"/>
      <c r="V148" s="505"/>
      <c r="W148" s="505"/>
      <c r="X148" s="556">
        <f t="shared" si="29"/>
        <v>26290</v>
      </c>
      <c r="Y148" s="506"/>
      <c r="AA148" s="507"/>
      <c r="AB148" s="508"/>
      <c r="AC148" s="508"/>
      <c r="AD148" s="560">
        <f t="shared" si="30"/>
        <v>21907</v>
      </c>
      <c r="AE148" s="509"/>
      <c r="AG148" s="510"/>
      <c r="AH148" s="511"/>
      <c r="AI148" s="511"/>
      <c r="AJ148" s="564">
        <f t="shared" si="31"/>
        <v>82000</v>
      </c>
      <c r="AK148" s="512"/>
      <c r="AL148" s="513"/>
      <c r="AM148" s="514"/>
      <c r="AN148" s="515"/>
      <c r="AO148" s="515"/>
      <c r="AP148" s="568">
        <f t="shared" si="32"/>
        <v>46000</v>
      </c>
      <c r="AQ148" s="516"/>
      <c r="AR148" s="513"/>
      <c r="AS148" s="514"/>
      <c r="AT148" s="515"/>
      <c r="AU148" s="515"/>
      <c r="AV148" s="568">
        <f t="shared" si="33"/>
        <v>69862</v>
      </c>
      <c r="AW148" s="516"/>
    </row>
    <row r="149" spans="1:49">
      <c r="A149" s="332"/>
      <c r="B149" s="334"/>
      <c r="C149" s="334"/>
      <c r="D149" s="379">
        <f t="shared" si="23"/>
        <v>856669</v>
      </c>
      <c r="E149" s="535">
        <f t="shared" si="24"/>
        <v>0</v>
      </c>
      <c r="H149" s="496"/>
      <c r="I149" s="497"/>
      <c r="J149" s="541">
        <f t="shared" si="25"/>
        <v>36916</v>
      </c>
      <c r="K149" s="498"/>
      <c r="L149" s="543">
        <f t="shared" si="26"/>
        <v>0</v>
      </c>
      <c r="M149" s="347"/>
      <c r="N149" s="500"/>
      <c r="O149" s="501"/>
      <c r="P149" s="501"/>
      <c r="Q149" s="549">
        <f t="shared" si="27"/>
        <v>159814</v>
      </c>
      <c r="R149" s="502"/>
      <c r="S149" s="551">
        <f t="shared" si="28"/>
        <v>0</v>
      </c>
      <c r="T149" s="347"/>
      <c r="U149" s="504"/>
      <c r="V149" s="505"/>
      <c r="W149" s="505"/>
      <c r="X149" s="556">
        <f t="shared" si="29"/>
        <v>26290</v>
      </c>
      <c r="Y149" s="506"/>
      <c r="AA149" s="507"/>
      <c r="AB149" s="508"/>
      <c r="AC149" s="508"/>
      <c r="AD149" s="560">
        <f t="shared" si="30"/>
        <v>21907</v>
      </c>
      <c r="AE149" s="509"/>
      <c r="AG149" s="510"/>
      <c r="AH149" s="511"/>
      <c r="AI149" s="511"/>
      <c r="AJ149" s="564">
        <f t="shared" si="31"/>
        <v>82000</v>
      </c>
      <c r="AK149" s="512"/>
      <c r="AL149" s="513"/>
      <c r="AM149" s="514"/>
      <c r="AN149" s="515"/>
      <c r="AO149" s="515"/>
      <c r="AP149" s="568">
        <f t="shared" si="32"/>
        <v>46000</v>
      </c>
      <c r="AQ149" s="516"/>
      <c r="AR149" s="513"/>
      <c r="AS149" s="514"/>
      <c r="AT149" s="515"/>
      <c r="AU149" s="515"/>
      <c r="AV149" s="568">
        <f t="shared" si="33"/>
        <v>69862</v>
      </c>
      <c r="AW149" s="516"/>
    </row>
    <row r="150" spans="1:49">
      <c r="A150" s="332"/>
      <c r="B150" s="334"/>
      <c r="C150" s="334"/>
      <c r="D150" s="379">
        <f t="shared" si="23"/>
        <v>856669</v>
      </c>
      <c r="E150" s="535">
        <f t="shared" si="24"/>
        <v>0</v>
      </c>
      <c r="H150" s="496"/>
      <c r="I150" s="497"/>
      <c r="J150" s="541">
        <f t="shared" si="25"/>
        <v>36916</v>
      </c>
      <c r="K150" s="498"/>
      <c r="L150" s="543">
        <f t="shared" si="26"/>
        <v>0</v>
      </c>
      <c r="M150" s="347"/>
      <c r="N150" s="500"/>
      <c r="O150" s="501"/>
      <c r="P150" s="501"/>
      <c r="Q150" s="549">
        <f t="shared" si="27"/>
        <v>159814</v>
      </c>
      <c r="R150" s="502"/>
      <c r="S150" s="551">
        <f t="shared" si="28"/>
        <v>0</v>
      </c>
      <c r="T150" s="347"/>
      <c r="U150" s="504"/>
      <c r="V150" s="505"/>
      <c r="W150" s="505"/>
      <c r="X150" s="556">
        <f t="shared" si="29"/>
        <v>26290</v>
      </c>
      <c r="Y150" s="506"/>
      <c r="AA150" s="507"/>
      <c r="AB150" s="508"/>
      <c r="AC150" s="508"/>
      <c r="AD150" s="560">
        <f t="shared" si="30"/>
        <v>21907</v>
      </c>
      <c r="AE150" s="509"/>
      <c r="AG150" s="510"/>
      <c r="AH150" s="511"/>
      <c r="AI150" s="511"/>
      <c r="AJ150" s="564">
        <f t="shared" si="31"/>
        <v>82000</v>
      </c>
      <c r="AK150" s="512"/>
      <c r="AL150" s="513"/>
      <c r="AM150" s="514"/>
      <c r="AN150" s="515"/>
      <c r="AO150" s="515"/>
      <c r="AP150" s="568">
        <f t="shared" si="32"/>
        <v>46000</v>
      </c>
      <c r="AQ150" s="516"/>
      <c r="AR150" s="513"/>
      <c r="AS150" s="514"/>
      <c r="AT150" s="515"/>
      <c r="AU150" s="515"/>
      <c r="AV150" s="568">
        <f t="shared" si="33"/>
        <v>69862</v>
      </c>
      <c r="AW150" s="516"/>
    </row>
    <row r="151" spans="1:49">
      <c r="A151" s="332"/>
      <c r="B151" s="334"/>
      <c r="C151" s="334"/>
      <c r="D151" s="379">
        <f t="shared" si="23"/>
        <v>856669</v>
      </c>
      <c r="E151" s="535">
        <f t="shared" si="24"/>
        <v>0</v>
      </c>
      <c r="H151" s="496"/>
      <c r="I151" s="497"/>
      <c r="J151" s="541">
        <f t="shared" si="25"/>
        <v>36916</v>
      </c>
      <c r="K151" s="498"/>
      <c r="L151" s="543">
        <f t="shared" si="26"/>
        <v>0</v>
      </c>
      <c r="M151" s="347"/>
      <c r="N151" s="500"/>
      <c r="O151" s="501"/>
      <c r="P151" s="501"/>
      <c r="Q151" s="549">
        <f t="shared" si="27"/>
        <v>159814</v>
      </c>
      <c r="R151" s="502"/>
      <c r="S151" s="551">
        <f t="shared" si="28"/>
        <v>0</v>
      </c>
      <c r="T151" s="347"/>
      <c r="U151" s="504"/>
      <c r="V151" s="505"/>
      <c r="W151" s="505"/>
      <c r="X151" s="556">
        <f t="shared" si="29"/>
        <v>26290</v>
      </c>
      <c r="Y151" s="506"/>
      <c r="AA151" s="507"/>
      <c r="AB151" s="508"/>
      <c r="AC151" s="508"/>
      <c r="AD151" s="560">
        <f t="shared" si="30"/>
        <v>21907</v>
      </c>
      <c r="AE151" s="509"/>
      <c r="AG151" s="510"/>
      <c r="AH151" s="511"/>
      <c r="AI151" s="511"/>
      <c r="AJ151" s="564">
        <f t="shared" si="31"/>
        <v>82000</v>
      </c>
      <c r="AK151" s="512"/>
      <c r="AL151" s="513"/>
      <c r="AM151" s="514"/>
      <c r="AN151" s="515"/>
      <c r="AO151" s="515"/>
      <c r="AP151" s="568">
        <f t="shared" si="32"/>
        <v>46000</v>
      </c>
      <c r="AQ151" s="516"/>
      <c r="AR151" s="513"/>
      <c r="AS151" s="514"/>
      <c r="AT151" s="515"/>
      <c r="AU151" s="515"/>
      <c r="AV151" s="568">
        <f t="shared" si="33"/>
        <v>69862</v>
      </c>
      <c r="AW151" s="516"/>
    </row>
    <row r="152" spans="1:49">
      <c r="A152" s="332"/>
      <c r="B152" s="334"/>
      <c r="C152" s="334"/>
      <c r="D152" s="379">
        <f t="shared" si="23"/>
        <v>856669</v>
      </c>
      <c r="E152" s="535">
        <f t="shared" si="24"/>
        <v>0</v>
      </c>
      <c r="H152" s="496"/>
      <c r="I152" s="497"/>
      <c r="J152" s="541">
        <f t="shared" si="25"/>
        <v>36916</v>
      </c>
      <c r="K152" s="498"/>
      <c r="L152" s="543">
        <f t="shared" si="26"/>
        <v>0</v>
      </c>
      <c r="M152" s="347"/>
      <c r="N152" s="500"/>
      <c r="O152" s="501"/>
      <c r="P152" s="501"/>
      <c r="Q152" s="549">
        <f t="shared" si="27"/>
        <v>159814</v>
      </c>
      <c r="R152" s="502"/>
      <c r="S152" s="551">
        <f t="shared" si="28"/>
        <v>0</v>
      </c>
      <c r="T152" s="347"/>
      <c r="U152" s="504"/>
      <c r="V152" s="505"/>
      <c r="W152" s="505"/>
      <c r="X152" s="556">
        <f t="shared" si="29"/>
        <v>26290</v>
      </c>
      <c r="Y152" s="506"/>
      <c r="AA152" s="507"/>
      <c r="AB152" s="508"/>
      <c r="AC152" s="508"/>
      <c r="AD152" s="560">
        <f t="shared" si="30"/>
        <v>21907</v>
      </c>
      <c r="AE152" s="509"/>
      <c r="AG152" s="510"/>
      <c r="AH152" s="511"/>
      <c r="AI152" s="511"/>
      <c r="AJ152" s="564">
        <f t="shared" si="31"/>
        <v>82000</v>
      </c>
      <c r="AK152" s="512"/>
      <c r="AL152" s="513"/>
      <c r="AM152" s="514"/>
      <c r="AN152" s="515"/>
      <c r="AO152" s="515"/>
      <c r="AP152" s="568">
        <f t="shared" si="32"/>
        <v>46000</v>
      </c>
      <c r="AQ152" s="516"/>
      <c r="AR152" s="513"/>
      <c r="AS152" s="514"/>
      <c r="AT152" s="515"/>
      <c r="AU152" s="515"/>
      <c r="AV152" s="568">
        <f t="shared" si="33"/>
        <v>69862</v>
      </c>
      <c r="AW152" s="516"/>
    </row>
    <row r="153" spans="1:49">
      <c r="A153" s="332"/>
      <c r="B153" s="334"/>
      <c r="C153" s="334"/>
      <c r="D153" s="379">
        <f t="shared" si="23"/>
        <v>856669</v>
      </c>
      <c r="E153" s="535">
        <f t="shared" si="24"/>
        <v>0</v>
      </c>
      <c r="H153" s="496"/>
      <c r="I153" s="497"/>
      <c r="J153" s="541">
        <f t="shared" si="25"/>
        <v>36916</v>
      </c>
      <c r="K153" s="498"/>
      <c r="L153" s="543">
        <f t="shared" si="26"/>
        <v>0</v>
      </c>
      <c r="M153" s="347"/>
      <c r="N153" s="500"/>
      <c r="O153" s="501"/>
      <c r="P153" s="501"/>
      <c r="Q153" s="549">
        <f t="shared" si="27"/>
        <v>159814</v>
      </c>
      <c r="R153" s="502"/>
      <c r="S153" s="551">
        <f t="shared" si="28"/>
        <v>0</v>
      </c>
      <c r="T153" s="347"/>
      <c r="U153" s="504"/>
      <c r="V153" s="505"/>
      <c r="W153" s="505"/>
      <c r="X153" s="556">
        <f t="shared" si="29"/>
        <v>26290</v>
      </c>
      <c r="Y153" s="506"/>
      <c r="AA153" s="507"/>
      <c r="AB153" s="508"/>
      <c r="AC153" s="508"/>
      <c r="AD153" s="560">
        <f t="shared" si="30"/>
        <v>21907</v>
      </c>
      <c r="AE153" s="509"/>
      <c r="AG153" s="510"/>
      <c r="AH153" s="511"/>
      <c r="AI153" s="511"/>
      <c r="AJ153" s="564">
        <f t="shared" si="31"/>
        <v>82000</v>
      </c>
      <c r="AK153" s="512"/>
      <c r="AL153" s="513"/>
      <c r="AM153" s="514"/>
      <c r="AN153" s="515"/>
      <c r="AO153" s="515"/>
      <c r="AP153" s="568">
        <f t="shared" si="32"/>
        <v>46000</v>
      </c>
      <c r="AQ153" s="516"/>
      <c r="AR153" s="513"/>
      <c r="AS153" s="514"/>
      <c r="AT153" s="515"/>
      <c r="AU153" s="515"/>
      <c r="AV153" s="568">
        <f t="shared" si="33"/>
        <v>69862</v>
      </c>
      <c r="AW153" s="516"/>
    </row>
    <row r="154" spans="1:49">
      <c r="A154" s="332"/>
      <c r="B154" s="334"/>
      <c r="C154" s="334"/>
      <c r="D154" s="379">
        <f t="shared" si="23"/>
        <v>856669</v>
      </c>
      <c r="E154" s="535">
        <f t="shared" si="24"/>
        <v>0</v>
      </c>
      <c r="H154" s="496"/>
      <c r="I154" s="497"/>
      <c r="J154" s="541">
        <f t="shared" si="25"/>
        <v>36916</v>
      </c>
      <c r="K154" s="498"/>
      <c r="L154" s="543">
        <f t="shared" si="26"/>
        <v>0</v>
      </c>
      <c r="M154" s="347"/>
      <c r="N154" s="500"/>
      <c r="O154" s="501"/>
      <c r="P154" s="501"/>
      <c r="Q154" s="549">
        <f t="shared" si="27"/>
        <v>159814</v>
      </c>
      <c r="R154" s="502"/>
      <c r="S154" s="551">
        <f t="shared" si="28"/>
        <v>0</v>
      </c>
      <c r="T154" s="347"/>
      <c r="U154" s="504"/>
      <c r="V154" s="505"/>
      <c r="W154" s="505"/>
      <c r="X154" s="556">
        <f t="shared" si="29"/>
        <v>26290</v>
      </c>
      <c r="Y154" s="506"/>
      <c r="AA154" s="507"/>
      <c r="AB154" s="508"/>
      <c r="AC154" s="508"/>
      <c r="AD154" s="560">
        <f t="shared" si="30"/>
        <v>21907</v>
      </c>
      <c r="AE154" s="509"/>
      <c r="AG154" s="510"/>
      <c r="AH154" s="511"/>
      <c r="AI154" s="511"/>
      <c r="AJ154" s="564">
        <f t="shared" si="31"/>
        <v>82000</v>
      </c>
      <c r="AK154" s="512"/>
      <c r="AL154" s="513"/>
      <c r="AM154" s="514"/>
      <c r="AN154" s="515"/>
      <c r="AO154" s="515"/>
      <c r="AP154" s="568">
        <f t="shared" si="32"/>
        <v>46000</v>
      </c>
      <c r="AQ154" s="516"/>
      <c r="AR154" s="513"/>
      <c r="AS154" s="514"/>
      <c r="AT154" s="515"/>
      <c r="AU154" s="515"/>
      <c r="AV154" s="568">
        <f t="shared" si="33"/>
        <v>69862</v>
      </c>
      <c r="AW154" s="516"/>
    </row>
    <row r="155" spans="1:49">
      <c r="A155" s="332"/>
      <c r="B155" s="334"/>
      <c r="C155" s="334"/>
      <c r="D155" s="379">
        <f t="shared" si="23"/>
        <v>856669</v>
      </c>
      <c r="E155" s="535">
        <f t="shared" si="24"/>
        <v>0</v>
      </c>
      <c r="H155" s="496"/>
      <c r="I155" s="497"/>
      <c r="J155" s="541">
        <f t="shared" si="25"/>
        <v>36916</v>
      </c>
      <c r="K155" s="498"/>
      <c r="L155" s="543">
        <f t="shared" si="26"/>
        <v>0</v>
      </c>
      <c r="M155" s="347"/>
      <c r="N155" s="500"/>
      <c r="O155" s="501"/>
      <c r="P155" s="501"/>
      <c r="Q155" s="549">
        <f t="shared" si="27"/>
        <v>159814</v>
      </c>
      <c r="R155" s="502"/>
      <c r="S155" s="551">
        <f t="shared" si="28"/>
        <v>0</v>
      </c>
      <c r="T155" s="347"/>
      <c r="U155" s="504"/>
      <c r="V155" s="505"/>
      <c r="W155" s="505"/>
      <c r="X155" s="556">
        <f t="shared" si="29"/>
        <v>26290</v>
      </c>
      <c r="Y155" s="506"/>
      <c r="AA155" s="507"/>
      <c r="AB155" s="508"/>
      <c r="AC155" s="508"/>
      <c r="AD155" s="560">
        <f t="shared" si="30"/>
        <v>21907</v>
      </c>
      <c r="AE155" s="509"/>
      <c r="AG155" s="510"/>
      <c r="AH155" s="511"/>
      <c r="AI155" s="511"/>
      <c r="AJ155" s="564">
        <f t="shared" si="31"/>
        <v>82000</v>
      </c>
      <c r="AK155" s="512"/>
      <c r="AL155" s="513"/>
      <c r="AM155" s="514"/>
      <c r="AN155" s="515"/>
      <c r="AO155" s="515"/>
      <c r="AP155" s="568">
        <f t="shared" si="32"/>
        <v>46000</v>
      </c>
      <c r="AQ155" s="516"/>
      <c r="AR155" s="513"/>
      <c r="AS155" s="514"/>
      <c r="AT155" s="515"/>
      <c r="AU155" s="515"/>
      <c r="AV155" s="568">
        <f t="shared" si="33"/>
        <v>69862</v>
      </c>
      <c r="AW155" s="516"/>
    </row>
    <row r="156" spans="1:49">
      <c r="A156" s="332"/>
      <c r="B156" s="334"/>
      <c r="C156" s="334"/>
      <c r="D156" s="379">
        <f t="shared" si="23"/>
        <v>856669</v>
      </c>
      <c r="E156" s="535">
        <f t="shared" si="24"/>
        <v>0</v>
      </c>
      <c r="H156" s="496"/>
      <c r="I156" s="497"/>
      <c r="J156" s="541">
        <f t="shared" si="25"/>
        <v>36916</v>
      </c>
      <c r="K156" s="498"/>
      <c r="L156" s="543">
        <f t="shared" si="26"/>
        <v>0</v>
      </c>
      <c r="M156" s="347"/>
      <c r="N156" s="500"/>
      <c r="O156" s="501"/>
      <c r="P156" s="501"/>
      <c r="Q156" s="549">
        <f t="shared" si="27"/>
        <v>159814</v>
      </c>
      <c r="R156" s="502"/>
      <c r="S156" s="551">
        <f t="shared" si="28"/>
        <v>0</v>
      </c>
      <c r="T156" s="347"/>
      <c r="U156" s="504"/>
      <c r="V156" s="505"/>
      <c r="W156" s="505"/>
      <c r="X156" s="556">
        <f t="shared" si="29"/>
        <v>26290</v>
      </c>
      <c r="Y156" s="506"/>
      <c r="AA156" s="507"/>
      <c r="AB156" s="508"/>
      <c r="AC156" s="508"/>
      <c r="AD156" s="560">
        <f t="shared" si="30"/>
        <v>21907</v>
      </c>
      <c r="AE156" s="509"/>
      <c r="AG156" s="510"/>
      <c r="AH156" s="511"/>
      <c r="AI156" s="511"/>
      <c r="AJ156" s="564">
        <f t="shared" si="31"/>
        <v>82000</v>
      </c>
      <c r="AK156" s="512"/>
      <c r="AL156" s="513"/>
      <c r="AM156" s="514"/>
      <c r="AN156" s="515"/>
      <c r="AO156" s="515"/>
      <c r="AP156" s="568">
        <f t="shared" si="32"/>
        <v>46000</v>
      </c>
      <c r="AQ156" s="516"/>
      <c r="AR156" s="513"/>
      <c r="AS156" s="514"/>
      <c r="AT156" s="515"/>
      <c r="AU156" s="515"/>
      <c r="AV156" s="568">
        <f t="shared" si="33"/>
        <v>69862</v>
      </c>
      <c r="AW156" s="516"/>
    </row>
    <row r="157" spans="1:49">
      <c r="A157" s="332"/>
      <c r="B157" s="334"/>
      <c r="C157" s="334"/>
      <c r="D157" s="379">
        <f t="shared" si="23"/>
        <v>856669</v>
      </c>
      <c r="E157" s="535">
        <f t="shared" si="24"/>
        <v>0</v>
      </c>
      <c r="H157" s="496"/>
      <c r="I157" s="497"/>
      <c r="J157" s="541">
        <f t="shared" si="25"/>
        <v>36916</v>
      </c>
      <c r="K157" s="498"/>
      <c r="L157" s="543">
        <f t="shared" si="26"/>
        <v>0</v>
      </c>
      <c r="M157" s="347"/>
      <c r="N157" s="500"/>
      <c r="O157" s="501"/>
      <c r="P157" s="501"/>
      <c r="Q157" s="549">
        <f t="shared" si="27"/>
        <v>159814</v>
      </c>
      <c r="R157" s="502"/>
      <c r="S157" s="551">
        <f t="shared" si="28"/>
        <v>0</v>
      </c>
      <c r="T157" s="347"/>
      <c r="U157" s="504"/>
      <c r="V157" s="505"/>
      <c r="W157" s="505"/>
      <c r="X157" s="556">
        <f t="shared" si="29"/>
        <v>26290</v>
      </c>
      <c r="Y157" s="506"/>
      <c r="AA157" s="507"/>
      <c r="AB157" s="508"/>
      <c r="AC157" s="508"/>
      <c r="AD157" s="560">
        <f t="shared" si="30"/>
        <v>21907</v>
      </c>
      <c r="AE157" s="509"/>
      <c r="AG157" s="510"/>
      <c r="AH157" s="511"/>
      <c r="AI157" s="511"/>
      <c r="AJ157" s="564">
        <f t="shared" si="31"/>
        <v>82000</v>
      </c>
      <c r="AK157" s="512"/>
      <c r="AL157" s="513"/>
      <c r="AM157" s="514"/>
      <c r="AN157" s="515"/>
      <c r="AO157" s="515"/>
      <c r="AP157" s="568">
        <f t="shared" si="32"/>
        <v>46000</v>
      </c>
      <c r="AQ157" s="516"/>
      <c r="AR157" s="513"/>
      <c r="AS157" s="514"/>
      <c r="AT157" s="515"/>
      <c r="AU157" s="515"/>
      <c r="AV157" s="568">
        <f t="shared" si="33"/>
        <v>69862</v>
      </c>
      <c r="AW157" s="516"/>
    </row>
    <row r="158" spans="1:49">
      <c r="A158" s="332"/>
      <c r="B158" s="334"/>
      <c r="C158" s="334"/>
      <c r="D158" s="379">
        <f t="shared" si="23"/>
        <v>856669</v>
      </c>
      <c r="E158" s="535">
        <f t="shared" si="24"/>
        <v>0</v>
      </c>
      <c r="H158" s="496"/>
      <c r="I158" s="497"/>
      <c r="J158" s="541">
        <f t="shared" si="25"/>
        <v>36916</v>
      </c>
      <c r="K158" s="498"/>
      <c r="L158" s="543">
        <f t="shared" si="26"/>
        <v>0</v>
      </c>
      <c r="M158" s="347"/>
      <c r="N158" s="500"/>
      <c r="O158" s="501"/>
      <c r="P158" s="501"/>
      <c r="Q158" s="549">
        <f t="shared" si="27"/>
        <v>159814</v>
      </c>
      <c r="R158" s="502"/>
      <c r="S158" s="551">
        <f t="shared" si="28"/>
        <v>0</v>
      </c>
      <c r="T158" s="347"/>
      <c r="U158" s="504"/>
      <c r="V158" s="505"/>
      <c r="W158" s="505"/>
      <c r="X158" s="556">
        <f t="shared" si="29"/>
        <v>26290</v>
      </c>
      <c r="Y158" s="506"/>
      <c r="AA158" s="507"/>
      <c r="AB158" s="508"/>
      <c r="AC158" s="508"/>
      <c r="AD158" s="560">
        <f t="shared" si="30"/>
        <v>21907</v>
      </c>
      <c r="AE158" s="509"/>
      <c r="AG158" s="510"/>
      <c r="AH158" s="511"/>
      <c r="AI158" s="511"/>
      <c r="AJ158" s="564">
        <f t="shared" si="31"/>
        <v>82000</v>
      </c>
      <c r="AK158" s="512"/>
      <c r="AL158" s="513"/>
      <c r="AM158" s="514"/>
      <c r="AN158" s="515"/>
      <c r="AO158" s="515"/>
      <c r="AP158" s="568">
        <f t="shared" si="32"/>
        <v>46000</v>
      </c>
      <c r="AQ158" s="516"/>
      <c r="AR158" s="513"/>
      <c r="AS158" s="514"/>
      <c r="AT158" s="515"/>
      <c r="AU158" s="515"/>
      <c r="AV158" s="568">
        <f t="shared" si="33"/>
        <v>69862</v>
      </c>
      <c r="AW158" s="516"/>
    </row>
    <row r="159" spans="1:49">
      <c r="A159" s="332"/>
      <c r="B159" s="334"/>
      <c r="C159" s="334"/>
      <c r="D159" s="379">
        <f t="shared" si="23"/>
        <v>856669</v>
      </c>
      <c r="E159" s="535">
        <f t="shared" si="24"/>
        <v>0</v>
      </c>
      <c r="H159" s="496"/>
      <c r="I159" s="497"/>
      <c r="J159" s="541">
        <f t="shared" si="25"/>
        <v>36916</v>
      </c>
      <c r="K159" s="498"/>
      <c r="L159" s="543">
        <f t="shared" si="26"/>
        <v>0</v>
      </c>
      <c r="M159" s="347"/>
      <c r="N159" s="500"/>
      <c r="O159" s="501"/>
      <c r="P159" s="501"/>
      <c r="Q159" s="549">
        <f t="shared" si="27"/>
        <v>159814</v>
      </c>
      <c r="R159" s="502"/>
      <c r="S159" s="551">
        <f t="shared" si="28"/>
        <v>0</v>
      </c>
      <c r="T159" s="347"/>
      <c r="U159" s="504"/>
      <c r="V159" s="505"/>
      <c r="W159" s="505"/>
      <c r="X159" s="556">
        <f t="shared" si="29"/>
        <v>26290</v>
      </c>
      <c r="Y159" s="506"/>
      <c r="AA159" s="507"/>
      <c r="AB159" s="508"/>
      <c r="AC159" s="508"/>
      <c r="AD159" s="560">
        <f t="shared" si="30"/>
        <v>21907</v>
      </c>
      <c r="AE159" s="509"/>
      <c r="AG159" s="510"/>
      <c r="AH159" s="511"/>
      <c r="AI159" s="511"/>
      <c r="AJ159" s="564">
        <f t="shared" si="31"/>
        <v>82000</v>
      </c>
      <c r="AK159" s="512"/>
      <c r="AL159" s="513"/>
      <c r="AM159" s="514"/>
      <c r="AN159" s="515"/>
      <c r="AO159" s="515"/>
      <c r="AP159" s="568">
        <f t="shared" si="32"/>
        <v>46000</v>
      </c>
      <c r="AQ159" s="516"/>
      <c r="AR159" s="513"/>
      <c r="AS159" s="514"/>
      <c r="AT159" s="515"/>
      <c r="AU159" s="515"/>
      <c r="AV159" s="568">
        <f t="shared" si="33"/>
        <v>69862</v>
      </c>
      <c r="AW159" s="516"/>
    </row>
    <row r="160" spans="1:49">
      <c r="A160" s="332"/>
      <c r="B160" s="334"/>
      <c r="C160" s="334"/>
      <c r="D160" s="379">
        <f t="shared" si="23"/>
        <v>856669</v>
      </c>
      <c r="E160" s="535">
        <f t="shared" si="24"/>
        <v>0</v>
      </c>
      <c r="H160" s="496"/>
      <c r="I160" s="497"/>
      <c r="J160" s="541">
        <f t="shared" si="25"/>
        <v>36916</v>
      </c>
      <c r="K160" s="498"/>
      <c r="L160" s="543">
        <f t="shared" si="26"/>
        <v>0</v>
      </c>
      <c r="M160" s="347"/>
      <c r="N160" s="500"/>
      <c r="O160" s="501"/>
      <c r="P160" s="501"/>
      <c r="Q160" s="549">
        <f t="shared" si="27"/>
        <v>159814</v>
      </c>
      <c r="R160" s="502"/>
      <c r="S160" s="551">
        <f t="shared" si="28"/>
        <v>0</v>
      </c>
      <c r="T160" s="347"/>
      <c r="U160" s="504"/>
      <c r="V160" s="505"/>
      <c r="W160" s="505"/>
      <c r="X160" s="556">
        <f t="shared" si="29"/>
        <v>26290</v>
      </c>
      <c r="Y160" s="506"/>
      <c r="AA160" s="507"/>
      <c r="AB160" s="508"/>
      <c r="AC160" s="508"/>
      <c r="AD160" s="560">
        <f t="shared" si="30"/>
        <v>21907</v>
      </c>
      <c r="AE160" s="509"/>
      <c r="AG160" s="510"/>
      <c r="AH160" s="511"/>
      <c r="AI160" s="511"/>
      <c r="AJ160" s="564">
        <f t="shared" si="31"/>
        <v>82000</v>
      </c>
      <c r="AK160" s="512"/>
      <c r="AL160" s="513"/>
      <c r="AM160" s="514"/>
      <c r="AN160" s="515"/>
      <c r="AO160" s="515"/>
      <c r="AP160" s="568">
        <f t="shared" si="32"/>
        <v>46000</v>
      </c>
      <c r="AQ160" s="516"/>
      <c r="AR160" s="513"/>
      <c r="AS160" s="514"/>
      <c r="AT160" s="515"/>
      <c r="AU160" s="515"/>
      <c r="AV160" s="568">
        <f t="shared" si="33"/>
        <v>69862</v>
      </c>
      <c r="AW160" s="516"/>
    </row>
    <row r="161" spans="1:49">
      <c r="A161" s="332"/>
      <c r="B161" s="334"/>
      <c r="C161" s="334"/>
      <c r="D161" s="379">
        <f t="shared" si="23"/>
        <v>856669</v>
      </c>
      <c r="E161" s="535">
        <f t="shared" si="24"/>
        <v>0</v>
      </c>
      <c r="H161" s="496"/>
      <c r="I161" s="497"/>
      <c r="J161" s="541">
        <f t="shared" si="25"/>
        <v>36916</v>
      </c>
      <c r="K161" s="498"/>
      <c r="L161" s="543">
        <f t="shared" si="26"/>
        <v>0</v>
      </c>
      <c r="M161" s="347"/>
      <c r="N161" s="500"/>
      <c r="O161" s="501"/>
      <c r="P161" s="501"/>
      <c r="Q161" s="549">
        <f t="shared" si="27"/>
        <v>159814</v>
      </c>
      <c r="R161" s="502"/>
      <c r="S161" s="551">
        <f t="shared" si="28"/>
        <v>0</v>
      </c>
      <c r="T161" s="347"/>
      <c r="U161" s="504"/>
      <c r="V161" s="505"/>
      <c r="W161" s="505"/>
      <c r="X161" s="556">
        <f t="shared" si="29"/>
        <v>26290</v>
      </c>
      <c r="Y161" s="506"/>
      <c r="AA161" s="507"/>
      <c r="AB161" s="508"/>
      <c r="AC161" s="508"/>
      <c r="AD161" s="560">
        <f t="shared" si="30"/>
        <v>21907</v>
      </c>
      <c r="AE161" s="509"/>
      <c r="AG161" s="510"/>
      <c r="AH161" s="511"/>
      <c r="AI161" s="511"/>
      <c r="AJ161" s="564">
        <f t="shared" si="31"/>
        <v>82000</v>
      </c>
      <c r="AK161" s="512"/>
      <c r="AL161" s="513"/>
      <c r="AM161" s="514"/>
      <c r="AN161" s="515"/>
      <c r="AO161" s="515"/>
      <c r="AP161" s="568">
        <f t="shared" si="32"/>
        <v>46000</v>
      </c>
      <c r="AQ161" s="516"/>
      <c r="AR161" s="513"/>
      <c r="AS161" s="514"/>
      <c r="AT161" s="515"/>
      <c r="AU161" s="515"/>
      <c r="AV161" s="568">
        <f t="shared" si="33"/>
        <v>69862</v>
      </c>
      <c r="AW161" s="516"/>
    </row>
    <row r="162" spans="1:49">
      <c r="A162" s="332"/>
      <c r="B162" s="334"/>
      <c r="C162" s="334"/>
      <c r="D162" s="379">
        <f t="shared" si="23"/>
        <v>856669</v>
      </c>
      <c r="E162" s="535">
        <f t="shared" si="24"/>
        <v>0</v>
      </c>
      <c r="H162" s="496"/>
      <c r="I162" s="497"/>
      <c r="J162" s="541">
        <f t="shared" si="25"/>
        <v>36916</v>
      </c>
      <c r="K162" s="498"/>
      <c r="L162" s="543">
        <f t="shared" si="26"/>
        <v>0</v>
      </c>
      <c r="M162" s="347"/>
      <c r="N162" s="500"/>
      <c r="O162" s="501"/>
      <c r="P162" s="501"/>
      <c r="Q162" s="549">
        <f t="shared" si="27"/>
        <v>159814</v>
      </c>
      <c r="R162" s="502"/>
      <c r="S162" s="551">
        <f t="shared" si="28"/>
        <v>0</v>
      </c>
      <c r="T162" s="347"/>
      <c r="U162" s="504"/>
      <c r="V162" s="505"/>
      <c r="W162" s="505"/>
      <c r="X162" s="556">
        <f t="shared" si="29"/>
        <v>26290</v>
      </c>
      <c r="Y162" s="506"/>
      <c r="AA162" s="507"/>
      <c r="AB162" s="508"/>
      <c r="AC162" s="508"/>
      <c r="AD162" s="560">
        <f t="shared" si="30"/>
        <v>21907</v>
      </c>
      <c r="AE162" s="509"/>
      <c r="AG162" s="510"/>
      <c r="AH162" s="511"/>
      <c r="AI162" s="511"/>
      <c r="AJ162" s="564">
        <f t="shared" si="31"/>
        <v>82000</v>
      </c>
      <c r="AK162" s="512"/>
      <c r="AL162" s="513"/>
      <c r="AM162" s="514"/>
      <c r="AN162" s="515"/>
      <c r="AO162" s="515"/>
      <c r="AP162" s="568">
        <f t="shared" si="32"/>
        <v>46000</v>
      </c>
      <c r="AQ162" s="516"/>
      <c r="AR162" s="513"/>
      <c r="AS162" s="514"/>
      <c r="AT162" s="515"/>
      <c r="AU162" s="515"/>
      <c r="AV162" s="568">
        <f t="shared" si="33"/>
        <v>69862</v>
      </c>
      <c r="AW162" s="516"/>
    </row>
    <row r="163" spans="1:49">
      <c r="A163" s="332"/>
      <c r="B163" s="334"/>
      <c r="C163" s="334"/>
      <c r="D163" s="379">
        <f t="shared" si="23"/>
        <v>856669</v>
      </c>
      <c r="E163" s="535">
        <f t="shared" si="24"/>
        <v>0</v>
      </c>
      <c r="H163" s="496"/>
      <c r="I163" s="497"/>
      <c r="J163" s="541">
        <f t="shared" si="25"/>
        <v>36916</v>
      </c>
      <c r="K163" s="498"/>
      <c r="L163" s="543">
        <f t="shared" si="26"/>
        <v>0</v>
      </c>
      <c r="M163" s="347"/>
      <c r="N163" s="500"/>
      <c r="O163" s="501"/>
      <c r="P163" s="501"/>
      <c r="Q163" s="549">
        <f t="shared" si="27"/>
        <v>159814</v>
      </c>
      <c r="R163" s="502"/>
      <c r="S163" s="551">
        <f t="shared" si="28"/>
        <v>0</v>
      </c>
      <c r="T163" s="347"/>
      <c r="U163" s="504"/>
      <c r="V163" s="505"/>
      <c r="W163" s="505"/>
      <c r="X163" s="556">
        <f t="shared" si="29"/>
        <v>26290</v>
      </c>
      <c r="Y163" s="506"/>
      <c r="AA163" s="507"/>
      <c r="AB163" s="508"/>
      <c r="AC163" s="508"/>
      <c r="AD163" s="560">
        <f t="shared" si="30"/>
        <v>21907</v>
      </c>
      <c r="AE163" s="509"/>
      <c r="AG163" s="510"/>
      <c r="AH163" s="511"/>
      <c r="AI163" s="511"/>
      <c r="AJ163" s="564">
        <f t="shared" si="31"/>
        <v>82000</v>
      </c>
      <c r="AK163" s="512"/>
      <c r="AL163" s="513"/>
      <c r="AM163" s="514"/>
      <c r="AN163" s="515"/>
      <c r="AO163" s="515"/>
      <c r="AP163" s="568">
        <f t="shared" si="32"/>
        <v>46000</v>
      </c>
      <c r="AQ163" s="516"/>
      <c r="AR163" s="513"/>
      <c r="AS163" s="514"/>
      <c r="AT163" s="515"/>
      <c r="AU163" s="515"/>
      <c r="AV163" s="568">
        <f t="shared" si="33"/>
        <v>69862</v>
      </c>
      <c r="AW163" s="516"/>
    </row>
    <row r="164" spans="1:49">
      <c r="A164" s="332"/>
      <c r="B164" s="334"/>
      <c r="C164" s="334"/>
      <c r="D164" s="379">
        <f t="shared" si="23"/>
        <v>856669</v>
      </c>
      <c r="E164" s="535">
        <f t="shared" si="24"/>
        <v>0</v>
      </c>
      <c r="H164" s="496"/>
      <c r="I164" s="497"/>
      <c r="J164" s="541">
        <f t="shared" si="25"/>
        <v>36916</v>
      </c>
      <c r="K164" s="498"/>
      <c r="L164" s="543">
        <f t="shared" si="26"/>
        <v>0</v>
      </c>
      <c r="M164" s="347"/>
      <c r="N164" s="500"/>
      <c r="O164" s="501"/>
      <c r="P164" s="501"/>
      <c r="Q164" s="549">
        <f t="shared" si="27"/>
        <v>159814</v>
      </c>
      <c r="R164" s="502"/>
      <c r="S164" s="551">
        <f t="shared" si="28"/>
        <v>0</v>
      </c>
      <c r="T164" s="347"/>
      <c r="U164" s="504"/>
      <c r="V164" s="505"/>
      <c r="W164" s="505"/>
      <c r="X164" s="556">
        <f t="shared" si="29"/>
        <v>26290</v>
      </c>
      <c r="Y164" s="506"/>
      <c r="AA164" s="507"/>
      <c r="AB164" s="508"/>
      <c r="AC164" s="508"/>
      <c r="AD164" s="560">
        <f t="shared" si="30"/>
        <v>21907</v>
      </c>
      <c r="AE164" s="509"/>
      <c r="AG164" s="510"/>
      <c r="AH164" s="511"/>
      <c r="AI164" s="511"/>
      <c r="AJ164" s="564">
        <f t="shared" si="31"/>
        <v>82000</v>
      </c>
      <c r="AK164" s="512"/>
      <c r="AL164" s="513"/>
      <c r="AM164" s="514"/>
      <c r="AN164" s="515"/>
      <c r="AO164" s="515"/>
      <c r="AP164" s="568">
        <f t="shared" si="32"/>
        <v>46000</v>
      </c>
      <c r="AQ164" s="516"/>
      <c r="AR164" s="513"/>
      <c r="AS164" s="514"/>
      <c r="AT164" s="515"/>
      <c r="AU164" s="515"/>
      <c r="AV164" s="568">
        <f t="shared" si="33"/>
        <v>69862</v>
      </c>
      <c r="AW164" s="516"/>
    </row>
    <row r="165" spans="1:49">
      <c r="A165" s="332"/>
      <c r="B165" s="334"/>
      <c r="C165" s="334"/>
      <c r="D165" s="379">
        <f t="shared" si="23"/>
        <v>856669</v>
      </c>
      <c r="E165" s="535">
        <f t="shared" si="24"/>
        <v>0</v>
      </c>
      <c r="H165" s="496"/>
      <c r="I165" s="497"/>
      <c r="J165" s="541">
        <f t="shared" si="25"/>
        <v>36916</v>
      </c>
      <c r="K165" s="498"/>
      <c r="L165" s="543">
        <f t="shared" si="26"/>
        <v>0</v>
      </c>
      <c r="M165" s="347"/>
      <c r="N165" s="500"/>
      <c r="O165" s="501"/>
      <c r="P165" s="501"/>
      <c r="Q165" s="549">
        <f t="shared" si="27"/>
        <v>159814</v>
      </c>
      <c r="R165" s="502"/>
      <c r="S165" s="551">
        <f t="shared" si="28"/>
        <v>0</v>
      </c>
      <c r="T165" s="347"/>
      <c r="U165" s="504"/>
      <c r="V165" s="505"/>
      <c r="W165" s="505"/>
      <c r="X165" s="556">
        <f t="shared" si="29"/>
        <v>26290</v>
      </c>
      <c r="Y165" s="506"/>
      <c r="AA165" s="507"/>
      <c r="AB165" s="508"/>
      <c r="AC165" s="508"/>
      <c r="AD165" s="560">
        <f t="shared" si="30"/>
        <v>21907</v>
      </c>
      <c r="AE165" s="509"/>
      <c r="AG165" s="510"/>
      <c r="AH165" s="511"/>
      <c r="AI165" s="511"/>
      <c r="AJ165" s="564">
        <f t="shared" si="31"/>
        <v>82000</v>
      </c>
      <c r="AK165" s="512"/>
      <c r="AL165" s="513"/>
      <c r="AM165" s="514"/>
      <c r="AN165" s="515"/>
      <c r="AO165" s="515"/>
      <c r="AP165" s="568">
        <f t="shared" si="32"/>
        <v>46000</v>
      </c>
      <c r="AQ165" s="516"/>
      <c r="AR165" s="513"/>
      <c r="AS165" s="514"/>
      <c r="AT165" s="515"/>
      <c r="AU165" s="515"/>
      <c r="AV165" s="568">
        <f t="shared" si="33"/>
        <v>69862</v>
      </c>
      <c r="AW165" s="516"/>
    </row>
    <row r="166" spans="1:49">
      <c r="A166" s="332"/>
      <c r="B166" s="334"/>
      <c r="C166" s="334"/>
      <c r="D166" s="379">
        <f t="shared" si="23"/>
        <v>856669</v>
      </c>
      <c r="E166" s="535">
        <f t="shared" si="24"/>
        <v>0</v>
      </c>
      <c r="H166" s="496"/>
      <c r="I166" s="497"/>
      <c r="J166" s="541">
        <f t="shared" si="25"/>
        <v>36916</v>
      </c>
      <c r="K166" s="498"/>
      <c r="L166" s="543">
        <f t="shared" si="26"/>
        <v>0</v>
      </c>
      <c r="M166" s="347"/>
      <c r="N166" s="500"/>
      <c r="O166" s="501"/>
      <c r="P166" s="501"/>
      <c r="Q166" s="549">
        <f t="shared" si="27"/>
        <v>159814</v>
      </c>
      <c r="R166" s="502"/>
      <c r="S166" s="551">
        <f t="shared" si="28"/>
        <v>0</v>
      </c>
      <c r="T166" s="347"/>
      <c r="U166" s="504"/>
      <c r="V166" s="505"/>
      <c r="W166" s="505"/>
      <c r="X166" s="556">
        <f t="shared" si="29"/>
        <v>26290</v>
      </c>
      <c r="Y166" s="506"/>
      <c r="AA166" s="507"/>
      <c r="AB166" s="508"/>
      <c r="AC166" s="508"/>
      <c r="AD166" s="560">
        <f t="shared" si="30"/>
        <v>21907</v>
      </c>
      <c r="AE166" s="509"/>
      <c r="AG166" s="510"/>
      <c r="AH166" s="511"/>
      <c r="AI166" s="511"/>
      <c r="AJ166" s="564">
        <f t="shared" si="31"/>
        <v>82000</v>
      </c>
      <c r="AK166" s="512"/>
      <c r="AL166" s="513"/>
      <c r="AM166" s="514"/>
      <c r="AN166" s="515"/>
      <c r="AO166" s="515"/>
      <c r="AP166" s="568">
        <f t="shared" si="32"/>
        <v>46000</v>
      </c>
      <c r="AQ166" s="516"/>
      <c r="AR166" s="513"/>
      <c r="AS166" s="514"/>
      <c r="AT166" s="515"/>
      <c r="AU166" s="515"/>
      <c r="AV166" s="568">
        <f t="shared" si="33"/>
        <v>69862</v>
      </c>
      <c r="AW166" s="516"/>
    </row>
    <row r="167" spans="1:49">
      <c r="A167" s="332"/>
      <c r="B167" s="334"/>
      <c r="C167" s="334"/>
      <c r="D167" s="379">
        <f t="shared" si="23"/>
        <v>856669</v>
      </c>
      <c r="E167" s="535">
        <f t="shared" si="24"/>
        <v>0</v>
      </c>
      <c r="H167" s="496"/>
      <c r="I167" s="497"/>
      <c r="J167" s="541">
        <f t="shared" si="25"/>
        <v>36916</v>
      </c>
      <c r="K167" s="498"/>
      <c r="L167" s="543">
        <f t="shared" si="26"/>
        <v>0</v>
      </c>
      <c r="M167" s="347"/>
      <c r="N167" s="500"/>
      <c r="O167" s="501"/>
      <c r="P167" s="501"/>
      <c r="Q167" s="549">
        <f t="shared" si="27"/>
        <v>159814</v>
      </c>
      <c r="R167" s="502"/>
      <c r="S167" s="551">
        <f t="shared" si="28"/>
        <v>0</v>
      </c>
      <c r="T167" s="347"/>
      <c r="U167" s="504"/>
      <c r="V167" s="505"/>
      <c r="W167" s="505"/>
      <c r="X167" s="556">
        <f t="shared" si="29"/>
        <v>26290</v>
      </c>
      <c r="Y167" s="506"/>
      <c r="AA167" s="507"/>
      <c r="AB167" s="508"/>
      <c r="AC167" s="508"/>
      <c r="AD167" s="560">
        <f t="shared" si="30"/>
        <v>21907</v>
      </c>
      <c r="AE167" s="509"/>
      <c r="AG167" s="510"/>
      <c r="AH167" s="511"/>
      <c r="AI167" s="511"/>
      <c r="AJ167" s="564">
        <f t="shared" si="31"/>
        <v>82000</v>
      </c>
      <c r="AK167" s="512"/>
      <c r="AL167" s="513"/>
      <c r="AM167" s="514"/>
      <c r="AN167" s="515"/>
      <c r="AO167" s="515"/>
      <c r="AP167" s="568">
        <f t="shared" si="32"/>
        <v>46000</v>
      </c>
      <c r="AQ167" s="516"/>
      <c r="AR167" s="513"/>
      <c r="AS167" s="514"/>
      <c r="AT167" s="515"/>
      <c r="AU167" s="515"/>
      <c r="AV167" s="568">
        <f t="shared" si="33"/>
        <v>69862</v>
      </c>
      <c r="AW167" s="516"/>
    </row>
    <row r="168" spans="1:49">
      <c r="A168" s="332"/>
      <c r="B168" s="334"/>
      <c r="C168" s="334"/>
      <c r="D168" s="379">
        <f t="shared" si="23"/>
        <v>856669</v>
      </c>
      <c r="E168" s="535">
        <f t="shared" si="24"/>
        <v>0</v>
      </c>
      <c r="H168" s="496"/>
      <c r="I168" s="497"/>
      <c r="J168" s="541">
        <f t="shared" si="25"/>
        <v>36916</v>
      </c>
      <c r="K168" s="498"/>
      <c r="L168" s="543">
        <f t="shared" si="26"/>
        <v>0</v>
      </c>
      <c r="M168" s="347"/>
      <c r="N168" s="500"/>
      <c r="O168" s="501"/>
      <c r="P168" s="501"/>
      <c r="Q168" s="549">
        <f t="shared" si="27"/>
        <v>159814</v>
      </c>
      <c r="R168" s="502"/>
      <c r="S168" s="551">
        <f t="shared" si="28"/>
        <v>0</v>
      </c>
      <c r="T168" s="347"/>
      <c r="U168" s="504"/>
      <c r="V168" s="505"/>
      <c r="W168" s="505"/>
      <c r="X168" s="556">
        <f t="shared" si="29"/>
        <v>26290</v>
      </c>
      <c r="Y168" s="506"/>
      <c r="AA168" s="507"/>
      <c r="AB168" s="508"/>
      <c r="AC168" s="508"/>
      <c r="AD168" s="560">
        <f t="shared" si="30"/>
        <v>21907</v>
      </c>
      <c r="AE168" s="509"/>
      <c r="AG168" s="510"/>
      <c r="AH168" s="511"/>
      <c r="AI168" s="511"/>
      <c r="AJ168" s="564">
        <f t="shared" si="31"/>
        <v>82000</v>
      </c>
      <c r="AK168" s="512"/>
      <c r="AL168" s="513"/>
      <c r="AM168" s="514"/>
      <c r="AN168" s="515"/>
      <c r="AO168" s="515"/>
      <c r="AP168" s="568">
        <f t="shared" si="32"/>
        <v>46000</v>
      </c>
      <c r="AQ168" s="516"/>
      <c r="AR168" s="513"/>
      <c r="AS168" s="514"/>
      <c r="AT168" s="515"/>
      <c r="AU168" s="515"/>
      <c r="AV168" s="568">
        <f t="shared" si="33"/>
        <v>69862</v>
      </c>
      <c r="AW168" s="516"/>
    </row>
    <row r="169" spans="1:49">
      <c r="A169" s="332"/>
      <c r="B169" s="334"/>
      <c r="C169" s="334"/>
      <c r="D169" s="379">
        <f t="shared" si="23"/>
        <v>856669</v>
      </c>
      <c r="E169" s="535">
        <f t="shared" si="24"/>
        <v>0</v>
      </c>
      <c r="H169" s="496"/>
      <c r="I169" s="497"/>
      <c r="J169" s="541">
        <f t="shared" si="25"/>
        <v>36916</v>
      </c>
      <c r="K169" s="498"/>
      <c r="L169" s="543">
        <f t="shared" si="26"/>
        <v>0</v>
      </c>
      <c r="M169" s="347"/>
      <c r="N169" s="500"/>
      <c r="O169" s="501"/>
      <c r="P169" s="501"/>
      <c r="Q169" s="549">
        <f t="shared" si="27"/>
        <v>159814</v>
      </c>
      <c r="R169" s="502"/>
      <c r="S169" s="551">
        <f t="shared" si="28"/>
        <v>0</v>
      </c>
      <c r="T169" s="347"/>
      <c r="U169" s="504"/>
      <c r="V169" s="505"/>
      <c r="W169" s="505"/>
      <c r="X169" s="556">
        <f t="shared" si="29"/>
        <v>26290</v>
      </c>
      <c r="Y169" s="506"/>
      <c r="AA169" s="507"/>
      <c r="AB169" s="508"/>
      <c r="AC169" s="508"/>
      <c r="AD169" s="560">
        <f t="shared" si="30"/>
        <v>21907</v>
      </c>
      <c r="AE169" s="509"/>
      <c r="AG169" s="510"/>
      <c r="AH169" s="511"/>
      <c r="AI169" s="511"/>
      <c r="AJ169" s="564">
        <f t="shared" si="31"/>
        <v>82000</v>
      </c>
      <c r="AK169" s="512"/>
      <c r="AL169" s="513"/>
      <c r="AM169" s="514"/>
      <c r="AN169" s="515"/>
      <c r="AO169" s="515"/>
      <c r="AP169" s="568">
        <f t="shared" si="32"/>
        <v>46000</v>
      </c>
      <c r="AQ169" s="516"/>
      <c r="AR169" s="513"/>
      <c r="AS169" s="514"/>
      <c r="AT169" s="515"/>
      <c r="AU169" s="515"/>
      <c r="AV169" s="568">
        <f t="shared" si="33"/>
        <v>69862</v>
      </c>
      <c r="AW169" s="516"/>
    </row>
    <row r="170" spans="1:49">
      <c r="A170" s="332"/>
      <c r="B170" s="334"/>
      <c r="C170" s="334"/>
      <c r="D170" s="379">
        <f t="shared" si="23"/>
        <v>856669</v>
      </c>
      <c r="E170" s="535">
        <f t="shared" si="24"/>
        <v>0</v>
      </c>
      <c r="H170" s="496"/>
      <c r="I170" s="497"/>
      <c r="J170" s="541">
        <f t="shared" si="25"/>
        <v>36916</v>
      </c>
      <c r="K170" s="498"/>
      <c r="L170" s="543">
        <f t="shared" si="26"/>
        <v>0</v>
      </c>
      <c r="M170" s="347"/>
      <c r="N170" s="500"/>
      <c r="O170" s="501"/>
      <c r="P170" s="501"/>
      <c r="Q170" s="549">
        <f t="shared" si="27"/>
        <v>159814</v>
      </c>
      <c r="R170" s="502"/>
      <c r="S170" s="551">
        <f t="shared" si="28"/>
        <v>0</v>
      </c>
      <c r="T170" s="347"/>
      <c r="U170" s="504"/>
      <c r="V170" s="505"/>
      <c r="W170" s="505"/>
      <c r="X170" s="556">
        <f t="shared" si="29"/>
        <v>26290</v>
      </c>
      <c r="Y170" s="506"/>
      <c r="AA170" s="507"/>
      <c r="AB170" s="508"/>
      <c r="AC170" s="508"/>
      <c r="AD170" s="560">
        <f t="shared" si="30"/>
        <v>21907</v>
      </c>
      <c r="AE170" s="509"/>
      <c r="AG170" s="510"/>
      <c r="AH170" s="511"/>
      <c r="AI170" s="511"/>
      <c r="AJ170" s="564">
        <f t="shared" si="31"/>
        <v>82000</v>
      </c>
      <c r="AK170" s="512"/>
      <c r="AL170" s="513"/>
      <c r="AM170" s="514"/>
      <c r="AN170" s="515"/>
      <c r="AO170" s="515"/>
      <c r="AP170" s="568">
        <f t="shared" si="32"/>
        <v>46000</v>
      </c>
      <c r="AQ170" s="516"/>
      <c r="AR170" s="513"/>
      <c r="AS170" s="514"/>
      <c r="AT170" s="515"/>
      <c r="AU170" s="515"/>
      <c r="AV170" s="568">
        <f t="shared" si="33"/>
        <v>69862</v>
      </c>
      <c r="AW170" s="516"/>
    </row>
    <row r="171" spans="1:49">
      <c r="A171" s="332"/>
      <c r="B171" s="334"/>
      <c r="C171" s="334"/>
      <c r="D171" s="379">
        <f t="shared" si="23"/>
        <v>856669</v>
      </c>
      <c r="E171" s="535">
        <f t="shared" si="24"/>
        <v>0</v>
      </c>
      <c r="H171" s="496"/>
      <c r="I171" s="497"/>
      <c r="J171" s="541">
        <f t="shared" si="25"/>
        <v>36916</v>
      </c>
      <c r="K171" s="498"/>
      <c r="L171" s="543">
        <f t="shared" si="26"/>
        <v>0</v>
      </c>
      <c r="M171" s="347"/>
      <c r="N171" s="500"/>
      <c r="O171" s="501"/>
      <c r="P171" s="501"/>
      <c r="Q171" s="549">
        <f t="shared" si="27"/>
        <v>159814</v>
      </c>
      <c r="R171" s="502"/>
      <c r="S171" s="551">
        <f t="shared" si="28"/>
        <v>0</v>
      </c>
      <c r="T171" s="347"/>
      <c r="U171" s="504"/>
      <c r="V171" s="505"/>
      <c r="W171" s="505"/>
      <c r="X171" s="556">
        <f t="shared" si="29"/>
        <v>26290</v>
      </c>
      <c r="Y171" s="506"/>
      <c r="AA171" s="507"/>
      <c r="AB171" s="508"/>
      <c r="AC171" s="508"/>
      <c r="AD171" s="560">
        <f t="shared" si="30"/>
        <v>21907</v>
      </c>
      <c r="AE171" s="509"/>
      <c r="AG171" s="510"/>
      <c r="AH171" s="511"/>
      <c r="AI171" s="511"/>
      <c r="AJ171" s="564">
        <f t="shared" si="31"/>
        <v>82000</v>
      </c>
      <c r="AK171" s="512"/>
      <c r="AL171" s="513"/>
      <c r="AM171" s="514"/>
      <c r="AN171" s="515"/>
      <c r="AO171" s="515"/>
      <c r="AP171" s="568">
        <f t="shared" si="32"/>
        <v>46000</v>
      </c>
      <c r="AQ171" s="516"/>
      <c r="AR171" s="513"/>
      <c r="AS171" s="514"/>
      <c r="AT171" s="515"/>
      <c r="AU171" s="515"/>
      <c r="AV171" s="568">
        <f t="shared" si="33"/>
        <v>69862</v>
      </c>
      <c r="AW171" s="516"/>
    </row>
    <row r="172" spans="1:49">
      <c r="A172" s="332"/>
      <c r="B172" s="334"/>
      <c r="C172" s="334"/>
      <c r="D172" s="379">
        <f t="shared" si="23"/>
        <v>856669</v>
      </c>
      <c r="E172" s="535">
        <f t="shared" si="24"/>
        <v>0</v>
      </c>
      <c r="H172" s="496"/>
      <c r="I172" s="497"/>
      <c r="J172" s="541">
        <f t="shared" si="25"/>
        <v>36916</v>
      </c>
      <c r="K172" s="498"/>
      <c r="L172" s="543">
        <f t="shared" si="26"/>
        <v>0</v>
      </c>
      <c r="M172" s="347"/>
      <c r="N172" s="500"/>
      <c r="O172" s="501"/>
      <c r="P172" s="501"/>
      <c r="Q172" s="549">
        <f t="shared" si="27"/>
        <v>159814</v>
      </c>
      <c r="R172" s="502"/>
      <c r="S172" s="551">
        <f t="shared" si="28"/>
        <v>0</v>
      </c>
      <c r="T172" s="347"/>
      <c r="U172" s="504"/>
      <c r="V172" s="505"/>
      <c r="W172" s="505"/>
      <c r="X172" s="556">
        <f t="shared" si="29"/>
        <v>26290</v>
      </c>
      <c r="Y172" s="506"/>
      <c r="AA172" s="507"/>
      <c r="AB172" s="508"/>
      <c r="AC172" s="508"/>
      <c r="AD172" s="560">
        <f t="shared" si="30"/>
        <v>21907</v>
      </c>
      <c r="AE172" s="509"/>
      <c r="AG172" s="510"/>
      <c r="AH172" s="511"/>
      <c r="AI172" s="511"/>
      <c r="AJ172" s="564">
        <f t="shared" si="31"/>
        <v>82000</v>
      </c>
      <c r="AK172" s="512"/>
      <c r="AL172" s="513"/>
      <c r="AM172" s="514"/>
      <c r="AN172" s="515"/>
      <c r="AO172" s="515"/>
      <c r="AP172" s="568">
        <f t="shared" si="32"/>
        <v>46000</v>
      </c>
      <c r="AQ172" s="516"/>
      <c r="AR172" s="513"/>
      <c r="AS172" s="514"/>
      <c r="AT172" s="515"/>
      <c r="AU172" s="515"/>
      <c r="AV172" s="568">
        <f t="shared" si="33"/>
        <v>69862</v>
      </c>
      <c r="AW172" s="516"/>
    </row>
    <row r="173" spans="1:49">
      <c r="A173" s="332"/>
      <c r="B173" s="334"/>
      <c r="C173" s="334"/>
      <c r="D173" s="379">
        <f t="shared" si="23"/>
        <v>856669</v>
      </c>
      <c r="E173" s="535">
        <f t="shared" si="24"/>
        <v>0</v>
      </c>
      <c r="H173" s="496"/>
      <c r="I173" s="497"/>
      <c r="J173" s="541">
        <f t="shared" si="25"/>
        <v>36916</v>
      </c>
      <c r="K173" s="498"/>
      <c r="L173" s="543">
        <f t="shared" si="26"/>
        <v>0</v>
      </c>
      <c r="M173" s="347"/>
      <c r="N173" s="500"/>
      <c r="O173" s="501"/>
      <c r="P173" s="501"/>
      <c r="Q173" s="549">
        <f t="shared" si="27"/>
        <v>159814</v>
      </c>
      <c r="R173" s="502"/>
      <c r="S173" s="551">
        <f t="shared" si="28"/>
        <v>0</v>
      </c>
      <c r="T173" s="347"/>
      <c r="U173" s="504"/>
      <c r="V173" s="505"/>
      <c r="W173" s="505"/>
      <c r="X173" s="556">
        <f t="shared" si="29"/>
        <v>26290</v>
      </c>
      <c r="Y173" s="506"/>
      <c r="AA173" s="507"/>
      <c r="AB173" s="508"/>
      <c r="AC173" s="508"/>
      <c r="AD173" s="560">
        <f t="shared" si="30"/>
        <v>21907</v>
      </c>
      <c r="AE173" s="509"/>
      <c r="AG173" s="510"/>
      <c r="AH173" s="511"/>
      <c r="AI173" s="511"/>
      <c r="AJ173" s="564">
        <f t="shared" si="31"/>
        <v>82000</v>
      </c>
      <c r="AK173" s="512"/>
      <c r="AL173" s="513"/>
      <c r="AM173" s="514"/>
      <c r="AN173" s="515"/>
      <c r="AO173" s="515"/>
      <c r="AP173" s="568">
        <f t="shared" si="32"/>
        <v>46000</v>
      </c>
      <c r="AQ173" s="516"/>
      <c r="AR173" s="513"/>
      <c r="AS173" s="514"/>
      <c r="AT173" s="515"/>
      <c r="AU173" s="515"/>
      <c r="AV173" s="568">
        <f t="shared" si="33"/>
        <v>69862</v>
      </c>
      <c r="AW173" s="516"/>
    </row>
    <row r="174" spans="1:49">
      <c r="A174" s="332"/>
      <c r="B174" s="334"/>
      <c r="C174" s="334"/>
      <c r="D174" s="379">
        <f t="shared" si="23"/>
        <v>856669</v>
      </c>
      <c r="E174" s="535">
        <f t="shared" si="24"/>
        <v>0</v>
      </c>
      <c r="H174" s="496"/>
      <c r="I174" s="497"/>
      <c r="J174" s="541">
        <f t="shared" si="25"/>
        <v>36916</v>
      </c>
      <c r="K174" s="498"/>
      <c r="L174" s="543">
        <f t="shared" si="26"/>
        <v>0</v>
      </c>
      <c r="M174" s="347"/>
      <c r="N174" s="500"/>
      <c r="O174" s="501"/>
      <c r="P174" s="501"/>
      <c r="Q174" s="549">
        <f t="shared" si="27"/>
        <v>159814</v>
      </c>
      <c r="R174" s="502"/>
      <c r="S174" s="551">
        <f t="shared" si="28"/>
        <v>0</v>
      </c>
      <c r="T174" s="347"/>
      <c r="U174" s="504"/>
      <c r="V174" s="505"/>
      <c r="W174" s="505"/>
      <c r="X174" s="556">
        <f t="shared" si="29"/>
        <v>26290</v>
      </c>
      <c r="Y174" s="506"/>
      <c r="AA174" s="507"/>
      <c r="AB174" s="508"/>
      <c r="AC174" s="508"/>
      <c r="AD174" s="560">
        <f t="shared" si="30"/>
        <v>21907</v>
      </c>
      <c r="AE174" s="509"/>
      <c r="AG174" s="510"/>
      <c r="AH174" s="511"/>
      <c r="AI174" s="511"/>
      <c r="AJ174" s="564">
        <f t="shared" si="31"/>
        <v>82000</v>
      </c>
      <c r="AK174" s="512"/>
      <c r="AL174" s="513"/>
      <c r="AM174" s="514"/>
      <c r="AN174" s="515"/>
      <c r="AO174" s="515"/>
      <c r="AP174" s="568">
        <f t="shared" si="32"/>
        <v>46000</v>
      </c>
      <c r="AQ174" s="516"/>
      <c r="AR174" s="513"/>
      <c r="AS174" s="514"/>
      <c r="AT174" s="515"/>
      <c r="AU174" s="515"/>
      <c r="AV174" s="568">
        <f t="shared" si="33"/>
        <v>69862</v>
      </c>
      <c r="AW174" s="516"/>
    </row>
    <row r="175" spans="1:49">
      <c r="A175" s="332"/>
      <c r="B175" s="334"/>
      <c r="C175" s="334"/>
      <c r="D175" s="379">
        <f t="shared" si="23"/>
        <v>856669</v>
      </c>
      <c r="E175" s="535">
        <f t="shared" si="24"/>
        <v>0</v>
      </c>
      <c r="H175" s="496"/>
      <c r="I175" s="497"/>
      <c r="J175" s="541">
        <f t="shared" si="25"/>
        <v>36916</v>
      </c>
      <c r="K175" s="498"/>
      <c r="L175" s="543">
        <f t="shared" si="26"/>
        <v>0</v>
      </c>
      <c r="M175" s="347"/>
      <c r="N175" s="500"/>
      <c r="O175" s="501"/>
      <c r="P175" s="501"/>
      <c r="Q175" s="549">
        <f t="shared" si="27"/>
        <v>159814</v>
      </c>
      <c r="R175" s="502"/>
      <c r="S175" s="551">
        <f t="shared" si="28"/>
        <v>0</v>
      </c>
      <c r="T175" s="347"/>
      <c r="U175" s="504"/>
      <c r="V175" s="505"/>
      <c r="W175" s="505"/>
      <c r="X175" s="556">
        <f t="shared" si="29"/>
        <v>26290</v>
      </c>
      <c r="Y175" s="506"/>
      <c r="AA175" s="507"/>
      <c r="AB175" s="508"/>
      <c r="AC175" s="508"/>
      <c r="AD175" s="560">
        <f t="shared" si="30"/>
        <v>21907</v>
      </c>
      <c r="AE175" s="509"/>
      <c r="AG175" s="510"/>
      <c r="AH175" s="511"/>
      <c r="AI175" s="511"/>
      <c r="AJ175" s="564">
        <f t="shared" si="31"/>
        <v>82000</v>
      </c>
      <c r="AK175" s="512"/>
      <c r="AL175" s="513"/>
      <c r="AM175" s="514"/>
      <c r="AN175" s="515"/>
      <c r="AO175" s="515"/>
      <c r="AP175" s="568">
        <f t="shared" si="32"/>
        <v>46000</v>
      </c>
      <c r="AQ175" s="516"/>
      <c r="AR175" s="513"/>
      <c r="AS175" s="514"/>
      <c r="AT175" s="515"/>
      <c r="AU175" s="515"/>
      <c r="AV175" s="568">
        <f t="shared" si="33"/>
        <v>69862</v>
      </c>
      <c r="AW175" s="516"/>
    </row>
    <row r="176" spans="1:49">
      <c r="A176" s="332"/>
      <c r="B176" s="334"/>
      <c r="C176" s="334"/>
      <c r="D176" s="379">
        <f t="shared" si="23"/>
        <v>856669</v>
      </c>
      <c r="E176" s="535">
        <f t="shared" si="24"/>
        <v>0</v>
      </c>
      <c r="H176" s="496"/>
      <c r="I176" s="497"/>
      <c r="J176" s="541">
        <f t="shared" si="25"/>
        <v>36916</v>
      </c>
      <c r="K176" s="498"/>
      <c r="L176" s="543">
        <f t="shared" si="26"/>
        <v>0</v>
      </c>
      <c r="M176" s="347"/>
      <c r="N176" s="500"/>
      <c r="O176" s="501"/>
      <c r="P176" s="501"/>
      <c r="Q176" s="549">
        <f t="shared" si="27"/>
        <v>159814</v>
      </c>
      <c r="R176" s="502"/>
      <c r="S176" s="551">
        <f t="shared" si="28"/>
        <v>0</v>
      </c>
      <c r="T176" s="347"/>
      <c r="U176" s="504"/>
      <c r="V176" s="505"/>
      <c r="W176" s="505"/>
      <c r="X176" s="556">
        <f t="shared" si="29"/>
        <v>26290</v>
      </c>
      <c r="Y176" s="506"/>
      <c r="AA176" s="507"/>
      <c r="AB176" s="508"/>
      <c r="AC176" s="508"/>
      <c r="AD176" s="560">
        <f t="shared" si="30"/>
        <v>21907</v>
      </c>
      <c r="AE176" s="509"/>
      <c r="AG176" s="510"/>
      <c r="AH176" s="511"/>
      <c r="AI176" s="511"/>
      <c r="AJ176" s="564">
        <f t="shared" si="31"/>
        <v>82000</v>
      </c>
      <c r="AK176" s="512"/>
      <c r="AL176" s="513"/>
      <c r="AM176" s="514"/>
      <c r="AN176" s="515"/>
      <c r="AO176" s="515"/>
      <c r="AP176" s="568">
        <f t="shared" si="32"/>
        <v>46000</v>
      </c>
      <c r="AQ176" s="516"/>
      <c r="AR176" s="513"/>
      <c r="AS176" s="514"/>
      <c r="AT176" s="515"/>
      <c r="AU176" s="515"/>
      <c r="AV176" s="568">
        <f t="shared" si="33"/>
        <v>69862</v>
      </c>
      <c r="AW176" s="516"/>
    </row>
    <row r="177" spans="1:49">
      <c r="A177" s="332"/>
      <c r="B177" s="334"/>
      <c r="C177" s="334"/>
      <c r="D177" s="379">
        <f t="shared" si="23"/>
        <v>856669</v>
      </c>
      <c r="E177" s="535">
        <f t="shared" si="24"/>
        <v>0</v>
      </c>
      <c r="H177" s="496"/>
      <c r="I177" s="497"/>
      <c r="J177" s="541">
        <f t="shared" si="25"/>
        <v>36916</v>
      </c>
      <c r="K177" s="498"/>
      <c r="L177" s="543">
        <f t="shared" si="26"/>
        <v>0</v>
      </c>
      <c r="M177" s="347"/>
      <c r="N177" s="500"/>
      <c r="O177" s="501"/>
      <c r="P177" s="501"/>
      <c r="Q177" s="549">
        <f t="shared" si="27"/>
        <v>159814</v>
      </c>
      <c r="R177" s="502"/>
      <c r="S177" s="551">
        <f t="shared" si="28"/>
        <v>0</v>
      </c>
      <c r="T177" s="347"/>
      <c r="U177" s="504"/>
      <c r="V177" s="505"/>
      <c r="W177" s="505"/>
      <c r="X177" s="556">
        <f t="shared" si="29"/>
        <v>26290</v>
      </c>
      <c r="Y177" s="506"/>
      <c r="AA177" s="507"/>
      <c r="AB177" s="508"/>
      <c r="AC177" s="508"/>
      <c r="AD177" s="560">
        <f t="shared" si="30"/>
        <v>21907</v>
      </c>
      <c r="AE177" s="509"/>
      <c r="AG177" s="510"/>
      <c r="AH177" s="511"/>
      <c r="AI177" s="511"/>
      <c r="AJ177" s="564">
        <f t="shared" si="31"/>
        <v>82000</v>
      </c>
      <c r="AK177" s="512"/>
      <c r="AL177" s="513"/>
      <c r="AM177" s="514"/>
      <c r="AN177" s="515"/>
      <c r="AO177" s="515"/>
      <c r="AP177" s="568">
        <f t="shared" si="32"/>
        <v>46000</v>
      </c>
      <c r="AQ177" s="516"/>
      <c r="AR177" s="513"/>
      <c r="AS177" s="514"/>
      <c r="AT177" s="515"/>
      <c r="AU177" s="515"/>
      <c r="AV177" s="568">
        <f t="shared" si="33"/>
        <v>69862</v>
      </c>
      <c r="AW177" s="516"/>
    </row>
    <row r="178" spans="1:49">
      <c r="A178" s="332"/>
      <c r="B178" s="334"/>
      <c r="C178" s="334"/>
      <c r="D178" s="379">
        <f t="shared" si="23"/>
        <v>856669</v>
      </c>
      <c r="E178" s="535">
        <f t="shared" si="24"/>
        <v>0</v>
      </c>
      <c r="H178" s="496"/>
      <c r="I178" s="497"/>
      <c r="J178" s="541">
        <f t="shared" si="25"/>
        <v>36916</v>
      </c>
      <c r="K178" s="498"/>
      <c r="L178" s="543">
        <f t="shared" si="26"/>
        <v>0</v>
      </c>
      <c r="M178" s="347"/>
      <c r="N178" s="500"/>
      <c r="O178" s="501"/>
      <c r="P178" s="501"/>
      <c r="Q178" s="549">
        <f t="shared" si="27"/>
        <v>159814</v>
      </c>
      <c r="R178" s="502"/>
      <c r="S178" s="551">
        <f t="shared" si="28"/>
        <v>0</v>
      </c>
      <c r="T178" s="347"/>
      <c r="U178" s="504"/>
      <c r="V178" s="505"/>
      <c r="W178" s="505"/>
      <c r="X178" s="556">
        <f t="shared" si="29"/>
        <v>26290</v>
      </c>
      <c r="Y178" s="506"/>
      <c r="AA178" s="507"/>
      <c r="AB178" s="508"/>
      <c r="AC178" s="508"/>
      <c r="AD178" s="560">
        <f t="shared" si="30"/>
        <v>21907</v>
      </c>
      <c r="AE178" s="509"/>
      <c r="AG178" s="510"/>
      <c r="AH178" s="511"/>
      <c r="AI178" s="511"/>
      <c r="AJ178" s="564">
        <f t="shared" si="31"/>
        <v>82000</v>
      </c>
      <c r="AK178" s="512"/>
      <c r="AL178" s="513"/>
      <c r="AM178" s="514"/>
      <c r="AN178" s="515"/>
      <c r="AO178" s="515"/>
      <c r="AP178" s="568">
        <f t="shared" si="32"/>
        <v>46000</v>
      </c>
      <c r="AQ178" s="516"/>
      <c r="AR178" s="513"/>
      <c r="AS178" s="514"/>
      <c r="AT178" s="515"/>
      <c r="AU178" s="515"/>
      <c r="AV178" s="568">
        <f t="shared" si="33"/>
        <v>69862</v>
      </c>
      <c r="AW178" s="516"/>
    </row>
    <row r="179" spans="1:49">
      <c r="A179" s="332"/>
      <c r="B179" s="334"/>
      <c r="C179" s="334"/>
      <c r="D179" s="379">
        <f t="shared" si="23"/>
        <v>856669</v>
      </c>
      <c r="E179" s="535">
        <f t="shared" si="24"/>
        <v>0</v>
      </c>
      <c r="H179" s="496"/>
      <c r="I179" s="497"/>
      <c r="J179" s="541">
        <f t="shared" si="25"/>
        <v>36916</v>
      </c>
      <c r="K179" s="498"/>
      <c r="L179" s="543">
        <f t="shared" si="26"/>
        <v>0</v>
      </c>
      <c r="M179" s="347"/>
      <c r="N179" s="500"/>
      <c r="O179" s="501"/>
      <c r="P179" s="501"/>
      <c r="Q179" s="549">
        <f t="shared" si="27"/>
        <v>159814</v>
      </c>
      <c r="R179" s="502"/>
      <c r="S179" s="551">
        <f t="shared" si="28"/>
        <v>0</v>
      </c>
      <c r="T179" s="347"/>
      <c r="U179" s="504"/>
      <c r="V179" s="505"/>
      <c r="W179" s="505"/>
      <c r="X179" s="556">
        <f t="shared" si="29"/>
        <v>26290</v>
      </c>
      <c r="Y179" s="506"/>
      <c r="AA179" s="507"/>
      <c r="AB179" s="508"/>
      <c r="AC179" s="508"/>
      <c r="AD179" s="560">
        <f t="shared" si="30"/>
        <v>21907</v>
      </c>
      <c r="AE179" s="509"/>
      <c r="AG179" s="510"/>
      <c r="AH179" s="511"/>
      <c r="AI179" s="511"/>
      <c r="AJ179" s="564">
        <f t="shared" si="31"/>
        <v>82000</v>
      </c>
      <c r="AK179" s="512"/>
      <c r="AL179" s="513"/>
      <c r="AM179" s="514"/>
      <c r="AN179" s="515"/>
      <c r="AO179" s="515"/>
      <c r="AP179" s="568">
        <f t="shared" si="32"/>
        <v>46000</v>
      </c>
      <c r="AQ179" s="516"/>
      <c r="AR179" s="513"/>
      <c r="AS179" s="514"/>
      <c r="AT179" s="515"/>
      <c r="AU179" s="515"/>
      <c r="AV179" s="568">
        <f t="shared" si="33"/>
        <v>69862</v>
      </c>
      <c r="AW179" s="516"/>
    </row>
    <row r="180" spans="1:49">
      <c r="A180" s="332"/>
      <c r="B180" s="334"/>
      <c r="C180" s="334"/>
      <c r="D180" s="379">
        <f t="shared" si="23"/>
        <v>856669</v>
      </c>
      <c r="E180" s="535">
        <f t="shared" si="24"/>
        <v>0</v>
      </c>
      <c r="H180" s="496"/>
      <c r="I180" s="497"/>
      <c r="J180" s="541">
        <f t="shared" si="25"/>
        <v>36916</v>
      </c>
      <c r="K180" s="498"/>
      <c r="L180" s="543">
        <f t="shared" si="26"/>
        <v>0</v>
      </c>
      <c r="M180" s="347"/>
      <c r="N180" s="500"/>
      <c r="O180" s="501"/>
      <c r="P180" s="501"/>
      <c r="Q180" s="549">
        <f t="shared" si="27"/>
        <v>159814</v>
      </c>
      <c r="R180" s="502"/>
      <c r="S180" s="551">
        <f t="shared" si="28"/>
        <v>0</v>
      </c>
      <c r="T180" s="347"/>
      <c r="U180" s="504"/>
      <c r="V180" s="505"/>
      <c r="W180" s="505"/>
      <c r="X180" s="556">
        <f t="shared" si="29"/>
        <v>26290</v>
      </c>
      <c r="Y180" s="506"/>
      <c r="AA180" s="507"/>
      <c r="AB180" s="508"/>
      <c r="AC180" s="508"/>
      <c r="AD180" s="560">
        <f t="shared" si="30"/>
        <v>21907</v>
      </c>
      <c r="AE180" s="509"/>
      <c r="AG180" s="510"/>
      <c r="AH180" s="511"/>
      <c r="AI180" s="511"/>
      <c r="AJ180" s="564">
        <f t="shared" si="31"/>
        <v>82000</v>
      </c>
      <c r="AK180" s="512"/>
      <c r="AL180" s="513"/>
      <c r="AM180" s="514"/>
      <c r="AN180" s="515"/>
      <c r="AO180" s="515"/>
      <c r="AP180" s="568">
        <f t="shared" si="32"/>
        <v>46000</v>
      </c>
      <c r="AQ180" s="516"/>
      <c r="AR180" s="513"/>
      <c r="AS180" s="514"/>
      <c r="AT180" s="515"/>
      <c r="AU180" s="515"/>
      <c r="AV180" s="568">
        <f t="shared" si="33"/>
        <v>69862</v>
      </c>
      <c r="AW180" s="516"/>
    </row>
    <row r="181" spans="1:49">
      <c r="A181" s="332"/>
      <c r="B181" s="334"/>
      <c r="C181" s="334"/>
      <c r="D181" s="379">
        <f t="shared" si="23"/>
        <v>856669</v>
      </c>
      <c r="E181" s="535">
        <f t="shared" si="24"/>
        <v>0</v>
      </c>
      <c r="H181" s="496"/>
      <c r="I181" s="497"/>
      <c r="J181" s="541">
        <f t="shared" si="25"/>
        <v>36916</v>
      </c>
      <c r="K181" s="498"/>
      <c r="L181" s="543">
        <f t="shared" si="26"/>
        <v>0</v>
      </c>
      <c r="M181" s="347"/>
      <c r="N181" s="500"/>
      <c r="O181" s="501"/>
      <c r="P181" s="501"/>
      <c r="Q181" s="549">
        <f t="shared" si="27"/>
        <v>159814</v>
      </c>
      <c r="R181" s="502"/>
      <c r="S181" s="551">
        <f t="shared" si="28"/>
        <v>0</v>
      </c>
      <c r="T181" s="347"/>
      <c r="U181" s="504"/>
      <c r="V181" s="505"/>
      <c r="W181" s="505"/>
      <c r="X181" s="556">
        <f t="shared" si="29"/>
        <v>26290</v>
      </c>
      <c r="Y181" s="506"/>
      <c r="AA181" s="507"/>
      <c r="AB181" s="508"/>
      <c r="AC181" s="508"/>
      <c r="AD181" s="560">
        <f t="shared" si="30"/>
        <v>21907</v>
      </c>
      <c r="AE181" s="509"/>
      <c r="AG181" s="510"/>
      <c r="AH181" s="511"/>
      <c r="AI181" s="511"/>
      <c r="AJ181" s="564">
        <f t="shared" si="31"/>
        <v>82000</v>
      </c>
      <c r="AK181" s="512"/>
      <c r="AL181" s="513"/>
      <c r="AM181" s="514"/>
      <c r="AN181" s="515"/>
      <c r="AO181" s="515"/>
      <c r="AP181" s="568">
        <f t="shared" si="32"/>
        <v>46000</v>
      </c>
      <c r="AQ181" s="516"/>
      <c r="AR181" s="513"/>
      <c r="AS181" s="514"/>
      <c r="AT181" s="515"/>
      <c r="AU181" s="515"/>
      <c r="AV181" s="568">
        <f t="shared" si="33"/>
        <v>69862</v>
      </c>
      <c r="AW181" s="516"/>
    </row>
    <row r="182" spans="1:49">
      <c r="A182" s="332"/>
      <c r="B182" s="334"/>
      <c r="C182" s="334"/>
      <c r="D182" s="379">
        <f t="shared" si="23"/>
        <v>856669</v>
      </c>
      <c r="E182" s="535">
        <f t="shared" si="24"/>
        <v>0</v>
      </c>
      <c r="H182" s="496"/>
      <c r="I182" s="497"/>
      <c r="J182" s="541">
        <f t="shared" si="25"/>
        <v>36916</v>
      </c>
      <c r="K182" s="498"/>
      <c r="L182" s="543">
        <f t="shared" si="26"/>
        <v>0</v>
      </c>
      <c r="M182" s="347"/>
      <c r="N182" s="500"/>
      <c r="O182" s="501"/>
      <c r="P182" s="501"/>
      <c r="Q182" s="549">
        <f t="shared" si="27"/>
        <v>159814</v>
      </c>
      <c r="R182" s="502"/>
      <c r="S182" s="551">
        <f t="shared" si="28"/>
        <v>0</v>
      </c>
      <c r="T182" s="347"/>
      <c r="U182" s="504"/>
      <c r="V182" s="505"/>
      <c r="W182" s="505"/>
      <c r="X182" s="556">
        <f t="shared" si="29"/>
        <v>26290</v>
      </c>
      <c r="Y182" s="506"/>
      <c r="AA182" s="507"/>
      <c r="AB182" s="508"/>
      <c r="AC182" s="508"/>
      <c r="AD182" s="560">
        <f t="shared" si="30"/>
        <v>21907</v>
      </c>
      <c r="AE182" s="509"/>
      <c r="AG182" s="510"/>
      <c r="AH182" s="511"/>
      <c r="AI182" s="511"/>
      <c r="AJ182" s="564">
        <f t="shared" si="31"/>
        <v>82000</v>
      </c>
      <c r="AK182" s="512"/>
      <c r="AL182" s="513"/>
      <c r="AM182" s="514"/>
      <c r="AN182" s="515"/>
      <c r="AO182" s="515"/>
      <c r="AP182" s="568">
        <f t="shared" si="32"/>
        <v>46000</v>
      </c>
      <c r="AQ182" s="516"/>
      <c r="AR182" s="513"/>
      <c r="AS182" s="514"/>
      <c r="AT182" s="515"/>
      <c r="AU182" s="515"/>
      <c r="AV182" s="568">
        <f t="shared" si="33"/>
        <v>69862</v>
      </c>
      <c r="AW182" s="516"/>
    </row>
    <row r="183" spans="1:49">
      <c r="A183" s="332"/>
      <c r="B183" s="334"/>
      <c r="C183" s="334"/>
      <c r="D183" s="379">
        <f t="shared" si="23"/>
        <v>856669</v>
      </c>
      <c r="E183" s="535">
        <f t="shared" si="24"/>
        <v>0</v>
      </c>
      <c r="H183" s="496"/>
      <c r="I183" s="497"/>
      <c r="J183" s="541">
        <f t="shared" si="25"/>
        <v>36916</v>
      </c>
      <c r="K183" s="498"/>
      <c r="L183" s="543">
        <f t="shared" si="26"/>
        <v>0</v>
      </c>
      <c r="M183" s="347"/>
      <c r="N183" s="500"/>
      <c r="O183" s="501"/>
      <c r="P183" s="501"/>
      <c r="Q183" s="549">
        <f t="shared" si="27"/>
        <v>159814</v>
      </c>
      <c r="R183" s="502"/>
      <c r="S183" s="551">
        <f t="shared" si="28"/>
        <v>0</v>
      </c>
      <c r="T183" s="347"/>
      <c r="U183" s="504"/>
      <c r="V183" s="505"/>
      <c r="W183" s="505"/>
      <c r="X183" s="556">
        <f t="shared" si="29"/>
        <v>26290</v>
      </c>
      <c r="Y183" s="506"/>
      <c r="AA183" s="507"/>
      <c r="AB183" s="508"/>
      <c r="AC183" s="508"/>
      <c r="AD183" s="560">
        <f t="shared" si="30"/>
        <v>21907</v>
      </c>
      <c r="AE183" s="509"/>
      <c r="AG183" s="510"/>
      <c r="AH183" s="511"/>
      <c r="AI183" s="511"/>
      <c r="AJ183" s="564">
        <f t="shared" si="31"/>
        <v>82000</v>
      </c>
      <c r="AK183" s="512"/>
      <c r="AL183" s="513"/>
      <c r="AM183" s="514"/>
      <c r="AN183" s="515"/>
      <c r="AO183" s="515"/>
      <c r="AP183" s="568">
        <f t="shared" si="32"/>
        <v>46000</v>
      </c>
      <c r="AQ183" s="516"/>
      <c r="AR183" s="513"/>
      <c r="AS183" s="514"/>
      <c r="AT183" s="515"/>
      <c r="AU183" s="515"/>
      <c r="AV183" s="568">
        <f t="shared" si="33"/>
        <v>69862</v>
      </c>
      <c r="AW183" s="516"/>
    </row>
    <row r="184" spans="1:49">
      <c r="A184" s="332"/>
      <c r="B184" s="334"/>
      <c r="C184" s="334"/>
      <c r="D184" s="379">
        <f t="shared" si="23"/>
        <v>856669</v>
      </c>
      <c r="E184" s="535">
        <f t="shared" si="24"/>
        <v>0</v>
      </c>
      <c r="H184" s="496"/>
      <c r="I184" s="497"/>
      <c r="J184" s="541">
        <f t="shared" si="25"/>
        <v>36916</v>
      </c>
      <c r="K184" s="498"/>
      <c r="L184" s="543">
        <f t="shared" si="26"/>
        <v>0</v>
      </c>
      <c r="M184" s="347"/>
      <c r="N184" s="500"/>
      <c r="O184" s="501"/>
      <c r="P184" s="501"/>
      <c r="Q184" s="549">
        <f t="shared" si="27"/>
        <v>159814</v>
      </c>
      <c r="R184" s="502"/>
      <c r="S184" s="551">
        <f t="shared" si="28"/>
        <v>0</v>
      </c>
      <c r="T184" s="347"/>
      <c r="U184" s="504"/>
      <c r="V184" s="505"/>
      <c r="W184" s="505"/>
      <c r="X184" s="556">
        <f t="shared" si="29"/>
        <v>26290</v>
      </c>
      <c r="Y184" s="506"/>
      <c r="AA184" s="507"/>
      <c r="AB184" s="508"/>
      <c r="AC184" s="508"/>
      <c r="AD184" s="560">
        <f t="shared" si="30"/>
        <v>21907</v>
      </c>
      <c r="AE184" s="509"/>
      <c r="AG184" s="510"/>
      <c r="AH184" s="511"/>
      <c r="AI184" s="511"/>
      <c r="AJ184" s="564">
        <f t="shared" si="31"/>
        <v>82000</v>
      </c>
      <c r="AK184" s="512"/>
      <c r="AL184" s="513"/>
      <c r="AM184" s="514"/>
      <c r="AN184" s="515"/>
      <c r="AO184" s="515"/>
      <c r="AP184" s="568">
        <f t="shared" si="32"/>
        <v>46000</v>
      </c>
      <c r="AQ184" s="516"/>
      <c r="AR184" s="513"/>
      <c r="AS184" s="514"/>
      <c r="AT184" s="515"/>
      <c r="AU184" s="515"/>
      <c r="AV184" s="568">
        <f t="shared" si="33"/>
        <v>69862</v>
      </c>
      <c r="AW184" s="516"/>
    </row>
    <row r="185" spans="1:49">
      <c r="A185" s="332"/>
      <c r="B185" s="334"/>
      <c r="C185" s="334"/>
      <c r="D185" s="379">
        <f t="shared" si="23"/>
        <v>856669</v>
      </c>
      <c r="E185" s="535">
        <f t="shared" si="24"/>
        <v>0</v>
      </c>
      <c r="H185" s="496"/>
      <c r="I185" s="497"/>
      <c r="J185" s="541">
        <f t="shared" si="25"/>
        <v>36916</v>
      </c>
      <c r="K185" s="498"/>
      <c r="L185" s="543">
        <f t="shared" si="26"/>
        <v>0</v>
      </c>
      <c r="M185" s="347"/>
      <c r="N185" s="500"/>
      <c r="O185" s="501"/>
      <c r="P185" s="501"/>
      <c r="Q185" s="549">
        <f t="shared" si="27"/>
        <v>159814</v>
      </c>
      <c r="R185" s="502"/>
      <c r="S185" s="551">
        <f t="shared" si="28"/>
        <v>0</v>
      </c>
      <c r="T185" s="347"/>
      <c r="U185" s="504"/>
      <c r="V185" s="505"/>
      <c r="W185" s="505"/>
      <c r="X185" s="556">
        <f t="shared" si="29"/>
        <v>26290</v>
      </c>
      <c r="Y185" s="506"/>
      <c r="AA185" s="507"/>
      <c r="AB185" s="508"/>
      <c r="AC185" s="508"/>
      <c r="AD185" s="560">
        <f t="shared" si="30"/>
        <v>21907</v>
      </c>
      <c r="AE185" s="509"/>
      <c r="AG185" s="510"/>
      <c r="AH185" s="511"/>
      <c r="AI185" s="511"/>
      <c r="AJ185" s="564">
        <f t="shared" si="31"/>
        <v>82000</v>
      </c>
      <c r="AK185" s="512"/>
      <c r="AL185" s="513"/>
      <c r="AM185" s="514"/>
      <c r="AN185" s="515"/>
      <c r="AO185" s="515"/>
      <c r="AP185" s="568">
        <f t="shared" si="32"/>
        <v>46000</v>
      </c>
      <c r="AQ185" s="516"/>
      <c r="AR185" s="513"/>
      <c r="AS185" s="514"/>
      <c r="AT185" s="515"/>
      <c r="AU185" s="515"/>
      <c r="AV185" s="568">
        <f t="shared" si="33"/>
        <v>69862</v>
      </c>
      <c r="AW185" s="516"/>
    </row>
    <row r="186" spans="1:49">
      <c r="A186" s="332"/>
      <c r="B186" s="334"/>
      <c r="C186" s="334"/>
      <c r="D186" s="379">
        <f t="shared" si="23"/>
        <v>856669</v>
      </c>
      <c r="E186" s="535">
        <f t="shared" si="24"/>
        <v>0</v>
      </c>
      <c r="H186" s="496"/>
      <c r="I186" s="497"/>
      <c r="J186" s="541">
        <f t="shared" si="25"/>
        <v>36916</v>
      </c>
      <c r="K186" s="498"/>
      <c r="L186" s="543">
        <f t="shared" si="26"/>
        <v>0</v>
      </c>
      <c r="M186" s="347"/>
      <c r="N186" s="500"/>
      <c r="O186" s="501"/>
      <c r="P186" s="501"/>
      <c r="Q186" s="549">
        <f t="shared" si="27"/>
        <v>159814</v>
      </c>
      <c r="R186" s="502"/>
      <c r="S186" s="551">
        <f t="shared" si="28"/>
        <v>0</v>
      </c>
      <c r="T186" s="347"/>
      <c r="U186" s="504"/>
      <c r="V186" s="505"/>
      <c r="W186" s="505"/>
      <c r="X186" s="556">
        <f t="shared" si="29"/>
        <v>26290</v>
      </c>
      <c r="Y186" s="506"/>
      <c r="AA186" s="507"/>
      <c r="AB186" s="508"/>
      <c r="AC186" s="508"/>
      <c r="AD186" s="560">
        <f t="shared" si="30"/>
        <v>21907</v>
      </c>
      <c r="AE186" s="509"/>
      <c r="AG186" s="510"/>
      <c r="AH186" s="511"/>
      <c r="AI186" s="511"/>
      <c r="AJ186" s="564">
        <f t="shared" si="31"/>
        <v>82000</v>
      </c>
      <c r="AK186" s="512"/>
      <c r="AL186" s="513"/>
      <c r="AM186" s="514"/>
      <c r="AN186" s="515"/>
      <c r="AO186" s="515"/>
      <c r="AP186" s="568">
        <f t="shared" si="32"/>
        <v>46000</v>
      </c>
      <c r="AQ186" s="516"/>
      <c r="AR186" s="513"/>
      <c r="AS186" s="514"/>
      <c r="AT186" s="515"/>
      <c r="AU186" s="515"/>
      <c r="AV186" s="568">
        <f t="shared" si="33"/>
        <v>69862</v>
      </c>
      <c r="AW186" s="516"/>
    </row>
    <row r="187" spans="1:49">
      <c r="A187" s="332"/>
      <c r="B187" s="334"/>
      <c r="C187" s="334"/>
      <c r="D187" s="379">
        <f t="shared" si="23"/>
        <v>856669</v>
      </c>
      <c r="E187" s="535">
        <f t="shared" si="24"/>
        <v>0</v>
      </c>
      <c r="H187" s="496"/>
      <c r="I187" s="497"/>
      <c r="J187" s="541">
        <f t="shared" si="25"/>
        <v>36916</v>
      </c>
      <c r="K187" s="498"/>
      <c r="L187" s="543">
        <f t="shared" si="26"/>
        <v>0</v>
      </c>
      <c r="M187" s="347"/>
      <c r="N187" s="500"/>
      <c r="O187" s="501"/>
      <c r="P187" s="501"/>
      <c r="Q187" s="549">
        <f t="shared" si="27"/>
        <v>159814</v>
      </c>
      <c r="R187" s="502"/>
      <c r="S187" s="551">
        <f t="shared" si="28"/>
        <v>0</v>
      </c>
      <c r="T187" s="347"/>
      <c r="U187" s="504"/>
      <c r="V187" s="505"/>
      <c r="W187" s="505"/>
      <c r="X187" s="556">
        <f t="shared" si="29"/>
        <v>26290</v>
      </c>
      <c r="Y187" s="506"/>
      <c r="AA187" s="507"/>
      <c r="AB187" s="508"/>
      <c r="AC187" s="508"/>
      <c r="AD187" s="560">
        <f t="shared" si="30"/>
        <v>21907</v>
      </c>
      <c r="AE187" s="509"/>
      <c r="AG187" s="510"/>
      <c r="AH187" s="511"/>
      <c r="AI187" s="511"/>
      <c r="AJ187" s="564">
        <f t="shared" si="31"/>
        <v>82000</v>
      </c>
      <c r="AK187" s="512"/>
      <c r="AL187" s="513"/>
      <c r="AM187" s="514"/>
      <c r="AN187" s="515"/>
      <c r="AO187" s="515"/>
      <c r="AP187" s="568">
        <f t="shared" si="32"/>
        <v>46000</v>
      </c>
      <c r="AQ187" s="516"/>
      <c r="AR187" s="513"/>
      <c r="AS187" s="514"/>
      <c r="AT187" s="515"/>
      <c r="AU187" s="515"/>
      <c r="AV187" s="568">
        <f t="shared" si="33"/>
        <v>69862</v>
      </c>
      <c r="AW187" s="516"/>
    </row>
    <row r="188" spans="1:49">
      <c r="A188" s="332"/>
      <c r="B188" s="334"/>
      <c r="C188" s="334"/>
      <c r="D188" s="379">
        <f t="shared" si="23"/>
        <v>856669</v>
      </c>
      <c r="E188" s="535">
        <f t="shared" si="24"/>
        <v>0</v>
      </c>
      <c r="H188" s="496"/>
      <c r="I188" s="497"/>
      <c r="J188" s="541">
        <f t="shared" si="25"/>
        <v>36916</v>
      </c>
      <c r="K188" s="498"/>
      <c r="L188" s="543">
        <f t="shared" si="26"/>
        <v>0</v>
      </c>
      <c r="M188" s="347"/>
      <c r="N188" s="500"/>
      <c r="O188" s="501"/>
      <c r="P188" s="501"/>
      <c r="Q188" s="549">
        <f t="shared" si="27"/>
        <v>159814</v>
      </c>
      <c r="R188" s="502"/>
      <c r="S188" s="551">
        <f t="shared" si="28"/>
        <v>0</v>
      </c>
      <c r="T188" s="347"/>
      <c r="U188" s="504"/>
      <c r="V188" s="505"/>
      <c r="W188" s="505"/>
      <c r="X188" s="556">
        <f t="shared" si="29"/>
        <v>26290</v>
      </c>
      <c r="Y188" s="506"/>
      <c r="AA188" s="507"/>
      <c r="AB188" s="508"/>
      <c r="AC188" s="508"/>
      <c r="AD188" s="560">
        <f t="shared" si="30"/>
        <v>21907</v>
      </c>
      <c r="AE188" s="509"/>
      <c r="AG188" s="510"/>
      <c r="AH188" s="511"/>
      <c r="AI188" s="511"/>
      <c r="AJ188" s="564">
        <f t="shared" si="31"/>
        <v>82000</v>
      </c>
      <c r="AK188" s="512"/>
      <c r="AL188" s="513"/>
      <c r="AM188" s="514"/>
      <c r="AN188" s="515"/>
      <c r="AO188" s="515"/>
      <c r="AP188" s="568">
        <f t="shared" si="32"/>
        <v>46000</v>
      </c>
      <c r="AQ188" s="516"/>
      <c r="AR188" s="513"/>
      <c r="AS188" s="514"/>
      <c r="AT188" s="515"/>
      <c r="AU188" s="515"/>
      <c r="AV188" s="568">
        <f t="shared" si="33"/>
        <v>69862</v>
      </c>
      <c r="AW188" s="516"/>
    </row>
    <row r="189" spans="1:49">
      <c r="A189" s="332"/>
      <c r="B189" s="334"/>
      <c r="C189" s="334"/>
      <c r="D189" s="379">
        <f t="shared" si="23"/>
        <v>856669</v>
      </c>
      <c r="E189" s="535">
        <f t="shared" si="24"/>
        <v>0</v>
      </c>
      <c r="H189" s="496"/>
      <c r="I189" s="497"/>
      <c r="J189" s="541">
        <f t="shared" si="25"/>
        <v>36916</v>
      </c>
      <c r="K189" s="498"/>
      <c r="L189" s="543">
        <f t="shared" si="26"/>
        <v>0</v>
      </c>
      <c r="M189" s="347"/>
      <c r="N189" s="500"/>
      <c r="O189" s="501"/>
      <c r="P189" s="501"/>
      <c r="Q189" s="549">
        <f t="shared" si="27"/>
        <v>159814</v>
      </c>
      <c r="R189" s="502"/>
      <c r="S189" s="551">
        <f t="shared" si="28"/>
        <v>0</v>
      </c>
      <c r="T189" s="347"/>
      <c r="U189" s="504"/>
      <c r="V189" s="505"/>
      <c r="W189" s="505"/>
      <c r="X189" s="556">
        <f t="shared" si="29"/>
        <v>26290</v>
      </c>
      <c r="Y189" s="506"/>
      <c r="AA189" s="507"/>
      <c r="AB189" s="508"/>
      <c r="AC189" s="508"/>
      <c r="AD189" s="560">
        <f t="shared" si="30"/>
        <v>21907</v>
      </c>
      <c r="AE189" s="509"/>
      <c r="AG189" s="510"/>
      <c r="AH189" s="511"/>
      <c r="AI189" s="511"/>
      <c r="AJ189" s="564">
        <f t="shared" si="31"/>
        <v>82000</v>
      </c>
      <c r="AK189" s="512"/>
      <c r="AL189" s="513"/>
      <c r="AM189" s="514"/>
      <c r="AN189" s="515"/>
      <c r="AO189" s="515"/>
      <c r="AP189" s="568">
        <f t="shared" si="32"/>
        <v>46000</v>
      </c>
      <c r="AQ189" s="516"/>
      <c r="AR189" s="513"/>
      <c r="AS189" s="514"/>
      <c r="AT189" s="515"/>
      <c r="AU189" s="515"/>
      <c r="AV189" s="568">
        <f t="shared" si="33"/>
        <v>69862</v>
      </c>
      <c r="AW189" s="516"/>
    </row>
    <row r="190" spans="1:49">
      <c r="A190" s="332"/>
      <c r="B190" s="334"/>
      <c r="C190" s="334"/>
      <c r="D190" s="379">
        <f t="shared" si="23"/>
        <v>856669</v>
      </c>
      <c r="E190" s="535">
        <f t="shared" si="24"/>
        <v>0</v>
      </c>
      <c r="H190" s="496"/>
      <c r="I190" s="497"/>
      <c r="J190" s="541">
        <f t="shared" si="25"/>
        <v>36916</v>
      </c>
      <c r="K190" s="498"/>
      <c r="L190" s="543">
        <f t="shared" si="26"/>
        <v>0</v>
      </c>
      <c r="M190" s="347"/>
      <c r="N190" s="500"/>
      <c r="O190" s="501"/>
      <c r="P190" s="501"/>
      <c r="Q190" s="549">
        <f t="shared" si="27"/>
        <v>159814</v>
      </c>
      <c r="R190" s="502"/>
      <c r="S190" s="551">
        <f t="shared" si="28"/>
        <v>0</v>
      </c>
      <c r="T190" s="347"/>
      <c r="U190" s="504"/>
      <c r="V190" s="505"/>
      <c r="W190" s="505"/>
      <c r="X190" s="556">
        <f t="shared" si="29"/>
        <v>26290</v>
      </c>
      <c r="Y190" s="506"/>
      <c r="AA190" s="507"/>
      <c r="AB190" s="508"/>
      <c r="AC190" s="508"/>
      <c r="AD190" s="560">
        <f t="shared" si="30"/>
        <v>21907</v>
      </c>
      <c r="AE190" s="509"/>
      <c r="AG190" s="510"/>
      <c r="AH190" s="511"/>
      <c r="AI190" s="511"/>
      <c r="AJ190" s="564">
        <f t="shared" si="31"/>
        <v>82000</v>
      </c>
      <c r="AK190" s="512"/>
      <c r="AL190" s="513"/>
      <c r="AM190" s="514"/>
      <c r="AN190" s="515"/>
      <c r="AO190" s="515"/>
      <c r="AP190" s="568">
        <f t="shared" si="32"/>
        <v>46000</v>
      </c>
      <c r="AQ190" s="516"/>
      <c r="AR190" s="513"/>
      <c r="AS190" s="514"/>
      <c r="AT190" s="515"/>
      <c r="AU190" s="515"/>
      <c r="AV190" s="568">
        <f t="shared" si="33"/>
        <v>69862</v>
      </c>
      <c r="AW190" s="516"/>
    </row>
    <row r="191" spans="1:49">
      <c r="A191" s="332"/>
      <c r="B191" s="334"/>
      <c r="C191" s="334"/>
      <c r="D191" s="379">
        <f t="shared" si="23"/>
        <v>856669</v>
      </c>
      <c r="E191" s="535">
        <f t="shared" si="24"/>
        <v>0</v>
      </c>
      <c r="H191" s="496"/>
      <c r="I191" s="497"/>
      <c r="J191" s="541">
        <f t="shared" si="25"/>
        <v>36916</v>
      </c>
      <c r="K191" s="498"/>
      <c r="L191" s="543">
        <f t="shared" si="26"/>
        <v>0</v>
      </c>
      <c r="M191" s="347"/>
      <c r="N191" s="500"/>
      <c r="O191" s="501"/>
      <c r="P191" s="501"/>
      <c r="Q191" s="549">
        <f t="shared" si="27"/>
        <v>159814</v>
      </c>
      <c r="R191" s="502"/>
      <c r="S191" s="551">
        <f t="shared" si="28"/>
        <v>0</v>
      </c>
      <c r="T191" s="347"/>
      <c r="U191" s="504"/>
      <c r="V191" s="505"/>
      <c r="W191" s="505"/>
      <c r="X191" s="556">
        <f t="shared" si="29"/>
        <v>26290</v>
      </c>
      <c r="Y191" s="506"/>
      <c r="AA191" s="507"/>
      <c r="AB191" s="508"/>
      <c r="AC191" s="508"/>
      <c r="AD191" s="560">
        <f t="shared" si="30"/>
        <v>21907</v>
      </c>
      <c r="AE191" s="509"/>
      <c r="AG191" s="510"/>
      <c r="AH191" s="511"/>
      <c r="AI191" s="511"/>
      <c r="AJ191" s="564">
        <f t="shared" si="31"/>
        <v>82000</v>
      </c>
      <c r="AK191" s="512"/>
      <c r="AL191" s="513"/>
      <c r="AM191" s="514"/>
      <c r="AN191" s="515"/>
      <c r="AO191" s="515"/>
      <c r="AP191" s="568">
        <f t="shared" si="32"/>
        <v>46000</v>
      </c>
      <c r="AQ191" s="516"/>
      <c r="AR191" s="513"/>
      <c r="AS191" s="514"/>
      <c r="AT191" s="515"/>
      <c r="AU191" s="515"/>
      <c r="AV191" s="568">
        <f t="shared" si="33"/>
        <v>69862</v>
      </c>
      <c r="AW191" s="516"/>
    </row>
    <row r="192" spans="1:49">
      <c r="E192" s="536">
        <f>SUM(E7:E191)</f>
        <v>0</v>
      </c>
      <c r="L192" s="544">
        <f>SUM(L7:L191)</f>
        <v>0</v>
      </c>
      <c r="M192" s="347"/>
      <c r="S192" s="552">
        <f>SUM(S7:S191)</f>
        <v>0</v>
      </c>
      <c r="T192" s="347"/>
      <c r="Y192" s="536">
        <f>SUM(Y7:Y191)</f>
        <v>0</v>
      </c>
      <c r="AE192" s="536">
        <f>SUM(AE7:AE191)</f>
        <v>0</v>
      </c>
      <c r="AK192" s="536">
        <f>SUM(AK7:AK191)</f>
        <v>0</v>
      </c>
      <c r="AL192" s="347"/>
      <c r="AQ192" s="536">
        <f>SUM(AQ7:AQ191)</f>
        <v>0</v>
      </c>
      <c r="AR192" s="517"/>
      <c r="AW192" s="536">
        <f>SUM(AW7:AW191)</f>
        <v>0</v>
      </c>
    </row>
    <row r="193" spans="1:49">
      <c r="E193" s="361"/>
      <c r="L193" s="519"/>
      <c r="M193" s="517"/>
      <c r="S193" s="521"/>
      <c r="T193" s="517"/>
      <c r="Y193" s="526"/>
      <c r="AE193" s="527"/>
      <c r="AK193" s="528"/>
      <c r="AL193" s="517"/>
      <c r="AQ193" s="529"/>
      <c r="AR193" s="517"/>
      <c r="AV193" s="393" t="s">
        <v>237</v>
      </c>
      <c r="AW193" s="569">
        <f>E192+L192+S192+Y192+AE192+AK192+AQ192+AW192</f>
        <v>0</v>
      </c>
    </row>
    <row r="198" spans="1:49">
      <c r="A198" s="1359" t="s">
        <v>1</v>
      </c>
      <c r="B198" s="1359"/>
      <c r="C198" s="1359"/>
      <c r="D198" s="1359"/>
      <c r="E198" s="1359"/>
      <c r="H198" s="1434" t="s">
        <v>199</v>
      </c>
      <c r="I198" s="1434"/>
      <c r="J198" s="1434"/>
      <c r="K198" s="1434"/>
      <c r="L198" s="1434"/>
      <c r="M198" s="530"/>
      <c r="N198" s="1435" t="s">
        <v>9</v>
      </c>
      <c r="O198" s="1435"/>
      <c r="P198" s="1435"/>
      <c r="Q198" s="1435"/>
      <c r="R198" s="1435"/>
      <c r="S198" s="1435"/>
      <c r="T198" s="530"/>
      <c r="U198" s="1436" t="s">
        <v>39</v>
      </c>
      <c r="V198" s="1436"/>
      <c r="W198" s="1436"/>
      <c r="X198" s="1436"/>
      <c r="Y198" s="1436"/>
      <c r="AA198" s="1437" t="s">
        <v>103</v>
      </c>
      <c r="AB198" s="1437"/>
      <c r="AC198" s="1437"/>
      <c r="AD198" s="1437"/>
      <c r="AE198" s="1437"/>
      <c r="AG198" s="1429" t="s">
        <v>57</v>
      </c>
      <c r="AH198" s="1429"/>
      <c r="AI198" s="1429"/>
      <c r="AJ198" s="1429"/>
      <c r="AK198" s="1429"/>
      <c r="AM198" s="1430" t="s">
        <v>58</v>
      </c>
      <c r="AN198" s="1430"/>
      <c r="AO198" s="1430"/>
      <c r="AP198" s="1430"/>
      <c r="AQ198" s="1430"/>
      <c r="AR198" s="530"/>
      <c r="AS198" s="1430" t="s">
        <v>58</v>
      </c>
      <c r="AT198" s="1430"/>
      <c r="AU198" s="1430"/>
      <c r="AV198" s="1430"/>
      <c r="AW198" s="1430"/>
    </row>
  </sheetData>
  <sheetProtection password="DC1E" sheet="1" objects="1" scenarios="1"/>
  <mergeCells count="26">
    <mergeCell ref="A4:E4"/>
    <mergeCell ref="H4:L4"/>
    <mergeCell ref="N4:S4"/>
    <mergeCell ref="AG198:AK198"/>
    <mergeCell ref="AS198:AW198"/>
    <mergeCell ref="AM198:AQ198"/>
    <mergeCell ref="AG4:AK4"/>
    <mergeCell ref="AM4:AQ4"/>
    <mergeCell ref="A198:E198"/>
    <mergeCell ref="H198:L198"/>
    <mergeCell ref="N198:S198"/>
    <mergeCell ref="U198:Y198"/>
    <mergeCell ref="AA198:AE198"/>
    <mergeCell ref="A3:E3"/>
    <mergeCell ref="H3:L3"/>
    <mergeCell ref="N3:S3"/>
    <mergeCell ref="U3:Y3"/>
    <mergeCell ref="AA3:AE3"/>
    <mergeCell ref="AY6:BC6"/>
    <mergeCell ref="AZ17:BC17"/>
    <mergeCell ref="U4:Y4"/>
    <mergeCell ref="AA4:AE4"/>
    <mergeCell ref="AG3:AK3"/>
    <mergeCell ref="AM3:AQ3"/>
    <mergeCell ref="AS3:AW3"/>
    <mergeCell ref="AS4:AW4"/>
  </mergeCells>
  <pageMargins left="0.7" right="0.7" top="0.75" bottom="0.75" header="0.3" footer="0.3"/>
  <pageSetup paperSize="25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197"/>
  <sheetViews>
    <sheetView topLeftCell="AP1" zoomScale="70" zoomScaleNormal="70" workbookViewId="0">
      <selection activeCell="AT25" sqref="AT25"/>
    </sheetView>
  </sheetViews>
  <sheetFormatPr defaultColWidth="8.88671875" defaultRowHeight="14.4"/>
  <cols>
    <col min="1" max="1" width="1.5546875" style="263" customWidth="1"/>
    <col min="2" max="2" width="14.33203125" style="357" customWidth="1"/>
    <col min="3" max="3" width="13.33203125" style="357" customWidth="1"/>
    <col min="4" max="4" width="12" style="357" customWidth="1"/>
    <col min="5" max="5" width="14.44140625" style="357" customWidth="1"/>
    <col min="6" max="6" width="15.44140625" style="357" customWidth="1"/>
    <col min="7" max="7" width="1.109375" style="263" customWidth="1"/>
    <col min="8" max="8" width="13.44140625" style="422" customWidth="1"/>
    <col min="9" max="9" width="14.109375" style="422" customWidth="1"/>
    <col min="10" max="11" width="14.33203125" style="422" customWidth="1"/>
    <col min="12" max="12" width="15.88671875" style="422" customWidth="1"/>
    <col min="13" max="13" width="1.44140625" style="264" customWidth="1"/>
    <col min="14" max="14" width="1.5546875" style="263" customWidth="1"/>
    <col min="15" max="16" width="15.6640625" style="423" customWidth="1"/>
    <col min="17" max="17" width="14.44140625" style="423" customWidth="1"/>
    <col min="18" max="21" width="13.6640625" style="423" customWidth="1"/>
    <col min="22" max="22" width="15.33203125" style="423" customWidth="1"/>
    <col min="23" max="23" width="13.33203125" style="423" customWidth="1"/>
    <col min="24" max="24" width="1.5546875" style="265" customWidth="1"/>
    <col min="25" max="25" width="13.44140625" style="266" customWidth="1"/>
    <col min="26" max="26" width="14.109375" style="266" customWidth="1"/>
    <col min="27" max="28" width="14.33203125" style="266" customWidth="1"/>
    <col min="29" max="29" width="13.33203125" style="266" customWidth="1"/>
    <col min="30" max="30" width="1.6640625" style="265" customWidth="1"/>
    <col min="31" max="31" width="13.44140625" style="358" customWidth="1"/>
    <col min="32" max="32" width="14.109375" style="358" customWidth="1"/>
    <col min="33" max="34" width="14.33203125" style="358" customWidth="1"/>
    <col min="35" max="35" width="13.33203125" style="358" customWidth="1"/>
    <col min="36" max="36" width="0.6640625" style="265" customWidth="1"/>
    <col min="37" max="37" width="1" style="265" customWidth="1"/>
    <col min="38" max="38" width="0.88671875" style="265" customWidth="1"/>
    <col min="39" max="40" width="13" style="363" customWidth="1"/>
    <col min="41" max="41" width="12.5546875" style="363" customWidth="1"/>
    <col min="42" max="43" width="13.44140625" style="363" customWidth="1"/>
    <col min="44" max="44" width="15.6640625" style="363" customWidth="1"/>
    <col min="45" max="45" width="0.88671875" style="263" customWidth="1"/>
    <col min="46" max="46" width="12" style="365" customWidth="1"/>
    <col min="47" max="47" width="11" style="365" customWidth="1"/>
    <col min="48" max="48" width="11.33203125" style="365" customWidth="1"/>
    <col min="49" max="49" width="12.6640625" style="365" customWidth="1"/>
    <col min="50" max="50" width="15.6640625" style="365" customWidth="1"/>
    <col min="51" max="51" width="3.33203125" style="263" customWidth="1"/>
    <col min="52" max="52" width="17.88671875" style="263" customWidth="1"/>
    <col min="53" max="53" width="18.109375" style="263" customWidth="1"/>
    <col min="54" max="54" width="17.6640625" style="263" customWidth="1"/>
    <col min="55" max="55" width="17.5546875" style="263" customWidth="1"/>
    <col min="56" max="56" width="17.6640625" style="263" customWidth="1"/>
    <col min="57" max="16384" width="8.88671875" style="263"/>
  </cols>
  <sheetData>
    <row r="1" spans="1:56">
      <c r="B1" s="263"/>
      <c r="C1" s="263"/>
      <c r="D1" s="263"/>
      <c r="E1" s="263"/>
      <c r="F1" s="263"/>
      <c r="H1" s="263"/>
      <c r="I1" s="263"/>
      <c r="J1" s="263"/>
      <c r="K1" s="263"/>
      <c r="L1" s="263"/>
      <c r="O1" s="265"/>
      <c r="P1" s="265"/>
      <c r="Q1" s="265"/>
      <c r="R1" s="265"/>
      <c r="S1" s="265"/>
      <c r="T1" s="265"/>
      <c r="U1" s="265"/>
      <c r="V1" s="265"/>
      <c r="W1" s="265"/>
      <c r="AE1" s="263"/>
      <c r="AF1" s="263"/>
      <c r="AG1" s="263"/>
      <c r="AH1" s="263"/>
      <c r="AI1" s="263"/>
      <c r="AM1" s="263"/>
      <c r="AN1" s="263"/>
      <c r="AO1" s="263"/>
      <c r="AP1" s="263"/>
      <c r="AQ1" s="263"/>
      <c r="AR1" s="263"/>
      <c r="AT1" s="263"/>
      <c r="AU1" s="263"/>
      <c r="AV1" s="263"/>
      <c r="AW1" s="263"/>
      <c r="AX1" s="263"/>
    </row>
    <row r="2" spans="1:56" s="267" customFormat="1" ht="15" thickBot="1">
      <c r="B2" s="268"/>
      <c r="C2" s="268"/>
      <c r="D2" s="268"/>
      <c r="E2" s="268"/>
      <c r="F2" s="268"/>
      <c r="M2" s="269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1"/>
      <c r="Z2" s="271"/>
      <c r="AA2" s="271"/>
      <c r="AB2" s="271"/>
      <c r="AC2" s="271"/>
      <c r="AD2" s="270"/>
      <c r="AE2" s="268"/>
      <c r="AF2" s="268"/>
      <c r="AG2" s="268"/>
      <c r="AH2" s="268"/>
      <c r="AI2" s="268"/>
      <c r="AJ2" s="270"/>
      <c r="AK2" s="270"/>
      <c r="AL2" s="270"/>
      <c r="AM2" s="268"/>
      <c r="AN2" s="268"/>
      <c r="AO2" s="268"/>
      <c r="AP2" s="268"/>
      <c r="AQ2" s="268"/>
      <c r="AR2" s="268"/>
      <c r="AT2" s="268"/>
      <c r="AU2" s="268"/>
      <c r="AV2" s="268"/>
      <c r="AW2" s="268"/>
      <c r="AX2" s="268"/>
    </row>
    <row r="3" spans="1:56" s="274" customFormat="1" ht="21.6" customHeight="1">
      <c r="A3" s="272"/>
      <c r="B3" s="1379" t="s">
        <v>344</v>
      </c>
      <c r="C3" s="1380"/>
      <c r="D3" s="1380"/>
      <c r="E3" s="1380"/>
      <c r="F3" s="1381"/>
      <c r="G3" s="272"/>
      <c r="H3" s="1382" t="s">
        <v>71</v>
      </c>
      <c r="I3" s="1383"/>
      <c r="J3" s="1383"/>
      <c r="K3" s="1383"/>
      <c r="L3" s="1384"/>
      <c r="M3" s="273"/>
      <c r="O3" s="1385" t="s">
        <v>347</v>
      </c>
      <c r="P3" s="1386"/>
      <c r="Q3" s="1386"/>
      <c r="R3" s="1386"/>
      <c r="S3" s="1386"/>
      <c r="T3" s="1386"/>
      <c r="U3" s="1386"/>
      <c r="V3" s="1386"/>
      <c r="W3" s="1387"/>
      <c r="X3" s="275"/>
      <c r="Y3" s="1388" t="s">
        <v>177</v>
      </c>
      <c r="Z3" s="1389"/>
      <c r="AA3" s="1389"/>
      <c r="AB3" s="1389"/>
      <c r="AC3" s="1390"/>
      <c r="AD3" s="275"/>
      <c r="AE3" s="1367" t="s">
        <v>197</v>
      </c>
      <c r="AF3" s="1368"/>
      <c r="AG3" s="1368"/>
      <c r="AH3" s="1368"/>
      <c r="AI3" s="1369"/>
      <c r="AJ3" s="275"/>
      <c r="AK3" s="275"/>
      <c r="AL3" s="276"/>
      <c r="AM3" s="1370" t="s">
        <v>178</v>
      </c>
      <c r="AN3" s="1371"/>
      <c r="AO3" s="1371"/>
      <c r="AP3" s="1371"/>
      <c r="AQ3" s="1371"/>
      <c r="AR3" s="1372"/>
      <c r="AT3" s="1373" t="s">
        <v>44</v>
      </c>
      <c r="AU3" s="1374"/>
      <c r="AV3" s="1374"/>
      <c r="AW3" s="1374"/>
      <c r="AX3" s="1375"/>
    </row>
    <row r="4" spans="1:56" s="290" customFormat="1" ht="29.4" thickBot="1">
      <c r="A4" s="277"/>
      <c r="B4" s="445" t="s">
        <v>30</v>
      </c>
      <c r="C4" s="446" t="s">
        <v>77</v>
      </c>
      <c r="D4" s="446" t="s">
        <v>32</v>
      </c>
      <c r="E4" s="446" t="s">
        <v>29</v>
      </c>
      <c r="F4" s="447" t="s">
        <v>20</v>
      </c>
      <c r="G4" s="277"/>
      <c r="H4" s="448" t="s">
        <v>79</v>
      </c>
      <c r="I4" s="449" t="s">
        <v>28</v>
      </c>
      <c r="J4" s="450" t="s">
        <v>29</v>
      </c>
      <c r="K4" s="451" t="s">
        <v>78</v>
      </c>
      <c r="L4" s="452" t="s">
        <v>20</v>
      </c>
      <c r="M4" s="277"/>
      <c r="O4" s="453" t="s">
        <v>30</v>
      </c>
      <c r="P4" s="454" t="s">
        <v>75</v>
      </c>
      <c r="Q4" s="455" t="s">
        <v>163</v>
      </c>
      <c r="R4" s="455" t="s">
        <v>37</v>
      </c>
      <c r="S4" s="455" t="s">
        <v>27</v>
      </c>
      <c r="T4" s="455" t="s">
        <v>164</v>
      </c>
      <c r="U4" s="456" t="s">
        <v>38</v>
      </c>
      <c r="V4" s="455" t="s">
        <v>29</v>
      </c>
      <c r="W4" s="457" t="s">
        <v>20</v>
      </c>
      <c r="X4" s="291"/>
      <c r="Y4" s="458" t="s">
        <v>79</v>
      </c>
      <c r="Z4" s="459" t="s">
        <v>28</v>
      </c>
      <c r="AA4" s="459" t="s">
        <v>29</v>
      </c>
      <c r="AB4" s="460" t="s">
        <v>78</v>
      </c>
      <c r="AC4" s="460" t="s">
        <v>20</v>
      </c>
      <c r="AD4" s="291"/>
      <c r="AE4" s="461" t="s">
        <v>79</v>
      </c>
      <c r="AF4" s="462" t="s">
        <v>28</v>
      </c>
      <c r="AG4" s="462" t="s">
        <v>29</v>
      </c>
      <c r="AH4" s="463" t="s">
        <v>78</v>
      </c>
      <c r="AI4" s="463" t="s">
        <v>20</v>
      </c>
      <c r="AJ4" s="291"/>
      <c r="AK4" s="291"/>
      <c r="AL4" s="291"/>
      <c r="AM4" s="464" t="s">
        <v>30</v>
      </c>
      <c r="AN4" s="465" t="s">
        <v>34</v>
      </c>
      <c r="AO4" s="465" t="s">
        <v>36</v>
      </c>
      <c r="AP4" s="465" t="s">
        <v>29</v>
      </c>
      <c r="AQ4" s="466" t="s">
        <v>80</v>
      </c>
      <c r="AR4" s="467" t="s">
        <v>20</v>
      </c>
      <c r="AT4" s="468" t="s">
        <v>30</v>
      </c>
      <c r="AU4" s="469" t="s">
        <v>31</v>
      </c>
      <c r="AV4" s="469" t="s">
        <v>32</v>
      </c>
      <c r="AW4" s="469" t="s">
        <v>29</v>
      </c>
      <c r="AX4" s="470" t="s">
        <v>20</v>
      </c>
    </row>
    <row r="5" spans="1:56" s="267" customFormat="1" ht="15.6" thickTop="1" thickBot="1">
      <c r="B5" s="302"/>
      <c r="C5" s="303"/>
      <c r="D5" s="303"/>
      <c r="E5" s="303">
        <f>'TABEL INPUT'!L5</f>
        <v>140185</v>
      </c>
      <c r="F5" s="427"/>
      <c r="H5" s="405"/>
      <c r="I5" s="406"/>
      <c r="J5" s="406">
        <f>'TABEL INPUT'!L10</f>
        <v>1066262</v>
      </c>
      <c r="K5" s="407"/>
      <c r="L5" s="429">
        <f>K5-I5</f>
        <v>0</v>
      </c>
      <c r="M5" s="305"/>
      <c r="O5" s="408"/>
      <c r="P5" s="409"/>
      <c r="Q5" s="410"/>
      <c r="R5" s="410"/>
      <c r="S5" s="410"/>
      <c r="T5" s="410"/>
      <c r="U5" s="410"/>
      <c r="V5" s="410">
        <f>'TABEL INPUT'!L4</f>
        <v>5000000</v>
      </c>
      <c r="W5" s="573"/>
      <c r="X5" s="313"/>
      <c r="Y5" s="314"/>
      <c r="Z5" s="315"/>
      <c r="AA5" s="315">
        <f>'TABEL INPUT'!L7</f>
        <v>202452</v>
      </c>
      <c r="AB5" s="316"/>
      <c r="AC5" s="382">
        <f>AB5-Z5</f>
        <v>0</v>
      </c>
      <c r="AD5" s="313"/>
      <c r="AE5" s="306"/>
      <c r="AF5" s="307"/>
      <c r="AG5" s="307">
        <f>'TABEL INPUT'!L8</f>
        <v>466700</v>
      </c>
      <c r="AH5" s="308"/>
      <c r="AI5" s="376">
        <f>AH5-AF5</f>
        <v>0</v>
      </c>
      <c r="AJ5" s="313"/>
      <c r="AK5" s="313"/>
      <c r="AL5" s="313"/>
      <c r="AM5" s="317"/>
      <c r="AN5" s="318"/>
      <c r="AO5" s="318"/>
      <c r="AP5" s="318">
        <f>'TABEL INPUT'!L9</f>
        <v>827481</v>
      </c>
      <c r="AQ5" s="319"/>
      <c r="AR5" s="388">
        <f>AQ5-AN5</f>
        <v>0</v>
      </c>
      <c r="AT5" s="321"/>
      <c r="AU5" s="322"/>
      <c r="AV5" s="322"/>
      <c r="AW5" s="322">
        <v>0</v>
      </c>
      <c r="AX5" s="437"/>
      <c r="AZ5" s="1360" t="s">
        <v>100</v>
      </c>
      <c r="BA5" s="1361"/>
      <c r="BB5" s="1361"/>
      <c r="BC5" s="1361"/>
      <c r="BD5" s="1362"/>
    </row>
    <row r="6" spans="1:56" ht="15.6">
      <c r="B6" s="326"/>
      <c r="C6" s="327"/>
      <c r="D6" s="371"/>
      <c r="E6" s="371">
        <f>E5+B6-D6</f>
        <v>140185</v>
      </c>
      <c r="F6" s="372">
        <f>C6-D6</f>
        <v>0</v>
      </c>
      <c r="H6" s="414"/>
      <c r="I6" s="415"/>
      <c r="J6" s="428">
        <f>SUM(J5+H6-I6)</f>
        <v>1066262</v>
      </c>
      <c r="K6" s="416"/>
      <c r="L6" s="430">
        <f t="shared" ref="L6:L69" si="0">K6-I6</f>
        <v>0</v>
      </c>
      <c r="M6" s="328"/>
      <c r="O6" s="417"/>
      <c r="P6" s="418"/>
      <c r="Q6" s="419"/>
      <c r="R6" s="419"/>
      <c r="S6" s="419"/>
      <c r="T6" s="419"/>
      <c r="U6" s="419"/>
      <c r="V6" s="432">
        <f t="shared" ref="V6:V69" si="1">V5+O6+P6-Q6-R6-S6-T6+U6</f>
        <v>5000000</v>
      </c>
      <c r="W6" s="420">
        <f>'TABEL INPUT'!L32</f>
        <v>0</v>
      </c>
      <c r="X6" s="336"/>
      <c r="Y6" s="337"/>
      <c r="Z6" s="338"/>
      <c r="AA6" s="383">
        <f>AA5+Y6-Z6</f>
        <v>202452</v>
      </c>
      <c r="AB6" s="339"/>
      <c r="AC6" s="384">
        <f t="shared" ref="AC6:AC12" si="2">AB6-Z6</f>
        <v>0</v>
      </c>
      <c r="AD6" s="336"/>
      <c r="AE6" s="329"/>
      <c r="AF6" s="330"/>
      <c r="AG6" s="375">
        <f>AG5+AE6-AF6</f>
        <v>466700</v>
      </c>
      <c r="AH6" s="331"/>
      <c r="AI6" s="377">
        <f t="shared" ref="AI6:AI12" si="3">AH6-AF6</f>
        <v>0</v>
      </c>
      <c r="AJ6" s="336"/>
      <c r="AK6" s="336"/>
      <c r="AL6" s="336"/>
      <c r="AM6" s="340"/>
      <c r="AN6" s="341"/>
      <c r="AO6" s="341"/>
      <c r="AP6" s="386">
        <f>AP5+AM6-AN6+AO6</f>
        <v>827481</v>
      </c>
      <c r="AQ6" s="342"/>
      <c r="AR6" s="389">
        <f t="shared" ref="AR6:AR69" si="4">AQ6-AN6</f>
        <v>0</v>
      </c>
      <c r="AT6" s="343"/>
      <c r="AU6" s="344"/>
      <c r="AV6" s="344"/>
      <c r="AW6" s="435">
        <f t="shared" ref="AW6:AW69" si="5">AW5+AT6-AV6</f>
        <v>0</v>
      </c>
      <c r="AX6" s="438">
        <f t="shared" ref="AX6:AX70" si="6">AU6-AV6</f>
        <v>0</v>
      </c>
      <c r="AZ6" s="395" t="s">
        <v>337</v>
      </c>
      <c r="BA6" s="349">
        <f>'TABEL INPUT'!L43</f>
        <v>0</v>
      </c>
      <c r="BB6" s="350"/>
      <c r="BC6" s="570"/>
      <c r="BD6" s="575">
        <f>SUM(BA6:BC6)</f>
        <v>0</v>
      </c>
    </row>
    <row r="7" spans="1:56" ht="15.6">
      <c r="B7" s="326"/>
      <c r="C7" s="327"/>
      <c r="D7" s="327"/>
      <c r="E7" s="371">
        <f t="shared" ref="E7:E70" si="7">E6+B7-D7</f>
        <v>140185</v>
      </c>
      <c r="F7" s="372">
        <f t="shared" ref="F7:F70" si="8">C7-D7</f>
        <v>0</v>
      </c>
      <c r="H7" s="414"/>
      <c r="I7" s="415"/>
      <c r="J7" s="428">
        <f>SUM(J6+H7-I7)</f>
        <v>1066262</v>
      </c>
      <c r="K7" s="416"/>
      <c r="L7" s="430">
        <f t="shared" si="0"/>
        <v>0</v>
      </c>
      <c r="M7" s="328"/>
      <c r="O7" s="417"/>
      <c r="P7" s="418"/>
      <c r="Q7" s="419"/>
      <c r="R7" s="419"/>
      <c r="S7" s="419"/>
      <c r="T7" s="419"/>
      <c r="U7" s="419"/>
      <c r="V7" s="432">
        <f t="shared" si="1"/>
        <v>5000000</v>
      </c>
      <c r="W7" s="420">
        <f>'TABEL INPUT'!L33</f>
        <v>0</v>
      </c>
      <c r="X7" s="336"/>
      <c r="Y7" s="337"/>
      <c r="Z7" s="338"/>
      <c r="AA7" s="383">
        <f t="shared" ref="AA7:AA70" si="9">AA6+Y7-Z7</f>
        <v>202452</v>
      </c>
      <c r="AB7" s="339"/>
      <c r="AC7" s="384">
        <f t="shared" si="2"/>
        <v>0</v>
      </c>
      <c r="AD7" s="336"/>
      <c r="AE7" s="329"/>
      <c r="AF7" s="330"/>
      <c r="AG7" s="375">
        <f t="shared" ref="AG7:AG70" si="10">AG6+AE7-AF7</f>
        <v>466700</v>
      </c>
      <c r="AH7" s="331"/>
      <c r="AI7" s="377">
        <f t="shared" si="3"/>
        <v>0</v>
      </c>
      <c r="AJ7" s="336"/>
      <c r="AK7" s="336"/>
      <c r="AL7" s="336"/>
      <c r="AM7" s="340"/>
      <c r="AN7" s="341"/>
      <c r="AO7" s="341"/>
      <c r="AP7" s="386">
        <f>AP6+AM7-AN7+AO7</f>
        <v>827481</v>
      </c>
      <c r="AQ7" s="342"/>
      <c r="AR7" s="389">
        <f t="shared" si="4"/>
        <v>0</v>
      </c>
      <c r="AT7" s="343"/>
      <c r="AU7" s="344"/>
      <c r="AV7" s="344"/>
      <c r="AW7" s="435">
        <f t="shared" si="5"/>
        <v>0</v>
      </c>
      <c r="AX7" s="438">
        <f t="shared" si="6"/>
        <v>0</v>
      </c>
      <c r="AZ7" s="396" t="s">
        <v>353</v>
      </c>
      <c r="BA7" s="351">
        <f>'TABEL INPUT'!L44</f>
        <v>0</v>
      </c>
      <c r="BB7" s="352"/>
      <c r="BC7" s="571"/>
      <c r="BD7" s="576">
        <f t="shared" ref="BD7:BD14" si="11">SUM(BA7:BC7)</f>
        <v>0</v>
      </c>
    </row>
    <row r="8" spans="1:56" ht="15.6">
      <c r="B8" s="326"/>
      <c r="C8" s="327"/>
      <c r="D8" s="327"/>
      <c r="E8" s="371">
        <f t="shared" si="7"/>
        <v>140185</v>
      </c>
      <c r="F8" s="372">
        <f t="shared" si="8"/>
        <v>0</v>
      </c>
      <c r="H8" s="414"/>
      <c r="I8" s="415"/>
      <c r="J8" s="428">
        <f>SUM(J7+H8-I8)</f>
        <v>1066262</v>
      </c>
      <c r="K8" s="416"/>
      <c r="L8" s="430">
        <f t="shared" si="0"/>
        <v>0</v>
      </c>
      <c r="M8" s="328"/>
      <c r="O8" s="417"/>
      <c r="P8" s="418"/>
      <c r="Q8" s="419"/>
      <c r="R8" s="419"/>
      <c r="S8" s="419"/>
      <c r="T8" s="419"/>
      <c r="U8" s="419"/>
      <c r="V8" s="432">
        <f t="shared" si="1"/>
        <v>5000000</v>
      </c>
      <c r="W8" s="420">
        <f>'TABEL INPUT'!L34</f>
        <v>0</v>
      </c>
      <c r="X8" s="336"/>
      <c r="Y8" s="337"/>
      <c r="Z8" s="338"/>
      <c r="AA8" s="383">
        <f t="shared" si="9"/>
        <v>202452</v>
      </c>
      <c r="AB8" s="339"/>
      <c r="AC8" s="384">
        <f t="shared" si="2"/>
        <v>0</v>
      </c>
      <c r="AD8" s="336"/>
      <c r="AE8" s="329"/>
      <c r="AF8" s="330"/>
      <c r="AG8" s="375">
        <f t="shared" si="10"/>
        <v>466700</v>
      </c>
      <c r="AH8" s="331"/>
      <c r="AI8" s="377">
        <f t="shared" si="3"/>
        <v>0</v>
      </c>
      <c r="AJ8" s="336"/>
      <c r="AK8" s="336"/>
      <c r="AL8" s="336"/>
      <c r="AM8" s="340"/>
      <c r="AN8" s="341"/>
      <c r="AO8" s="341"/>
      <c r="AP8" s="386">
        <f t="shared" ref="AP8:AP71" si="12">AP7+AM8-AN8+AO8</f>
        <v>827481</v>
      </c>
      <c r="AQ8" s="342"/>
      <c r="AR8" s="389">
        <f t="shared" si="4"/>
        <v>0</v>
      </c>
      <c r="AT8" s="343"/>
      <c r="AU8" s="344"/>
      <c r="AV8" s="344"/>
      <c r="AW8" s="435">
        <f t="shared" si="5"/>
        <v>0</v>
      </c>
      <c r="AX8" s="438">
        <f t="shared" si="6"/>
        <v>0</v>
      </c>
      <c r="AZ8" s="396" t="s">
        <v>245</v>
      </c>
      <c r="BA8" s="351">
        <f>'TABEL INPUT'!L45</f>
        <v>0</v>
      </c>
      <c r="BB8" s="352"/>
      <c r="BC8" s="571"/>
      <c r="BD8" s="576">
        <f t="shared" si="11"/>
        <v>0</v>
      </c>
    </row>
    <row r="9" spans="1:56" ht="15.6">
      <c r="B9" s="326"/>
      <c r="C9" s="327"/>
      <c r="D9" s="327"/>
      <c r="E9" s="371">
        <f t="shared" si="7"/>
        <v>140185</v>
      </c>
      <c r="F9" s="372">
        <f t="shared" si="8"/>
        <v>0</v>
      </c>
      <c r="H9" s="421"/>
      <c r="I9" s="415"/>
      <c r="J9" s="428">
        <f>SUM(J8+H9-I9)</f>
        <v>1066262</v>
      </c>
      <c r="K9" s="416"/>
      <c r="L9" s="430">
        <f t="shared" si="0"/>
        <v>0</v>
      </c>
      <c r="M9" s="328"/>
      <c r="O9" s="417"/>
      <c r="P9" s="418"/>
      <c r="Q9" s="419"/>
      <c r="R9" s="419"/>
      <c r="S9" s="419"/>
      <c r="T9" s="419"/>
      <c r="U9" s="419"/>
      <c r="V9" s="432">
        <f t="shared" si="1"/>
        <v>5000000</v>
      </c>
      <c r="W9" s="420">
        <f>'TABEL INPUT'!L35</f>
        <v>0</v>
      </c>
      <c r="X9" s="336"/>
      <c r="Y9" s="337"/>
      <c r="Z9" s="338"/>
      <c r="AA9" s="383">
        <f t="shared" si="9"/>
        <v>202452</v>
      </c>
      <c r="AB9" s="339"/>
      <c r="AC9" s="384">
        <f t="shared" si="2"/>
        <v>0</v>
      </c>
      <c r="AD9" s="336"/>
      <c r="AE9" s="329"/>
      <c r="AF9" s="330"/>
      <c r="AG9" s="375">
        <f t="shared" si="10"/>
        <v>466700</v>
      </c>
      <c r="AH9" s="331"/>
      <c r="AI9" s="377">
        <f t="shared" si="3"/>
        <v>0</v>
      </c>
      <c r="AJ9" s="336"/>
      <c r="AK9" s="336"/>
      <c r="AL9" s="336">
        <v>0</v>
      </c>
      <c r="AM9" s="340"/>
      <c r="AN9" s="341"/>
      <c r="AO9" s="341"/>
      <c r="AP9" s="386">
        <f t="shared" si="12"/>
        <v>827481</v>
      </c>
      <c r="AQ9" s="342"/>
      <c r="AR9" s="389">
        <f t="shared" si="4"/>
        <v>0</v>
      </c>
      <c r="AT9" s="343"/>
      <c r="AU9" s="344"/>
      <c r="AV9" s="344"/>
      <c r="AW9" s="435">
        <f t="shared" si="5"/>
        <v>0</v>
      </c>
      <c r="AX9" s="438">
        <f t="shared" si="6"/>
        <v>0</v>
      </c>
      <c r="AZ9" s="396" t="s">
        <v>349</v>
      </c>
      <c r="BA9" s="351">
        <f>'TABEL INPUT'!L46</f>
        <v>0</v>
      </c>
      <c r="BB9" s="352"/>
      <c r="BC9" s="571"/>
      <c r="BD9" s="576">
        <f t="shared" si="11"/>
        <v>0</v>
      </c>
    </row>
    <row r="10" spans="1:56" ht="15.6">
      <c r="B10" s="326"/>
      <c r="C10" s="327"/>
      <c r="D10" s="327"/>
      <c r="E10" s="371">
        <f t="shared" si="7"/>
        <v>140185</v>
      </c>
      <c r="F10" s="372">
        <f t="shared" si="8"/>
        <v>0</v>
      </c>
      <c r="H10" s="414"/>
      <c r="I10" s="415"/>
      <c r="J10" s="428">
        <f>SUM(J9+H10-I10)</f>
        <v>1066262</v>
      </c>
      <c r="K10" s="416"/>
      <c r="L10" s="430">
        <f t="shared" si="0"/>
        <v>0</v>
      </c>
      <c r="M10" s="328"/>
      <c r="O10" s="417"/>
      <c r="P10" s="418"/>
      <c r="Q10" s="419"/>
      <c r="R10" s="419"/>
      <c r="S10" s="419"/>
      <c r="T10" s="419"/>
      <c r="U10" s="419"/>
      <c r="V10" s="432">
        <f t="shared" si="1"/>
        <v>5000000</v>
      </c>
      <c r="W10" s="420">
        <f>'TABEL INPUT'!L36</f>
        <v>0</v>
      </c>
      <c r="X10" s="336"/>
      <c r="Y10" s="337"/>
      <c r="Z10" s="338"/>
      <c r="AA10" s="383">
        <f t="shared" si="9"/>
        <v>202452</v>
      </c>
      <c r="AB10" s="339"/>
      <c r="AC10" s="384">
        <f t="shared" si="2"/>
        <v>0</v>
      </c>
      <c r="AD10" s="336"/>
      <c r="AE10" s="329"/>
      <c r="AF10" s="330"/>
      <c r="AG10" s="375">
        <f t="shared" si="10"/>
        <v>466700</v>
      </c>
      <c r="AH10" s="331"/>
      <c r="AI10" s="377">
        <f t="shared" si="3"/>
        <v>0</v>
      </c>
      <c r="AJ10" s="336"/>
      <c r="AK10" s="336"/>
      <c r="AL10" s="336"/>
      <c r="AM10" s="340"/>
      <c r="AN10" s="341"/>
      <c r="AO10" s="341"/>
      <c r="AP10" s="386">
        <f t="shared" si="12"/>
        <v>827481</v>
      </c>
      <c r="AQ10" s="342"/>
      <c r="AR10" s="389">
        <f t="shared" si="4"/>
        <v>0</v>
      </c>
      <c r="AT10" s="343"/>
      <c r="AU10" s="344"/>
      <c r="AV10" s="344"/>
      <c r="AW10" s="435">
        <f t="shared" si="5"/>
        <v>0</v>
      </c>
      <c r="AX10" s="438">
        <f t="shared" si="6"/>
        <v>0</v>
      </c>
      <c r="AZ10" s="396" t="s">
        <v>247</v>
      </c>
      <c r="BA10" s="351">
        <f>'TABEL INPUT'!L47</f>
        <v>0</v>
      </c>
      <c r="BB10" s="352"/>
      <c r="BC10" s="571"/>
      <c r="BD10" s="576">
        <f t="shared" si="11"/>
        <v>0</v>
      </c>
    </row>
    <row r="11" spans="1:56" ht="15.6">
      <c r="B11" s="326"/>
      <c r="C11" s="327"/>
      <c r="D11" s="327"/>
      <c r="E11" s="371">
        <f t="shared" si="7"/>
        <v>140185</v>
      </c>
      <c r="F11" s="372">
        <f t="shared" si="8"/>
        <v>0</v>
      </c>
      <c r="H11" s="414"/>
      <c r="I11" s="415"/>
      <c r="J11" s="428">
        <f t="shared" ref="J11:J74" si="13">SUM(J10+H11-I11)</f>
        <v>1066262</v>
      </c>
      <c r="K11" s="416"/>
      <c r="L11" s="430">
        <f t="shared" si="0"/>
        <v>0</v>
      </c>
      <c r="M11" s="328"/>
      <c r="O11" s="417"/>
      <c r="P11" s="418"/>
      <c r="Q11" s="419"/>
      <c r="R11" s="419"/>
      <c r="S11" s="419"/>
      <c r="T11" s="419"/>
      <c r="U11" s="419"/>
      <c r="V11" s="432">
        <f t="shared" si="1"/>
        <v>5000000</v>
      </c>
      <c r="W11" s="420">
        <f>'TABEL INPUT'!L37</f>
        <v>0</v>
      </c>
      <c r="X11" s="336"/>
      <c r="Y11" s="337"/>
      <c r="Z11" s="338"/>
      <c r="AA11" s="383">
        <f t="shared" si="9"/>
        <v>202452</v>
      </c>
      <c r="AB11" s="339"/>
      <c r="AC11" s="384">
        <f t="shared" si="2"/>
        <v>0</v>
      </c>
      <c r="AD11" s="336"/>
      <c r="AE11" s="329"/>
      <c r="AF11" s="330"/>
      <c r="AG11" s="375">
        <f t="shared" si="10"/>
        <v>466700</v>
      </c>
      <c r="AH11" s="331"/>
      <c r="AI11" s="377">
        <f t="shared" si="3"/>
        <v>0</v>
      </c>
      <c r="AJ11" s="336"/>
      <c r="AK11" s="336"/>
      <c r="AL11" s="336"/>
      <c r="AM11" s="340"/>
      <c r="AN11" s="341"/>
      <c r="AO11" s="341"/>
      <c r="AP11" s="386">
        <f t="shared" si="12"/>
        <v>827481</v>
      </c>
      <c r="AQ11" s="342"/>
      <c r="AR11" s="389">
        <f t="shared" si="4"/>
        <v>0</v>
      </c>
      <c r="AT11" s="343"/>
      <c r="AU11" s="344"/>
      <c r="AV11" s="344"/>
      <c r="AW11" s="435">
        <f t="shared" si="5"/>
        <v>0</v>
      </c>
      <c r="AX11" s="438">
        <f t="shared" si="6"/>
        <v>0</v>
      </c>
      <c r="AZ11" s="396" t="s">
        <v>187</v>
      </c>
      <c r="BA11" s="351">
        <f>'TABEL INPUT'!L48</f>
        <v>0</v>
      </c>
      <c r="BB11" s="352"/>
      <c r="BC11" s="571"/>
      <c r="BD11" s="576">
        <f t="shared" si="11"/>
        <v>0</v>
      </c>
    </row>
    <row r="12" spans="1:56" ht="15.6">
      <c r="B12" s="326"/>
      <c r="C12" s="327"/>
      <c r="D12" s="327"/>
      <c r="E12" s="371">
        <f t="shared" si="7"/>
        <v>140185</v>
      </c>
      <c r="F12" s="372">
        <f t="shared" si="8"/>
        <v>0</v>
      </c>
      <c r="H12" s="414"/>
      <c r="I12" s="415"/>
      <c r="J12" s="428">
        <f t="shared" si="13"/>
        <v>1066262</v>
      </c>
      <c r="K12" s="416"/>
      <c r="L12" s="430">
        <f t="shared" si="0"/>
        <v>0</v>
      </c>
      <c r="M12" s="328"/>
      <c r="O12" s="417"/>
      <c r="P12" s="418"/>
      <c r="Q12" s="419"/>
      <c r="R12" s="419"/>
      <c r="S12" s="419"/>
      <c r="T12" s="419"/>
      <c r="U12" s="419"/>
      <c r="V12" s="432">
        <f t="shared" si="1"/>
        <v>5000000</v>
      </c>
      <c r="W12" s="420">
        <f>'TABEL INPUT'!L38</f>
        <v>0</v>
      </c>
      <c r="X12" s="336"/>
      <c r="Y12" s="337"/>
      <c r="Z12" s="338"/>
      <c r="AA12" s="383">
        <f t="shared" si="9"/>
        <v>202452</v>
      </c>
      <c r="AB12" s="339"/>
      <c r="AC12" s="384">
        <f t="shared" si="2"/>
        <v>0</v>
      </c>
      <c r="AD12" s="336"/>
      <c r="AE12" s="329"/>
      <c r="AF12" s="330"/>
      <c r="AG12" s="375">
        <f t="shared" si="10"/>
        <v>466700</v>
      </c>
      <c r="AH12" s="331"/>
      <c r="AI12" s="377">
        <f t="shared" si="3"/>
        <v>0</v>
      </c>
      <c r="AJ12" s="336"/>
      <c r="AK12" s="336"/>
      <c r="AL12" s="336"/>
      <c r="AM12" s="340"/>
      <c r="AN12" s="341"/>
      <c r="AO12" s="341"/>
      <c r="AP12" s="386">
        <f t="shared" si="12"/>
        <v>827481</v>
      </c>
      <c r="AQ12" s="342"/>
      <c r="AR12" s="389">
        <f t="shared" si="4"/>
        <v>0</v>
      </c>
      <c r="AT12" s="343"/>
      <c r="AU12" s="344"/>
      <c r="AV12" s="344"/>
      <c r="AW12" s="435">
        <f t="shared" si="5"/>
        <v>0</v>
      </c>
      <c r="AX12" s="438">
        <f t="shared" si="6"/>
        <v>0</v>
      </c>
      <c r="AZ12" s="396" t="s">
        <v>246</v>
      </c>
      <c r="BA12" s="351">
        <f>'TABEL INPUT'!L49</f>
        <v>0</v>
      </c>
      <c r="BB12" s="352"/>
      <c r="BC12" s="571"/>
      <c r="BD12" s="576">
        <f t="shared" si="11"/>
        <v>0</v>
      </c>
    </row>
    <row r="13" spans="1:56" ht="15.6">
      <c r="B13" s="326"/>
      <c r="C13" s="327"/>
      <c r="D13" s="327"/>
      <c r="E13" s="371">
        <f t="shared" si="7"/>
        <v>140185</v>
      </c>
      <c r="F13" s="372">
        <f t="shared" si="8"/>
        <v>0</v>
      </c>
      <c r="H13" s="414"/>
      <c r="I13" s="415"/>
      <c r="J13" s="428">
        <f t="shared" si="13"/>
        <v>1066262</v>
      </c>
      <c r="K13" s="416"/>
      <c r="L13" s="430">
        <f t="shared" si="0"/>
        <v>0</v>
      </c>
      <c r="M13" s="328"/>
      <c r="O13" s="417"/>
      <c r="P13" s="418"/>
      <c r="Q13" s="419"/>
      <c r="R13" s="419"/>
      <c r="S13" s="419"/>
      <c r="T13" s="419"/>
      <c r="U13" s="419"/>
      <c r="V13" s="432">
        <f t="shared" si="1"/>
        <v>5000000</v>
      </c>
      <c r="W13" s="420"/>
      <c r="X13" s="336"/>
      <c r="Y13" s="337"/>
      <c r="Z13" s="338"/>
      <c r="AA13" s="383">
        <f t="shared" si="9"/>
        <v>202452</v>
      </c>
      <c r="AB13" s="339"/>
      <c r="AC13" s="384">
        <f>AB13-Z13</f>
        <v>0</v>
      </c>
      <c r="AD13" s="336"/>
      <c r="AE13" s="329"/>
      <c r="AF13" s="330"/>
      <c r="AG13" s="375">
        <f t="shared" si="10"/>
        <v>466700</v>
      </c>
      <c r="AH13" s="331"/>
      <c r="AI13" s="377">
        <f>AH13-AF13</f>
        <v>0</v>
      </c>
      <c r="AJ13" s="336"/>
      <c r="AK13" s="336"/>
      <c r="AL13" s="336"/>
      <c r="AM13" s="340"/>
      <c r="AN13" s="341"/>
      <c r="AO13" s="341"/>
      <c r="AP13" s="386">
        <f t="shared" si="12"/>
        <v>827481</v>
      </c>
      <c r="AQ13" s="342"/>
      <c r="AR13" s="389">
        <f t="shared" si="4"/>
        <v>0</v>
      </c>
      <c r="AT13" s="343"/>
      <c r="AU13" s="344"/>
      <c r="AV13" s="344"/>
      <c r="AW13" s="435">
        <f t="shared" si="5"/>
        <v>0</v>
      </c>
      <c r="AX13" s="438">
        <f t="shared" si="6"/>
        <v>0</v>
      </c>
      <c r="AZ13" s="396" t="s">
        <v>334</v>
      </c>
      <c r="BA13" s="351">
        <f>'TABEL INPUT'!L50</f>
        <v>0</v>
      </c>
      <c r="BB13" s="352"/>
      <c r="BC13" s="571"/>
      <c r="BD13" s="576">
        <f t="shared" si="11"/>
        <v>0</v>
      </c>
    </row>
    <row r="14" spans="1:56" ht="15.6">
      <c r="B14" s="326"/>
      <c r="C14" s="327"/>
      <c r="D14" s="327"/>
      <c r="E14" s="371">
        <f t="shared" si="7"/>
        <v>140185</v>
      </c>
      <c r="F14" s="372">
        <f t="shared" si="8"/>
        <v>0</v>
      </c>
      <c r="H14" s="414"/>
      <c r="I14" s="415"/>
      <c r="J14" s="428">
        <f t="shared" si="13"/>
        <v>1066262</v>
      </c>
      <c r="K14" s="416"/>
      <c r="L14" s="430">
        <f t="shared" si="0"/>
        <v>0</v>
      </c>
      <c r="M14" s="328"/>
      <c r="O14" s="417"/>
      <c r="P14" s="418"/>
      <c r="Q14" s="419"/>
      <c r="R14" s="419"/>
      <c r="S14" s="419"/>
      <c r="T14" s="419"/>
      <c r="U14" s="419"/>
      <c r="V14" s="432">
        <f t="shared" si="1"/>
        <v>5000000</v>
      </c>
      <c r="W14" s="420"/>
      <c r="X14" s="336"/>
      <c r="Y14" s="337"/>
      <c r="Z14" s="338"/>
      <c r="AA14" s="383">
        <f t="shared" si="9"/>
        <v>202452</v>
      </c>
      <c r="AB14" s="339"/>
      <c r="AC14" s="384">
        <f t="shared" ref="AC14:AC77" si="14">AB14-Z14</f>
        <v>0</v>
      </c>
      <c r="AD14" s="336"/>
      <c r="AE14" s="329"/>
      <c r="AF14" s="330"/>
      <c r="AG14" s="375">
        <f t="shared" si="10"/>
        <v>466700</v>
      </c>
      <c r="AH14" s="331"/>
      <c r="AI14" s="377">
        <f t="shared" ref="AI14:AI77" si="15">AH14-AF14</f>
        <v>0</v>
      </c>
      <c r="AJ14" s="336"/>
      <c r="AK14" s="336"/>
      <c r="AL14" s="336"/>
      <c r="AM14" s="340"/>
      <c r="AN14" s="341"/>
      <c r="AO14" s="341"/>
      <c r="AP14" s="386">
        <f t="shared" si="12"/>
        <v>827481</v>
      </c>
      <c r="AQ14" s="342"/>
      <c r="AR14" s="389">
        <f t="shared" si="4"/>
        <v>0</v>
      </c>
      <c r="AT14" s="343"/>
      <c r="AU14" s="344"/>
      <c r="AV14" s="344"/>
      <c r="AW14" s="435">
        <f t="shared" si="5"/>
        <v>0</v>
      </c>
      <c r="AX14" s="438">
        <f t="shared" si="6"/>
        <v>0</v>
      </c>
      <c r="AZ14" s="396" t="s">
        <v>27</v>
      </c>
      <c r="BA14" s="351">
        <f>'TABEL INPUT'!L52</f>
        <v>0</v>
      </c>
      <c r="BB14" s="352"/>
      <c r="BC14" s="571"/>
      <c r="BD14" s="576">
        <f t="shared" si="11"/>
        <v>0</v>
      </c>
    </row>
    <row r="15" spans="1:56" ht="16.2" thickBot="1">
      <c r="B15" s="326"/>
      <c r="C15" s="327"/>
      <c r="D15" s="327"/>
      <c r="E15" s="371">
        <f t="shared" si="7"/>
        <v>140185</v>
      </c>
      <c r="F15" s="372">
        <f t="shared" si="8"/>
        <v>0</v>
      </c>
      <c r="H15" s="414"/>
      <c r="I15" s="415"/>
      <c r="J15" s="428">
        <f t="shared" si="13"/>
        <v>1066262</v>
      </c>
      <c r="K15" s="416"/>
      <c r="L15" s="430">
        <f t="shared" si="0"/>
        <v>0</v>
      </c>
      <c r="M15" s="328"/>
      <c r="O15" s="417"/>
      <c r="P15" s="418"/>
      <c r="Q15" s="419"/>
      <c r="R15" s="419"/>
      <c r="S15" s="419"/>
      <c r="T15" s="419"/>
      <c r="U15" s="419"/>
      <c r="V15" s="432">
        <f t="shared" si="1"/>
        <v>5000000</v>
      </c>
      <c r="W15" s="420"/>
      <c r="X15" s="336"/>
      <c r="Y15" s="337"/>
      <c r="Z15" s="338"/>
      <c r="AA15" s="383">
        <f t="shared" si="9"/>
        <v>202452</v>
      </c>
      <c r="AB15" s="339"/>
      <c r="AC15" s="384">
        <f t="shared" si="14"/>
        <v>0</v>
      </c>
      <c r="AD15" s="336"/>
      <c r="AE15" s="329"/>
      <c r="AF15" s="348"/>
      <c r="AG15" s="375">
        <f t="shared" si="10"/>
        <v>466700</v>
      </c>
      <c r="AH15" s="331"/>
      <c r="AI15" s="377">
        <f t="shared" si="15"/>
        <v>0</v>
      </c>
      <c r="AJ15" s="336"/>
      <c r="AK15" s="336"/>
      <c r="AL15" s="336"/>
      <c r="AM15" s="340"/>
      <c r="AN15" s="341"/>
      <c r="AO15" s="341"/>
      <c r="AP15" s="386">
        <f t="shared" si="12"/>
        <v>827481</v>
      </c>
      <c r="AQ15" s="342"/>
      <c r="AR15" s="389">
        <f t="shared" si="4"/>
        <v>0</v>
      </c>
      <c r="AT15" s="343"/>
      <c r="AU15" s="344"/>
      <c r="AV15" s="344"/>
      <c r="AW15" s="435">
        <f t="shared" si="5"/>
        <v>0</v>
      </c>
      <c r="AX15" s="438">
        <f t="shared" si="6"/>
        <v>0</v>
      </c>
      <c r="AZ15" s="397"/>
      <c r="BA15" s="354"/>
      <c r="BB15" s="355"/>
      <c r="BC15" s="572"/>
      <c r="BD15" s="577"/>
    </row>
    <row r="16" spans="1:56" ht="16.2" thickBot="1">
      <c r="B16" s="326"/>
      <c r="C16" s="327"/>
      <c r="D16" s="327"/>
      <c r="E16" s="371">
        <f t="shared" si="7"/>
        <v>140185</v>
      </c>
      <c r="F16" s="372">
        <f t="shared" si="8"/>
        <v>0</v>
      </c>
      <c r="H16" s="414"/>
      <c r="I16" s="415"/>
      <c r="J16" s="428">
        <f t="shared" si="13"/>
        <v>1066262</v>
      </c>
      <c r="K16" s="416"/>
      <c r="L16" s="430">
        <f t="shared" si="0"/>
        <v>0</v>
      </c>
      <c r="M16" s="328"/>
      <c r="O16" s="417"/>
      <c r="P16" s="418"/>
      <c r="Q16" s="419"/>
      <c r="R16" s="419"/>
      <c r="S16" s="419"/>
      <c r="T16" s="419"/>
      <c r="U16" s="419"/>
      <c r="V16" s="432">
        <f t="shared" si="1"/>
        <v>5000000</v>
      </c>
      <c r="W16" s="420"/>
      <c r="X16" s="336"/>
      <c r="Y16" s="337"/>
      <c r="Z16" s="338"/>
      <c r="AA16" s="383">
        <f t="shared" si="9"/>
        <v>202452</v>
      </c>
      <c r="AB16" s="339"/>
      <c r="AC16" s="384">
        <f t="shared" si="14"/>
        <v>0</v>
      </c>
      <c r="AD16" s="336"/>
      <c r="AE16" s="329"/>
      <c r="AF16" s="330"/>
      <c r="AG16" s="375">
        <f t="shared" si="10"/>
        <v>466700</v>
      </c>
      <c r="AH16" s="331"/>
      <c r="AI16" s="377">
        <f t="shared" si="15"/>
        <v>0</v>
      </c>
      <c r="AJ16" s="336"/>
      <c r="AK16" s="336"/>
      <c r="AL16" s="336"/>
      <c r="AM16" s="340"/>
      <c r="AN16" s="341"/>
      <c r="AO16" s="341"/>
      <c r="AP16" s="386">
        <f t="shared" si="12"/>
        <v>827481</v>
      </c>
      <c r="AQ16" s="342"/>
      <c r="AR16" s="389">
        <f t="shared" si="4"/>
        <v>0</v>
      </c>
      <c r="AT16" s="343"/>
      <c r="AU16" s="344"/>
      <c r="AV16" s="344"/>
      <c r="AW16" s="435">
        <f t="shared" si="5"/>
        <v>0</v>
      </c>
      <c r="AX16" s="438">
        <f t="shared" si="6"/>
        <v>0</v>
      </c>
      <c r="AZ16" s="574" t="s">
        <v>13</v>
      </c>
      <c r="BA16" s="1438">
        <f>BD6+BD7+BD8+BD9+BD10+BD11+BD12+BD13+BD14</f>
        <v>0</v>
      </c>
      <c r="BB16" s="1439"/>
      <c r="BC16" s="1439"/>
      <c r="BD16" s="1440"/>
    </row>
    <row r="17" spans="2:56" ht="15" thickTop="1">
      <c r="B17" s="326"/>
      <c r="C17" s="327"/>
      <c r="D17" s="327"/>
      <c r="E17" s="371">
        <f t="shared" si="7"/>
        <v>140185</v>
      </c>
      <c r="F17" s="372">
        <f t="shared" si="8"/>
        <v>0</v>
      </c>
      <c r="H17" s="414"/>
      <c r="I17" s="415"/>
      <c r="J17" s="428">
        <f t="shared" si="13"/>
        <v>1066262</v>
      </c>
      <c r="K17" s="416"/>
      <c r="L17" s="430">
        <f t="shared" si="0"/>
        <v>0</v>
      </c>
      <c r="M17" s="328"/>
      <c r="O17" s="417"/>
      <c r="P17" s="418"/>
      <c r="Q17" s="419"/>
      <c r="R17" s="419"/>
      <c r="S17" s="419"/>
      <c r="T17" s="419"/>
      <c r="U17" s="419"/>
      <c r="V17" s="432">
        <f t="shared" si="1"/>
        <v>5000000</v>
      </c>
      <c r="W17" s="420"/>
      <c r="X17" s="336"/>
      <c r="Y17" s="337"/>
      <c r="Z17" s="338"/>
      <c r="AA17" s="383">
        <f t="shared" si="9"/>
        <v>202452</v>
      </c>
      <c r="AB17" s="339"/>
      <c r="AC17" s="384">
        <f t="shared" si="14"/>
        <v>0</v>
      </c>
      <c r="AD17" s="336"/>
      <c r="AE17" s="329"/>
      <c r="AF17" s="330"/>
      <c r="AG17" s="375">
        <f t="shared" si="10"/>
        <v>466700</v>
      </c>
      <c r="AH17" s="331"/>
      <c r="AI17" s="377">
        <f t="shared" si="15"/>
        <v>0</v>
      </c>
      <c r="AJ17" s="336"/>
      <c r="AK17" s="336"/>
      <c r="AL17" s="336"/>
      <c r="AM17" s="340"/>
      <c r="AN17" s="341"/>
      <c r="AO17" s="341"/>
      <c r="AP17" s="386">
        <f t="shared" si="12"/>
        <v>827481</v>
      </c>
      <c r="AQ17" s="342"/>
      <c r="AR17" s="389">
        <f t="shared" si="4"/>
        <v>0</v>
      </c>
      <c r="AT17" s="343"/>
      <c r="AU17" s="344"/>
      <c r="AV17" s="344"/>
      <c r="AW17" s="435">
        <f t="shared" si="5"/>
        <v>0</v>
      </c>
      <c r="AX17" s="438">
        <f t="shared" si="6"/>
        <v>0</v>
      </c>
      <c r="AZ17" s="267"/>
      <c r="BA17" s="267"/>
      <c r="BB17" s="267"/>
      <c r="BC17" s="267"/>
      <c r="BD17" s="267"/>
    </row>
    <row r="18" spans="2:56">
      <c r="B18" s="326"/>
      <c r="C18" s="327"/>
      <c r="D18" s="327"/>
      <c r="E18" s="371">
        <f t="shared" si="7"/>
        <v>140185</v>
      </c>
      <c r="F18" s="372">
        <f t="shared" si="8"/>
        <v>0</v>
      </c>
      <c r="H18" s="414"/>
      <c r="I18" s="415"/>
      <c r="J18" s="428">
        <f t="shared" si="13"/>
        <v>1066262</v>
      </c>
      <c r="K18" s="416"/>
      <c r="L18" s="430">
        <f t="shared" si="0"/>
        <v>0</v>
      </c>
      <c r="M18" s="328"/>
      <c r="O18" s="417"/>
      <c r="P18" s="418"/>
      <c r="Q18" s="419"/>
      <c r="R18" s="419"/>
      <c r="S18" s="419"/>
      <c r="T18" s="419"/>
      <c r="U18" s="419"/>
      <c r="V18" s="432">
        <f t="shared" si="1"/>
        <v>5000000</v>
      </c>
      <c r="W18" s="420"/>
      <c r="X18" s="336"/>
      <c r="Y18" s="337"/>
      <c r="Z18" s="338"/>
      <c r="AA18" s="383">
        <f t="shared" si="9"/>
        <v>202452</v>
      </c>
      <c r="AB18" s="339"/>
      <c r="AC18" s="384">
        <f t="shared" si="14"/>
        <v>0</v>
      </c>
      <c r="AD18" s="336"/>
      <c r="AE18" s="329"/>
      <c r="AF18" s="330"/>
      <c r="AG18" s="375">
        <f t="shared" si="10"/>
        <v>466700</v>
      </c>
      <c r="AH18" s="331"/>
      <c r="AI18" s="377">
        <f t="shared" si="15"/>
        <v>0</v>
      </c>
      <c r="AJ18" s="336"/>
      <c r="AK18" s="336"/>
      <c r="AL18" s="336"/>
      <c r="AM18" s="340"/>
      <c r="AN18" s="341"/>
      <c r="AO18" s="341"/>
      <c r="AP18" s="386">
        <f t="shared" si="12"/>
        <v>827481</v>
      </c>
      <c r="AQ18" s="342"/>
      <c r="AR18" s="389">
        <f t="shared" si="4"/>
        <v>0</v>
      </c>
      <c r="AT18" s="343"/>
      <c r="AU18" s="344"/>
      <c r="AV18" s="344"/>
      <c r="AW18" s="435">
        <f t="shared" si="5"/>
        <v>0</v>
      </c>
      <c r="AX18" s="438">
        <f t="shared" si="6"/>
        <v>0</v>
      </c>
    </row>
    <row r="19" spans="2:56">
      <c r="B19" s="326"/>
      <c r="C19" s="327"/>
      <c r="D19" s="327"/>
      <c r="E19" s="371">
        <f t="shared" si="7"/>
        <v>140185</v>
      </c>
      <c r="F19" s="372">
        <f t="shared" si="8"/>
        <v>0</v>
      </c>
      <c r="H19" s="414"/>
      <c r="I19" s="415"/>
      <c r="J19" s="428">
        <f t="shared" si="13"/>
        <v>1066262</v>
      </c>
      <c r="K19" s="416"/>
      <c r="L19" s="430">
        <f t="shared" si="0"/>
        <v>0</v>
      </c>
      <c r="M19" s="328"/>
      <c r="O19" s="417"/>
      <c r="P19" s="418"/>
      <c r="Q19" s="419"/>
      <c r="R19" s="419"/>
      <c r="S19" s="419"/>
      <c r="T19" s="419"/>
      <c r="U19" s="419"/>
      <c r="V19" s="432">
        <f t="shared" si="1"/>
        <v>5000000</v>
      </c>
      <c r="W19" s="420"/>
      <c r="X19" s="336"/>
      <c r="Y19" s="337"/>
      <c r="Z19" s="338"/>
      <c r="AA19" s="383">
        <f t="shared" si="9"/>
        <v>202452</v>
      </c>
      <c r="AB19" s="339"/>
      <c r="AC19" s="384">
        <f t="shared" si="14"/>
        <v>0</v>
      </c>
      <c r="AD19" s="336"/>
      <c r="AE19" s="329"/>
      <c r="AF19" s="330"/>
      <c r="AG19" s="375">
        <f t="shared" si="10"/>
        <v>466700</v>
      </c>
      <c r="AH19" s="331"/>
      <c r="AI19" s="377">
        <f t="shared" si="15"/>
        <v>0</v>
      </c>
      <c r="AJ19" s="336"/>
      <c r="AK19" s="336"/>
      <c r="AL19" s="336"/>
      <c r="AM19" s="340"/>
      <c r="AN19" s="341"/>
      <c r="AO19" s="341"/>
      <c r="AP19" s="386">
        <f t="shared" si="12"/>
        <v>827481</v>
      </c>
      <c r="AQ19" s="342"/>
      <c r="AR19" s="389">
        <f t="shared" si="4"/>
        <v>0</v>
      </c>
      <c r="AT19" s="343"/>
      <c r="AU19" s="344"/>
      <c r="AV19" s="344"/>
      <c r="AW19" s="435">
        <f t="shared" si="5"/>
        <v>0</v>
      </c>
      <c r="AX19" s="438">
        <f t="shared" si="6"/>
        <v>0</v>
      </c>
    </row>
    <row r="20" spans="2:56">
      <c r="B20" s="326"/>
      <c r="C20" s="327"/>
      <c r="D20" s="327"/>
      <c r="E20" s="371">
        <f>E19+B20-D20</f>
        <v>140185</v>
      </c>
      <c r="F20" s="372">
        <f>C20-D20</f>
        <v>0</v>
      </c>
      <c r="H20" s="414"/>
      <c r="I20" s="415"/>
      <c r="J20" s="428">
        <f t="shared" si="13"/>
        <v>1066262</v>
      </c>
      <c r="K20" s="416"/>
      <c r="L20" s="430">
        <f t="shared" si="0"/>
        <v>0</v>
      </c>
      <c r="M20" s="328"/>
      <c r="O20" s="417"/>
      <c r="P20" s="418"/>
      <c r="Q20" s="419"/>
      <c r="R20" s="419"/>
      <c r="S20" s="419"/>
      <c r="T20" s="419"/>
      <c r="U20" s="419"/>
      <c r="V20" s="432">
        <f t="shared" si="1"/>
        <v>5000000</v>
      </c>
      <c r="W20" s="420"/>
      <c r="X20" s="336"/>
      <c r="Y20" s="337"/>
      <c r="Z20" s="338"/>
      <c r="AA20" s="383">
        <f t="shared" si="9"/>
        <v>202452</v>
      </c>
      <c r="AB20" s="339"/>
      <c r="AC20" s="384">
        <f t="shared" si="14"/>
        <v>0</v>
      </c>
      <c r="AD20" s="336"/>
      <c r="AE20" s="329"/>
      <c r="AF20" s="330"/>
      <c r="AG20" s="375">
        <f t="shared" si="10"/>
        <v>466700</v>
      </c>
      <c r="AH20" s="331"/>
      <c r="AI20" s="377">
        <f t="shared" si="15"/>
        <v>0</v>
      </c>
      <c r="AJ20" s="336"/>
      <c r="AK20" s="336"/>
      <c r="AL20" s="336"/>
      <c r="AM20" s="340"/>
      <c r="AN20" s="341"/>
      <c r="AO20" s="341"/>
      <c r="AP20" s="386">
        <f t="shared" si="12"/>
        <v>827481</v>
      </c>
      <c r="AQ20" s="342"/>
      <c r="AR20" s="389">
        <f t="shared" si="4"/>
        <v>0</v>
      </c>
      <c r="AT20" s="343"/>
      <c r="AU20" s="344"/>
      <c r="AV20" s="344"/>
      <c r="AW20" s="435">
        <f t="shared" si="5"/>
        <v>0</v>
      </c>
      <c r="AX20" s="438">
        <f t="shared" si="6"/>
        <v>0</v>
      </c>
    </row>
    <row r="21" spans="2:56">
      <c r="B21" s="326"/>
      <c r="C21" s="327"/>
      <c r="D21" s="327"/>
      <c r="E21" s="371">
        <f>E20+B21-D21</f>
        <v>140185</v>
      </c>
      <c r="F21" s="372">
        <f>C21-D21</f>
        <v>0</v>
      </c>
      <c r="H21" s="414"/>
      <c r="I21" s="415"/>
      <c r="J21" s="428">
        <f t="shared" si="13"/>
        <v>1066262</v>
      </c>
      <c r="K21" s="416"/>
      <c r="L21" s="430">
        <f t="shared" si="0"/>
        <v>0</v>
      </c>
      <c r="M21" s="328"/>
      <c r="O21" s="417"/>
      <c r="P21" s="418"/>
      <c r="Q21" s="419"/>
      <c r="R21" s="419"/>
      <c r="S21" s="419"/>
      <c r="T21" s="419"/>
      <c r="U21" s="419"/>
      <c r="V21" s="432">
        <f t="shared" si="1"/>
        <v>5000000</v>
      </c>
      <c r="W21" s="420"/>
      <c r="X21" s="336"/>
      <c r="Y21" s="337"/>
      <c r="Z21" s="338"/>
      <c r="AA21" s="383">
        <f t="shared" si="9"/>
        <v>202452</v>
      </c>
      <c r="AB21" s="339"/>
      <c r="AC21" s="384">
        <f t="shared" si="14"/>
        <v>0</v>
      </c>
      <c r="AD21" s="336"/>
      <c r="AE21" s="329"/>
      <c r="AF21" s="330"/>
      <c r="AG21" s="375">
        <f t="shared" si="10"/>
        <v>466700</v>
      </c>
      <c r="AH21" s="331"/>
      <c r="AI21" s="377">
        <f t="shared" si="15"/>
        <v>0</v>
      </c>
      <c r="AJ21" s="336"/>
      <c r="AK21" s="336"/>
      <c r="AL21" s="336"/>
      <c r="AM21" s="340"/>
      <c r="AN21" s="341"/>
      <c r="AO21" s="341"/>
      <c r="AP21" s="386">
        <f t="shared" si="12"/>
        <v>827481</v>
      </c>
      <c r="AQ21" s="342"/>
      <c r="AR21" s="389">
        <f t="shared" si="4"/>
        <v>0</v>
      </c>
      <c r="AT21" s="343"/>
      <c r="AU21" s="344"/>
      <c r="AV21" s="344"/>
      <c r="AW21" s="435">
        <f t="shared" si="5"/>
        <v>0</v>
      </c>
      <c r="AX21" s="438">
        <f t="shared" si="6"/>
        <v>0</v>
      </c>
    </row>
    <row r="22" spans="2:56">
      <c r="B22" s="326"/>
      <c r="C22" s="327"/>
      <c r="D22" s="327"/>
      <c r="E22" s="371">
        <f t="shared" si="7"/>
        <v>140185</v>
      </c>
      <c r="F22" s="372">
        <f t="shared" si="8"/>
        <v>0</v>
      </c>
      <c r="H22" s="414"/>
      <c r="I22" s="415"/>
      <c r="J22" s="428">
        <f t="shared" si="13"/>
        <v>1066262</v>
      </c>
      <c r="K22" s="416"/>
      <c r="L22" s="430">
        <f t="shared" si="0"/>
        <v>0</v>
      </c>
      <c r="M22" s="328"/>
      <c r="O22" s="417"/>
      <c r="P22" s="418"/>
      <c r="Q22" s="419"/>
      <c r="R22" s="419"/>
      <c r="S22" s="419"/>
      <c r="T22" s="419"/>
      <c r="U22" s="419"/>
      <c r="V22" s="432">
        <f t="shared" si="1"/>
        <v>5000000</v>
      </c>
      <c r="W22" s="420"/>
      <c r="X22" s="336"/>
      <c r="Y22" s="337"/>
      <c r="Z22" s="338"/>
      <c r="AA22" s="383">
        <f t="shared" si="9"/>
        <v>202452</v>
      </c>
      <c r="AB22" s="339"/>
      <c r="AC22" s="384">
        <f t="shared" si="14"/>
        <v>0</v>
      </c>
      <c r="AD22" s="336"/>
      <c r="AE22" s="329"/>
      <c r="AF22" s="330"/>
      <c r="AG22" s="375">
        <f t="shared" si="10"/>
        <v>466700</v>
      </c>
      <c r="AH22" s="331"/>
      <c r="AI22" s="377">
        <f t="shared" si="15"/>
        <v>0</v>
      </c>
      <c r="AJ22" s="336"/>
      <c r="AK22" s="336"/>
      <c r="AL22" s="336"/>
      <c r="AM22" s="340"/>
      <c r="AN22" s="341"/>
      <c r="AO22" s="341"/>
      <c r="AP22" s="386">
        <f t="shared" si="12"/>
        <v>827481</v>
      </c>
      <c r="AQ22" s="342"/>
      <c r="AR22" s="389">
        <f t="shared" si="4"/>
        <v>0</v>
      </c>
      <c r="AT22" s="343"/>
      <c r="AU22" s="344"/>
      <c r="AV22" s="344"/>
      <c r="AW22" s="435">
        <f t="shared" si="5"/>
        <v>0</v>
      </c>
      <c r="AX22" s="438">
        <f t="shared" si="6"/>
        <v>0</v>
      </c>
    </row>
    <row r="23" spans="2:56">
      <c r="B23" s="326"/>
      <c r="C23" s="327"/>
      <c r="D23" s="327"/>
      <c r="E23" s="371">
        <f t="shared" si="7"/>
        <v>140185</v>
      </c>
      <c r="F23" s="372">
        <f t="shared" si="8"/>
        <v>0</v>
      </c>
      <c r="H23" s="414"/>
      <c r="I23" s="415"/>
      <c r="J23" s="428">
        <f t="shared" si="13"/>
        <v>1066262</v>
      </c>
      <c r="K23" s="416"/>
      <c r="L23" s="430">
        <f t="shared" si="0"/>
        <v>0</v>
      </c>
      <c r="M23" s="328"/>
      <c r="O23" s="417"/>
      <c r="P23" s="418"/>
      <c r="Q23" s="419"/>
      <c r="R23" s="419"/>
      <c r="S23" s="419"/>
      <c r="T23" s="419"/>
      <c r="U23" s="419"/>
      <c r="V23" s="432">
        <f t="shared" si="1"/>
        <v>5000000</v>
      </c>
      <c r="W23" s="420"/>
      <c r="X23" s="336"/>
      <c r="Y23" s="337"/>
      <c r="Z23" s="338"/>
      <c r="AA23" s="383">
        <f t="shared" si="9"/>
        <v>202452</v>
      </c>
      <c r="AB23" s="339"/>
      <c r="AC23" s="384">
        <f t="shared" si="14"/>
        <v>0</v>
      </c>
      <c r="AD23" s="336"/>
      <c r="AE23" s="329"/>
      <c r="AF23" s="330"/>
      <c r="AG23" s="375">
        <f t="shared" si="10"/>
        <v>466700</v>
      </c>
      <c r="AH23" s="331"/>
      <c r="AI23" s="377">
        <f t="shared" si="15"/>
        <v>0</v>
      </c>
      <c r="AJ23" s="336"/>
      <c r="AK23" s="336"/>
      <c r="AL23" s="336"/>
      <c r="AM23" s="340"/>
      <c r="AN23" s="341"/>
      <c r="AO23" s="341"/>
      <c r="AP23" s="386">
        <f t="shared" si="12"/>
        <v>827481</v>
      </c>
      <c r="AQ23" s="342"/>
      <c r="AR23" s="389">
        <f t="shared" si="4"/>
        <v>0</v>
      </c>
      <c r="AT23" s="343"/>
      <c r="AU23" s="344"/>
      <c r="AV23" s="344"/>
      <c r="AW23" s="435">
        <f t="shared" si="5"/>
        <v>0</v>
      </c>
      <c r="AX23" s="438">
        <f t="shared" si="6"/>
        <v>0</v>
      </c>
    </row>
    <row r="24" spans="2:56">
      <c r="B24" s="326"/>
      <c r="C24" s="327"/>
      <c r="D24" s="327"/>
      <c r="E24" s="371">
        <f t="shared" si="7"/>
        <v>140185</v>
      </c>
      <c r="F24" s="372">
        <f t="shared" si="8"/>
        <v>0</v>
      </c>
      <c r="H24" s="414"/>
      <c r="I24" s="415"/>
      <c r="J24" s="428">
        <f t="shared" si="13"/>
        <v>1066262</v>
      </c>
      <c r="K24" s="416"/>
      <c r="L24" s="430">
        <f t="shared" si="0"/>
        <v>0</v>
      </c>
      <c r="M24" s="328"/>
      <c r="O24" s="417"/>
      <c r="P24" s="418"/>
      <c r="Q24" s="419"/>
      <c r="R24" s="419"/>
      <c r="S24" s="419"/>
      <c r="T24" s="419"/>
      <c r="U24" s="419"/>
      <c r="V24" s="432">
        <f t="shared" si="1"/>
        <v>5000000</v>
      </c>
      <c r="W24" s="420"/>
      <c r="X24" s="336"/>
      <c r="Y24" s="337"/>
      <c r="Z24" s="338"/>
      <c r="AA24" s="383">
        <f t="shared" si="9"/>
        <v>202452</v>
      </c>
      <c r="AB24" s="339"/>
      <c r="AC24" s="384">
        <f t="shared" si="14"/>
        <v>0</v>
      </c>
      <c r="AD24" s="336"/>
      <c r="AE24" s="329"/>
      <c r="AF24" s="330"/>
      <c r="AG24" s="375">
        <f t="shared" si="10"/>
        <v>466700</v>
      </c>
      <c r="AH24" s="331"/>
      <c r="AI24" s="377">
        <f t="shared" si="15"/>
        <v>0</v>
      </c>
      <c r="AJ24" s="336"/>
      <c r="AK24" s="336"/>
      <c r="AL24" s="336"/>
      <c r="AM24" s="340"/>
      <c r="AN24" s="341"/>
      <c r="AO24" s="341"/>
      <c r="AP24" s="386">
        <f t="shared" si="12"/>
        <v>827481</v>
      </c>
      <c r="AQ24" s="342"/>
      <c r="AR24" s="389">
        <f t="shared" si="4"/>
        <v>0</v>
      </c>
      <c r="AT24" s="343"/>
      <c r="AU24" s="344"/>
      <c r="AV24" s="344"/>
      <c r="AW24" s="435">
        <f t="shared" si="5"/>
        <v>0</v>
      </c>
      <c r="AX24" s="438">
        <f t="shared" si="6"/>
        <v>0</v>
      </c>
    </row>
    <row r="25" spans="2:56">
      <c r="B25" s="326"/>
      <c r="C25" s="327"/>
      <c r="D25" s="327"/>
      <c r="E25" s="371">
        <f t="shared" si="7"/>
        <v>140185</v>
      </c>
      <c r="F25" s="372">
        <f t="shared" si="8"/>
        <v>0</v>
      </c>
      <c r="H25" s="414"/>
      <c r="I25" s="415"/>
      <c r="J25" s="428">
        <f t="shared" si="13"/>
        <v>1066262</v>
      </c>
      <c r="K25" s="416"/>
      <c r="L25" s="430">
        <f t="shared" si="0"/>
        <v>0</v>
      </c>
      <c r="M25" s="328"/>
      <c r="O25" s="417"/>
      <c r="P25" s="418"/>
      <c r="Q25" s="419"/>
      <c r="R25" s="419"/>
      <c r="S25" s="419"/>
      <c r="T25" s="419"/>
      <c r="U25" s="419"/>
      <c r="V25" s="432">
        <f t="shared" si="1"/>
        <v>5000000</v>
      </c>
      <c r="W25" s="420"/>
      <c r="X25" s="336"/>
      <c r="Y25" s="337"/>
      <c r="Z25" s="338"/>
      <c r="AA25" s="383">
        <f t="shared" si="9"/>
        <v>202452</v>
      </c>
      <c r="AB25" s="339"/>
      <c r="AC25" s="384">
        <f t="shared" si="14"/>
        <v>0</v>
      </c>
      <c r="AD25" s="336"/>
      <c r="AE25" s="329"/>
      <c r="AF25" s="330"/>
      <c r="AG25" s="375">
        <f t="shared" si="10"/>
        <v>466700</v>
      </c>
      <c r="AH25" s="331"/>
      <c r="AI25" s="377">
        <f t="shared" si="15"/>
        <v>0</v>
      </c>
      <c r="AJ25" s="336"/>
      <c r="AK25" s="336"/>
      <c r="AL25" s="336"/>
      <c r="AM25" s="340"/>
      <c r="AN25" s="341"/>
      <c r="AO25" s="341"/>
      <c r="AP25" s="386">
        <f t="shared" si="12"/>
        <v>827481</v>
      </c>
      <c r="AQ25" s="342"/>
      <c r="AR25" s="389">
        <f t="shared" si="4"/>
        <v>0</v>
      </c>
      <c r="AT25" s="343"/>
      <c r="AU25" s="344"/>
      <c r="AV25" s="344"/>
      <c r="AW25" s="435">
        <f t="shared" si="5"/>
        <v>0</v>
      </c>
      <c r="AX25" s="438">
        <f t="shared" si="6"/>
        <v>0</v>
      </c>
    </row>
    <row r="26" spans="2:56">
      <c r="B26" s="326"/>
      <c r="C26" s="327"/>
      <c r="D26" s="327"/>
      <c r="E26" s="371">
        <f t="shared" si="7"/>
        <v>140185</v>
      </c>
      <c r="F26" s="372">
        <f t="shared" si="8"/>
        <v>0</v>
      </c>
      <c r="H26" s="414"/>
      <c r="I26" s="415"/>
      <c r="J26" s="428">
        <f t="shared" si="13"/>
        <v>1066262</v>
      </c>
      <c r="K26" s="416"/>
      <c r="L26" s="430">
        <f t="shared" si="0"/>
        <v>0</v>
      </c>
      <c r="M26" s="328"/>
      <c r="O26" s="417"/>
      <c r="P26" s="418"/>
      <c r="Q26" s="419"/>
      <c r="R26" s="419"/>
      <c r="S26" s="419"/>
      <c r="T26" s="419"/>
      <c r="U26" s="419"/>
      <c r="V26" s="432">
        <f t="shared" si="1"/>
        <v>5000000</v>
      </c>
      <c r="W26" s="420"/>
      <c r="X26" s="336"/>
      <c r="Y26" s="337"/>
      <c r="Z26" s="338"/>
      <c r="AA26" s="383">
        <f t="shared" si="9"/>
        <v>202452</v>
      </c>
      <c r="AB26" s="339"/>
      <c r="AC26" s="384">
        <f t="shared" si="14"/>
        <v>0</v>
      </c>
      <c r="AD26" s="336"/>
      <c r="AE26" s="329"/>
      <c r="AF26" s="330"/>
      <c r="AG26" s="375">
        <f t="shared" si="10"/>
        <v>466700</v>
      </c>
      <c r="AH26" s="331"/>
      <c r="AI26" s="377">
        <f t="shared" si="15"/>
        <v>0</v>
      </c>
      <c r="AJ26" s="336"/>
      <c r="AK26" s="336"/>
      <c r="AL26" s="336"/>
      <c r="AM26" s="340"/>
      <c r="AN26" s="341"/>
      <c r="AO26" s="341"/>
      <c r="AP26" s="386">
        <f t="shared" si="12"/>
        <v>827481</v>
      </c>
      <c r="AQ26" s="342"/>
      <c r="AR26" s="389">
        <f t="shared" si="4"/>
        <v>0</v>
      </c>
      <c r="AT26" s="343"/>
      <c r="AU26" s="344"/>
      <c r="AV26" s="344"/>
      <c r="AW26" s="435">
        <f t="shared" si="5"/>
        <v>0</v>
      </c>
      <c r="AX26" s="438">
        <f t="shared" si="6"/>
        <v>0</v>
      </c>
    </row>
    <row r="27" spans="2:56">
      <c r="B27" s="326"/>
      <c r="C27" s="327"/>
      <c r="D27" s="327"/>
      <c r="E27" s="371">
        <f t="shared" si="7"/>
        <v>140185</v>
      </c>
      <c r="F27" s="372">
        <f t="shared" si="8"/>
        <v>0</v>
      </c>
      <c r="H27" s="414"/>
      <c r="I27" s="415"/>
      <c r="J27" s="428">
        <f t="shared" si="13"/>
        <v>1066262</v>
      </c>
      <c r="K27" s="416"/>
      <c r="L27" s="430">
        <f t="shared" si="0"/>
        <v>0</v>
      </c>
      <c r="M27" s="328"/>
      <c r="O27" s="417"/>
      <c r="P27" s="418"/>
      <c r="Q27" s="419"/>
      <c r="R27" s="419"/>
      <c r="S27" s="419"/>
      <c r="T27" s="419"/>
      <c r="U27" s="419"/>
      <c r="V27" s="432">
        <f t="shared" si="1"/>
        <v>5000000</v>
      </c>
      <c r="W27" s="420"/>
      <c r="X27" s="336"/>
      <c r="Y27" s="337"/>
      <c r="Z27" s="338"/>
      <c r="AA27" s="383">
        <f t="shared" si="9"/>
        <v>202452</v>
      </c>
      <c r="AB27" s="339"/>
      <c r="AC27" s="384">
        <f t="shared" si="14"/>
        <v>0</v>
      </c>
      <c r="AD27" s="336"/>
      <c r="AE27" s="329"/>
      <c r="AF27" s="330"/>
      <c r="AG27" s="375">
        <f t="shared" si="10"/>
        <v>466700</v>
      </c>
      <c r="AH27" s="331"/>
      <c r="AI27" s="377">
        <f t="shared" si="15"/>
        <v>0</v>
      </c>
      <c r="AJ27" s="336"/>
      <c r="AK27" s="336"/>
      <c r="AL27" s="336"/>
      <c r="AM27" s="340"/>
      <c r="AN27" s="341"/>
      <c r="AO27" s="341"/>
      <c r="AP27" s="386">
        <f t="shared" si="12"/>
        <v>827481</v>
      </c>
      <c r="AQ27" s="342"/>
      <c r="AR27" s="389">
        <f t="shared" si="4"/>
        <v>0</v>
      </c>
      <c r="AT27" s="343"/>
      <c r="AU27" s="344"/>
      <c r="AV27" s="344"/>
      <c r="AW27" s="435">
        <f t="shared" si="5"/>
        <v>0</v>
      </c>
      <c r="AX27" s="438">
        <f t="shared" si="6"/>
        <v>0</v>
      </c>
    </row>
    <row r="28" spans="2:56">
      <c r="B28" s="326"/>
      <c r="C28" s="327"/>
      <c r="D28" s="327"/>
      <c r="E28" s="371">
        <f t="shared" si="7"/>
        <v>140185</v>
      </c>
      <c r="F28" s="372">
        <f t="shared" si="8"/>
        <v>0</v>
      </c>
      <c r="H28" s="414"/>
      <c r="I28" s="415"/>
      <c r="J28" s="428">
        <f t="shared" si="13"/>
        <v>1066262</v>
      </c>
      <c r="K28" s="416"/>
      <c r="L28" s="430">
        <f t="shared" si="0"/>
        <v>0</v>
      </c>
      <c r="M28" s="328"/>
      <c r="O28" s="417"/>
      <c r="P28" s="418"/>
      <c r="Q28" s="419"/>
      <c r="R28" s="419"/>
      <c r="S28" s="419"/>
      <c r="T28" s="419"/>
      <c r="U28" s="419"/>
      <c r="V28" s="432">
        <f t="shared" si="1"/>
        <v>5000000</v>
      </c>
      <c r="W28" s="420"/>
      <c r="X28" s="336"/>
      <c r="Y28" s="337"/>
      <c r="Z28" s="338"/>
      <c r="AA28" s="383">
        <f t="shared" si="9"/>
        <v>202452</v>
      </c>
      <c r="AB28" s="339"/>
      <c r="AC28" s="384">
        <f t="shared" si="14"/>
        <v>0</v>
      </c>
      <c r="AD28" s="336"/>
      <c r="AE28" s="329"/>
      <c r="AF28" s="330"/>
      <c r="AG28" s="375">
        <f t="shared" si="10"/>
        <v>466700</v>
      </c>
      <c r="AH28" s="331"/>
      <c r="AI28" s="377">
        <f t="shared" si="15"/>
        <v>0</v>
      </c>
      <c r="AJ28" s="336"/>
      <c r="AK28" s="336"/>
      <c r="AL28" s="336"/>
      <c r="AM28" s="340"/>
      <c r="AN28" s="341"/>
      <c r="AO28" s="341"/>
      <c r="AP28" s="386">
        <f t="shared" si="12"/>
        <v>827481</v>
      </c>
      <c r="AQ28" s="342"/>
      <c r="AR28" s="389">
        <f t="shared" si="4"/>
        <v>0</v>
      </c>
      <c r="AT28" s="343"/>
      <c r="AU28" s="344"/>
      <c r="AV28" s="344"/>
      <c r="AW28" s="435">
        <f t="shared" si="5"/>
        <v>0</v>
      </c>
      <c r="AX28" s="438">
        <f t="shared" si="6"/>
        <v>0</v>
      </c>
    </row>
    <row r="29" spans="2:56">
      <c r="B29" s="326"/>
      <c r="C29" s="327"/>
      <c r="D29" s="327"/>
      <c r="E29" s="371">
        <f t="shared" si="7"/>
        <v>140185</v>
      </c>
      <c r="F29" s="372">
        <f t="shared" si="8"/>
        <v>0</v>
      </c>
      <c r="H29" s="414"/>
      <c r="I29" s="415"/>
      <c r="J29" s="428">
        <f t="shared" si="13"/>
        <v>1066262</v>
      </c>
      <c r="K29" s="416"/>
      <c r="L29" s="430">
        <f t="shared" si="0"/>
        <v>0</v>
      </c>
      <c r="M29" s="328"/>
      <c r="O29" s="417"/>
      <c r="P29" s="418"/>
      <c r="Q29" s="419"/>
      <c r="R29" s="419"/>
      <c r="S29" s="419"/>
      <c r="T29" s="419"/>
      <c r="U29" s="419"/>
      <c r="V29" s="432">
        <f t="shared" si="1"/>
        <v>5000000</v>
      </c>
      <c r="W29" s="420"/>
      <c r="X29" s="336"/>
      <c r="Y29" s="337"/>
      <c r="Z29" s="338"/>
      <c r="AA29" s="383">
        <f t="shared" si="9"/>
        <v>202452</v>
      </c>
      <c r="AB29" s="339"/>
      <c r="AC29" s="384">
        <f t="shared" si="14"/>
        <v>0</v>
      </c>
      <c r="AD29" s="336"/>
      <c r="AE29" s="329"/>
      <c r="AF29" s="330"/>
      <c r="AG29" s="375">
        <f t="shared" si="10"/>
        <v>466700</v>
      </c>
      <c r="AH29" s="331"/>
      <c r="AI29" s="377">
        <f t="shared" si="15"/>
        <v>0</v>
      </c>
      <c r="AJ29" s="336"/>
      <c r="AK29" s="336"/>
      <c r="AL29" s="336"/>
      <c r="AM29" s="340"/>
      <c r="AN29" s="341"/>
      <c r="AO29" s="341"/>
      <c r="AP29" s="386">
        <f t="shared" si="12"/>
        <v>827481</v>
      </c>
      <c r="AQ29" s="342"/>
      <c r="AR29" s="389">
        <f t="shared" si="4"/>
        <v>0</v>
      </c>
      <c r="AT29" s="343"/>
      <c r="AU29" s="344"/>
      <c r="AV29" s="344"/>
      <c r="AW29" s="435">
        <f t="shared" si="5"/>
        <v>0</v>
      </c>
      <c r="AX29" s="438">
        <f t="shared" si="6"/>
        <v>0</v>
      </c>
    </row>
    <row r="30" spans="2:56">
      <c r="B30" s="326"/>
      <c r="C30" s="327"/>
      <c r="D30" s="327"/>
      <c r="E30" s="371">
        <f>E29+B30-D30</f>
        <v>140185</v>
      </c>
      <c r="F30" s="372">
        <f>C30-D30</f>
        <v>0</v>
      </c>
      <c r="H30" s="414"/>
      <c r="I30" s="415"/>
      <c r="J30" s="428">
        <f t="shared" si="13"/>
        <v>1066262</v>
      </c>
      <c r="K30" s="416"/>
      <c r="L30" s="430">
        <f t="shared" si="0"/>
        <v>0</v>
      </c>
      <c r="M30" s="328"/>
      <c r="O30" s="417"/>
      <c r="P30" s="418"/>
      <c r="Q30" s="419"/>
      <c r="R30" s="419"/>
      <c r="S30" s="419"/>
      <c r="T30" s="419"/>
      <c r="U30" s="419"/>
      <c r="V30" s="432">
        <f t="shared" si="1"/>
        <v>5000000</v>
      </c>
      <c r="W30" s="420"/>
      <c r="X30" s="336"/>
      <c r="Y30" s="337"/>
      <c r="Z30" s="338"/>
      <c r="AA30" s="383">
        <f t="shared" si="9"/>
        <v>202452</v>
      </c>
      <c r="AB30" s="339"/>
      <c r="AC30" s="384">
        <f t="shared" si="14"/>
        <v>0</v>
      </c>
      <c r="AD30" s="336"/>
      <c r="AE30" s="329"/>
      <c r="AF30" s="330"/>
      <c r="AG30" s="375">
        <f t="shared" si="10"/>
        <v>466700</v>
      </c>
      <c r="AH30" s="331"/>
      <c r="AI30" s="377">
        <f t="shared" si="15"/>
        <v>0</v>
      </c>
      <c r="AJ30" s="336"/>
      <c r="AK30" s="336"/>
      <c r="AL30" s="336"/>
      <c r="AM30" s="340"/>
      <c r="AN30" s="341"/>
      <c r="AO30" s="341"/>
      <c r="AP30" s="386">
        <f t="shared" si="12"/>
        <v>827481</v>
      </c>
      <c r="AQ30" s="342"/>
      <c r="AR30" s="389">
        <f t="shared" si="4"/>
        <v>0</v>
      </c>
      <c r="AT30" s="343"/>
      <c r="AU30" s="344"/>
      <c r="AV30" s="344"/>
      <c r="AW30" s="435">
        <f t="shared" si="5"/>
        <v>0</v>
      </c>
      <c r="AX30" s="438">
        <f t="shared" si="6"/>
        <v>0</v>
      </c>
    </row>
    <row r="31" spans="2:56">
      <c r="B31" s="326"/>
      <c r="C31" s="327"/>
      <c r="D31" s="327"/>
      <c r="E31" s="371">
        <f>E30+B31-D31</f>
        <v>140185</v>
      </c>
      <c r="F31" s="372">
        <f t="shared" si="8"/>
        <v>0</v>
      </c>
      <c r="H31" s="414"/>
      <c r="I31" s="415"/>
      <c r="J31" s="428">
        <f t="shared" si="13"/>
        <v>1066262</v>
      </c>
      <c r="K31" s="416"/>
      <c r="L31" s="430">
        <f t="shared" si="0"/>
        <v>0</v>
      </c>
      <c r="M31" s="328"/>
      <c r="O31" s="417"/>
      <c r="P31" s="418"/>
      <c r="Q31" s="419"/>
      <c r="R31" s="419"/>
      <c r="S31" s="419"/>
      <c r="T31" s="419"/>
      <c r="U31" s="419"/>
      <c r="V31" s="432">
        <f t="shared" si="1"/>
        <v>5000000</v>
      </c>
      <c r="W31" s="420"/>
      <c r="X31" s="336"/>
      <c r="Y31" s="337"/>
      <c r="Z31" s="338"/>
      <c r="AA31" s="383">
        <f t="shared" si="9"/>
        <v>202452</v>
      </c>
      <c r="AB31" s="339"/>
      <c r="AC31" s="384">
        <f t="shared" si="14"/>
        <v>0</v>
      </c>
      <c r="AD31" s="336"/>
      <c r="AE31" s="329"/>
      <c r="AF31" s="330"/>
      <c r="AG31" s="375">
        <f t="shared" si="10"/>
        <v>466700</v>
      </c>
      <c r="AH31" s="331"/>
      <c r="AI31" s="377">
        <f t="shared" si="15"/>
        <v>0</v>
      </c>
      <c r="AJ31" s="336"/>
      <c r="AK31" s="336"/>
      <c r="AL31" s="336"/>
      <c r="AM31" s="340"/>
      <c r="AN31" s="341"/>
      <c r="AO31" s="341"/>
      <c r="AP31" s="386">
        <f t="shared" si="12"/>
        <v>827481</v>
      </c>
      <c r="AQ31" s="342"/>
      <c r="AR31" s="389">
        <f t="shared" si="4"/>
        <v>0</v>
      </c>
      <c r="AT31" s="343"/>
      <c r="AU31" s="344"/>
      <c r="AV31" s="344"/>
      <c r="AW31" s="435">
        <f t="shared" si="5"/>
        <v>0</v>
      </c>
      <c r="AX31" s="438">
        <f t="shared" si="6"/>
        <v>0</v>
      </c>
    </row>
    <row r="32" spans="2:56">
      <c r="B32" s="326"/>
      <c r="C32" s="327"/>
      <c r="D32" s="327"/>
      <c r="E32" s="371">
        <f t="shared" si="7"/>
        <v>140185</v>
      </c>
      <c r="F32" s="372">
        <f t="shared" si="8"/>
        <v>0</v>
      </c>
      <c r="H32" s="414"/>
      <c r="I32" s="415"/>
      <c r="J32" s="428">
        <f t="shared" si="13"/>
        <v>1066262</v>
      </c>
      <c r="K32" s="416"/>
      <c r="L32" s="430">
        <f t="shared" si="0"/>
        <v>0</v>
      </c>
      <c r="M32" s="328"/>
      <c r="O32" s="417"/>
      <c r="P32" s="418"/>
      <c r="Q32" s="419"/>
      <c r="R32" s="419"/>
      <c r="S32" s="419"/>
      <c r="T32" s="419"/>
      <c r="U32" s="419"/>
      <c r="V32" s="432">
        <f t="shared" si="1"/>
        <v>5000000</v>
      </c>
      <c r="W32" s="420"/>
      <c r="X32" s="336"/>
      <c r="Y32" s="337"/>
      <c r="Z32" s="338"/>
      <c r="AA32" s="383">
        <f t="shared" si="9"/>
        <v>202452</v>
      </c>
      <c r="AB32" s="339"/>
      <c r="AC32" s="384">
        <f t="shared" si="14"/>
        <v>0</v>
      </c>
      <c r="AD32" s="336"/>
      <c r="AE32" s="329"/>
      <c r="AF32" s="330"/>
      <c r="AG32" s="375">
        <f t="shared" si="10"/>
        <v>466700</v>
      </c>
      <c r="AH32" s="331"/>
      <c r="AI32" s="377">
        <f t="shared" si="15"/>
        <v>0</v>
      </c>
      <c r="AJ32" s="336"/>
      <c r="AK32" s="336"/>
      <c r="AL32" s="336"/>
      <c r="AM32" s="340"/>
      <c r="AN32" s="341"/>
      <c r="AO32" s="341"/>
      <c r="AP32" s="386">
        <f t="shared" si="12"/>
        <v>827481</v>
      </c>
      <c r="AQ32" s="342"/>
      <c r="AR32" s="389">
        <f t="shared" si="4"/>
        <v>0</v>
      </c>
      <c r="AT32" s="343"/>
      <c r="AU32" s="344"/>
      <c r="AV32" s="344"/>
      <c r="AW32" s="435">
        <f t="shared" si="5"/>
        <v>0</v>
      </c>
      <c r="AX32" s="438">
        <f t="shared" si="6"/>
        <v>0</v>
      </c>
      <c r="AY32" s="347"/>
    </row>
    <row r="33" spans="2:50">
      <c r="B33" s="326"/>
      <c r="C33" s="327"/>
      <c r="D33" s="327"/>
      <c r="E33" s="371">
        <f t="shared" si="7"/>
        <v>140185</v>
      </c>
      <c r="F33" s="372">
        <f t="shared" si="8"/>
        <v>0</v>
      </c>
      <c r="H33" s="414"/>
      <c r="I33" s="415"/>
      <c r="J33" s="428">
        <f t="shared" si="13"/>
        <v>1066262</v>
      </c>
      <c r="K33" s="416"/>
      <c r="L33" s="430">
        <f t="shared" si="0"/>
        <v>0</v>
      </c>
      <c r="M33" s="328"/>
      <c r="O33" s="417"/>
      <c r="P33" s="418"/>
      <c r="Q33" s="419"/>
      <c r="R33" s="419"/>
      <c r="S33" s="419"/>
      <c r="T33" s="419"/>
      <c r="U33" s="419"/>
      <c r="V33" s="432">
        <f t="shared" si="1"/>
        <v>5000000</v>
      </c>
      <c r="W33" s="420"/>
      <c r="X33" s="336"/>
      <c r="Y33" s="337"/>
      <c r="Z33" s="338"/>
      <c r="AA33" s="383">
        <f t="shared" si="9"/>
        <v>202452</v>
      </c>
      <c r="AB33" s="339"/>
      <c r="AC33" s="384">
        <f t="shared" si="14"/>
        <v>0</v>
      </c>
      <c r="AD33" s="336"/>
      <c r="AE33" s="329"/>
      <c r="AF33" s="330"/>
      <c r="AG33" s="375">
        <f t="shared" si="10"/>
        <v>466700</v>
      </c>
      <c r="AH33" s="331"/>
      <c r="AI33" s="377">
        <f t="shared" si="15"/>
        <v>0</v>
      </c>
      <c r="AJ33" s="336"/>
      <c r="AK33" s="336"/>
      <c r="AL33" s="336"/>
      <c r="AM33" s="340"/>
      <c r="AN33" s="341"/>
      <c r="AO33" s="341"/>
      <c r="AP33" s="386">
        <f t="shared" si="12"/>
        <v>827481</v>
      </c>
      <c r="AQ33" s="342"/>
      <c r="AR33" s="389">
        <f t="shared" si="4"/>
        <v>0</v>
      </c>
      <c r="AT33" s="343"/>
      <c r="AU33" s="344"/>
      <c r="AV33" s="344"/>
      <c r="AW33" s="435">
        <f t="shared" si="5"/>
        <v>0</v>
      </c>
      <c r="AX33" s="438">
        <f t="shared" si="6"/>
        <v>0</v>
      </c>
    </row>
    <row r="34" spans="2:50">
      <c r="B34" s="326"/>
      <c r="C34" s="327"/>
      <c r="D34" s="327"/>
      <c r="E34" s="371">
        <f t="shared" si="7"/>
        <v>140185</v>
      </c>
      <c r="F34" s="372">
        <f t="shared" si="8"/>
        <v>0</v>
      </c>
      <c r="H34" s="414"/>
      <c r="I34" s="415"/>
      <c r="J34" s="428">
        <f t="shared" si="13"/>
        <v>1066262</v>
      </c>
      <c r="K34" s="416"/>
      <c r="L34" s="430">
        <f t="shared" si="0"/>
        <v>0</v>
      </c>
      <c r="M34" s="328"/>
      <c r="O34" s="417"/>
      <c r="P34" s="418"/>
      <c r="Q34" s="419"/>
      <c r="R34" s="419"/>
      <c r="S34" s="419"/>
      <c r="T34" s="419"/>
      <c r="U34" s="419"/>
      <c r="V34" s="432">
        <f t="shared" si="1"/>
        <v>5000000</v>
      </c>
      <c r="W34" s="420"/>
      <c r="X34" s="336"/>
      <c r="Y34" s="337"/>
      <c r="Z34" s="338"/>
      <c r="AA34" s="383">
        <f t="shared" si="9"/>
        <v>202452</v>
      </c>
      <c r="AB34" s="339"/>
      <c r="AC34" s="384">
        <f t="shared" si="14"/>
        <v>0</v>
      </c>
      <c r="AD34" s="336"/>
      <c r="AE34" s="329"/>
      <c r="AF34" s="330"/>
      <c r="AG34" s="375">
        <f t="shared" si="10"/>
        <v>466700</v>
      </c>
      <c r="AH34" s="331"/>
      <c r="AI34" s="377">
        <f t="shared" si="15"/>
        <v>0</v>
      </c>
      <c r="AJ34" s="336"/>
      <c r="AK34" s="336"/>
      <c r="AL34" s="336"/>
      <c r="AM34" s="340"/>
      <c r="AN34" s="341"/>
      <c r="AO34" s="341"/>
      <c r="AP34" s="386">
        <f t="shared" si="12"/>
        <v>827481</v>
      </c>
      <c r="AQ34" s="342"/>
      <c r="AR34" s="389">
        <f t="shared" si="4"/>
        <v>0</v>
      </c>
      <c r="AT34" s="343"/>
      <c r="AU34" s="344"/>
      <c r="AV34" s="344"/>
      <c r="AW34" s="435">
        <f t="shared" si="5"/>
        <v>0</v>
      </c>
      <c r="AX34" s="438">
        <f t="shared" si="6"/>
        <v>0</v>
      </c>
    </row>
    <row r="35" spans="2:50">
      <c r="B35" s="326"/>
      <c r="C35" s="327"/>
      <c r="D35" s="327"/>
      <c r="E35" s="371">
        <f t="shared" si="7"/>
        <v>140185</v>
      </c>
      <c r="F35" s="372">
        <f t="shared" si="8"/>
        <v>0</v>
      </c>
      <c r="H35" s="414"/>
      <c r="I35" s="415"/>
      <c r="J35" s="428">
        <f t="shared" si="13"/>
        <v>1066262</v>
      </c>
      <c r="K35" s="416"/>
      <c r="L35" s="430">
        <f t="shared" si="0"/>
        <v>0</v>
      </c>
      <c r="M35" s="328"/>
      <c r="O35" s="417"/>
      <c r="P35" s="418"/>
      <c r="Q35" s="419"/>
      <c r="R35" s="419"/>
      <c r="S35" s="419"/>
      <c r="T35" s="419"/>
      <c r="U35" s="419"/>
      <c r="V35" s="432">
        <f t="shared" si="1"/>
        <v>5000000</v>
      </c>
      <c r="W35" s="420"/>
      <c r="X35" s="336"/>
      <c r="Y35" s="337"/>
      <c r="Z35" s="338"/>
      <c r="AA35" s="383">
        <f t="shared" si="9"/>
        <v>202452</v>
      </c>
      <c r="AB35" s="339"/>
      <c r="AC35" s="384">
        <f t="shared" si="14"/>
        <v>0</v>
      </c>
      <c r="AD35" s="336"/>
      <c r="AE35" s="329"/>
      <c r="AF35" s="330"/>
      <c r="AG35" s="375">
        <f t="shared" si="10"/>
        <v>466700</v>
      </c>
      <c r="AH35" s="331"/>
      <c r="AI35" s="377">
        <f t="shared" si="15"/>
        <v>0</v>
      </c>
      <c r="AJ35" s="336"/>
      <c r="AK35" s="336"/>
      <c r="AL35" s="336"/>
      <c r="AM35" s="340"/>
      <c r="AN35" s="341"/>
      <c r="AO35" s="341"/>
      <c r="AP35" s="386">
        <f t="shared" si="12"/>
        <v>827481</v>
      </c>
      <c r="AQ35" s="342"/>
      <c r="AR35" s="389">
        <f t="shared" si="4"/>
        <v>0</v>
      </c>
      <c r="AT35" s="343"/>
      <c r="AU35" s="344"/>
      <c r="AV35" s="344"/>
      <c r="AW35" s="435">
        <f t="shared" si="5"/>
        <v>0</v>
      </c>
      <c r="AX35" s="438">
        <f t="shared" si="6"/>
        <v>0</v>
      </c>
    </row>
    <row r="36" spans="2:50">
      <c r="B36" s="326"/>
      <c r="C36" s="327"/>
      <c r="D36" s="327"/>
      <c r="E36" s="371">
        <f t="shared" si="7"/>
        <v>140185</v>
      </c>
      <c r="F36" s="372">
        <f t="shared" si="8"/>
        <v>0</v>
      </c>
      <c r="H36" s="414"/>
      <c r="I36" s="415"/>
      <c r="J36" s="428">
        <f t="shared" si="13"/>
        <v>1066262</v>
      </c>
      <c r="K36" s="416"/>
      <c r="L36" s="430">
        <f t="shared" si="0"/>
        <v>0</v>
      </c>
      <c r="M36" s="328"/>
      <c r="O36" s="417"/>
      <c r="P36" s="418"/>
      <c r="Q36" s="419"/>
      <c r="R36" s="419"/>
      <c r="S36" s="419"/>
      <c r="T36" s="419"/>
      <c r="U36" s="419"/>
      <c r="V36" s="432">
        <f t="shared" si="1"/>
        <v>5000000</v>
      </c>
      <c r="W36" s="420"/>
      <c r="X36" s="336"/>
      <c r="Y36" s="337"/>
      <c r="Z36" s="338"/>
      <c r="AA36" s="383">
        <f t="shared" si="9"/>
        <v>202452</v>
      </c>
      <c r="AB36" s="339"/>
      <c r="AC36" s="384">
        <f t="shared" si="14"/>
        <v>0</v>
      </c>
      <c r="AD36" s="336"/>
      <c r="AE36" s="329"/>
      <c r="AF36" s="330"/>
      <c r="AG36" s="375">
        <f t="shared" si="10"/>
        <v>466700</v>
      </c>
      <c r="AH36" s="331"/>
      <c r="AI36" s="377">
        <f t="shared" si="15"/>
        <v>0</v>
      </c>
      <c r="AJ36" s="336"/>
      <c r="AK36" s="336"/>
      <c r="AL36" s="336"/>
      <c r="AM36" s="340"/>
      <c r="AN36" s="341"/>
      <c r="AO36" s="341"/>
      <c r="AP36" s="386">
        <f t="shared" si="12"/>
        <v>827481</v>
      </c>
      <c r="AQ36" s="342"/>
      <c r="AR36" s="389">
        <f t="shared" si="4"/>
        <v>0</v>
      </c>
      <c r="AT36" s="343"/>
      <c r="AU36" s="344"/>
      <c r="AV36" s="344"/>
      <c r="AW36" s="435">
        <f t="shared" si="5"/>
        <v>0</v>
      </c>
      <c r="AX36" s="438">
        <f t="shared" si="6"/>
        <v>0</v>
      </c>
    </row>
    <row r="37" spans="2:50">
      <c r="B37" s="326"/>
      <c r="C37" s="327"/>
      <c r="D37" s="327"/>
      <c r="E37" s="371">
        <f t="shared" si="7"/>
        <v>140185</v>
      </c>
      <c r="F37" s="372">
        <f t="shared" si="8"/>
        <v>0</v>
      </c>
      <c r="H37" s="414"/>
      <c r="I37" s="415"/>
      <c r="J37" s="428">
        <f t="shared" si="13"/>
        <v>1066262</v>
      </c>
      <c r="K37" s="416"/>
      <c r="L37" s="430">
        <f t="shared" si="0"/>
        <v>0</v>
      </c>
      <c r="M37" s="328"/>
      <c r="O37" s="417"/>
      <c r="P37" s="418"/>
      <c r="Q37" s="419"/>
      <c r="R37" s="419"/>
      <c r="S37" s="419"/>
      <c r="T37" s="419"/>
      <c r="U37" s="419"/>
      <c r="V37" s="432">
        <f t="shared" si="1"/>
        <v>5000000</v>
      </c>
      <c r="W37" s="420"/>
      <c r="X37" s="336"/>
      <c r="Y37" s="337"/>
      <c r="Z37" s="338"/>
      <c r="AA37" s="383">
        <f t="shared" si="9"/>
        <v>202452</v>
      </c>
      <c r="AB37" s="339"/>
      <c r="AC37" s="384">
        <f t="shared" si="14"/>
        <v>0</v>
      </c>
      <c r="AD37" s="336"/>
      <c r="AE37" s="329"/>
      <c r="AF37" s="330"/>
      <c r="AG37" s="375">
        <f t="shared" si="10"/>
        <v>466700</v>
      </c>
      <c r="AH37" s="331"/>
      <c r="AI37" s="377">
        <f t="shared" si="15"/>
        <v>0</v>
      </c>
      <c r="AJ37" s="336"/>
      <c r="AK37" s="336"/>
      <c r="AL37" s="336"/>
      <c r="AM37" s="340"/>
      <c r="AN37" s="341"/>
      <c r="AO37" s="341"/>
      <c r="AP37" s="386">
        <f t="shared" si="12"/>
        <v>827481</v>
      </c>
      <c r="AQ37" s="342"/>
      <c r="AR37" s="389">
        <f t="shared" si="4"/>
        <v>0</v>
      </c>
      <c r="AT37" s="343"/>
      <c r="AU37" s="344"/>
      <c r="AV37" s="344"/>
      <c r="AW37" s="435">
        <f t="shared" si="5"/>
        <v>0</v>
      </c>
      <c r="AX37" s="438">
        <f t="shared" si="6"/>
        <v>0</v>
      </c>
    </row>
    <row r="38" spans="2:50">
      <c r="B38" s="326"/>
      <c r="C38" s="327"/>
      <c r="D38" s="327"/>
      <c r="E38" s="371">
        <f t="shared" si="7"/>
        <v>140185</v>
      </c>
      <c r="F38" s="372">
        <f t="shared" si="8"/>
        <v>0</v>
      </c>
      <c r="H38" s="414"/>
      <c r="I38" s="415"/>
      <c r="J38" s="428">
        <f t="shared" si="13"/>
        <v>1066262</v>
      </c>
      <c r="K38" s="416"/>
      <c r="L38" s="430">
        <f t="shared" si="0"/>
        <v>0</v>
      </c>
      <c r="M38" s="328"/>
      <c r="O38" s="417"/>
      <c r="P38" s="418"/>
      <c r="Q38" s="419"/>
      <c r="R38" s="419"/>
      <c r="S38" s="419"/>
      <c r="T38" s="419"/>
      <c r="U38" s="419"/>
      <c r="V38" s="432">
        <f t="shared" si="1"/>
        <v>5000000</v>
      </c>
      <c r="W38" s="420"/>
      <c r="X38" s="336"/>
      <c r="Y38" s="337"/>
      <c r="Z38" s="338"/>
      <c r="AA38" s="383">
        <f t="shared" si="9"/>
        <v>202452</v>
      </c>
      <c r="AB38" s="339"/>
      <c r="AC38" s="384">
        <f t="shared" si="14"/>
        <v>0</v>
      </c>
      <c r="AD38" s="336"/>
      <c r="AE38" s="329"/>
      <c r="AF38" s="330"/>
      <c r="AG38" s="375">
        <f t="shared" si="10"/>
        <v>466700</v>
      </c>
      <c r="AH38" s="331"/>
      <c r="AI38" s="377">
        <f t="shared" si="15"/>
        <v>0</v>
      </c>
      <c r="AJ38" s="336"/>
      <c r="AK38" s="336"/>
      <c r="AL38" s="336"/>
      <c r="AM38" s="340"/>
      <c r="AN38" s="341"/>
      <c r="AO38" s="341"/>
      <c r="AP38" s="386">
        <f t="shared" si="12"/>
        <v>827481</v>
      </c>
      <c r="AQ38" s="342"/>
      <c r="AR38" s="389">
        <f t="shared" si="4"/>
        <v>0</v>
      </c>
      <c r="AT38" s="343"/>
      <c r="AU38" s="344"/>
      <c r="AV38" s="344"/>
      <c r="AW38" s="435">
        <f t="shared" si="5"/>
        <v>0</v>
      </c>
      <c r="AX38" s="438">
        <f t="shared" si="6"/>
        <v>0</v>
      </c>
    </row>
    <row r="39" spans="2:50">
      <c r="B39" s="326"/>
      <c r="C39" s="327"/>
      <c r="D39" s="327"/>
      <c r="E39" s="371">
        <f t="shared" si="7"/>
        <v>140185</v>
      </c>
      <c r="F39" s="372">
        <f t="shared" si="8"/>
        <v>0</v>
      </c>
      <c r="H39" s="414"/>
      <c r="I39" s="415"/>
      <c r="J39" s="428">
        <f t="shared" si="13"/>
        <v>1066262</v>
      </c>
      <c r="K39" s="416"/>
      <c r="L39" s="430">
        <f t="shared" si="0"/>
        <v>0</v>
      </c>
      <c r="M39" s="328"/>
      <c r="O39" s="417"/>
      <c r="P39" s="418"/>
      <c r="Q39" s="419"/>
      <c r="R39" s="419"/>
      <c r="S39" s="419"/>
      <c r="T39" s="419"/>
      <c r="U39" s="419"/>
      <c r="V39" s="432">
        <f t="shared" si="1"/>
        <v>5000000</v>
      </c>
      <c r="W39" s="420"/>
      <c r="X39" s="336"/>
      <c r="Y39" s="337"/>
      <c r="Z39" s="338"/>
      <c r="AA39" s="383">
        <f t="shared" si="9"/>
        <v>202452</v>
      </c>
      <c r="AB39" s="339"/>
      <c r="AC39" s="384">
        <f t="shared" si="14"/>
        <v>0</v>
      </c>
      <c r="AD39" s="336"/>
      <c r="AE39" s="329"/>
      <c r="AF39" s="330"/>
      <c r="AG39" s="375">
        <f t="shared" si="10"/>
        <v>466700</v>
      </c>
      <c r="AH39" s="331"/>
      <c r="AI39" s="377">
        <f t="shared" si="15"/>
        <v>0</v>
      </c>
      <c r="AJ39" s="336"/>
      <c r="AK39" s="336"/>
      <c r="AL39" s="336"/>
      <c r="AM39" s="340"/>
      <c r="AN39" s="341"/>
      <c r="AO39" s="341"/>
      <c r="AP39" s="386">
        <f t="shared" si="12"/>
        <v>827481</v>
      </c>
      <c r="AQ39" s="342"/>
      <c r="AR39" s="389">
        <f t="shared" si="4"/>
        <v>0</v>
      </c>
      <c r="AT39" s="343"/>
      <c r="AU39" s="344"/>
      <c r="AV39" s="344"/>
      <c r="AW39" s="435">
        <f t="shared" si="5"/>
        <v>0</v>
      </c>
      <c r="AX39" s="438">
        <f t="shared" si="6"/>
        <v>0</v>
      </c>
    </row>
    <row r="40" spans="2:50">
      <c r="B40" s="326"/>
      <c r="C40" s="327"/>
      <c r="D40" s="327"/>
      <c r="E40" s="371">
        <f t="shared" si="7"/>
        <v>140185</v>
      </c>
      <c r="F40" s="372">
        <f t="shared" si="8"/>
        <v>0</v>
      </c>
      <c r="H40" s="414"/>
      <c r="I40" s="415"/>
      <c r="J40" s="428">
        <f t="shared" si="13"/>
        <v>1066262</v>
      </c>
      <c r="K40" s="416"/>
      <c r="L40" s="430">
        <f t="shared" si="0"/>
        <v>0</v>
      </c>
      <c r="M40" s="328"/>
      <c r="O40" s="417"/>
      <c r="P40" s="418"/>
      <c r="Q40" s="419"/>
      <c r="R40" s="419"/>
      <c r="S40" s="419"/>
      <c r="T40" s="419"/>
      <c r="U40" s="419"/>
      <c r="V40" s="432">
        <f t="shared" si="1"/>
        <v>5000000</v>
      </c>
      <c r="W40" s="420"/>
      <c r="X40" s="336"/>
      <c r="Y40" s="337"/>
      <c r="Z40" s="338"/>
      <c r="AA40" s="383">
        <f t="shared" si="9"/>
        <v>202452</v>
      </c>
      <c r="AB40" s="339"/>
      <c r="AC40" s="384">
        <f t="shared" si="14"/>
        <v>0</v>
      </c>
      <c r="AD40" s="336"/>
      <c r="AE40" s="329"/>
      <c r="AF40" s="330"/>
      <c r="AG40" s="375">
        <f t="shared" si="10"/>
        <v>466700</v>
      </c>
      <c r="AH40" s="331"/>
      <c r="AI40" s="377">
        <f t="shared" si="15"/>
        <v>0</v>
      </c>
      <c r="AJ40" s="336"/>
      <c r="AK40" s="336"/>
      <c r="AL40" s="336"/>
      <c r="AM40" s="340"/>
      <c r="AN40" s="341"/>
      <c r="AO40" s="341"/>
      <c r="AP40" s="386">
        <f t="shared" si="12"/>
        <v>827481</v>
      </c>
      <c r="AQ40" s="342"/>
      <c r="AR40" s="389">
        <f t="shared" si="4"/>
        <v>0</v>
      </c>
      <c r="AT40" s="343"/>
      <c r="AU40" s="344"/>
      <c r="AV40" s="344"/>
      <c r="AW40" s="435">
        <f t="shared" si="5"/>
        <v>0</v>
      </c>
      <c r="AX40" s="438">
        <f t="shared" si="6"/>
        <v>0</v>
      </c>
    </row>
    <row r="41" spans="2:50">
      <c r="B41" s="326"/>
      <c r="C41" s="327"/>
      <c r="D41" s="327"/>
      <c r="E41" s="371">
        <f t="shared" si="7"/>
        <v>140185</v>
      </c>
      <c r="F41" s="372">
        <f t="shared" si="8"/>
        <v>0</v>
      </c>
      <c r="H41" s="414"/>
      <c r="I41" s="415"/>
      <c r="J41" s="428">
        <f t="shared" si="13"/>
        <v>1066262</v>
      </c>
      <c r="K41" s="416"/>
      <c r="L41" s="430">
        <f t="shared" si="0"/>
        <v>0</v>
      </c>
      <c r="M41" s="328"/>
      <c r="O41" s="417"/>
      <c r="P41" s="418"/>
      <c r="Q41" s="419"/>
      <c r="R41" s="419"/>
      <c r="S41" s="419"/>
      <c r="T41" s="419"/>
      <c r="U41" s="419"/>
      <c r="V41" s="432">
        <f t="shared" si="1"/>
        <v>5000000</v>
      </c>
      <c r="W41" s="420"/>
      <c r="X41" s="336"/>
      <c r="Y41" s="337"/>
      <c r="Z41" s="338"/>
      <c r="AA41" s="383">
        <f t="shared" si="9"/>
        <v>202452</v>
      </c>
      <c r="AB41" s="339"/>
      <c r="AC41" s="384">
        <f t="shared" si="14"/>
        <v>0</v>
      </c>
      <c r="AD41" s="336"/>
      <c r="AE41" s="329"/>
      <c r="AF41" s="330"/>
      <c r="AG41" s="375">
        <f t="shared" si="10"/>
        <v>466700</v>
      </c>
      <c r="AH41" s="331"/>
      <c r="AI41" s="377">
        <f t="shared" si="15"/>
        <v>0</v>
      </c>
      <c r="AJ41" s="336"/>
      <c r="AK41" s="336"/>
      <c r="AL41" s="336"/>
      <c r="AM41" s="340"/>
      <c r="AN41" s="341"/>
      <c r="AO41" s="341"/>
      <c r="AP41" s="386">
        <f t="shared" si="12"/>
        <v>827481</v>
      </c>
      <c r="AQ41" s="342"/>
      <c r="AR41" s="389">
        <f t="shared" si="4"/>
        <v>0</v>
      </c>
      <c r="AT41" s="343"/>
      <c r="AU41" s="344"/>
      <c r="AV41" s="344"/>
      <c r="AW41" s="435">
        <f t="shared" si="5"/>
        <v>0</v>
      </c>
      <c r="AX41" s="438">
        <f t="shared" si="6"/>
        <v>0</v>
      </c>
    </row>
    <row r="42" spans="2:50">
      <c r="B42" s="326"/>
      <c r="C42" s="327"/>
      <c r="D42" s="327"/>
      <c r="E42" s="371">
        <f t="shared" si="7"/>
        <v>140185</v>
      </c>
      <c r="F42" s="372">
        <f t="shared" si="8"/>
        <v>0</v>
      </c>
      <c r="H42" s="414"/>
      <c r="I42" s="415"/>
      <c r="J42" s="428">
        <f t="shared" si="13"/>
        <v>1066262</v>
      </c>
      <c r="K42" s="416"/>
      <c r="L42" s="430">
        <f t="shared" si="0"/>
        <v>0</v>
      </c>
      <c r="M42" s="328"/>
      <c r="O42" s="417"/>
      <c r="P42" s="418"/>
      <c r="Q42" s="419"/>
      <c r="R42" s="419"/>
      <c r="S42" s="419"/>
      <c r="T42" s="419"/>
      <c r="U42" s="419"/>
      <c r="V42" s="432">
        <f t="shared" si="1"/>
        <v>5000000</v>
      </c>
      <c r="W42" s="420"/>
      <c r="X42" s="336"/>
      <c r="Y42" s="337"/>
      <c r="Z42" s="338"/>
      <c r="AA42" s="383">
        <f t="shared" si="9"/>
        <v>202452</v>
      </c>
      <c r="AB42" s="339"/>
      <c r="AC42" s="384">
        <f t="shared" si="14"/>
        <v>0</v>
      </c>
      <c r="AD42" s="336"/>
      <c r="AE42" s="329"/>
      <c r="AF42" s="330"/>
      <c r="AG42" s="375">
        <f t="shared" si="10"/>
        <v>466700</v>
      </c>
      <c r="AH42" s="331"/>
      <c r="AI42" s="377">
        <f t="shared" si="15"/>
        <v>0</v>
      </c>
      <c r="AJ42" s="336"/>
      <c r="AK42" s="336"/>
      <c r="AL42" s="336"/>
      <c r="AM42" s="340"/>
      <c r="AN42" s="341"/>
      <c r="AO42" s="341"/>
      <c r="AP42" s="386">
        <f t="shared" si="12"/>
        <v>827481</v>
      </c>
      <c r="AQ42" s="342"/>
      <c r="AR42" s="389">
        <f t="shared" si="4"/>
        <v>0</v>
      </c>
      <c r="AT42" s="343"/>
      <c r="AU42" s="344"/>
      <c r="AV42" s="344"/>
      <c r="AW42" s="435">
        <f t="shared" si="5"/>
        <v>0</v>
      </c>
      <c r="AX42" s="438">
        <f t="shared" si="6"/>
        <v>0</v>
      </c>
    </row>
    <row r="43" spans="2:50">
      <c r="B43" s="326"/>
      <c r="C43" s="327"/>
      <c r="D43" s="327"/>
      <c r="E43" s="371">
        <f t="shared" si="7"/>
        <v>140185</v>
      </c>
      <c r="F43" s="372">
        <f t="shared" si="8"/>
        <v>0</v>
      </c>
      <c r="H43" s="414"/>
      <c r="I43" s="415"/>
      <c r="J43" s="428">
        <f t="shared" si="13"/>
        <v>1066262</v>
      </c>
      <c r="K43" s="416"/>
      <c r="L43" s="430">
        <f t="shared" si="0"/>
        <v>0</v>
      </c>
      <c r="M43" s="328"/>
      <c r="O43" s="417"/>
      <c r="P43" s="418"/>
      <c r="Q43" s="419"/>
      <c r="R43" s="419"/>
      <c r="S43" s="419"/>
      <c r="T43" s="419"/>
      <c r="U43" s="419"/>
      <c r="V43" s="432">
        <f t="shared" si="1"/>
        <v>5000000</v>
      </c>
      <c r="W43" s="420"/>
      <c r="X43" s="336"/>
      <c r="Y43" s="337"/>
      <c r="Z43" s="338"/>
      <c r="AA43" s="383">
        <f t="shared" si="9"/>
        <v>202452</v>
      </c>
      <c r="AB43" s="339"/>
      <c r="AC43" s="384">
        <f t="shared" si="14"/>
        <v>0</v>
      </c>
      <c r="AD43" s="336"/>
      <c r="AE43" s="329"/>
      <c r="AF43" s="330"/>
      <c r="AG43" s="375">
        <f t="shared" si="10"/>
        <v>466700</v>
      </c>
      <c r="AH43" s="331"/>
      <c r="AI43" s="377">
        <f t="shared" si="15"/>
        <v>0</v>
      </c>
      <c r="AJ43" s="336"/>
      <c r="AK43" s="336"/>
      <c r="AL43" s="336"/>
      <c r="AM43" s="340"/>
      <c r="AN43" s="341"/>
      <c r="AO43" s="341"/>
      <c r="AP43" s="386">
        <f t="shared" si="12"/>
        <v>827481</v>
      </c>
      <c r="AQ43" s="342"/>
      <c r="AR43" s="389">
        <f t="shared" si="4"/>
        <v>0</v>
      </c>
      <c r="AT43" s="343"/>
      <c r="AU43" s="344"/>
      <c r="AV43" s="344"/>
      <c r="AW43" s="435">
        <f t="shared" si="5"/>
        <v>0</v>
      </c>
      <c r="AX43" s="438">
        <f t="shared" si="6"/>
        <v>0</v>
      </c>
    </row>
    <row r="44" spans="2:50">
      <c r="B44" s="326"/>
      <c r="C44" s="327"/>
      <c r="D44" s="327"/>
      <c r="E44" s="371">
        <f t="shared" si="7"/>
        <v>140185</v>
      </c>
      <c r="F44" s="372">
        <f t="shared" si="8"/>
        <v>0</v>
      </c>
      <c r="H44" s="414"/>
      <c r="I44" s="415"/>
      <c r="J44" s="428">
        <f t="shared" si="13"/>
        <v>1066262</v>
      </c>
      <c r="K44" s="416"/>
      <c r="L44" s="430">
        <f t="shared" si="0"/>
        <v>0</v>
      </c>
      <c r="M44" s="328"/>
      <c r="O44" s="417"/>
      <c r="P44" s="418"/>
      <c r="Q44" s="419"/>
      <c r="R44" s="419"/>
      <c r="S44" s="419"/>
      <c r="T44" s="419"/>
      <c r="U44" s="419"/>
      <c r="V44" s="432">
        <f t="shared" si="1"/>
        <v>5000000</v>
      </c>
      <c r="W44" s="420"/>
      <c r="X44" s="336"/>
      <c r="Y44" s="337"/>
      <c r="Z44" s="338"/>
      <c r="AA44" s="383">
        <f t="shared" si="9"/>
        <v>202452</v>
      </c>
      <c r="AB44" s="339"/>
      <c r="AC44" s="384">
        <f t="shared" si="14"/>
        <v>0</v>
      </c>
      <c r="AD44" s="336"/>
      <c r="AE44" s="329"/>
      <c r="AF44" s="330"/>
      <c r="AG44" s="375">
        <f t="shared" si="10"/>
        <v>466700</v>
      </c>
      <c r="AH44" s="331"/>
      <c r="AI44" s="377">
        <f t="shared" si="15"/>
        <v>0</v>
      </c>
      <c r="AJ44" s="336"/>
      <c r="AK44" s="336"/>
      <c r="AL44" s="336"/>
      <c r="AM44" s="340"/>
      <c r="AN44" s="341"/>
      <c r="AO44" s="341"/>
      <c r="AP44" s="386">
        <f t="shared" si="12"/>
        <v>827481</v>
      </c>
      <c r="AQ44" s="342"/>
      <c r="AR44" s="389">
        <f t="shared" si="4"/>
        <v>0</v>
      </c>
      <c r="AT44" s="343"/>
      <c r="AU44" s="344"/>
      <c r="AV44" s="344"/>
      <c r="AW44" s="435">
        <f t="shared" si="5"/>
        <v>0</v>
      </c>
      <c r="AX44" s="438">
        <f t="shared" si="6"/>
        <v>0</v>
      </c>
    </row>
    <row r="45" spans="2:50">
      <c r="B45" s="326"/>
      <c r="C45" s="327"/>
      <c r="D45" s="327"/>
      <c r="E45" s="371">
        <f t="shared" si="7"/>
        <v>140185</v>
      </c>
      <c r="F45" s="372">
        <f t="shared" si="8"/>
        <v>0</v>
      </c>
      <c r="H45" s="414"/>
      <c r="I45" s="415"/>
      <c r="J45" s="428">
        <f t="shared" si="13"/>
        <v>1066262</v>
      </c>
      <c r="K45" s="416"/>
      <c r="L45" s="430">
        <f t="shared" si="0"/>
        <v>0</v>
      </c>
      <c r="M45" s="328"/>
      <c r="O45" s="417"/>
      <c r="P45" s="418"/>
      <c r="Q45" s="419"/>
      <c r="R45" s="419"/>
      <c r="S45" s="419"/>
      <c r="T45" s="419"/>
      <c r="U45" s="419"/>
      <c r="V45" s="432">
        <f t="shared" si="1"/>
        <v>5000000</v>
      </c>
      <c r="W45" s="420"/>
      <c r="X45" s="336"/>
      <c r="Y45" s="337"/>
      <c r="Z45" s="338"/>
      <c r="AA45" s="383">
        <f t="shared" si="9"/>
        <v>202452</v>
      </c>
      <c r="AB45" s="339"/>
      <c r="AC45" s="384">
        <f t="shared" si="14"/>
        <v>0</v>
      </c>
      <c r="AD45" s="336"/>
      <c r="AE45" s="329"/>
      <c r="AF45" s="330"/>
      <c r="AG45" s="375">
        <f t="shared" si="10"/>
        <v>466700</v>
      </c>
      <c r="AH45" s="331"/>
      <c r="AI45" s="377">
        <f t="shared" si="15"/>
        <v>0</v>
      </c>
      <c r="AJ45" s="336"/>
      <c r="AK45" s="336"/>
      <c r="AL45" s="336"/>
      <c r="AM45" s="340"/>
      <c r="AN45" s="341"/>
      <c r="AO45" s="341"/>
      <c r="AP45" s="386">
        <f t="shared" si="12"/>
        <v>827481</v>
      </c>
      <c r="AQ45" s="342"/>
      <c r="AR45" s="389">
        <f t="shared" si="4"/>
        <v>0</v>
      </c>
      <c r="AT45" s="343"/>
      <c r="AU45" s="344"/>
      <c r="AV45" s="344"/>
      <c r="AW45" s="435">
        <f t="shared" si="5"/>
        <v>0</v>
      </c>
      <c r="AX45" s="438">
        <f t="shared" si="6"/>
        <v>0</v>
      </c>
    </row>
    <row r="46" spans="2:50">
      <c r="B46" s="326"/>
      <c r="C46" s="327"/>
      <c r="D46" s="327"/>
      <c r="E46" s="371">
        <f t="shared" si="7"/>
        <v>140185</v>
      </c>
      <c r="F46" s="372">
        <f t="shared" si="8"/>
        <v>0</v>
      </c>
      <c r="H46" s="414"/>
      <c r="I46" s="415"/>
      <c r="J46" s="428">
        <f t="shared" si="13"/>
        <v>1066262</v>
      </c>
      <c r="K46" s="416"/>
      <c r="L46" s="430">
        <f t="shared" si="0"/>
        <v>0</v>
      </c>
      <c r="M46" s="328"/>
      <c r="O46" s="417"/>
      <c r="P46" s="418"/>
      <c r="Q46" s="419"/>
      <c r="R46" s="419"/>
      <c r="S46" s="419"/>
      <c r="T46" s="419"/>
      <c r="U46" s="419"/>
      <c r="V46" s="432">
        <f t="shared" si="1"/>
        <v>5000000</v>
      </c>
      <c r="W46" s="420"/>
      <c r="X46" s="336"/>
      <c r="Y46" s="337"/>
      <c r="Z46" s="338"/>
      <c r="AA46" s="383">
        <f t="shared" si="9"/>
        <v>202452</v>
      </c>
      <c r="AB46" s="339"/>
      <c r="AC46" s="384">
        <f t="shared" si="14"/>
        <v>0</v>
      </c>
      <c r="AD46" s="336"/>
      <c r="AE46" s="329"/>
      <c r="AF46" s="330"/>
      <c r="AG46" s="375">
        <f t="shared" si="10"/>
        <v>466700</v>
      </c>
      <c r="AH46" s="331"/>
      <c r="AI46" s="377">
        <f t="shared" si="15"/>
        <v>0</v>
      </c>
      <c r="AJ46" s="336"/>
      <c r="AK46" s="336"/>
      <c r="AL46" s="336"/>
      <c r="AM46" s="340"/>
      <c r="AN46" s="341"/>
      <c r="AO46" s="341"/>
      <c r="AP46" s="386">
        <f t="shared" si="12"/>
        <v>827481</v>
      </c>
      <c r="AQ46" s="342"/>
      <c r="AR46" s="389">
        <f t="shared" si="4"/>
        <v>0</v>
      </c>
      <c r="AT46" s="343"/>
      <c r="AU46" s="344"/>
      <c r="AV46" s="344"/>
      <c r="AW46" s="435">
        <f t="shared" si="5"/>
        <v>0</v>
      </c>
      <c r="AX46" s="438">
        <f t="shared" si="6"/>
        <v>0</v>
      </c>
    </row>
    <row r="47" spans="2:50">
      <c r="B47" s="326"/>
      <c r="C47" s="327"/>
      <c r="D47" s="327"/>
      <c r="E47" s="371">
        <f t="shared" si="7"/>
        <v>140185</v>
      </c>
      <c r="F47" s="372">
        <f t="shared" si="8"/>
        <v>0</v>
      </c>
      <c r="H47" s="414"/>
      <c r="I47" s="415"/>
      <c r="J47" s="428">
        <f t="shared" si="13"/>
        <v>1066262</v>
      </c>
      <c r="K47" s="416"/>
      <c r="L47" s="430">
        <f t="shared" si="0"/>
        <v>0</v>
      </c>
      <c r="M47" s="328"/>
      <c r="O47" s="417"/>
      <c r="P47" s="418"/>
      <c r="Q47" s="419"/>
      <c r="R47" s="419"/>
      <c r="S47" s="419"/>
      <c r="T47" s="419"/>
      <c r="U47" s="419"/>
      <c r="V47" s="432">
        <f t="shared" si="1"/>
        <v>5000000</v>
      </c>
      <c r="W47" s="420"/>
      <c r="X47" s="336"/>
      <c r="Y47" s="337"/>
      <c r="Z47" s="338"/>
      <c r="AA47" s="383">
        <f t="shared" si="9"/>
        <v>202452</v>
      </c>
      <c r="AB47" s="339"/>
      <c r="AC47" s="384">
        <f t="shared" si="14"/>
        <v>0</v>
      </c>
      <c r="AD47" s="336"/>
      <c r="AE47" s="329"/>
      <c r="AF47" s="330"/>
      <c r="AG47" s="375">
        <f t="shared" si="10"/>
        <v>466700</v>
      </c>
      <c r="AH47" s="331"/>
      <c r="AI47" s="377">
        <f t="shared" si="15"/>
        <v>0</v>
      </c>
      <c r="AJ47" s="336"/>
      <c r="AK47" s="336"/>
      <c r="AL47" s="336"/>
      <c r="AM47" s="340"/>
      <c r="AN47" s="341"/>
      <c r="AO47" s="341"/>
      <c r="AP47" s="386">
        <f t="shared" si="12"/>
        <v>827481</v>
      </c>
      <c r="AQ47" s="342"/>
      <c r="AR47" s="389">
        <f t="shared" si="4"/>
        <v>0</v>
      </c>
      <c r="AT47" s="343"/>
      <c r="AU47" s="344"/>
      <c r="AV47" s="344"/>
      <c r="AW47" s="435">
        <f t="shared" si="5"/>
        <v>0</v>
      </c>
      <c r="AX47" s="438">
        <f t="shared" si="6"/>
        <v>0</v>
      </c>
    </row>
    <row r="48" spans="2:50">
      <c r="B48" s="326"/>
      <c r="C48" s="327"/>
      <c r="D48" s="327"/>
      <c r="E48" s="371">
        <f t="shared" si="7"/>
        <v>140185</v>
      </c>
      <c r="F48" s="372">
        <f t="shared" si="8"/>
        <v>0</v>
      </c>
      <c r="H48" s="414"/>
      <c r="I48" s="415"/>
      <c r="J48" s="428">
        <f t="shared" si="13"/>
        <v>1066262</v>
      </c>
      <c r="K48" s="416"/>
      <c r="L48" s="430">
        <f t="shared" si="0"/>
        <v>0</v>
      </c>
      <c r="M48" s="328"/>
      <c r="O48" s="417"/>
      <c r="P48" s="418"/>
      <c r="Q48" s="419"/>
      <c r="R48" s="419"/>
      <c r="S48" s="419"/>
      <c r="T48" s="419"/>
      <c r="U48" s="419"/>
      <c r="V48" s="432">
        <f t="shared" si="1"/>
        <v>5000000</v>
      </c>
      <c r="W48" s="420"/>
      <c r="X48" s="336"/>
      <c r="Y48" s="337"/>
      <c r="Z48" s="338"/>
      <c r="AA48" s="383">
        <f t="shared" si="9"/>
        <v>202452</v>
      </c>
      <c r="AB48" s="339"/>
      <c r="AC48" s="384">
        <f t="shared" si="14"/>
        <v>0</v>
      </c>
      <c r="AD48" s="336"/>
      <c r="AE48" s="329"/>
      <c r="AF48" s="330"/>
      <c r="AG48" s="375">
        <f t="shared" si="10"/>
        <v>466700</v>
      </c>
      <c r="AH48" s="331"/>
      <c r="AI48" s="377">
        <f t="shared" si="15"/>
        <v>0</v>
      </c>
      <c r="AJ48" s="336"/>
      <c r="AK48" s="336"/>
      <c r="AL48" s="336"/>
      <c r="AM48" s="340"/>
      <c r="AN48" s="341"/>
      <c r="AO48" s="341"/>
      <c r="AP48" s="386">
        <f t="shared" si="12"/>
        <v>827481</v>
      </c>
      <c r="AQ48" s="342"/>
      <c r="AR48" s="389">
        <f t="shared" si="4"/>
        <v>0</v>
      </c>
      <c r="AT48" s="343"/>
      <c r="AU48" s="344"/>
      <c r="AV48" s="344"/>
      <c r="AW48" s="435">
        <f t="shared" si="5"/>
        <v>0</v>
      </c>
      <c r="AX48" s="438">
        <f t="shared" si="6"/>
        <v>0</v>
      </c>
    </row>
    <row r="49" spans="2:50">
      <c r="B49" s="326"/>
      <c r="C49" s="327"/>
      <c r="D49" s="327"/>
      <c r="E49" s="371">
        <f t="shared" si="7"/>
        <v>140185</v>
      </c>
      <c r="F49" s="372">
        <f t="shared" si="8"/>
        <v>0</v>
      </c>
      <c r="H49" s="414"/>
      <c r="I49" s="415"/>
      <c r="J49" s="428">
        <f t="shared" si="13"/>
        <v>1066262</v>
      </c>
      <c r="K49" s="416"/>
      <c r="L49" s="430">
        <f t="shared" si="0"/>
        <v>0</v>
      </c>
      <c r="M49" s="328"/>
      <c r="O49" s="417"/>
      <c r="P49" s="418"/>
      <c r="Q49" s="419"/>
      <c r="R49" s="419"/>
      <c r="S49" s="419"/>
      <c r="T49" s="419"/>
      <c r="U49" s="419"/>
      <c r="V49" s="432">
        <f t="shared" si="1"/>
        <v>5000000</v>
      </c>
      <c r="W49" s="420"/>
      <c r="X49" s="336"/>
      <c r="Y49" s="337"/>
      <c r="Z49" s="338"/>
      <c r="AA49" s="383">
        <f t="shared" si="9"/>
        <v>202452</v>
      </c>
      <c r="AB49" s="339"/>
      <c r="AC49" s="384">
        <f t="shared" si="14"/>
        <v>0</v>
      </c>
      <c r="AD49" s="336"/>
      <c r="AE49" s="329"/>
      <c r="AF49" s="330"/>
      <c r="AG49" s="375">
        <f t="shared" si="10"/>
        <v>466700</v>
      </c>
      <c r="AH49" s="331"/>
      <c r="AI49" s="377">
        <f t="shared" si="15"/>
        <v>0</v>
      </c>
      <c r="AJ49" s="336"/>
      <c r="AK49" s="336"/>
      <c r="AL49" s="336"/>
      <c r="AM49" s="340"/>
      <c r="AN49" s="341"/>
      <c r="AO49" s="341"/>
      <c r="AP49" s="386">
        <f t="shared" si="12"/>
        <v>827481</v>
      </c>
      <c r="AQ49" s="342"/>
      <c r="AR49" s="389">
        <f t="shared" si="4"/>
        <v>0</v>
      </c>
      <c r="AT49" s="343"/>
      <c r="AU49" s="344"/>
      <c r="AV49" s="344"/>
      <c r="AW49" s="435">
        <f t="shared" si="5"/>
        <v>0</v>
      </c>
      <c r="AX49" s="438">
        <f t="shared" si="6"/>
        <v>0</v>
      </c>
    </row>
    <row r="50" spans="2:50">
      <c r="B50" s="326"/>
      <c r="C50" s="327"/>
      <c r="D50" s="327"/>
      <c r="E50" s="371">
        <f t="shared" si="7"/>
        <v>140185</v>
      </c>
      <c r="F50" s="372">
        <f t="shared" si="8"/>
        <v>0</v>
      </c>
      <c r="H50" s="414"/>
      <c r="I50" s="415"/>
      <c r="J50" s="428">
        <f t="shared" si="13"/>
        <v>1066262</v>
      </c>
      <c r="K50" s="416"/>
      <c r="L50" s="430">
        <f t="shared" si="0"/>
        <v>0</v>
      </c>
      <c r="M50" s="328"/>
      <c r="O50" s="417"/>
      <c r="P50" s="418"/>
      <c r="Q50" s="419"/>
      <c r="R50" s="419"/>
      <c r="S50" s="419"/>
      <c r="T50" s="419"/>
      <c r="U50" s="419"/>
      <c r="V50" s="432">
        <f t="shared" si="1"/>
        <v>5000000</v>
      </c>
      <c r="W50" s="420"/>
      <c r="X50" s="336"/>
      <c r="Y50" s="337"/>
      <c r="Z50" s="338"/>
      <c r="AA50" s="383">
        <f t="shared" si="9"/>
        <v>202452</v>
      </c>
      <c r="AB50" s="339"/>
      <c r="AC50" s="384">
        <f t="shared" si="14"/>
        <v>0</v>
      </c>
      <c r="AD50" s="336"/>
      <c r="AE50" s="329"/>
      <c r="AF50" s="330"/>
      <c r="AG50" s="375">
        <f t="shared" si="10"/>
        <v>466700</v>
      </c>
      <c r="AH50" s="331"/>
      <c r="AI50" s="377">
        <f t="shared" si="15"/>
        <v>0</v>
      </c>
      <c r="AJ50" s="336"/>
      <c r="AK50" s="336"/>
      <c r="AL50" s="336"/>
      <c r="AM50" s="340"/>
      <c r="AN50" s="341"/>
      <c r="AO50" s="341"/>
      <c r="AP50" s="386">
        <f t="shared" si="12"/>
        <v>827481</v>
      </c>
      <c r="AQ50" s="342"/>
      <c r="AR50" s="389">
        <f t="shared" si="4"/>
        <v>0</v>
      </c>
      <c r="AT50" s="343"/>
      <c r="AU50" s="344"/>
      <c r="AV50" s="344"/>
      <c r="AW50" s="435">
        <f t="shared" si="5"/>
        <v>0</v>
      </c>
      <c r="AX50" s="438">
        <f t="shared" si="6"/>
        <v>0</v>
      </c>
    </row>
    <row r="51" spans="2:50">
      <c r="B51" s="326"/>
      <c r="C51" s="327"/>
      <c r="D51" s="327"/>
      <c r="E51" s="371">
        <f t="shared" si="7"/>
        <v>140185</v>
      </c>
      <c r="F51" s="372">
        <f t="shared" si="8"/>
        <v>0</v>
      </c>
      <c r="H51" s="414"/>
      <c r="I51" s="415"/>
      <c r="J51" s="428">
        <f t="shared" si="13"/>
        <v>1066262</v>
      </c>
      <c r="K51" s="416"/>
      <c r="L51" s="430">
        <f t="shared" si="0"/>
        <v>0</v>
      </c>
      <c r="M51" s="328"/>
      <c r="O51" s="417"/>
      <c r="P51" s="418"/>
      <c r="Q51" s="419"/>
      <c r="R51" s="419"/>
      <c r="S51" s="419"/>
      <c r="T51" s="419"/>
      <c r="U51" s="419"/>
      <c r="V51" s="432">
        <f t="shared" si="1"/>
        <v>5000000</v>
      </c>
      <c r="W51" s="420"/>
      <c r="X51" s="336"/>
      <c r="Y51" s="337"/>
      <c r="Z51" s="338"/>
      <c r="AA51" s="383">
        <f t="shared" si="9"/>
        <v>202452</v>
      </c>
      <c r="AB51" s="339"/>
      <c r="AC51" s="384">
        <f t="shared" si="14"/>
        <v>0</v>
      </c>
      <c r="AD51" s="336"/>
      <c r="AE51" s="329"/>
      <c r="AF51" s="330"/>
      <c r="AG51" s="375">
        <f t="shared" si="10"/>
        <v>466700</v>
      </c>
      <c r="AH51" s="331"/>
      <c r="AI51" s="377">
        <f t="shared" si="15"/>
        <v>0</v>
      </c>
      <c r="AJ51" s="336"/>
      <c r="AK51" s="336"/>
      <c r="AL51" s="336"/>
      <c r="AM51" s="340"/>
      <c r="AN51" s="341"/>
      <c r="AO51" s="341"/>
      <c r="AP51" s="386">
        <f t="shared" si="12"/>
        <v>827481</v>
      </c>
      <c r="AQ51" s="342"/>
      <c r="AR51" s="389">
        <f t="shared" si="4"/>
        <v>0</v>
      </c>
      <c r="AT51" s="343"/>
      <c r="AU51" s="344"/>
      <c r="AV51" s="344"/>
      <c r="AW51" s="436">
        <f t="shared" si="5"/>
        <v>0</v>
      </c>
      <c r="AX51" s="438">
        <f t="shared" si="6"/>
        <v>0</v>
      </c>
    </row>
    <row r="52" spans="2:50">
      <c r="B52" s="326"/>
      <c r="C52" s="327"/>
      <c r="D52" s="327"/>
      <c r="E52" s="371">
        <f t="shared" si="7"/>
        <v>140185</v>
      </c>
      <c r="F52" s="372">
        <f t="shared" si="8"/>
        <v>0</v>
      </c>
      <c r="H52" s="414"/>
      <c r="I52" s="415"/>
      <c r="J52" s="428">
        <f t="shared" si="13"/>
        <v>1066262</v>
      </c>
      <c r="K52" s="416"/>
      <c r="L52" s="430">
        <f t="shared" si="0"/>
        <v>0</v>
      </c>
      <c r="M52" s="328"/>
      <c r="O52" s="417"/>
      <c r="P52" s="418"/>
      <c r="Q52" s="419"/>
      <c r="R52" s="419"/>
      <c r="S52" s="419"/>
      <c r="T52" s="419"/>
      <c r="U52" s="419"/>
      <c r="V52" s="432">
        <f t="shared" si="1"/>
        <v>5000000</v>
      </c>
      <c r="W52" s="420"/>
      <c r="X52" s="336"/>
      <c r="Y52" s="337"/>
      <c r="Z52" s="338"/>
      <c r="AA52" s="383">
        <f t="shared" si="9"/>
        <v>202452</v>
      </c>
      <c r="AB52" s="339"/>
      <c r="AC52" s="384">
        <f t="shared" si="14"/>
        <v>0</v>
      </c>
      <c r="AD52" s="336"/>
      <c r="AE52" s="329"/>
      <c r="AF52" s="330"/>
      <c r="AG52" s="375">
        <f t="shared" si="10"/>
        <v>466700</v>
      </c>
      <c r="AH52" s="331"/>
      <c r="AI52" s="377">
        <f t="shared" si="15"/>
        <v>0</v>
      </c>
      <c r="AJ52" s="336"/>
      <c r="AK52" s="336"/>
      <c r="AL52" s="336"/>
      <c r="AM52" s="340"/>
      <c r="AN52" s="341"/>
      <c r="AO52" s="341"/>
      <c r="AP52" s="386">
        <f t="shared" si="12"/>
        <v>827481</v>
      </c>
      <c r="AQ52" s="342"/>
      <c r="AR52" s="389">
        <f t="shared" si="4"/>
        <v>0</v>
      </c>
      <c r="AT52" s="343"/>
      <c r="AU52" s="344"/>
      <c r="AV52" s="344"/>
      <c r="AW52" s="435">
        <f t="shared" si="5"/>
        <v>0</v>
      </c>
      <c r="AX52" s="438">
        <f t="shared" si="6"/>
        <v>0</v>
      </c>
    </row>
    <row r="53" spans="2:50">
      <c r="B53" s="326"/>
      <c r="C53" s="327"/>
      <c r="D53" s="327"/>
      <c r="E53" s="371">
        <f t="shared" si="7"/>
        <v>140185</v>
      </c>
      <c r="F53" s="372">
        <f t="shared" si="8"/>
        <v>0</v>
      </c>
      <c r="H53" s="414"/>
      <c r="I53" s="415"/>
      <c r="J53" s="428">
        <f t="shared" si="13"/>
        <v>1066262</v>
      </c>
      <c r="K53" s="416"/>
      <c r="L53" s="430">
        <f t="shared" si="0"/>
        <v>0</v>
      </c>
      <c r="M53" s="328"/>
      <c r="O53" s="417"/>
      <c r="P53" s="418"/>
      <c r="Q53" s="419"/>
      <c r="R53" s="419"/>
      <c r="S53" s="419"/>
      <c r="T53" s="419"/>
      <c r="U53" s="419"/>
      <c r="V53" s="432">
        <f t="shared" si="1"/>
        <v>5000000</v>
      </c>
      <c r="W53" s="420"/>
      <c r="X53" s="336"/>
      <c r="Y53" s="337"/>
      <c r="Z53" s="338"/>
      <c r="AA53" s="383">
        <f t="shared" si="9"/>
        <v>202452</v>
      </c>
      <c r="AB53" s="339"/>
      <c r="AC53" s="384">
        <f t="shared" si="14"/>
        <v>0</v>
      </c>
      <c r="AD53" s="336"/>
      <c r="AE53" s="329"/>
      <c r="AF53" s="330"/>
      <c r="AG53" s="375">
        <f t="shared" si="10"/>
        <v>466700</v>
      </c>
      <c r="AH53" s="331"/>
      <c r="AI53" s="377">
        <f t="shared" si="15"/>
        <v>0</v>
      </c>
      <c r="AJ53" s="336"/>
      <c r="AK53" s="336"/>
      <c r="AL53" s="336"/>
      <c r="AM53" s="340"/>
      <c r="AN53" s="341"/>
      <c r="AO53" s="341"/>
      <c r="AP53" s="386">
        <f t="shared" si="12"/>
        <v>827481</v>
      </c>
      <c r="AQ53" s="342"/>
      <c r="AR53" s="389">
        <f t="shared" si="4"/>
        <v>0</v>
      </c>
      <c r="AT53" s="343"/>
      <c r="AU53" s="344"/>
      <c r="AV53" s="344"/>
      <c r="AW53" s="435">
        <f t="shared" si="5"/>
        <v>0</v>
      </c>
      <c r="AX53" s="438">
        <f t="shared" si="6"/>
        <v>0</v>
      </c>
    </row>
    <row r="54" spans="2:50">
      <c r="B54" s="326"/>
      <c r="C54" s="327"/>
      <c r="D54" s="327"/>
      <c r="E54" s="371">
        <f t="shared" si="7"/>
        <v>140185</v>
      </c>
      <c r="F54" s="372">
        <f t="shared" si="8"/>
        <v>0</v>
      </c>
      <c r="H54" s="414"/>
      <c r="I54" s="415"/>
      <c r="J54" s="428">
        <f t="shared" si="13"/>
        <v>1066262</v>
      </c>
      <c r="K54" s="416"/>
      <c r="L54" s="430">
        <f t="shared" si="0"/>
        <v>0</v>
      </c>
      <c r="M54" s="328"/>
      <c r="O54" s="417"/>
      <c r="P54" s="418"/>
      <c r="Q54" s="419"/>
      <c r="R54" s="419"/>
      <c r="S54" s="419"/>
      <c r="T54" s="419"/>
      <c r="U54" s="419"/>
      <c r="V54" s="432">
        <f t="shared" si="1"/>
        <v>5000000</v>
      </c>
      <c r="W54" s="420"/>
      <c r="X54" s="336"/>
      <c r="Y54" s="337"/>
      <c r="Z54" s="338"/>
      <c r="AA54" s="383">
        <f t="shared" si="9"/>
        <v>202452</v>
      </c>
      <c r="AB54" s="339"/>
      <c r="AC54" s="384">
        <f t="shared" si="14"/>
        <v>0</v>
      </c>
      <c r="AD54" s="336"/>
      <c r="AE54" s="329"/>
      <c r="AF54" s="330"/>
      <c r="AG54" s="375">
        <f t="shared" si="10"/>
        <v>466700</v>
      </c>
      <c r="AH54" s="331"/>
      <c r="AI54" s="377">
        <f t="shared" si="15"/>
        <v>0</v>
      </c>
      <c r="AJ54" s="336"/>
      <c r="AK54" s="336"/>
      <c r="AL54" s="336"/>
      <c r="AM54" s="340"/>
      <c r="AN54" s="341"/>
      <c r="AO54" s="341"/>
      <c r="AP54" s="386">
        <f t="shared" si="12"/>
        <v>827481</v>
      </c>
      <c r="AQ54" s="342"/>
      <c r="AR54" s="389">
        <f t="shared" si="4"/>
        <v>0</v>
      </c>
      <c r="AT54" s="343"/>
      <c r="AU54" s="344"/>
      <c r="AV54" s="344"/>
      <c r="AW54" s="435">
        <f t="shared" si="5"/>
        <v>0</v>
      </c>
      <c r="AX54" s="438">
        <f t="shared" si="6"/>
        <v>0</v>
      </c>
    </row>
    <row r="55" spans="2:50">
      <c r="B55" s="326"/>
      <c r="C55" s="327"/>
      <c r="D55" s="327"/>
      <c r="E55" s="371">
        <f t="shared" si="7"/>
        <v>140185</v>
      </c>
      <c r="F55" s="372">
        <f t="shared" si="8"/>
        <v>0</v>
      </c>
      <c r="H55" s="414"/>
      <c r="I55" s="415"/>
      <c r="J55" s="428">
        <f t="shared" si="13"/>
        <v>1066262</v>
      </c>
      <c r="K55" s="416"/>
      <c r="L55" s="430">
        <f t="shared" si="0"/>
        <v>0</v>
      </c>
      <c r="M55" s="328"/>
      <c r="O55" s="417"/>
      <c r="P55" s="418"/>
      <c r="Q55" s="419"/>
      <c r="R55" s="419"/>
      <c r="S55" s="419"/>
      <c r="T55" s="419"/>
      <c r="U55" s="419"/>
      <c r="V55" s="432">
        <f t="shared" si="1"/>
        <v>5000000</v>
      </c>
      <c r="W55" s="420"/>
      <c r="X55" s="336"/>
      <c r="Y55" s="337"/>
      <c r="Z55" s="338"/>
      <c r="AA55" s="383">
        <f t="shared" si="9"/>
        <v>202452</v>
      </c>
      <c r="AB55" s="339"/>
      <c r="AC55" s="384">
        <f t="shared" si="14"/>
        <v>0</v>
      </c>
      <c r="AD55" s="336"/>
      <c r="AE55" s="329"/>
      <c r="AF55" s="330"/>
      <c r="AG55" s="375">
        <f t="shared" si="10"/>
        <v>466700</v>
      </c>
      <c r="AH55" s="331"/>
      <c r="AI55" s="377">
        <f t="shared" si="15"/>
        <v>0</v>
      </c>
      <c r="AJ55" s="336"/>
      <c r="AK55" s="336"/>
      <c r="AL55" s="336"/>
      <c r="AM55" s="340"/>
      <c r="AN55" s="341"/>
      <c r="AO55" s="341"/>
      <c r="AP55" s="386">
        <f t="shared" si="12"/>
        <v>827481</v>
      </c>
      <c r="AQ55" s="342"/>
      <c r="AR55" s="389">
        <f t="shared" si="4"/>
        <v>0</v>
      </c>
      <c r="AT55" s="343"/>
      <c r="AU55" s="344"/>
      <c r="AV55" s="344"/>
      <c r="AW55" s="435">
        <f t="shared" si="5"/>
        <v>0</v>
      </c>
      <c r="AX55" s="438">
        <f t="shared" si="6"/>
        <v>0</v>
      </c>
    </row>
    <row r="56" spans="2:50">
      <c r="B56" s="326"/>
      <c r="C56" s="327"/>
      <c r="D56" s="327"/>
      <c r="E56" s="371">
        <f t="shared" si="7"/>
        <v>140185</v>
      </c>
      <c r="F56" s="372">
        <f t="shared" si="8"/>
        <v>0</v>
      </c>
      <c r="H56" s="414"/>
      <c r="I56" s="415"/>
      <c r="J56" s="428">
        <f t="shared" si="13"/>
        <v>1066262</v>
      </c>
      <c r="K56" s="416"/>
      <c r="L56" s="430">
        <f t="shared" si="0"/>
        <v>0</v>
      </c>
      <c r="M56" s="328"/>
      <c r="O56" s="417"/>
      <c r="P56" s="418"/>
      <c r="Q56" s="419"/>
      <c r="R56" s="419"/>
      <c r="S56" s="419"/>
      <c r="T56" s="419"/>
      <c r="U56" s="419"/>
      <c r="V56" s="432">
        <f t="shared" si="1"/>
        <v>5000000</v>
      </c>
      <c r="W56" s="420"/>
      <c r="X56" s="336"/>
      <c r="Y56" s="337"/>
      <c r="Z56" s="338"/>
      <c r="AA56" s="383">
        <f t="shared" si="9"/>
        <v>202452</v>
      </c>
      <c r="AB56" s="339"/>
      <c r="AC56" s="384">
        <f t="shared" si="14"/>
        <v>0</v>
      </c>
      <c r="AD56" s="336"/>
      <c r="AE56" s="329"/>
      <c r="AF56" s="330"/>
      <c r="AG56" s="375">
        <f t="shared" si="10"/>
        <v>466700</v>
      </c>
      <c r="AH56" s="331"/>
      <c r="AI56" s="377">
        <f t="shared" si="15"/>
        <v>0</v>
      </c>
      <c r="AJ56" s="336"/>
      <c r="AK56" s="336"/>
      <c r="AL56" s="336"/>
      <c r="AM56" s="340"/>
      <c r="AN56" s="341"/>
      <c r="AO56" s="341"/>
      <c r="AP56" s="386">
        <f t="shared" si="12"/>
        <v>827481</v>
      </c>
      <c r="AQ56" s="342"/>
      <c r="AR56" s="389">
        <f t="shared" si="4"/>
        <v>0</v>
      </c>
      <c r="AT56" s="343"/>
      <c r="AU56" s="344"/>
      <c r="AV56" s="344"/>
      <c r="AW56" s="435">
        <f t="shared" si="5"/>
        <v>0</v>
      </c>
      <c r="AX56" s="438">
        <f t="shared" si="6"/>
        <v>0</v>
      </c>
    </row>
    <row r="57" spans="2:50">
      <c r="B57" s="326"/>
      <c r="C57" s="327"/>
      <c r="D57" s="327"/>
      <c r="E57" s="371">
        <f t="shared" si="7"/>
        <v>140185</v>
      </c>
      <c r="F57" s="372">
        <f t="shared" si="8"/>
        <v>0</v>
      </c>
      <c r="H57" s="414"/>
      <c r="I57" s="415"/>
      <c r="J57" s="428">
        <f t="shared" si="13"/>
        <v>1066262</v>
      </c>
      <c r="K57" s="416"/>
      <c r="L57" s="430">
        <f t="shared" si="0"/>
        <v>0</v>
      </c>
      <c r="M57" s="328"/>
      <c r="O57" s="417"/>
      <c r="P57" s="418"/>
      <c r="Q57" s="419"/>
      <c r="R57" s="419"/>
      <c r="S57" s="419"/>
      <c r="T57" s="419"/>
      <c r="U57" s="419"/>
      <c r="V57" s="432">
        <f t="shared" si="1"/>
        <v>5000000</v>
      </c>
      <c r="W57" s="420"/>
      <c r="X57" s="336"/>
      <c r="Y57" s="337"/>
      <c r="Z57" s="338"/>
      <c r="AA57" s="383">
        <f t="shared" si="9"/>
        <v>202452</v>
      </c>
      <c r="AB57" s="339"/>
      <c r="AC57" s="384">
        <f t="shared" si="14"/>
        <v>0</v>
      </c>
      <c r="AD57" s="336"/>
      <c r="AE57" s="329"/>
      <c r="AF57" s="330"/>
      <c r="AG57" s="375">
        <f t="shared" si="10"/>
        <v>466700</v>
      </c>
      <c r="AH57" s="331"/>
      <c r="AI57" s="377">
        <f t="shared" si="15"/>
        <v>0</v>
      </c>
      <c r="AJ57" s="336"/>
      <c r="AK57" s="336"/>
      <c r="AL57" s="336"/>
      <c r="AM57" s="340"/>
      <c r="AN57" s="341"/>
      <c r="AO57" s="341"/>
      <c r="AP57" s="386">
        <f t="shared" si="12"/>
        <v>827481</v>
      </c>
      <c r="AQ57" s="342"/>
      <c r="AR57" s="389">
        <f t="shared" si="4"/>
        <v>0</v>
      </c>
      <c r="AT57" s="343"/>
      <c r="AU57" s="344"/>
      <c r="AV57" s="344"/>
      <c r="AW57" s="435">
        <f t="shared" si="5"/>
        <v>0</v>
      </c>
      <c r="AX57" s="438">
        <f t="shared" si="6"/>
        <v>0</v>
      </c>
    </row>
    <row r="58" spans="2:50">
      <c r="B58" s="326"/>
      <c r="C58" s="327"/>
      <c r="D58" s="327"/>
      <c r="E58" s="371">
        <f t="shared" si="7"/>
        <v>140185</v>
      </c>
      <c r="F58" s="372">
        <f t="shared" si="8"/>
        <v>0</v>
      </c>
      <c r="H58" s="414"/>
      <c r="I58" s="415"/>
      <c r="J58" s="428">
        <f t="shared" si="13"/>
        <v>1066262</v>
      </c>
      <c r="K58" s="416"/>
      <c r="L58" s="430">
        <f t="shared" si="0"/>
        <v>0</v>
      </c>
      <c r="M58" s="328"/>
      <c r="O58" s="417"/>
      <c r="P58" s="418"/>
      <c r="Q58" s="419"/>
      <c r="R58" s="419"/>
      <c r="S58" s="419"/>
      <c r="T58" s="419"/>
      <c r="U58" s="419"/>
      <c r="V58" s="432">
        <f t="shared" si="1"/>
        <v>5000000</v>
      </c>
      <c r="W58" s="420"/>
      <c r="X58" s="336"/>
      <c r="Y58" s="337"/>
      <c r="Z58" s="338"/>
      <c r="AA58" s="383">
        <f t="shared" si="9"/>
        <v>202452</v>
      </c>
      <c r="AB58" s="339"/>
      <c r="AC58" s="384">
        <f t="shared" si="14"/>
        <v>0</v>
      </c>
      <c r="AD58" s="336"/>
      <c r="AE58" s="329"/>
      <c r="AF58" s="330"/>
      <c r="AG58" s="375">
        <f t="shared" si="10"/>
        <v>466700</v>
      </c>
      <c r="AH58" s="331"/>
      <c r="AI58" s="377">
        <f t="shared" si="15"/>
        <v>0</v>
      </c>
      <c r="AJ58" s="336"/>
      <c r="AK58" s="336"/>
      <c r="AL58" s="336"/>
      <c r="AM58" s="340"/>
      <c r="AN58" s="341"/>
      <c r="AO58" s="341"/>
      <c r="AP58" s="386">
        <f t="shared" si="12"/>
        <v>827481</v>
      </c>
      <c r="AQ58" s="342"/>
      <c r="AR58" s="389">
        <f t="shared" si="4"/>
        <v>0</v>
      </c>
      <c r="AT58" s="343"/>
      <c r="AU58" s="344"/>
      <c r="AV58" s="344"/>
      <c r="AW58" s="435">
        <f t="shared" si="5"/>
        <v>0</v>
      </c>
      <c r="AX58" s="438">
        <f t="shared" si="6"/>
        <v>0</v>
      </c>
    </row>
    <row r="59" spans="2:50">
      <c r="B59" s="326"/>
      <c r="C59" s="327"/>
      <c r="D59" s="327"/>
      <c r="E59" s="371">
        <f t="shared" si="7"/>
        <v>140185</v>
      </c>
      <c r="F59" s="372">
        <f t="shared" si="8"/>
        <v>0</v>
      </c>
      <c r="H59" s="414"/>
      <c r="I59" s="415"/>
      <c r="J59" s="428">
        <f t="shared" si="13"/>
        <v>1066262</v>
      </c>
      <c r="K59" s="416"/>
      <c r="L59" s="430">
        <f t="shared" si="0"/>
        <v>0</v>
      </c>
      <c r="M59" s="328"/>
      <c r="O59" s="417"/>
      <c r="P59" s="418"/>
      <c r="Q59" s="419"/>
      <c r="R59" s="419"/>
      <c r="S59" s="419"/>
      <c r="T59" s="419"/>
      <c r="U59" s="419"/>
      <c r="V59" s="432">
        <f t="shared" si="1"/>
        <v>5000000</v>
      </c>
      <c r="W59" s="420"/>
      <c r="X59" s="336"/>
      <c r="Y59" s="337"/>
      <c r="Z59" s="338"/>
      <c r="AA59" s="383">
        <f t="shared" si="9"/>
        <v>202452</v>
      </c>
      <c r="AB59" s="339"/>
      <c r="AC59" s="384">
        <f t="shared" si="14"/>
        <v>0</v>
      </c>
      <c r="AD59" s="336"/>
      <c r="AE59" s="329"/>
      <c r="AF59" s="330"/>
      <c r="AG59" s="375">
        <f t="shared" si="10"/>
        <v>466700</v>
      </c>
      <c r="AH59" s="331"/>
      <c r="AI59" s="377">
        <f t="shared" si="15"/>
        <v>0</v>
      </c>
      <c r="AJ59" s="336"/>
      <c r="AK59" s="336"/>
      <c r="AL59" s="336"/>
      <c r="AM59" s="340"/>
      <c r="AN59" s="341"/>
      <c r="AO59" s="341"/>
      <c r="AP59" s="386">
        <f t="shared" si="12"/>
        <v>827481</v>
      </c>
      <c r="AQ59" s="342"/>
      <c r="AR59" s="389">
        <f t="shared" si="4"/>
        <v>0</v>
      </c>
      <c r="AT59" s="343"/>
      <c r="AU59" s="344"/>
      <c r="AV59" s="344"/>
      <c r="AW59" s="435">
        <f t="shared" si="5"/>
        <v>0</v>
      </c>
      <c r="AX59" s="438">
        <f t="shared" si="6"/>
        <v>0</v>
      </c>
    </row>
    <row r="60" spans="2:50">
      <c r="B60" s="326"/>
      <c r="C60" s="327"/>
      <c r="D60" s="327"/>
      <c r="E60" s="371">
        <f t="shared" si="7"/>
        <v>140185</v>
      </c>
      <c r="F60" s="372">
        <f t="shared" si="8"/>
        <v>0</v>
      </c>
      <c r="H60" s="414"/>
      <c r="I60" s="415"/>
      <c r="J60" s="428">
        <f t="shared" si="13"/>
        <v>1066262</v>
      </c>
      <c r="K60" s="416"/>
      <c r="L60" s="430">
        <f t="shared" si="0"/>
        <v>0</v>
      </c>
      <c r="M60" s="328"/>
      <c r="O60" s="417"/>
      <c r="P60" s="418"/>
      <c r="Q60" s="419"/>
      <c r="R60" s="419"/>
      <c r="S60" s="419"/>
      <c r="T60" s="419"/>
      <c r="U60" s="419"/>
      <c r="V60" s="432">
        <f t="shared" si="1"/>
        <v>5000000</v>
      </c>
      <c r="W60" s="420"/>
      <c r="X60" s="336"/>
      <c r="Y60" s="337"/>
      <c r="Z60" s="338"/>
      <c r="AA60" s="383">
        <f t="shared" si="9"/>
        <v>202452</v>
      </c>
      <c r="AB60" s="339"/>
      <c r="AC60" s="384">
        <f t="shared" si="14"/>
        <v>0</v>
      </c>
      <c r="AD60" s="336"/>
      <c r="AE60" s="329"/>
      <c r="AF60" s="330"/>
      <c r="AG60" s="375">
        <f t="shared" si="10"/>
        <v>466700</v>
      </c>
      <c r="AH60" s="331"/>
      <c r="AI60" s="377">
        <f t="shared" si="15"/>
        <v>0</v>
      </c>
      <c r="AJ60" s="336"/>
      <c r="AK60" s="336"/>
      <c r="AL60" s="336"/>
      <c r="AM60" s="340"/>
      <c r="AN60" s="341"/>
      <c r="AO60" s="341"/>
      <c r="AP60" s="386">
        <f t="shared" si="12"/>
        <v>827481</v>
      </c>
      <c r="AQ60" s="342"/>
      <c r="AR60" s="389">
        <f t="shared" si="4"/>
        <v>0</v>
      </c>
      <c r="AT60" s="343"/>
      <c r="AU60" s="344"/>
      <c r="AV60" s="344"/>
      <c r="AW60" s="435">
        <f t="shared" si="5"/>
        <v>0</v>
      </c>
      <c r="AX60" s="438">
        <f t="shared" si="6"/>
        <v>0</v>
      </c>
    </row>
    <row r="61" spans="2:50">
      <c r="B61" s="326"/>
      <c r="C61" s="327"/>
      <c r="D61" s="327"/>
      <c r="E61" s="371">
        <f t="shared" si="7"/>
        <v>140185</v>
      </c>
      <c r="F61" s="372">
        <f t="shared" si="8"/>
        <v>0</v>
      </c>
      <c r="H61" s="414"/>
      <c r="I61" s="415"/>
      <c r="J61" s="428">
        <f t="shared" si="13"/>
        <v>1066262</v>
      </c>
      <c r="K61" s="416"/>
      <c r="L61" s="430">
        <f t="shared" si="0"/>
        <v>0</v>
      </c>
      <c r="M61" s="328"/>
      <c r="O61" s="417"/>
      <c r="P61" s="418"/>
      <c r="Q61" s="419"/>
      <c r="R61" s="419"/>
      <c r="S61" s="419"/>
      <c r="T61" s="419"/>
      <c r="U61" s="419"/>
      <c r="V61" s="432">
        <f t="shared" si="1"/>
        <v>5000000</v>
      </c>
      <c r="W61" s="420"/>
      <c r="X61" s="336"/>
      <c r="Y61" s="337"/>
      <c r="Z61" s="338"/>
      <c r="AA61" s="383">
        <f t="shared" si="9"/>
        <v>202452</v>
      </c>
      <c r="AB61" s="339"/>
      <c r="AC61" s="384">
        <f t="shared" si="14"/>
        <v>0</v>
      </c>
      <c r="AD61" s="336"/>
      <c r="AE61" s="329"/>
      <c r="AF61" s="330"/>
      <c r="AG61" s="375">
        <f t="shared" si="10"/>
        <v>466700</v>
      </c>
      <c r="AH61" s="331"/>
      <c r="AI61" s="377">
        <f t="shared" si="15"/>
        <v>0</v>
      </c>
      <c r="AJ61" s="336"/>
      <c r="AK61" s="336"/>
      <c r="AL61" s="336"/>
      <c r="AM61" s="340"/>
      <c r="AN61" s="341"/>
      <c r="AO61" s="341"/>
      <c r="AP61" s="386">
        <f t="shared" si="12"/>
        <v>827481</v>
      </c>
      <c r="AQ61" s="342"/>
      <c r="AR61" s="389">
        <f t="shared" si="4"/>
        <v>0</v>
      </c>
      <c r="AT61" s="343"/>
      <c r="AU61" s="344"/>
      <c r="AV61" s="344"/>
      <c r="AW61" s="435">
        <f t="shared" si="5"/>
        <v>0</v>
      </c>
      <c r="AX61" s="438">
        <f t="shared" si="6"/>
        <v>0</v>
      </c>
    </row>
    <row r="62" spans="2:50">
      <c r="B62" s="326"/>
      <c r="C62" s="327"/>
      <c r="D62" s="327"/>
      <c r="E62" s="371">
        <f t="shared" si="7"/>
        <v>140185</v>
      </c>
      <c r="F62" s="372">
        <f t="shared" si="8"/>
        <v>0</v>
      </c>
      <c r="H62" s="414"/>
      <c r="I62" s="415"/>
      <c r="J62" s="428">
        <f t="shared" si="13"/>
        <v>1066262</v>
      </c>
      <c r="K62" s="416"/>
      <c r="L62" s="430">
        <f t="shared" si="0"/>
        <v>0</v>
      </c>
      <c r="M62" s="328"/>
      <c r="O62" s="417"/>
      <c r="P62" s="418"/>
      <c r="Q62" s="419"/>
      <c r="R62" s="419"/>
      <c r="S62" s="419"/>
      <c r="T62" s="419"/>
      <c r="U62" s="419"/>
      <c r="V62" s="432">
        <f t="shared" si="1"/>
        <v>5000000</v>
      </c>
      <c r="W62" s="420"/>
      <c r="X62" s="336"/>
      <c r="Y62" s="337"/>
      <c r="Z62" s="338"/>
      <c r="AA62" s="383">
        <f t="shared" si="9"/>
        <v>202452</v>
      </c>
      <c r="AB62" s="339"/>
      <c r="AC62" s="384">
        <f t="shared" si="14"/>
        <v>0</v>
      </c>
      <c r="AD62" s="336"/>
      <c r="AE62" s="329"/>
      <c r="AF62" s="330"/>
      <c r="AG62" s="375">
        <f t="shared" si="10"/>
        <v>466700</v>
      </c>
      <c r="AH62" s="331"/>
      <c r="AI62" s="377">
        <f t="shared" si="15"/>
        <v>0</v>
      </c>
      <c r="AJ62" s="336"/>
      <c r="AK62" s="336"/>
      <c r="AL62" s="336"/>
      <c r="AM62" s="340"/>
      <c r="AN62" s="341"/>
      <c r="AO62" s="341"/>
      <c r="AP62" s="386">
        <f t="shared" si="12"/>
        <v>827481</v>
      </c>
      <c r="AQ62" s="342"/>
      <c r="AR62" s="389">
        <f t="shared" si="4"/>
        <v>0</v>
      </c>
      <c r="AT62" s="343"/>
      <c r="AU62" s="344"/>
      <c r="AV62" s="344"/>
      <c r="AW62" s="435">
        <f t="shared" si="5"/>
        <v>0</v>
      </c>
      <c r="AX62" s="438">
        <f t="shared" si="6"/>
        <v>0</v>
      </c>
    </row>
    <row r="63" spans="2:50">
      <c r="B63" s="326"/>
      <c r="C63" s="327"/>
      <c r="D63" s="327"/>
      <c r="E63" s="371">
        <f t="shared" si="7"/>
        <v>140185</v>
      </c>
      <c r="F63" s="372">
        <f t="shared" si="8"/>
        <v>0</v>
      </c>
      <c r="H63" s="414"/>
      <c r="I63" s="415"/>
      <c r="J63" s="428">
        <f t="shared" si="13"/>
        <v>1066262</v>
      </c>
      <c r="K63" s="416"/>
      <c r="L63" s="430">
        <f t="shared" si="0"/>
        <v>0</v>
      </c>
      <c r="M63" s="328"/>
      <c r="O63" s="417"/>
      <c r="P63" s="418"/>
      <c r="Q63" s="419"/>
      <c r="R63" s="419"/>
      <c r="S63" s="419"/>
      <c r="T63" s="419"/>
      <c r="U63" s="419"/>
      <c r="V63" s="432">
        <f t="shared" si="1"/>
        <v>5000000</v>
      </c>
      <c r="W63" s="420"/>
      <c r="X63" s="336"/>
      <c r="Y63" s="337"/>
      <c r="Z63" s="338"/>
      <c r="AA63" s="383">
        <f t="shared" si="9"/>
        <v>202452</v>
      </c>
      <c r="AB63" s="339"/>
      <c r="AC63" s="384">
        <f t="shared" si="14"/>
        <v>0</v>
      </c>
      <c r="AD63" s="336"/>
      <c r="AE63" s="329"/>
      <c r="AF63" s="330"/>
      <c r="AG63" s="375">
        <f t="shared" si="10"/>
        <v>466700</v>
      </c>
      <c r="AH63" s="331"/>
      <c r="AI63" s="377">
        <f t="shared" si="15"/>
        <v>0</v>
      </c>
      <c r="AJ63" s="336"/>
      <c r="AK63" s="336"/>
      <c r="AL63" s="336"/>
      <c r="AM63" s="340"/>
      <c r="AN63" s="341"/>
      <c r="AO63" s="341"/>
      <c r="AP63" s="386">
        <f t="shared" si="12"/>
        <v>827481</v>
      </c>
      <c r="AQ63" s="342"/>
      <c r="AR63" s="389">
        <f t="shared" si="4"/>
        <v>0</v>
      </c>
      <c r="AT63" s="343"/>
      <c r="AU63" s="344"/>
      <c r="AV63" s="344"/>
      <c r="AW63" s="435">
        <f t="shared" si="5"/>
        <v>0</v>
      </c>
      <c r="AX63" s="438">
        <f t="shared" si="6"/>
        <v>0</v>
      </c>
    </row>
    <row r="64" spans="2:50">
      <c r="B64" s="326"/>
      <c r="C64" s="327"/>
      <c r="D64" s="327"/>
      <c r="E64" s="371">
        <f t="shared" si="7"/>
        <v>140185</v>
      </c>
      <c r="F64" s="372">
        <f t="shared" si="8"/>
        <v>0</v>
      </c>
      <c r="H64" s="414"/>
      <c r="I64" s="415"/>
      <c r="J64" s="428">
        <f t="shared" si="13"/>
        <v>1066262</v>
      </c>
      <c r="K64" s="416"/>
      <c r="L64" s="430">
        <f t="shared" si="0"/>
        <v>0</v>
      </c>
      <c r="M64" s="328"/>
      <c r="O64" s="417"/>
      <c r="P64" s="418"/>
      <c r="Q64" s="419"/>
      <c r="R64" s="419"/>
      <c r="S64" s="419"/>
      <c r="T64" s="419"/>
      <c r="U64" s="419"/>
      <c r="V64" s="432">
        <f t="shared" si="1"/>
        <v>5000000</v>
      </c>
      <c r="W64" s="420"/>
      <c r="X64" s="336"/>
      <c r="Y64" s="337"/>
      <c r="Z64" s="338"/>
      <c r="AA64" s="383">
        <f t="shared" si="9"/>
        <v>202452</v>
      </c>
      <c r="AB64" s="339"/>
      <c r="AC64" s="384">
        <f t="shared" si="14"/>
        <v>0</v>
      </c>
      <c r="AD64" s="336"/>
      <c r="AE64" s="329"/>
      <c r="AF64" s="330"/>
      <c r="AG64" s="375">
        <f t="shared" si="10"/>
        <v>466700</v>
      </c>
      <c r="AH64" s="331"/>
      <c r="AI64" s="377">
        <f t="shared" si="15"/>
        <v>0</v>
      </c>
      <c r="AJ64" s="336"/>
      <c r="AK64" s="336"/>
      <c r="AL64" s="336"/>
      <c r="AM64" s="340"/>
      <c r="AN64" s="341"/>
      <c r="AO64" s="341"/>
      <c r="AP64" s="386">
        <f t="shared" si="12"/>
        <v>827481</v>
      </c>
      <c r="AQ64" s="342"/>
      <c r="AR64" s="389">
        <f t="shared" si="4"/>
        <v>0</v>
      </c>
      <c r="AT64" s="343"/>
      <c r="AU64" s="344"/>
      <c r="AV64" s="344"/>
      <c r="AW64" s="435">
        <f t="shared" si="5"/>
        <v>0</v>
      </c>
      <c r="AX64" s="438">
        <f t="shared" si="6"/>
        <v>0</v>
      </c>
    </row>
    <row r="65" spans="2:50">
      <c r="B65" s="326"/>
      <c r="C65" s="327"/>
      <c r="D65" s="327"/>
      <c r="E65" s="371">
        <f t="shared" si="7"/>
        <v>140185</v>
      </c>
      <c r="F65" s="372">
        <f t="shared" si="8"/>
        <v>0</v>
      </c>
      <c r="H65" s="414"/>
      <c r="I65" s="415"/>
      <c r="J65" s="428">
        <f t="shared" si="13"/>
        <v>1066262</v>
      </c>
      <c r="K65" s="416"/>
      <c r="L65" s="430">
        <f t="shared" si="0"/>
        <v>0</v>
      </c>
      <c r="M65" s="328"/>
      <c r="O65" s="417"/>
      <c r="P65" s="418"/>
      <c r="Q65" s="419"/>
      <c r="R65" s="419"/>
      <c r="S65" s="419"/>
      <c r="T65" s="419"/>
      <c r="U65" s="419"/>
      <c r="V65" s="432">
        <f t="shared" si="1"/>
        <v>5000000</v>
      </c>
      <c r="W65" s="420"/>
      <c r="X65" s="336"/>
      <c r="Y65" s="337"/>
      <c r="Z65" s="338"/>
      <c r="AA65" s="383">
        <f t="shared" si="9"/>
        <v>202452</v>
      </c>
      <c r="AB65" s="339"/>
      <c r="AC65" s="384">
        <f t="shared" si="14"/>
        <v>0</v>
      </c>
      <c r="AD65" s="336"/>
      <c r="AE65" s="329"/>
      <c r="AF65" s="330"/>
      <c r="AG65" s="375">
        <f t="shared" si="10"/>
        <v>466700</v>
      </c>
      <c r="AH65" s="331"/>
      <c r="AI65" s="377">
        <f t="shared" si="15"/>
        <v>0</v>
      </c>
      <c r="AJ65" s="336"/>
      <c r="AK65" s="336"/>
      <c r="AL65" s="336"/>
      <c r="AM65" s="340"/>
      <c r="AN65" s="341"/>
      <c r="AO65" s="341"/>
      <c r="AP65" s="386">
        <f t="shared" si="12"/>
        <v>827481</v>
      </c>
      <c r="AQ65" s="342"/>
      <c r="AR65" s="389">
        <f t="shared" si="4"/>
        <v>0</v>
      </c>
      <c r="AT65" s="343"/>
      <c r="AU65" s="344"/>
      <c r="AV65" s="344"/>
      <c r="AW65" s="435">
        <f t="shared" si="5"/>
        <v>0</v>
      </c>
      <c r="AX65" s="438">
        <f t="shared" si="6"/>
        <v>0</v>
      </c>
    </row>
    <row r="66" spans="2:50">
      <c r="B66" s="326"/>
      <c r="C66" s="327"/>
      <c r="D66" s="327"/>
      <c r="E66" s="371">
        <f t="shared" si="7"/>
        <v>140185</v>
      </c>
      <c r="F66" s="372">
        <f t="shared" si="8"/>
        <v>0</v>
      </c>
      <c r="H66" s="414"/>
      <c r="I66" s="415"/>
      <c r="J66" s="428">
        <f t="shared" si="13"/>
        <v>1066262</v>
      </c>
      <c r="K66" s="416"/>
      <c r="L66" s="430">
        <f t="shared" si="0"/>
        <v>0</v>
      </c>
      <c r="M66" s="328"/>
      <c r="O66" s="417"/>
      <c r="P66" s="418"/>
      <c r="Q66" s="419"/>
      <c r="R66" s="419"/>
      <c r="S66" s="419"/>
      <c r="T66" s="419"/>
      <c r="U66" s="419"/>
      <c r="V66" s="432">
        <f t="shared" si="1"/>
        <v>5000000</v>
      </c>
      <c r="W66" s="420"/>
      <c r="X66" s="336"/>
      <c r="Y66" s="337"/>
      <c r="Z66" s="338"/>
      <c r="AA66" s="383">
        <f t="shared" si="9"/>
        <v>202452</v>
      </c>
      <c r="AB66" s="339"/>
      <c r="AC66" s="384">
        <f t="shared" si="14"/>
        <v>0</v>
      </c>
      <c r="AD66" s="336"/>
      <c r="AE66" s="329"/>
      <c r="AF66" s="330"/>
      <c r="AG66" s="375">
        <f t="shared" si="10"/>
        <v>466700</v>
      </c>
      <c r="AH66" s="331"/>
      <c r="AI66" s="377">
        <f t="shared" si="15"/>
        <v>0</v>
      </c>
      <c r="AJ66" s="336"/>
      <c r="AK66" s="336"/>
      <c r="AL66" s="336"/>
      <c r="AM66" s="340"/>
      <c r="AN66" s="341"/>
      <c r="AO66" s="341"/>
      <c r="AP66" s="386">
        <f t="shared" si="12"/>
        <v>827481</v>
      </c>
      <c r="AQ66" s="342"/>
      <c r="AR66" s="389">
        <f t="shared" si="4"/>
        <v>0</v>
      </c>
      <c r="AT66" s="343"/>
      <c r="AU66" s="344"/>
      <c r="AV66" s="344"/>
      <c r="AW66" s="435">
        <f t="shared" si="5"/>
        <v>0</v>
      </c>
      <c r="AX66" s="438">
        <f t="shared" si="6"/>
        <v>0</v>
      </c>
    </row>
    <row r="67" spans="2:50">
      <c r="B67" s="326"/>
      <c r="C67" s="327"/>
      <c r="D67" s="327"/>
      <c r="E67" s="371">
        <f t="shared" si="7"/>
        <v>140185</v>
      </c>
      <c r="F67" s="372">
        <f t="shared" si="8"/>
        <v>0</v>
      </c>
      <c r="H67" s="414"/>
      <c r="I67" s="415"/>
      <c r="J67" s="428">
        <f t="shared" si="13"/>
        <v>1066262</v>
      </c>
      <c r="K67" s="416"/>
      <c r="L67" s="430">
        <f t="shared" si="0"/>
        <v>0</v>
      </c>
      <c r="M67" s="328"/>
      <c r="O67" s="417"/>
      <c r="P67" s="418"/>
      <c r="Q67" s="419"/>
      <c r="R67" s="419"/>
      <c r="S67" s="419"/>
      <c r="T67" s="419"/>
      <c r="U67" s="419"/>
      <c r="V67" s="432">
        <f t="shared" si="1"/>
        <v>5000000</v>
      </c>
      <c r="W67" s="420"/>
      <c r="X67" s="336"/>
      <c r="Y67" s="337"/>
      <c r="Z67" s="338"/>
      <c r="AA67" s="383">
        <f t="shared" si="9"/>
        <v>202452</v>
      </c>
      <c r="AB67" s="339"/>
      <c r="AC67" s="384">
        <f t="shared" si="14"/>
        <v>0</v>
      </c>
      <c r="AD67" s="336"/>
      <c r="AE67" s="329"/>
      <c r="AF67" s="330"/>
      <c r="AG67" s="375">
        <f t="shared" si="10"/>
        <v>466700</v>
      </c>
      <c r="AH67" s="331"/>
      <c r="AI67" s="377">
        <f t="shared" si="15"/>
        <v>0</v>
      </c>
      <c r="AJ67" s="336"/>
      <c r="AK67" s="336"/>
      <c r="AL67" s="336"/>
      <c r="AM67" s="340"/>
      <c r="AN67" s="341"/>
      <c r="AO67" s="341"/>
      <c r="AP67" s="386">
        <f t="shared" si="12"/>
        <v>827481</v>
      </c>
      <c r="AQ67" s="342"/>
      <c r="AR67" s="389">
        <f t="shared" si="4"/>
        <v>0</v>
      </c>
      <c r="AT67" s="343"/>
      <c r="AU67" s="344"/>
      <c r="AV67" s="344"/>
      <c r="AW67" s="435">
        <f t="shared" si="5"/>
        <v>0</v>
      </c>
      <c r="AX67" s="438">
        <f t="shared" si="6"/>
        <v>0</v>
      </c>
    </row>
    <row r="68" spans="2:50">
      <c r="B68" s="326"/>
      <c r="C68" s="327"/>
      <c r="D68" s="327"/>
      <c r="E68" s="371">
        <f t="shared" si="7"/>
        <v>140185</v>
      </c>
      <c r="F68" s="372">
        <f t="shared" si="8"/>
        <v>0</v>
      </c>
      <c r="H68" s="414"/>
      <c r="I68" s="415"/>
      <c r="J68" s="428">
        <f t="shared" si="13"/>
        <v>1066262</v>
      </c>
      <c r="K68" s="416"/>
      <c r="L68" s="430">
        <f t="shared" si="0"/>
        <v>0</v>
      </c>
      <c r="M68" s="328"/>
      <c r="O68" s="417"/>
      <c r="P68" s="418"/>
      <c r="Q68" s="419"/>
      <c r="R68" s="419"/>
      <c r="S68" s="419"/>
      <c r="T68" s="419"/>
      <c r="U68" s="419"/>
      <c r="V68" s="432">
        <f t="shared" si="1"/>
        <v>5000000</v>
      </c>
      <c r="W68" s="420"/>
      <c r="X68" s="336"/>
      <c r="Y68" s="337"/>
      <c r="Z68" s="338"/>
      <c r="AA68" s="383">
        <f t="shared" si="9"/>
        <v>202452</v>
      </c>
      <c r="AB68" s="339"/>
      <c r="AC68" s="384">
        <f t="shared" si="14"/>
        <v>0</v>
      </c>
      <c r="AD68" s="336"/>
      <c r="AE68" s="329"/>
      <c r="AF68" s="330"/>
      <c r="AG68" s="375">
        <f t="shared" si="10"/>
        <v>466700</v>
      </c>
      <c r="AH68" s="331"/>
      <c r="AI68" s="377">
        <f t="shared" si="15"/>
        <v>0</v>
      </c>
      <c r="AJ68" s="336"/>
      <c r="AK68" s="336"/>
      <c r="AL68" s="336"/>
      <c r="AM68" s="340"/>
      <c r="AN68" s="341"/>
      <c r="AO68" s="341"/>
      <c r="AP68" s="386">
        <f t="shared" si="12"/>
        <v>827481</v>
      </c>
      <c r="AQ68" s="342"/>
      <c r="AR68" s="389">
        <f t="shared" si="4"/>
        <v>0</v>
      </c>
      <c r="AT68" s="343"/>
      <c r="AU68" s="344"/>
      <c r="AV68" s="344"/>
      <c r="AW68" s="435">
        <f t="shared" si="5"/>
        <v>0</v>
      </c>
      <c r="AX68" s="438">
        <f t="shared" si="6"/>
        <v>0</v>
      </c>
    </row>
    <row r="69" spans="2:50">
      <c r="B69" s="326"/>
      <c r="C69" s="327"/>
      <c r="D69" s="327"/>
      <c r="E69" s="371">
        <f t="shared" si="7"/>
        <v>140185</v>
      </c>
      <c r="F69" s="372">
        <f t="shared" si="8"/>
        <v>0</v>
      </c>
      <c r="H69" s="414"/>
      <c r="I69" s="415"/>
      <c r="J69" s="428">
        <f t="shared" si="13"/>
        <v>1066262</v>
      </c>
      <c r="K69" s="416"/>
      <c r="L69" s="430">
        <f t="shared" si="0"/>
        <v>0</v>
      </c>
      <c r="M69" s="328"/>
      <c r="O69" s="417"/>
      <c r="P69" s="418"/>
      <c r="Q69" s="419"/>
      <c r="R69" s="419"/>
      <c r="S69" s="419"/>
      <c r="T69" s="419"/>
      <c r="U69" s="419"/>
      <c r="V69" s="432">
        <f t="shared" si="1"/>
        <v>5000000</v>
      </c>
      <c r="W69" s="420"/>
      <c r="X69" s="336"/>
      <c r="Y69" s="337"/>
      <c r="Z69" s="338"/>
      <c r="AA69" s="383">
        <f t="shared" si="9"/>
        <v>202452</v>
      </c>
      <c r="AB69" s="339"/>
      <c r="AC69" s="384">
        <f t="shared" si="14"/>
        <v>0</v>
      </c>
      <c r="AD69" s="336"/>
      <c r="AE69" s="329"/>
      <c r="AF69" s="330"/>
      <c r="AG69" s="375">
        <f t="shared" si="10"/>
        <v>466700</v>
      </c>
      <c r="AH69" s="331"/>
      <c r="AI69" s="377">
        <f t="shared" si="15"/>
        <v>0</v>
      </c>
      <c r="AJ69" s="336"/>
      <c r="AK69" s="336"/>
      <c r="AL69" s="336"/>
      <c r="AM69" s="340"/>
      <c r="AN69" s="341"/>
      <c r="AO69" s="341"/>
      <c r="AP69" s="386">
        <f t="shared" si="12"/>
        <v>827481</v>
      </c>
      <c r="AQ69" s="342"/>
      <c r="AR69" s="389">
        <f t="shared" si="4"/>
        <v>0</v>
      </c>
      <c r="AT69" s="343"/>
      <c r="AU69" s="344"/>
      <c r="AV69" s="344"/>
      <c r="AW69" s="435">
        <f t="shared" si="5"/>
        <v>0</v>
      </c>
      <c r="AX69" s="438">
        <f t="shared" si="6"/>
        <v>0</v>
      </c>
    </row>
    <row r="70" spans="2:50">
      <c r="B70" s="326"/>
      <c r="C70" s="327"/>
      <c r="D70" s="327"/>
      <c r="E70" s="371">
        <f t="shared" si="7"/>
        <v>140185</v>
      </c>
      <c r="F70" s="372">
        <f t="shared" si="8"/>
        <v>0</v>
      </c>
      <c r="H70" s="414"/>
      <c r="I70" s="415"/>
      <c r="J70" s="428">
        <f t="shared" si="13"/>
        <v>1066262</v>
      </c>
      <c r="K70" s="416"/>
      <c r="L70" s="430">
        <f t="shared" ref="L70:L133" si="16">K70-I70</f>
        <v>0</v>
      </c>
      <c r="M70" s="328"/>
      <c r="O70" s="417"/>
      <c r="P70" s="418"/>
      <c r="Q70" s="419"/>
      <c r="R70" s="419"/>
      <c r="S70" s="419"/>
      <c r="T70" s="419"/>
      <c r="U70" s="419"/>
      <c r="V70" s="432">
        <f t="shared" ref="V70:V133" si="17">V69+O70+P70-Q70-R70-S70-T70+U70</f>
        <v>5000000</v>
      </c>
      <c r="W70" s="420"/>
      <c r="X70" s="336"/>
      <c r="Y70" s="337"/>
      <c r="Z70" s="338"/>
      <c r="AA70" s="383">
        <f t="shared" si="9"/>
        <v>202452</v>
      </c>
      <c r="AB70" s="339"/>
      <c r="AC70" s="384">
        <f t="shared" si="14"/>
        <v>0</v>
      </c>
      <c r="AD70" s="336"/>
      <c r="AE70" s="329"/>
      <c r="AF70" s="330"/>
      <c r="AG70" s="375">
        <f t="shared" si="10"/>
        <v>466700</v>
      </c>
      <c r="AH70" s="331"/>
      <c r="AI70" s="377">
        <f t="shared" si="15"/>
        <v>0</v>
      </c>
      <c r="AJ70" s="336"/>
      <c r="AK70" s="336"/>
      <c r="AL70" s="336"/>
      <c r="AM70" s="340"/>
      <c r="AN70" s="341"/>
      <c r="AO70" s="341"/>
      <c r="AP70" s="386">
        <f t="shared" si="12"/>
        <v>827481</v>
      </c>
      <c r="AQ70" s="342"/>
      <c r="AR70" s="389">
        <f t="shared" ref="AR70:AR133" si="18">AQ70-AN70</f>
        <v>0</v>
      </c>
      <c r="AT70" s="343"/>
      <c r="AU70" s="344"/>
      <c r="AV70" s="344"/>
      <c r="AW70" s="435">
        <f t="shared" ref="AW70:AW133" si="19">AW69+AT70-AV70</f>
        <v>0</v>
      </c>
      <c r="AX70" s="438">
        <f t="shared" si="6"/>
        <v>0</v>
      </c>
    </row>
    <row r="71" spans="2:50">
      <c r="B71" s="326"/>
      <c r="C71" s="327"/>
      <c r="D71" s="327"/>
      <c r="E71" s="371">
        <f t="shared" ref="E71:E134" si="20">E70+B71-D71</f>
        <v>140185</v>
      </c>
      <c r="F71" s="372">
        <f t="shared" ref="F71:F134" si="21">C71-D71</f>
        <v>0</v>
      </c>
      <c r="H71" s="414"/>
      <c r="I71" s="415"/>
      <c r="J71" s="428">
        <f t="shared" si="13"/>
        <v>1066262</v>
      </c>
      <c r="K71" s="416"/>
      <c r="L71" s="430">
        <f t="shared" si="16"/>
        <v>0</v>
      </c>
      <c r="M71" s="328"/>
      <c r="O71" s="417"/>
      <c r="P71" s="418"/>
      <c r="Q71" s="419"/>
      <c r="R71" s="419"/>
      <c r="S71" s="419"/>
      <c r="T71" s="419"/>
      <c r="U71" s="419"/>
      <c r="V71" s="432">
        <f t="shared" si="17"/>
        <v>5000000</v>
      </c>
      <c r="W71" s="420"/>
      <c r="X71" s="336"/>
      <c r="Y71" s="337"/>
      <c r="Z71" s="338"/>
      <c r="AA71" s="383">
        <f t="shared" ref="AA71:AA134" si="22">AA70+Y71-Z71</f>
        <v>202452</v>
      </c>
      <c r="AB71" s="339"/>
      <c r="AC71" s="384">
        <f t="shared" si="14"/>
        <v>0</v>
      </c>
      <c r="AD71" s="336"/>
      <c r="AE71" s="329"/>
      <c r="AF71" s="330"/>
      <c r="AG71" s="375">
        <f t="shared" ref="AG71:AG134" si="23">AG70+AE71-AF71</f>
        <v>466700</v>
      </c>
      <c r="AH71" s="331"/>
      <c r="AI71" s="377">
        <f t="shared" si="15"/>
        <v>0</v>
      </c>
      <c r="AJ71" s="336"/>
      <c r="AK71" s="336"/>
      <c r="AL71" s="336"/>
      <c r="AM71" s="340"/>
      <c r="AN71" s="341"/>
      <c r="AO71" s="341"/>
      <c r="AP71" s="386">
        <f t="shared" si="12"/>
        <v>827481</v>
      </c>
      <c r="AQ71" s="342"/>
      <c r="AR71" s="389">
        <f t="shared" si="18"/>
        <v>0</v>
      </c>
      <c r="AT71" s="343"/>
      <c r="AU71" s="344"/>
      <c r="AV71" s="344"/>
      <c r="AW71" s="435">
        <f t="shared" si="19"/>
        <v>0</v>
      </c>
      <c r="AX71" s="438">
        <f t="shared" ref="AX71:AX134" si="24">AU71-AV71</f>
        <v>0</v>
      </c>
    </row>
    <row r="72" spans="2:50">
      <c r="B72" s="326"/>
      <c r="C72" s="327"/>
      <c r="D72" s="327"/>
      <c r="E72" s="371">
        <f t="shared" si="20"/>
        <v>140185</v>
      </c>
      <c r="F72" s="372">
        <f t="shared" si="21"/>
        <v>0</v>
      </c>
      <c r="H72" s="414"/>
      <c r="I72" s="415"/>
      <c r="J72" s="428">
        <f t="shared" si="13"/>
        <v>1066262</v>
      </c>
      <c r="K72" s="416"/>
      <c r="L72" s="430">
        <f t="shared" si="16"/>
        <v>0</v>
      </c>
      <c r="M72" s="328"/>
      <c r="O72" s="417"/>
      <c r="P72" s="418"/>
      <c r="Q72" s="419"/>
      <c r="R72" s="419"/>
      <c r="S72" s="419"/>
      <c r="T72" s="419"/>
      <c r="U72" s="419"/>
      <c r="V72" s="432">
        <f t="shared" si="17"/>
        <v>5000000</v>
      </c>
      <c r="W72" s="420"/>
      <c r="X72" s="336"/>
      <c r="Y72" s="337"/>
      <c r="Z72" s="338"/>
      <c r="AA72" s="383">
        <f t="shared" si="22"/>
        <v>202452</v>
      </c>
      <c r="AB72" s="339"/>
      <c r="AC72" s="384">
        <f t="shared" si="14"/>
        <v>0</v>
      </c>
      <c r="AD72" s="336"/>
      <c r="AE72" s="329"/>
      <c r="AF72" s="330"/>
      <c r="AG72" s="375">
        <f t="shared" si="23"/>
        <v>466700</v>
      </c>
      <c r="AH72" s="331"/>
      <c r="AI72" s="377">
        <f t="shared" si="15"/>
        <v>0</v>
      </c>
      <c r="AJ72" s="336"/>
      <c r="AK72" s="336"/>
      <c r="AL72" s="336"/>
      <c r="AM72" s="340"/>
      <c r="AN72" s="341"/>
      <c r="AO72" s="341"/>
      <c r="AP72" s="386">
        <f t="shared" ref="AP72:AP135" si="25">AP71+AM72-AN72+AO72</f>
        <v>827481</v>
      </c>
      <c r="AQ72" s="342"/>
      <c r="AR72" s="389">
        <f t="shared" si="18"/>
        <v>0</v>
      </c>
      <c r="AT72" s="343"/>
      <c r="AU72" s="344"/>
      <c r="AV72" s="344"/>
      <c r="AW72" s="435">
        <f t="shared" si="19"/>
        <v>0</v>
      </c>
      <c r="AX72" s="438">
        <f t="shared" si="24"/>
        <v>0</v>
      </c>
    </row>
    <row r="73" spans="2:50">
      <c r="B73" s="326"/>
      <c r="C73" s="327"/>
      <c r="D73" s="327"/>
      <c r="E73" s="371">
        <f t="shared" si="20"/>
        <v>140185</v>
      </c>
      <c r="F73" s="372">
        <f t="shared" si="21"/>
        <v>0</v>
      </c>
      <c r="H73" s="414"/>
      <c r="I73" s="415"/>
      <c r="J73" s="428">
        <f t="shared" si="13"/>
        <v>1066262</v>
      </c>
      <c r="K73" s="416"/>
      <c r="L73" s="430">
        <f t="shared" si="16"/>
        <v>0</v>
      </c>
      <c r="M73" s="328"/>
      <c r="O73" s="417"/>
      <c r="P73" s="418"/>
      <c r="Q73" s="419"/>
      <c r="R73" s="419"/>
      <c r="S73" s="419"/>
      <c r="T73" s="419"/>
      <c r="U73" s="419"/>
      <c r="V73" s="432">
        <f t="shared" si="17"/>
        <v>5000000</v>
      </c>
      <c r="W73" s="420"/>
      <c r="X73" s="336"/>
      <c r="Y73" s="337"/>
      <c r="Z73" s="338"/>
      <c r="AA73" s="383">
        <f t="shared" si="22"/>
        <v>202452</v>
      </c>
      <c r="AB73" s="339"/>
      <c r="AC73" s="384">
        <f t="shared" si="14"/>
        <v>0</v>
      </c>
      <c r="AD73" s="336"/>
      <c r="AE73" s="329"/>
      <c r="AF73" s="330"/>
      <c r="AG73" s="375">
        <f t="shared" si="23"/>
        <v>466700</v>
      </c>
      <c r="AH73" s="331"/>
      <c r="AI73" s="377">
        <f t="shared" si="15"/>
        <v>0</v>
      </c>
      <c r="AJ73" s="336"/>
      <c r="AK73" s="336"/>
      <c r="AL73" s="336"/>
      <c r="AM73" s="340"/>
      <c r="AN73" s="341"/>
      <c r="AO73" s="341"/>
      <c r="AP73" s="386">
        <f t="shared" si="25"/>
        <v>827481</v>
      </c>
      <c r="AQ73" s="342"/>
      <c r="AR73" s="389">
        <f t="shared" si="18"/>
        <v>0</v>
      </c>
      <c r="AT73" s="343"/>
      <c r="AU73" s="344"/>
      <c r="AV73" s="344"/>
      <c r="AW73" s="435">
        <f t="shared" si="19"/>
        <v>0</v>
      </c>
      <c r="AX73" s="438">
        <f t="shared" si="24"/>
        <v>0</v>
      </c>
    </row>
    <row r="74" spans="2:50">
      <c r="B74" s="326"/>
      <c r="C74" s="327"/>
      <c r="D74" s="327"/>
      <c r="E74" s="371">
        <f t="shared" si="20"/>
        <v>140185</v>
      </c>
      <c r="F74" s="372">
        <f t="shared" si="21"/>
        <v>0</v>
      </c>
      <c r="H74" s="414"/>
      <c r="I74" s="415"/>
      <c r="J74" s="428">
        <f t="shared" si="13"/>
        <v>1066262</v>
      </c>
      <c r="K74" s="416"/>
      <c r="L74" s="430">
        <f t="shared" si="16"/>
        <v>0</v>
      </c>
      <c r="M74" s="328"/>
      <c r="O74" s="417"/>
      <c r="P74" s="418"/>
      <c r="Q74" s="419"/>
      <c r="R74" s="419"/>
      <c r="S74" s="419"/>
      <c r="T74" s="419"/>
      <c r="U74" s="419"/>
      <c r="V74" s="432">
        <f t="shared" si="17"/>
        <v>5000000</v>
      </c>
      <c r="W74" s="420"/>
      <c r="X74" s="336"/>
      <c r="Y74" s="337"/>
      <c r="Z74" s="338"/>
      <c r="AA74" s="383">
        <f t="shared" si="22"/>
        <v>202452</v>
      </c>
      <c r="AB74" s="339"/>
      <c r="AC74" s="384">
        <f t="shared" si="14"/>
        <v>0</v>
      </c>
      <c r="AD74" s="336"/>
      <c r="AE74" s="329"/>
      <c r="AF74" s="330"/>
      <c r="AG74" s="375">
        <f t="shared" si="23"/>
        <v>466700</v>
      </c>
      <c r="AH74" s="331"/>
      <c r="AI74" s="377">
        <f t="shared" si="15"/>
        <v>0</v>
      </c>
      <c r="AJ74" s="336"/>
      <c r="AK74" s="336"/>
      <c r="AL74" s="336"/>
      <c r="AM74" s="340"/>
      <c r="AN74" s="341"/>
      <c r="AO74" s="341"/>
      <c r="AP74" s="386">
        <f t="shared" si="25"/>
        <v>827481</v>
      </c>
      <c r="AQ74" s="342"/>
      <c r="AR74" s="389">
        <f t="shared" si="18"/>
        <v>0</v>
      </c>
      <c r="AT74" s="343"/>
      <c r="AU74" s="344"/>
      <c r="AV74" s="344"/>
      <c r="AW74" s="435">
        <f t="shared" si="19"/>
        <v>0</v>
      </c>
      <c r="AX74" s="438">
        <f t="shared" si="24"/>
        <v>0</v>
      </c>
    </row>
    <row r="75" spans="2:50">
      <c r="B75" s="326"/>
      <c r="C75" s="327"/>
      <c r="D75" s="327"/>
      <c r="E75" s="371">
        <f t="shared" si="20"/>
        <v>140185</v>
      </c>
      <c r="F75" s="372">
        <f t="shared" si="21"/>
        <v>0</v>
      </c>
      <c r="H75" s="414"/>
      <c r="I75" s="415"/>
      <c r="J75" s="428">
        <f t="shared" ref="J75:J138" si="26">SUM(J74+H75-I75)</f>
        <v>1066262</v>
      </c>
      <c r="K75" s="416"/>
      <c r="L75" s="430">
        <f t="shared" si="16"/>
        <v>0</v>
      </c>
      <c r="M75" s="328"/>
      <c r="O75" s="417"/>
      <c r="P75" s="418"/>
      <c r="Q75" s="419"/>
      <c r="R75" s="419"/>
      <c r="S75" s="419"/>
      <c r="T75" s="419"/>
      <c r="U75" s="419"/>
      <c r="V75" s="432">
        <f t="shared" si="17"/>
        <v>5000000</v>
      </c>
      <c r="W75" s="420"/>
      <c r="X75" s="336"/>
      <c r="Y75" s="337"/>
      <c r="Z75" s="338"/>
      <c r="AA75" s="383">
        <f t="shared" si="22"/>
        <v>202452</v>
      </c>
      <c r="AB75" s="339"/>
      <c r="AC75" s="384">
        <f t="shared" si="14"/>
        <v>0</v>
      </c>
      <c r="AD75" s="336"/>
      <c r="AE75" s="329"/>
      <c r="AF75" s="330"/>
      <c r="AG75" s="375">
        <f t="shared" si="23"/>
        <v>466700</v>
      </c>
      <c r="AH75" s="331"/>
      <c r="AI75" s="377">
        <f t="shared" si="15"/>
        <v>0</v>
      </c>
      <c r="AJ75" s="336"/>
      <c r="AK75" s="336"/>
      <c r="AL75" s="336"/>
      <c r="AM75" s="340"/>
      <c r="AN75" s="341"/>
      <c r="AO75" s="341"/>
      <c r="AP75" s="386">
        <f t="shared" si="25"/>
        <v>827481</v>
      </c>
      <c r="AQ75" s="342"/>
      <c r="AR75" s="389">
        <f t="shared" si="18"/>
        <v>0</v>
      </c>
      <c r="AT75" s="343"/>
      <c r="AU75" s="344"/>
      <c r="AV75" s="344"/>
      <c r="AW75" s="435">
        <f t="shared" si="19"/>
        <v>0</v>
      </c>
      <c r="AX75" s="438">
        <f t="shared" si="24"/>
        <v>0</v>
      </c>
    </row>
    <row r="76" spans="2:50">
      <c r="B76" s="326"/>
      <c r="C76" s="327"/>
      <c r="D76" s="327"/>
      <c r="E76" s="371">
        <f t="shared" si="20"/>
        <v>140185</v>
      </c>
      <c r="F76" s="372">
        <f t="shared" si="21"/>
        <v>0</v>
      </c>
      <c r="H76" s="414"/>
      <c r="I76" s="415"/>
      <c r="J76" s="428">
        <f t="shared" si="26"/>
        <v>1066262</v>
      </c>
      <c r="K76" s="416"/>
      <c r="L76" s="430">
        <f t="shared" si="16"/>
        <v>0</v>
      </c>
      <c r="M76" s="328"/>
      <c r="O76" s="417"/>
      <c r="P76" s="418"/>
      <c r="Q76" s="419"/>
      <c r="R76" s="419"/>
      <c r="S76" s="419"/>
      <c r="T76" s="419"/>
      <c r="U76" s="419"/>
      <c r="V76" s="432">
        <f t="shared" si="17"/>
        <v>5000000</v>
      </c>
      <c r="W76" s="420"/>
      <c r="X76" s="336"/>
      <c r="Y76" s="337"/>
      <c r="Z76" s="338"/>
      <c r="AA76" s="383">
        <f t="shared" si="22"/>
        <v>202452</v>
      </c>
      <c r="AB76" s="339"/>
      <c r="AC76" s="384">
        <f t="shared" si="14"/>
        <v>0</v>
      </c>
      <c r="AD76" s="336"/>
      <c r="AE76" s="329"/>
      <c r="AF76" s="330"/>
      <c r="AG76" s="375">
        <f t="shared" si="23"/>
        <v>466700</v>
      </c>
      <c r="AH76" s="331"/>
      <c r="AI76" s="377">
        <f t="shared" si="15"/>
        <v>0</v>
      </c>
      <c r="AJ76" s="336"/>
      <c r="AK76" s="336"/>
      <c r="AL76" s="336"/>
      <c r="AM76" s="340"/>
      <c r="AN76" s="341"/>
      <c r="AO76" s="341"/>
      <c r="AP76" s="386">
        <f t="shared" si="25"/>
        <v>827481</v>
      </c>
      <c r="AQ76" s="342"/>
      <c r="AR76" s="389">
        <f t="shared" si="18"/>
        <v>0</v>
      </c>
      <c r="AT76" s="343"/>
      <c r="AU76" s="344"/>
      <c r="AV76" s="344"/>
      <c r="AW76" s="435">
        <f t="shared" si="19"/>
        <v>0</v>
      </c>
      <c r="AX76" s="438">
        <f t="shared" si="24"/>
        <v>0</v>
      </c>
    </row>
    <row r="77" spans="2:50">
      <c r="B77" s="326"/>
      <c r="C77" s="327"/>
      <c r="D77" s="327"/>
      <c r="E77" s="371">
        <f t="shared" si="20"/>
        <v>140185</v>
      </c>
      <c r="F77" s="372">
        <f t="shared" si="21"/>
        <v>0</v>
      </c>
      <c r="H77" s="414"/>
      <c r="I77" s="415"/>
      <c r="J77" s="428">
        <f t="shared" si="26"/>
        <v>1066262</v>
      </c>
      <c r="K77" s="416"/>
      <c r="L77" s="430">
        <f t="shared" si="16"/>
        <v>0</v>
      </c>
      <c r="M77" s="328"/>
      <c r="O77" s="417"/>
      <c r="P77" s="418"/>
      <c r="Q77" s="419"/>
      <c r="R77" s="419"/>
      <c r="S77" s="419"/>
      <c r="T77" s="419"/>
      <c r="U77" s="419"/>
      <c r="V77" s="432">
        <f t="shared" si="17"/>
        <v>5000000</v>
      </c>
      <c r="W77" s="420"/>
      <c r="X77" s="336"/>
      <c r="Y77" s="337"/>
      <c r="Z77" s="338"/>
      <c r="AA77" s="383">
        <f t="shared" si="22"/>
        <v>202452</v>
      </c>
      <c r="AB77" s="339"/>
      <c r="AC77" s="384">
        <f t="shared" si="14"/>
        <v>0</v>
      </c>
      <c r="AD77" s="336"/>
      <c r="AE77" s="329"/>
      <c r="AF77" s="330"/>
      <c r="AG77" s="375">
        <f t="shared" si="23"/>
        <v>466700</v>
      </c>
      <c r="AH77" s="331"/>
      <c r="AI77" s="377">
        <f t="shared" si="15"/>
        <v>0</v>
      </c>
      <c r="AJ77" s="336"/>
      <c r="AK77" s="336"/>
      <c r="AL77" s="336"/>
      <c r="AM77" s="340"/>
      <c r="AN77" s="341"/>
      <c r="AO77" s="341"/>
      <c r="AP77" s="386">
        <f t="shared" si="25"/>
        <v>827481</v>
      </c>
      <c r="AQ77" s="342"/>
      <c r="AR77" s="389">
        <f t="shared" si="18"/>
        <v>0</v>
      </c>
      <c r="AT77" s="343"/>
      <c r="AU77" s="344"/>
      <c r="AV77" s="344"/>
      <c r="AW77" s="435">
        <f t="shared" si="19"/>
        <v>0</v>
      </c>
      <c r="AX77" s="438">
        <f t="shared" si="24"/>
        <v>0</v>
      </c>
    </row>
    <row r="78" spans="2:50">
      <c r="B78" s="326"/>
      <c r="C78" s="327"/>
      <c r="D78" s="327"/>
      <c r="E78" s="371">
        <f t="shared" si="20"/>
        <v>140185</v>
      </c>
      <c r="F78" s="372">
        <f t="shared" si="21"/>
        <v>0</v>
      </c>
      <c r="H78" s="414"/>
      <c r="I78" s="415"/>
      <c r="J78" s="428">
        <f t="shared" si="26"/>
        <v>1066262</v>
      </c>
      <c r="K78" s="416"/>
      <c r="L78" s="430">
        <f t="shared" si="16"/>
        <v>0</v>
      </c>
      <c r="M78" s="328"/>
      <c r="O78" s="417"/>
      <c r="P78" s="418"/>
      <c r="Q78" s="419"/>
      <c r="R78" s="419"/>
      <c r="S78" s="419"/>
      <c r="T78" s="419"/>
      <c r="U78" s="419"/>
      <c r="V78" s="432">
        <f t="shared" si="17"/>
        <v>5000000</v>
      </c>
      <c r="W78" s="420"/>
      <c r="X78" s="336"/>
      <c r="Y78" s="337"/>
      <c r="Z78" s="338"/>
      <c r="AA78" s="383">
        <f t="shared" si="22"/>
        <v>202452</v>
      </c>
      <c r="AB78" s="339"/>
      <c r="AC78" s="384">
        <f t="shared" ref="AC78:AC141" si="27">AB78-Z78</f>
        <v>0</v>
      </c>
      <c r="AD78" s="336"/>
      <c r="AE78" s="329"/>
      <c r="AF78" s="330"/>
      <c r="AG78" s="375">
        <f t="shared" si="23"/>
        <v>466700</v>
      </c>
      <c r="AH78" s="331"/>
      <c r="AI78" s="377">
        <f t="shared" ref="AI78:AI141" si="28">AH78-AF78</f>
        <v>0</v>
      </c>
      <c r="AJ78" s="336"/>
      <c r="AK78" s="336"/>
      <c r="AL78" s="336"/>
      <c r="AM78" s="340"/>
      <c r="AN78" s="341"/>
      <c r="AO78" s="341"/>
      <c r="AP78" s="386">
        <f t="shared" si="25"/>
        <v>827481</v>
      </c>
      <c r="AQ78" s="342"/>
      <c r="AR78" s="389">
        <f t="shared" si="18"/>
        <v>0</v>
      </c>
      <c r="AT78" s="343"/>
      <c r="AU78" s="344"/>
      <c r="AV78" s="344"/>
      <c r="AW78" s="435">
        <f t="shared" si="19"/>
        <v>0</v>
      </c>
      <c r="AX78" s="438">
        <f t="shared" si="24"/>
        <v>0</v>
      </c>
    </row>
    <row r="79" spans="2:50">
      <c r="B79" s="326"/>
      <c r="C79" s="327"/>
      <c r="D79" s="327"/>
      <c r="E79" s="371">
        <f t="shared" si="20"/>
        <v>140185</v>
      </c>
      <c r="F79" s="372">
        <f t="shared" si="21"/>
        <v>0</v>
      </c>
      <c r="H79" s="414"/>
      <c r="I79" s="415"/>
      <c r="J79" s="428">
        <f t="shared" si="26"/>
        <v>1066262</v>
      </c>
      <c r="K79" s="416"/>
      <c r="L79" s="430">
        <f t="shared" si="16"/>
        <v>0</v>
      </c>
      <c r="M79" s="328"/>
      <c r="O79" s="417"/>
      <c r="P79" s="418"/>
      <c r="Q79" s="419"/>
      <c r="R79" s="419"/>
      <c r="S79" s="419"/>
      <c r="T79" s="419"/>
      <c r="U79" s="419"/>
      <c r="V79" s="432">
        <f t="shared" si="17"/>
        <v>5000000</v>
      </c>
      <c r="W79" s="420"/>
      <c r="X79" s="336"/>
      <c r="Y79" s="337"/>
      <c r="Z79" s="338"/>
      <c r="AA79" s="383">
        <f t="shared" si="22"/>
        <v>202452</v>
      </c>
      <c r="AB79" s="339"/>
      <c r="AC79" s="384">
        <f t="shared" si="27"/>
        <v>0</v>
      </c>
      <c r="AD79" s="336"/>
      <c r="AE79" s="329"/>
      <c r="AF79" s="330"/>
      <c r="AG79" s="375">
        <f t="shared" si="23"/>
        <v>466700</v>
      </c>
      <c r="AH79" s="331"/>
      <c r="AI79" s="377">
        <f t="shared" si="28"/>
        <v>0</v>
      </c>
      <c r="AJ79" s="336"/>
      <c r="AK79" s="336"/>
      <c r="AL79" s="336"/>
      <c r="AM79" s="340"/>
      <c r="AN79" s="341"/>
      <c r="AO79" s="341"/>
      <c r="AP79" s="386">
        <f t="shared" si="25"/>
        <v>827481</v>
      </c>
      <c r="AQ79" s="342"/>
      <c r="AR79" s="389">
        <f t="shared" si="18"/>
        <v>0</v>
      </c>
      <c r="AT79" s="343"/>
      <c r="AU79" s="344"/>
      <c r="AV79" s="344"/>
      <c r="AW79" s="435">
        <f t="shared" si="19"/>
        <v>0</v>
      </c>
      <c r="AX79" s="438">
        <f t="shared" si="24"/>
        <v>0</v>
      </c>
    </row>
    <row r="80" spans="2:50">
      <c r="B80" s="326"/>
      <c r="C80" s="327"/>
      <c r="D80" s="327"/>
      <c r="E80" s="371">
        <f t="shared" si="20"/>
        <v>140185</v>
      </c>
      <c r="F80" s="372">
        <f t="shared" si="21"/>
        <v>0</v>
      </c>
      <c r="H80" s="414"/>
      <c r="I80" s="415"/>
      <c r="J80" s="428">
        <f t="shared" si="26"/>
        <v>1066262</v>
      </c>
      <c r="K80" s="416"/>
      <c r="L80" s="430">
        <f t="shared" si="16"/>
        <v>0</v>
      </c>
      <c r="M80" s="328"/>
      <c r="O80" s="417"/>
      <c r="P80" s="418"/>
      <c r="Q80" s="419"/>
      <c r="R80" s="419"/>
      <c r="S80" s="419"/>
      <c r="T80" s="419"/>
      <c r="U80" s="419"/>
      <c r="V80" s="432">
        <f t="shared" si="17"/>
        <v>5000000</v>
      </c>
      <c r="W80" s="420"/>
      <c r="X80" s="336"/>
      <c r="Y80" s="337"/>
      <c r="Z80" s="338"/>
      <c r="AA80" s="383">
        <f t="shared" si="22"/>
        <v>202452</v>
      </c>
      <c r="AB80" s="339"/>
      <c r="AC80" s="384">
        <f t="shared" si="27"/>
        <v>0</v>
      </c>
      <c r="AD80" s="336"/>
      <c r="AE80" s="329"/>
      <c r="AF80" s="330"/>
      <c r="AG80" s="375">
        <f t="shared" si="23"/>
        <v>466700</v>
      </c>
      <c r="AH80" s="331"/>
      <c r="AI80" s="377">
        <f t="shared" si="28"/>
        <v>0</v>
      </c>
      <c r="AJ80" s="336"/>
      <c r="AK80" s="336"/>
      <c r="AL80" s="336"/>
      <c r="AM80" s="340"/>
      <c r="AN80" s="341"/>
      <c r="AO80" s="341"/>
      <c r="AP80" s="386">
        <f t="shared" si="25"/>
        <v>827481</v>
      </c>
      <c r="AQ80" s="342"/>
      <c r="AR80" s="389">
        <f t="shared" si="18"/>
        <v>0</v>
      </c>
      <c r="AT80" s="343"/>
      <c r="AU80" s="344"/>
      <c r="AV80" s="344"/>
      <c r="AW80" s="435">
        <f t="shared" si="19"/>
        <v>0</v>
      </c>
      <c r="AX80" s="438">
        <f t="shared" si="24"/>
        <v>0</v>
      </c>
    </row>
    <row r="81" spans="2:50">
      <c r="B81" s="326"/>
      <c r="C81" s="327"/>
      <c r="D81" s="327"/>
      <c r="E81" s="371">
        <f t="shared" si="20"/>
        <v>140185</v>
      </c>
      <c r="F81" s="372">
        <f t="shared" si="21"/>
        <v>0</v>
      </c>
      <c r="H81" s="414"/>
      <c r="I81" s="415"/>
      <c r="J81" s="428">
        <f t="shared" si="26"/>
        <v>1066262</v>
      </c>
      <c r="K81" s="416"/>
      <c r="L81" s="430">
        <f t="shared" si="16"/>
        <v>0</v>
      </c>
      <c r="M81" s="328"/>
      <c r="O81" s="417"/>
      <c r="P81" s="418"/>
      <c r="Q81" s="419"/>
      <c r="R81" s="419"/>
      <c r="S81" s="419"/>
      <c r="T81" s="419"/>
      <c r="U81" s="419"/>
      <c r="V81" s="432">
        <f t="shared" si="17"/>
        <v>5000000</v>
      </c>
      <c r="W81" s="420"/>
      <c r="X81" s="336"/>
      <c r="Y81" s="337"/>
      <c r="Z81" s="338"/>
      <c r="AA81" s="383">
        <f t="shared" si="22"/>
        <v>202452</v>
      </c>
      <c r="AB81" s="339"/>
      <c r="AC81" s="384">
        <f t="shared" si="27"/>
        <v>0</v>
      </c>
      <c r="AD81" s="336"/>
      <c r="AE81" s="329"/>
      <c r="AF81" s="330"/>
      <c r="AG81" s="375">
        <f t="shared" si="23"/>
        <v>466700</v>
      </c>
      <c r="AH81" s="331"/>
      <c r="AI81" s="377">
        <f t="shared" si="28"/>
        <v>0</v>
      </c>
      <c r="AJ81" s="336"/>
      <c r="AK81" s="336"/>
      <c r="AL81" s="336"/>
      <c r="AM81" s="340"/>
      <c r="AN81" s="341"/>
      <c r="AO81" s="341"/>
      <c r="AP81" s="386">
        <f t="shared" si="25"/>
        <v>827481</v>
      </c>
      <c r="AQ81" s="342"/>
      <c r="AR81" s="389">
        <f t="shared" si="18"/>
        <v>0</v>
      </c>
      <c r="AT81" s="343"/>
      <c r="AU81" s="344"/>
      <c r="AV81" s="344"/>
      <c r="AW81" s="435">
        <f t="shared" si="19"/>
        <v>0</v>
      </c>
      <c r="AX81" s="438">
        <f t="shared" si="24"/>
        <v>0</v>
      </c>
    </row>
    <row r="82" spans="2:50">
      <c r="B82" s="326"/>
      <c r="C82" s="327"/>
      <c r="D82" s="327"/>
      <c r="E82" s="371">
        <f t="shared" si="20"/>
        <v>140185</v>
      </c>
      <c r="F82" s="372">
        <f t="shared" si="21"/>
        <v>0</v>
      </c>
      <c r="H82" s="414"/>
      <c r="I82" s="415"/>
      <c r="J82" s="428">
        <f t="shared" si="26"/>
        <v>1066262</v>
      </c>
      <c r="K82" s="416"/>
      <c r="L82" s="430">
        <f t="shared" si="16"/>
        <v>0</v>
      </c>
      <c r="M82" s="328"/>
      <c r="O82" s="417"/>
      <c r="P82" s="418"/>
      <c r="Q82" s="419"/>
      <c r="R82" s="419"/>
      <c r="S82" s="419"/>
      <c r="T82" s="419"/>
      <c r="U82" s="419"/>
      <c r="V82" s="432">
        <f t="shared" si="17"/>
        <v>5000000</v>
      </c>
      <c r="W82" s="420"/>
      <c r="X82" s="336"/>
      <c r="Y82" s="337"/>
      <c r="Z82" s="338"/>
      <c r="AA82" s="383">
        <f t="shared" si="22"/>
        <v>202452</v>
      </c>
      <c r="AB82" s="339"/>
      <c r="AC82" s="384">
        <f t="shared" si="27"/>
        <v>0</v>
      </c>
      <c r="AD82" s="336"/>
      <c r="AE82" s="329"/>
      <c r="AF82" s="330"/>
      <c r="AG82" s="375">
        <f t="shared" si="23"/>
        <v>466700</v>
      </c>
      <c r="AH82" s="331"/>
      <c r="AI82" s="377">
        <f t="shared" si="28"/>
        <v>0</v>
      </c>
      <c r="AJ82" s="336"/>
      <c r="AK82" s="336"/>
      <c r="AL82" s="336"/>
      <c r="AM82" s="340"/>
      <c r="AN82" s="341"/>
      <c r="AO82" s="341"/>
      <c r="AP82" s="386">
        <f t="shared" si="25"/>
        <v>827481</v>
      </c>
      <c r="AQ82" s="342"/>
      <c r="AR82" s="389">
        <f t="shared" si="18"/>
        <v>0</v>
      </c>
      <c r="AT82" s="343"/>
      <c r="AU82" s="344"/>
      <c r="AV82" s="344"/>
      <c r="AW82" s="435">
        <f t="shared" si="19"/>
        <v>0</v>
      </c>
      <c r="AX82" s="438">
        <f t="shared" si="24"/>
        <v>0</v>
      </c>
    </row>
    <row r="83" spans="2:50">
      <c r="B83" s="326"/>
      <c r="C83" s="327"/>
      <c r="D83" s="327"/>
      <c r="E83" s="371">
        <f t="shared" si="20"/>
        <v>140185</v>
      </c>
      <c r="F83" s="372">
        <f t="shared" si="21"/>
        <v>0</v>
      </c>
      <c r="H83" s="414"/>
      <c r="I83" s="415"/>
      <c r="J83" s="428">
        <f t="shared" si="26"/>
        <v>1066262</v>
      </c>
      <c r="K83" s="416"/>
      <c r="L83" s="430">
        <f t="shared" si="16"/>
        <v>0</v>
      </c>
      <c r="M83" s="328"/>
      <c r="O83" s="417"/>
      <c r="P83" s="418"/>
      <c r="Q83" s="419"/>
      <c r="R83" s="419"/>
      <c r="S83" s="419"/>
      <c r="T83" s="419"/>
      <c r="U83" s="419"/>
      <c r="V83" s="432">
        <f t="shared" si="17"/>
        <v>5000000</v>
      </c>
      <c r="W83" s="420"/>
      <c r="X83" s="336"/>
      <c r="Y83" s="337"/>
      <c r="Z83" s="338"/>
      <c r="AA83" s="383">
        <f t="shared" si="22"/>
        <v>202452</v>
      </c>
      <c r="AB83" s="339"/>
      <c r="AC83" s="384">
        <f t="shared" si="27"/>
        <v>0</v>
      </c>
      <c r="AD83" s="336"/>
      <c r="AE83" s="329"/>
      <c r="AF83" s="330"/>
      <c r="AG83" s="375">
        <f t="shared" si="23"/>
        <v>466700</v>
      </c>
      <c r="AH83" s="331"/>
      <c r="AI83" s="377">
        <f t="shared" si="28"/>
        <v>0</v>
      </c>
      <c r="AJ83" s="336"/>
      <c r="AK83" s="336"/>
      <c r="AL83" s="336"/>
      <c r="AM83" s="340"/>
      <c r="AN83" s="341"/>
      <c r="AO83" s="341"/>
      <c r="AP83" s="386">
        <f t="shared" si="25"/>
        <v>827481</v>
      </c>
      <c r="AQ83" s="342"/>
      <c r="AR83" s="389">
        <f t="shared" si="18"/>
        <v>0</v>
      </c>
      <c r="AT83" s="343"/>
      <c r="AU83" s="344"/>
      <c r="AV83" s="344"/>
      <c r="AW83" s="435">
        <f t="shared" si="19"/>
        <v>0</v>
      </c>
      <c r="AX83" s="438">
        <f t="shared" si="24"/>
        <v>0</v>
      </c>
    </row>
    <row r="84" spans="2:50">
      <c r="B84" s="326"/>
      <c r="C84" s="327"/>
      <c r="D84" s="327"/>
      <c r="E84" s="371">
        <f t="shared" si="20"/>
        <v>140185</v>
      </c>
      <c r="F84" s="372">
        <f t="shared" si="21"/>
        <v>0</v>
      </c>
      <c r="H84" s="414"/>
      <c r="I84" s="415"/>
      <c r="J84" s="428">
        <f t="shared" si="26"/>
        <v>1066262</v>
      </c>
      <c r="K84" s="416"/>
      <c r="L84" s="430">
        <f t="shared" si="16"/>
        <v>0</v>
      </c>
      <c r="M84" s="328"/>
      <c r="O84" s="417"/>
      <c r="P84" s="418"/>
      <c r="Q84" s="419"/>
      <c r="R84" s="419"/>
      <c r="S84" s="419"/>
      <c r="T84" s="419"/>
      <c r="U84" s="419"/>
      <c r="V84" s="432">
        <f t="shared" si="17"/>
        <v>5000000</v>
      </c>
      <c r="W84" s="420"/>
      <c r="X84" s="336"/>
      <c r="Y84" s="337"/>
      <c r="Z84" s="338"/>
      <c r="AA84" s="383">
        <f t="shared" si="22"/>
        <v>202452</v>
      </c>
      <c r="AB84" s="339"/>
      <c r="AC84" s="384">
        <f t="shared" si="27"/>
        <v>0</v>
      </c>
      <c r="AD84" s="336"/>
      <c r="AE84" s="329"/>
      <c r="AF84" s="330"/>
      <c r="AG84" s="375">
        <f t="shared" si="23"/>
        <v>466700</v>
      </c>
      <c r="AH84" s="331"/>
      <c r="AI84" s="377">
        <f t="shared" si="28"/>
        <v>0</v>
      </c>
      <c r="AJ84" s="336"/>
      <c r="AK84" s="336"/>
      <c r="AL84" s="336"/>
      <c r="AM84" s="340"/>
      <c r="AN84" s="341"/>
      <c r="AO84" s="341"/>
      <c r="AP84" s="386">
        <f t="shared" si="25"/>
        <v>827481</v>
      </c>
      <c r="AQ84" s="342"/>
      <c r="AR84" s="389">
        <f t="shared" si="18"/>
        <v>0</v>
      </c>
      <c r="AT84" s="343"/>
      <c r="AU84" s="344"/>
      <c r="AV84" s="344"/>
      <c r="AW84" s="435">
        <f t="shared" si="19"/>
        <v>0</v>
      </c>
      <c r="AX84" s="438">
        <f t="shared" si="24"/>
        <v>0</v>
      </c>
    </row>
    <row r="85" spans="2:50">
      <c r="B85" s="326"/>
      <c r="C85" s="327"/>
      <c r="D85" s="327"/>
      <c r="E85" s="371">
        <f t="shared" si="20"/>
        <v>140185</v>
      </c>
      <c r="F85" s="372">
        <f t="shared" si="21"/>
        <v>0</v>
      </c>
      <c r="H85" s="414"/>
      <c r="I85" s="415"/>
      <c r="J85" s="428">
        <f t="shared" si="26"/>
        <v>1066262</v>
      </c>
      <c r="K85" s="416"/>
      <c r="L85" s="430">
        <f t="shared" si="16"/>
        <v>0</v>
      </c>
      <c r="M85" s="328"/>
      <c r="O85" s="417"/>
      <c r="P85" s="418"/>
      <c r="Q85" s="419"/>
      <c r="R85" s="419"/>
      <c r="S85" s="419"/>
      <c r="T85" s="419"/>
      <c r="U85" s="419"/>
      <c r="V85" s="432">
        <f t="shared" si="17"/>
        <v>5000000</v>
      </c>
      <c r="W85" s="420"/>
      <c r="X85" s="336"/>
      <c r="Y85" s="337"/>
      <c r="Z85" s="338"/>
      <c r="AA85" s="383">
        <f t="shared" si="22"/>
        <v>202452</v>
      </c>
      <c r="AB85" s="339"/>
      <c r="AC85" s="384">
        <f t="shared" si="27"/>
        <v>0</v>
      </c>
      <c r="AD85" s="336"/>
      <c r="AE85" s="329"/>
      <c r="AF85" s="330"/>
      <c r="AG85" s="375">
        <f t="shared" si="23"/>
        <v>466700</v>
      </c>
      <c r="AH85" s="331"/>
      <c r="AI85" s="377">
        <f t="shared" si="28"/>
        <v>0</v>
      </c>
      <c r="AJ85" s="336"/>
      <c r="AK85" s="336"/>
      <c r="AL85" s="336"/>
      <c r="AM85" s="340"/>
      <c r="AN85" s="341"/>
      <c r="AO85" s="341"/>
      <c r="AP85" s="386">
        <f t="shared" si="25"/>
        <v>827481</v>
      </c>
      <c r="AQ85" s="342"/>
      <c r="AR85" s="389">
        <f t="shared" si="18"/>
        <v>0</v>
      </c>
      <c r="AT85" s="343"/>
      <c r="AU85" s="344"/>
      <c r="AV85" s="344"/>
      <c r="AW85" s="435">
        <f t="shared" si="19"/>
        <v>0</v>
      </c>
      <c r="AX85" s="438">
        <f t="shared" si="24"/>
        <v>0</v>
      </c>
    </row>
    <row r="86" spans="2:50">
      <c r="B86" s="326"/>
      <c r="C86" s="327"/>
      <c r="D86" s="327"/>
      <c r="E86" s="371">
        <f t="shared" si="20"/>
        <v>140185</v>
      </c>
      <c r="F86" s="372">
        <f t="shared" si="21"/>
        <v>0</v>
      </c>
      <c r="H86" s="414"/>
      <c r="I86" s="415"/>
      <c r="J86" s="428">
        <f t="shared" si="26"/>
        <v>1066262</v>
      </c>
      <c r="K86" s="416"/>
      <c r="L86" s="430">
        <f t="shared" si="16"/>
        <v>0</v>
      </c>
      <c r="M86" s="328"/>
      <c r="O86" s="417"/>
      <c r="P86" s="418"/>
      <c r="Q86" s="419"/>
      <c r="R86" s="419"/>
      <c r="S86" s="419"/>
      <c r="T86" s="419"/>
      <c r="U86" s="419"/>
      <c r="V86" s="432">
        <f t="shared" si="17"/>
        <v>5000000</v>
      </c>
      <c r="W86" s="420"/>
      <c r="X86" s="336"/>
      <c r="Y86" s="337"/>
      <c r="Z86" s="338"/>
      <c r="AA86" s="383">
        <f t="shared" si="22"/>
        <v>202452</v>
      </c>
      <c r="AB86" s="339"/>
      <c r="AC86" s="384">
        <f t="shared" si="27"/>
        <v>0</v>
      </c>
      <c r="AD86" s="336"/>
      <c r="AE86" s="329"/>
      <c r="AF86" s="330"/>
      <c r="AG86" s="375">
        <f t="shared" si="23"/>
        <v>466700</v>
      </c>
      <c r="AH86" s="331"/>
      <c r="AI86" s="377">
        <f t="shared" si="28"/>
        <v>0</v>
      </c>
      <c r="AJ86" s="336"/>
      <c r="AK86" s="336"/>
      <c r="AL86" s="336"/>
      <c r="AM86" s="340"/>
      <c r="AN86" s="341"/>
      <c r="AO86" s="341"/>
      <c r="AP86" s="386">
        <f t="shared" si="25"/>
        <v>827481</v>
      </c>
      <c r="AQ86" s="342"/>
      <c r="AR86" s="389">
        <f t="shared" si="18"/>
        <v>0</v>
      </c>
      <c r="AT86" s="343"/>
      <c r="AU86" s="344"/>
      <c r="AV86" s="344"/>
      <c r="AW86" s="435">
        <f t="shared" si="19"/>
        <v>0</v>
      </c>
      <c r="AX86" s="438">
        <f t="shared" si="24"/>
        <v>0</v>
      </c>
    </row>
    <row r="87" spans="2:50">
      <c r="B87" s="326"/>
      <c r="C87" s="327"/>
      <c r="D87" s="327"/>
      <c r="E87" s="371">
        <f t="shared" si="20"/>
        <v>140185</v>
      </c>
      <c r="F87" s="372">
        <f t="shared" si="21"/>
        <v>0</v>
      </c>
      <c r="H87" s="414"/>
      <c r="I87" s="415"/>
      <c r="J87" s="428">
        <f t="shared" si="26"/>
        <v>1066262</v>
      </c>
      <c r="K87" s="416"/>
      <c r="L87" s="430">
        <f t="shared" si="16"/>
        <v>0</v>
      </c>
      <c r="M87" s="328"/>
      <c r="O87" s="417"/>
      <c r="P87" s="418"/>
      <c r="Q87" s="419"/>
      <c r="R87" s="419"/>
      <c r="S87" s="419"/>
      <c r="T87" s="419"/>
      <c r="U87" s="419"/>
      <c r="V87" s="432">
        <f t="shared" si="17"/>
        <v>5000000</v>
      </c>
      <c r="W87" s="420"/>
      <c r="X87" s="336"/>
      <c r="Y87" s="337"/>
      <c r="Z87" s="338"/>
      <c r="AA87" s="383">
        <f t="shared" si="22"/>
        <v>202452</v>
      </c>
      <c r="AB87" s="339"/>
      <c r="AC87" s="384">
        <f t="shared" si="27"/>
        <v>0</v>
      </c>
      <c r="AD87" s="336"/>
      <c r="AE87" s="329"/>
      <c r="AF87" s="330"/>
      <c r="AG87" s="375">
        <f t="shared" si="23"/>
        <v>466700</v>
      </c>
      <c r="AH87" s="331"/>
      <c r="AI87" s="377">
        <f t="shared" si="28"/>
        <v>0</v>
      </c>
      <c r="AJ87" s="336"/>
      <c r="AK87" s="336"/>
      <c r="AL87" s="336"/>
      <c r="AM87" s="340"/>
      <c r="AN87" s="341"/>
      <c r="AO87" s="341"/>
      <c r="AP87" s="386">
        <f t="shared" si="25"/>
        <v>827481</v>
      </c>
      <c r="AQ87" s="342"/>
      <c r="AR87" s="389">
        <f t="shared" si="18"/>
        <v>0</v>
      </c>
      <c r="AT87" s="343"/>
      <c r="AU87" s="344"/>
      <c r="AV87" s="344"/>
      <c r="AW87" s="435">
        <f t="shared" si="19"/>
        <v>0</v>
      </c>
      <c r="AX87" s="438">
        <f t="shared" si="24"/>
        <v>0</v>
      </c>
    </row>
    <row r="88" spans="2:50">
      <c r="B88" s="326"/>
      <c r="C88" s="327"/>
      <c r="D88" s="327"/>
      <c r="E88" s="371">
        <f t="shared" si="20"/>
        <v>140185</v>
      </c>
      <c r="F88" s="372">
        <f t="shared" si="21"/>
        <v>0</v>
      </c>
      <c r="H88" s="414"/>
      <c r="I88" s="415"/>
      <c r="J88" s="428">
        <f t="shared" si="26"/>
        <v>1066262</v>
      </c>
      <c r="K88" s="416"/>
      <c r="L88" s="430">
        <f t="shared" si="16"/>
        <v>0</v>
      </c>
      <c r="M88" s="328"/>
      <c r="O88" s="417"/>
      <c r="P88" s="418"/>
      <c r="Q88" s="419"/>
      <c r="R88" s="419"/>
      <c r="S88" s="419"/>
      <c r="T88" s="419"/>
      <c r="U88" s="419"/>
      <c r="V88" s="432">
        <f t="shared" si="17"/>
        <v>5000000</v>
      </c>
      <c r="W88" s="420"/>
      <c r="X88" s="336"/>
      <c r="Y88" s="337"/>
      <c r="Z88" s="338"/>
      <c r="AA88" s="383">
        <f t="shared" si="22"/>
        <v>202452</v>
      </c>
      <c r="AB88" s="339"/>
      <c r="AC88" s="384">
        <f t="shared" si="27"/>
        <v>0</v>
      </c>
      <c r="AD88" s="336"/>
      <c r="AE88" s="329"/>
      <c r="AF88" s="330"/>
      <c r="AG88" s="375">
        <f t="shared" si="23"/>
        <v>466700</v>
      </c>
      <c r="AH88" s="331"/>
      <c r="AI88" s="377">
        <f t="shared" si="28"/>
        <v>0</v>
      </c>
      <c r="AJ88" s="336"/>
      <c r="AK88" s="336"/>
      <c r="AL88" s="336"/>
      <c r="AM88" s="340"/>
      <c r="AN88" s="341"/>
      <c r="AO88" s="341"/>
      <c r="AP88" s="386">
        <f t="shared" si="25"/>
        <v>827481</v>
      </c>
      <c r="AQ88" s="342"/>
      <c r="AR88" s="389">
        <f t="shared" si="18"/>
        <v>0</v>
      </c>
      <c r="AT88" s="343"/>
      <c r="AU88" s="344"/>
      <c r="AV88" s="344"/>
      <c r="AW88" s="435">
        <f t="shared" si="19"/>
        <v>0</v>
      </c>
      <c r="AX88" s="438">
        <f t="shared" si="24"/>
        <v>0</v>
      </c>
    </row>
    <row r="89" spans="2:50">
      <c r="B89" s="326"/>
      <c r="C89" s="327"/>
      <c r="D89" s="327"/>
      <c r="E89" s="371">
        <f t="shared" si="20"/>
        <v>140185</v>
      </c>
      <c r="F89" s="372">
        <f t="shared" si="21"/>
        <v>0</v>
      </c>
      <c r="H89" s="414"/>
      <c r="I89" s="415"/>
      <c r="J89" s="428">
        <f t="shared" si="26"/>
        <v>1066262</v>
      </c>
      <c r="K89" s="416"/>
      <c r="L89" s="430">
        <f t="shared" si="16"/>
        <v>0</v>
      </c>
      <c r="M89" s="328"/>
      <c r="O89" s="417"/>
      <c r="P89" s="418"/>
      <c r="Q89" s="419"/>
      <c r="R89" s="419"/>
      <c r="S89" s="419"/>
      <c r="T89" s="419"/>
      <c r="U89" s="419"/>
      <c r="V89" s="432">
        <f t="shared" si="17"/>
        <v>5000000</v>
      </c>
      <c r="W89" s="420"/>
      <c r="X89" s="336"/>
      <c r="Y89" s="337"/>
      <c r="Z89" s="338"/>
      <c r="AA89" s="383">
        <f t="shared" si="22"/>
        <v>202452</v>
      </c>
      <c r="AB89" s="339"/>
      <c r="AC89" s="384">
        <f t="shared" si="27"/>
        <v>0</v>
      </c>
      <c r="AD89" s="336"/>
      <c r="AE89" s="329"/>
      <c r="AF89" s="330"/>
      <c r="AG89" s="375">
        <f t="shared" si="23"/>
        <v>466700</v>
      </c>
      <c r="AH89" s="331"/>
      <c r="AI89" s="377">
        <f t="shared" si="28"/>
        <v>0</v>
      </c>
      <c r="AJ89" s="336"/>
      <c r="AK89" s="336"/>
      <c r="AL89" s="336"/>
      <c r="AM89" s="340"/>
      <c r="AN89" s="341"/>
      <c r="AO89" s="341"/>
      <c r="AP89" s="386">
        <f t="shared" si="25"/>
        <v>827481</v>
      </c>
      <c r="AQ89" s="342"/>
      <c r="AR89" s="389">
        <f t="shared" si="18"/>
        <v>0</v>
      </c>
      <c r="AT89" s="343"/>
      <c r="AU89" s="344"/>
      <c r="AV89" s="344"/>
      <c r="AW89" s="435">
        <f t="shared" si="19"/>
        <v>0</v>
      </c>
      <c r="AX89" s="438">
        <f t="shared" si="24"/>
        <v>0</v>
      </c>
    </row>
    <row r="90" spans="2:50">
      <c r="B90" s="326"/>
      <c r="C90" s="327"/>
      <c r="D90" s="327"/>
      <c r="E90" s="371">
        <f t="shared" si="20"/>
        <v>140185</v>
      </c>
      <c r="F90" s="372">
        <f t="shared" si="21"/>
        <v>0</v>
      </c>
      <c r="H90" s="414"/>
      <c r="I90" s="415"/>
      <c r="J90" s="428">
        <f t="shared" si="26"/>
        <v>1066262</v>
      </c>
      <c r="K90" s="416"/>
      <c r="L90" s="430">
        <f t="shared" si="16"/>
        <v>0</v>
      </c>
      <c r="M90" s="328"/>
      <c r="O90" s="417"/>
      <c r="P90" s="418"/>
      <c r="Q90" s="419"/>
      <c r="R90" s="419"/>
      <c r="S90" s="419"/>
      <c r="T90" s="419"/>
      <c r="U90" s="419"/>
      <c r="V90" s="432">
        <f t="shared" si="17"/>
        <v>5000000</v>
      </c>
      <c r="W90" s="420"/>
      <c r="X90" s="336"/>
      <c r="Y90" s="337"/>
      <c r="Z90" s="338"/>
      <c r="AA90" s="383">
        <f t="shared" si="22"/>
        <v>202452</v>
      </c>
      <c r="AB90" s="339"/>
      <c r="AC90" s="384">
        <f t="shared" si="27"/>
        <v>0</v>
      </c>
      <c r="AD90" s="336"/>
      <c r="AE90" s="329"/>
      <c r="AF90" s="330"/>
      <c r="AG90" s="375">
        <f t="shared" si="23"/>
        <v>466700</v>
      </c>
      <c r="AH90" s="331"/>
      <c r="AI90" s="377">
        <f t="shared" si="28"/>
        <v>0</v>
      </c>
      <c r="AJ90" s="336"/>
      <c r="AK90" s="336"/>
      <c r="AL90" s="336"/>
      <c r="AM90" s="340"/>
      <c r="AN90" s="341"/>
      <c r="AO90" s="341"/>
      <c r="AP90" s="386">
        <f t="shared" si="25"/>
        <v>827481</v>
      </c>
      <c r="AQ90" s="342"/>
      <c r="AR90" s="389">
        <f t="shared" si="18"/>
        <v>0</v>
      </c>
      <c r="AT90" s="343"/>
      <c r="AU90" s="344"/>
      <c r="AV90" s="344"/>
      <c r="AW90" s="435">
        <f t="shared" si="19"/>
        <v>0</v>
      </c>
      <c r="AX90" s="438">
        <f t="shared" si="24"/>
        <v>0</v>
      </c>
    </row>
    <row r="91" spans="2:50">
      <c r="B91" s="326"/>
      <c r="C91" s="327"/>
      <c r="D91" s="327"/>
      <c r="E91" s="371">
        <f t="shared" si="20"/>
        <v>140185</v>
      </c>
      <c r="F91" s="372">
        <f t="shared" si="21"/>
        <v>0</v>
      </c>
      <c r="H91" s="414"/>
      <c r="I91" s="415"/>
      <c r="J91" s="428">
        <f t="shared" si="26"/>
        <v>1066262</v>
      </c>
      <c r="K91" s="416"/>
      <c r="L91" s="430">
        <f t="shared" si="16"/>
        <v>0</v>
      </c>
      <c r="M91" s="328"/>
      <c r="O91" s="417"/>
      <c r="P91" s="418"/>
      <c r="Q91" s="419"/>
      <c r="R91" s="419"/>
      <c r="S91" s="419"/>
      <c r="T91" s="419"/>
      <c r="U91" s="419"/>
      <c r="V91" s="432">
        <f t="shared" si="17"/>
        <v>5000000</v>
      </c>
      <c r="W91" s="420"/>
      <c r="X91" s="336"/>
      <c r="Y91" s="337"/>
      <c r="Z91" s="338"/>
      <c r="AA91" s="383">
        <f t="shared" si="22"/>
        <v>202452</v>
      </c>
      <c r="AB91" s="339"/>
      <c r="AC91" s="384">
        <f t="shared" si="27"/>
        <v>0</v>
      </c>
      <c r="AD91" s="336"/>
      <c r="AE91" s="329"/>
      <c r="AF91" s="330"/>
      <c r="AG91" s="375">
        <f t="shared" si="23"/>
        <v>466700</v>
      </c>
      <c r="AH91" s="331"/>
      <c r="AI91" s="377">
        <f t="shared" si="28"/>
        <v>0</v>
      </c>
      <c r="AJ91" s="336"/>
      <c r="AK91" s="336"/>
      <c r="AL91" s="336"/>
      <c r="AM91" s="340"/>
      <c r="AN91" s="341"/>
      <c r="AO91" s="341"/>
      <c r="AP91" s="386">
        <f t="shared" si="25"/>
        <v>827481</v>
      </c>
      <c r="AQ91" s="342"/>
      <c r="AR91" s="389">
        <f t="shared" si="18"/>
        <v>0</v>
      </c>
      <c r="AT91" s="343"/>
      <c r="AU91" s="344"/>
      <c r="AV91" s="344"/>
      <c r="AW91" s="435">
        <f t="shared" si="19"/>
        <v>0</v>
      </c>
      <c r="AX91" s="438">
        <f t="shared" si="24"/>
        <v>0</v>
      </c>
    </row>
    <row r="92" spans="2:50">
      <c r="B92" s="326"/>
      <c r="C92" s="327"/>
      <c r="D92" s="327"/>
      <c r="E92" s="371">
        <f t="shared" si="20"/>
        <v>140185</v>
      </c>
      <c r="F92" s="372">
        <f t="shared" si="21"/>
        <v>0</v>
      </c>
      <c r="H92" s="414"/>
      <c r="I92" s="415"/>
      <c r="J92" s="428">
        <f t="shared" si="26"/>
        <v>1066262</v>
      </c>
      <c r="K92" s="416"/>
      <c r="L92" s="430">
        <f t="shared" si="16"/>
        <v>0</v>
      </c>
      <c r="M92" s="328"/>
      <c r="O92" s="417"/>
      <c r="P92" s="418"/>
      <c r="Q92" s="419"/>
      <c r="R92" s="419"/>
      <c r="S92" s="419"/>
      <c r="T92" s="419"/>
      <c r="U92" s="419"/>
      <c r="V92" s="432">
        <f t="shared" si="17"/>
        <v>5000000</v>
      </c>
      <c r="W92" s="420"/>
      <c r="X92" s="336"/>
      <c r="Y92" s="337"/>
      <c r="Z92" s="338"/>
      <c r="AA92" s="383">
        <f t="shared" si="22"/>
        <v>202452</v>
      </c>
      <c r="AB92" s="339"/>
      <c r="AC92" s="384">
        <f t="shared" si="27"/>
        <v>0</v>
      </c>
      <c r="AD92" s="336"/>
      <c r="AE92" s="329"/>
      <c r="AF92" s="330"/>
      <c r="AG92" s="375">
        <f t="shared" si="23"/>
        <v>466700</v>
      </c>
      <c r="AH92" s="331"/>
      <c r="AI92" s="377">
        <f t="shared" si="28"/>
        <v>0</v>
      </c>
      <c r="AJ92" s="336"/>
      <c r="AK92" s="336"/>
      <c r="AL92" s="336"/>
      <c r="AM92" s="340"/>
      <c r="AN92" s="341"/>
      <c r="AO92" s="341"/>
      <c r="AP92" s="386">
        <f t="shared" si="25"/>
        <v>827481</v>
      </c>
      <c r="AQ92" s="342"/>
      <c r="AR92" s="389">
        <f t="shared" si="18"/>
        <v>0</v>
      </c>
      <c r="AT92" s="343"/>
      <c r="AU92" s="344"/>
      <c r="AV92" s="344"/>
      <c r="AW92" s="435">
        <f t="shared" si="19"/>
        <v>0</v>
      </c>
      <c r="AX92" s="438">
        <f t="shared" si="24"/>
        <v>0</v>
      </c>
    </row>
    <row r="93" spans="2:50">
      <c r="B93" s="326"/>
      <c r="C93" s="327"/>
      <c r="D93" s="327"/>
      <c r="E93" s="371">
        <f t="shared" si="20"/>
        <v>140185</v>
      </c>
      <c r="F93" s="372">
        <f t="shared" si="21"/>
        <v>0</v>
      </c>
      <c r="H93" s="414"/>
      <c r="I93" s="415"/>
      <c r="J93" s="428">
        <f t="shared" si="26"/>
        <v>1066262</v>
      </c>
      <c r="K93" s="416"/>
      <c r="L93" s="430">
        <f t="shared" si="16"/>
        <v>0</v>
      </c>
      <c r="M93" s="328"/>
      <c r="O93" s="417"/>
      <c r="P93" s="418"/>
      <c r="Q93" s="419"/>
      <c r="R93" s="419"/>
      <c r="S93" s="419"/>
      <c r="T93" s="419"/>
      <c r="U93" s="419"/>
      <c r="V93" s="432">
        <f t="shared" si="17"/>
        <v>5000000</v>
      </c>
      <c r="W93" s="420"/>
      <c r="X93" s="336"/>
      <c r="Y93" s="337"/>
      <c r="Z93" s="338"/>
      <c r="AA93" s="383">
        <f t="shared" si="22"/>
        <v>202452</v>
      </c>
      <c r="AB93" s="339"/>
      <c r="AC93" s="384">
        <f t="shared" si="27"/>
        <v>0</v>
      </c>
      <c r="AD93" s="336"/>
      <c r="AE93" s="329"/>
      <c r="AF93" s="330"/>
      <c r="AG93" s="375">
        <f t="shared" si="23"/>
        <v>466700</v>
      </c>
      <c r="AH93" s="331"/>
      <c r="AI93" s="377">
        <f t="shared" si="28"/>
        <v>0</v>
      </c>
      <c r="AJ93" s="336"/>
      <c r="AK93" s="336"/>
      <c r="AL93" s="336"/>
      <c r="AM93" s="340"/>
      <c r="AN93" s="341"/>
      <c r="AO93" s="341"/>
      <c r="AP93" s="386">
        <f t="shared" si="25"/>
        <v>827481</v>
      </c>
      <c r="AQ93" s="342"/>
      <c r="AR93" s="389">
        <f t="shared" si="18"/>
        <v>0</v>
      </c>
      <c r="AT93" s="343"/>
      <c r="AU93" s="344"/>
      <c r="AV93" s="344"/>
      <c r="AW93" s="435">
        <f t="shared" si="19"/>
        <v>0</v>
      </c>
      <c r="AX93" s="438">
        <f t="shared" si="24"/>
        <v>0</v>
      </c>
    </row>
    <row r="94" spans="2:50">
      <c r="B94" s="326"/>
      <c r="C94" s="327"/>
      <c r="D94" s="327"/>
      <c r="E94" s="371">
        <f t="shared" si="20"/>
        <v>140185</v>
      </c>
      <c r="F94" s="372">
        <f t="shared" si="21"/>
        <v>0</v>
      </c>
      <c r="H94" s="414"/>
      <c r="I94" s="415"/>
      <c r="J94" s="428">
        <f t="shared" si="26"/>
        <v>1066262</v>
      </c>
      <c r="K94" s="416"/>
      <c r="L94" s="430">
        <f t="shared" si="16"/>
        <v>0</v>
      </c>
      <c r="M94" s="328"/>
      <c r="O94" s="417"/>
      <c r="P94" s="418"/>
      <c r="Q94" s="419"/>
      <c r="R94" s="419"/>
      <c r="S94" s="419"/>
      <c r="T94" s="419"/>
      <c r="U94" s="419"/>
      <c r="V94" s="432">
        <f t="shared" si="17"/>
        <v>5000000</v>
      </c>
      <c r="W94" s="420"/>
      <c r="X94" s="336"/>
      <c r="Y94" s="337"/>
      <c r="Z94" s="338"/>
      <c r="AA94" s="383">
        <f t="shared" si="22"/>
        <v>202452</v>
      </c>
      <c r="AB94" s="339"/>
      <c r="AC94" s="384">
        <f t="shared" si="27"/>
        <v>0</v>
      </c>
      <c r="AD94" s="336"/>
      <c r="AE94" s="329"/>
      <c r="AF94" s="330"/>
      <c r="AG94" s="375">
        <f t="shared" si="23"/>
        <v>466700</v>
      </c>
      <c r="AH94" s="331"/>
      <c r="AI94" s="377">
        <f t="shared" si="28"/>
        <v>0</v>
      </c>
      <c r="AJ94" s="336"/>
      <c r="AK94" s="336"/>
      <c r="AL94" s="336"/>
      <c r="AM94" s="340"/>
      <c r="AN94" s="341"/>
      <c r="AO94" s="341"/>
      <c r="AP94" s="386">
        <f t="shared" si="25"/>
        <v>827481</v>
      </c>
      <c r="AQ94" s="342"/>
      <c r="AR94" s="389">
        <f t="shared" si="18"/>
        <v>0</v>
      </c>
      <c r="AT94" s="343"/>
      <c r="AU94" s="344"/>
      <c r="AV94" s="344"/>
      <c r="AW94" s="435">
        <f t="shared" si="19"/>
        <v>0</v>
      </c>
      <c r="AX94" s="438">
        <f t="shared" si="24"/>
        <v>0</v>
      </c>
    </row>
    <row r="95" spans="2:50">
      <c r="B95" s="326"/>
      <c r="C95" s="327"/>
      <c r="D95" s="327"/>
      <c r="E95" s="371">
        <f t="shared" si="20"/>
        <v>140185</v>
      </c>
      <c r="F95" s="372">
        <f t="shared" si="21"/>
        <v>0</v>
      </c>
      <c r="H95" s="414"/>
      <c r="I95" s="415"/>
      <c r="J95" s="428">
        <f t="shared" si="26"/>
        <v>1066262</v>
      </c>
      <c r="K95" s="416"/>
      <c r="L95" s="430">
        <f t="shared" si="16"/>
        <v>0</v>
      </c>
      <c r="M95" s="328"/>
      <c r="O95" s="417"/>
      <c r="P95" s="418"/>
      <c r="Q95" s="419"/>
      <c r="R95" s="419"/>
      <c r="S95" s="419"/>
      <c r="T95" s="419"/>
      <c r="U95" s="419"/>
      <c r="V95" s="432">
        <f t="shared" si="17"/>
        <v>5000000</v>
      </c>
      <c r="W95" s="420"/>
      <c r="X95" s="336"/>
      <c r="Y95" s="337"/>
      <c r="Z95" s="338"/>
      <c r="AA95" s="383">
        <f t="shared" si="22"/>
        <v>202452</v>
      </c>
      <c r="AB95" s="339"/>
      <c r="AC95" s="384">
        <f t="shared" si="27"/>
        <v>0</v>
      </c>
      <c r="AD95" s="336"/>
      <c r="AE95" s="329"/>
      <c r="AF95" s="330"/>
      <c r="AG95" s="375">
        <f t="shared" si="23"/>
        <v>466700</v>
      </c>
      <c r="AH95" s="331"/>
      <c r="AI95" s="377">
        <f t="shared" si="28"/>
        <v>0</v>
      </c>
      <c r="AJ95" s="336"/>
      <c r="AK95" s="336"/>
      <c r="AL95" s="336"/>
      <c r="AM95" s="340"/>
      <c r="AN95" s="341"/>
      <c r="AO95" s="341"/>
      <c r="AP95" s="386">
        <f t="shared" si="25"/>
        <v>827481</v>
      </c>
      <c r="AQ95" s="342"/>
      <c r="AR95" s="389">
        <f t="shared" si="18"/>
        <v>0</v>
      </c>
      <c r="AT95" s="343"/>
      <c r="AU95" s="344"/>
      <c r="AV95" s="344"/>
      <c r="AW95" s="435">
        <f t="shared" si="19"/>
        <v>0</v>
      </c>
      <c r="AX95" s="438">
        <f t="shared" si="24"/>
        <v>0</v>
      </c>
    </row>
    <row r="96" spans="2:50">
      <c r="B96" s="326"/>
      <c r="C96" s="327"/>
      <c r="D96" s="327"/>
      <c r="E96" s="371">
        <f t="shared" si="20"/>
        <v>140185</v>
      </c>
      <c r="F96" s="372">
        <f t="shared" si="21"/>
        <v>0</v>
      </c>
      <c r="H96" s="414"/>
      <c r="I96" s="415"/>
      <c r="J96" s="428">
        <f t="shared" si="26"/>
        <v>1066262</v>
      </c>
      <c r="K96" s="416"/>
      <c r="L96" s="430">
        <f t="shared" si="16"/>
        <v>0</v>
      </c>
      <c r="M96" s="328"/>
      <c r="O96" s="417"/>
      <c r="P96" s="418"/>
      <c r="Q96" s="419"/>
      <c r="R96" s="419"/>
      <c r="S96" s="419"/>
      <c r="T96" s="419"/>
      <c r="U96" s="419"/>
      <c r="V96" s="432">
        <f t="shared" si="17"/>
        <v>5000000</v>
      </c>
      <c r="W96" s="420"/>
      <c r="X96" s="336"/>
      <c r="Y96" s="337"/>
      <c r="Z96" s="338"/>
      <c r="AA96" s="383">
        <f t="shared" si="22"/>
        <v>202452</v>
      </c>
      <c r="AB96" s="339"/>
      <c r="AC96" s="384">
        <f t="shared" si="27"/>
        <v>0</v>
      </c>
      <c r="AD96" s="336"/>
      <c r="AE96" s="329"/>
      <c r="AF96" s="330"/>
      <c r="AG96" s="375">
        <f t="shared" si="23"/>
        <v>466700</v>
      </c>
      <c r="AH96" s="331"/>
      <c r="AI96" s="377">
        <f t="shared" si="28"/>
        <v>0</v>
      </c>
      <c r="AJ96" s="336"/>
      <c r="AK96" s="336"/>
      <c r="AL96" s="336"/>
      <c r="AM96" s="340"/>
      <c r="AN96" s="341"/>
      <c r="AO96" s="341"/>
      <c r="AP96" s="386">
        <f t="shared" si="25"/>
        <v>827481</v>
      </c>
      <c r="AQ96" s="342"/>
      <c r="AR96" s="389">
        <f t="shared" si="18"/>
        <v>0</v>
      </c>
      <c r="AT96" s="343"/>
      <c r="AU96" s="344"/>
      <c r="AV96" s="344"/>
      <c r="AW96" s="435">
        <f t="shared" si="19"/>
        <v>0</v>
      </c>
      <c r="AX96" s="438">
        <f t="shared" si="24"/>
        <v>0</v>
      </c>
    </row>
    <row r="97" spans="1:50">
      <c r="B97" s="326"/>
      <c r="C97" s="327"/>
      <c r="D97" s="327"/>
      <c r="E97" s="371">
        <f t="shared" si="20"/>
        <v>140185</v>
      </c>
      <c r="F97" s="372">
        <f t="shared" si="21"/>
        <v>0</v>
      </c>
      <c r="H97" s="414"/>
      <c r="I97" s="415"/>
      <c r="J97" s="428">
        <f t="shared" si="26"/>
        <v>1066262</v>
      </c>
      <c r="K97" s="416"/>
      <c r="L97" s="430">
        <f t="shared" si="16"/>
        <v>0</v>
      </c>
      <c r="M97" s="328"/>
      <c r="O97" s="417"/>
      <c r="P97" s="418"/>
      <c r="Q97" s="419"/>
      <c r="R97" s="419"/>
      <c r="S97" s="419"/>
      <c r="T97" s="419"/>
      <c r="U97" s="419"/>
      <c r="V97" s="432">
        <f t="shared" si="17"/>
        <v>5000000</v>
      </c>
      <c r="W97" s="420"/>
      <c r="X97" s="336"/>
      <c r="Y97" s="337"/>
      <c r="Z97" s="338"/>
      <c r="AA97" s="383">
        <f t="shared" si="22"/>
        <v>202452</v>
      </c>
      <c r="AB97" s="339"/>
      <c r="AC97" s="384">
        <f t="shared" si="27"/>
        <v>0</v>
      </c>
      <c r="AD97" s="336"/>
      <c r="AE97" s="329"/>
      <c r="AF97" s="330"/>
      <c r="AG97" s="375">
        <f t="shared" si="23"/>
        <v>466700</v>
      </c>
      <c r="AH97" s="331"/>
      <c r="AI97" s="377">
        <f t="shared" si="28"/>
        <v>0</v>
      </c>
      <c r="AJ97" s="336"/>
      <c r="AK97" s="336"/>
      <c r="AL97" s="336"/>
      <c r="AM97" s="340"/>
      <c r="AN97" s="341"/>
      <c r="AO97" s="341"/>
      <c r="AP97" s="386">
        <f t="shared" si="25"/>
        <v>827481</v>
      </c>
      <c r="AQ97" s="342"/>
      <c r="AR97" s="389">
        <f t="shared" si="18"/>
        <v>0</v>
      </c>
      <c r="AT97" s="343"/>
      <c r="AU97" s="344"/>
      <c r="AV97" s="344"/>
      <c r="AW97" s="435">
        <f t="shared" si="19"/>
        <v>0</v>
      </c>
      <c r="AX97" s="438">
        <f t="shared" si="24"/>
        <v>0</v>
      </c>
    </row>
    <row r="98" spans="1:50">
      <c r="B98" s="326"/>
      <c r="C98" s="327"/>
      <c r="D98" s="327"/>
      <c r="E98" s="371">
        <f t="shared" si="20"/>
        <v>140185</v>
      </c>
      <c r="F98" s="372">
        <f t="shared" si="21"/>
        <v>0</v>
      </c>
      <c r="H98" s="414"/>
      <c r="I98" s="415"/>
      <c r="J98" s="428">
        <f t="shared" si="26"/>
        <v>1066262</v>
      </c>
      <c r="K98" s="416"/>
      <c r="L98" s="430">
        <f t="shared" si="16"/>
        <v>0</v>
      </c>
      <c r="M98" s="328"/>
      <c r="O98" s="417"/>
      <c r="P98" s="418"/>
      <c r="Q98" s="419"/>
      <c r="R98" s="419"/>
      <c r="S98" s="419"/>
      <c r="T98" s="419"/>
      <c r="U98" s="419"/>
      <c r="V98" s="432">
        <f t="shared" si="17"/>
        <v>5000000</v>
      </c>
      <c r="W98" s="420"/>
      <c r="X98" s="336"/>
      <c r="Y98" s="337"/>
      <c r="Z98" s="338"/>
      <c r="AA98" s="383">
        <f t="shared" si="22"/>
        <v>202452</v>
      </c>
      <c r="AB98" s="339"/>
      <c r="AC98" s="384">
        <f t="shared" si="27"/>
        <v>0</v>
      </c>
      <c r="AD98" s="336"/>
      <c r="AE98" s="329"/>
      <c r="AF98" s="330"/>
      <c r="AG98" s="375">
        <f t="shared" si="23"/>
        <v>466700</v>
      </c>
      <c r="AH98" s="331"/>
      <c r="AI98" s="377">
        <f t="shared" si="28"/>
        <v>0</v>
      </c>
      <c r="AJ98" s="336"/>
      <c r="AK98" s="336"/>
      <c r="AL98" s="336"/>
      <c r="AM98" s="340"/>
      <c r="AN98" s="341"/>
      <c r="AO98" s="341"/>
      <c r="AP98" s="386">
        <f t="shared" si="25"/>
        <v>827481</v>
      </c>
      <c r="AQ98" s="342"/>
      <c r="AR98" s="389">
        <f t="shared" si="18"/>
        <v>0</v>
      </c>
      <c r="AT98" s="343"/>
      <c r="AU98" s="344"/>
      <c r="AV98" s="344"/>
      <c r="AW98" s="435">
        <f t="shared" si="19"/>
        <v>0</v>
      </c>
      <c r="AX98" s="438">
        <f t="shared" si="24"/>
        <v>0</v>
      </c>
    </row>
    <row r="99" spans="1:50">
      <c r="B99" s="326"/>
      <c r="C99" s="327"/>
      <c r="D99" s="327"/>
      <c r="E99" s="371">
        <f t="shared" si="20"/>
        <v>140185</v>
      </c>
      <c r="F99" s="372">
        <f t="shared" si="21"/>
        <v>0</v>
      </c>
      <c r="H99" s="414"/>
      <c r="I99" s="415"/>
      <c r="J99" s="428">
        <f t="shared" si="26"/>
        <v>1066262</v>
      </c>
      <c r="K99" s="416"/>
      <c r="L99" s="430">
        <f t="shared" si="16"/>
        <v>0</v>
      </c>
      <c r="M99" s="328"/>
      <c r="O99" s="417"/>
      <c r="P99" s="418"/>
      <c r="Q99" s="419"/>
      <c r="R99" s="419"/>
      <c r="S99" s="419"/>
      <c r="T99" s="419"/>
      <c r="U99" s="419"/>
      <c r="V99" s="432">
        <f t="shared" si="17"/>
        <v>5000000</v>
      </c>
      <c r="W99" s="420"/>
      <c r="X99" s="336"/>
      <c r="Y99" s="337"/>
      <c r="Z99" s="338"/>
      <c r="AA99" s="383">
        <f t="shared" si="22"/>
        <v>202452</v>
      </c>
      <c r="AB99" s="339"/>
      <c r="AC99" s="384">
        <f t="shared" si="27"/>
        <v>0</v>
      </c>
      <c r="AD99" s="336"/>
      <c r="AE99" s="329"/>
      <c r="AF99" s="330"/>
      <c r="AG99" s="375">
        <f t="shared" si="23"/>
        <v>466700</v>
      </c>
      <c r="AH99" s="331"/>
      <c r="AI99" s="377">
        <f t="shared" si="28"/>
        <v>0</v>
      </c>
      <c r="AJ99" s="336"/>
      <c r="AK99" s="336"/>
      <c r="AL99" s="336"/>
      <c r="AM99" s="340"/>
      <c r="AN99" s="341"/>
      <c r="AO99" s="341"/>
      <c r="AP99" s="386">
        <f t="shared" si="25"/>
        <v>827481</v>
      </c>
      <c r="AQ99" s="342"/>
      <c r="AR99" s="389">
        <f t="shared" si="18"/>
        <v>0</v>
      </c>
      <c r="AT99" s="343"/>
      <c r="AU99" s="344"/>
      <c r="AV99" s="344"/>
      <c r="AW99" s="435">
        <f t="shared" si="19"/>
        <v>0</v>
      </c>
      <c r="AX99" s="438">
        <f t="shared" si="24"/>
        <v>0</v>
      </c>
    </row>
    <row r="100" spans="1:50">
      <c r="B100" s="326"/>
      <c r="C100" s="327"/>
      <c r="D100" s="327"/>
      <c r="E100" s="371">
        <f t="shared" si="20"/>
        <v>140185</v>
      </c>
      <c r="F100" s="372">
        <f t="shared" si="21"/>
        <v>0</v>
      </c>
      <c r="H100" s="414"/>
      <c r="I100" s="415"/>
      <c r="J100" s="428">
        <f t="shared" si="26"/>
        <v>1066262</v>
      </c>
      <c r="K100" s="416"/>
      <c r="L100" s="430">
        <f t="shared" si="16"/>
        <v>0</v>
      </c>
      <c r="M100" s="328"/>
      <c r="O100" s="417"/>
      <c r="P100" s="418"/>
      <c r="Q100" s="419"/>
      <c r="R100" s="419"/>
      <c r="S100" s="419"/>
      <c r="T100" s="419"/>
      <c r="U100" s="419"/>
      <c r="V100" s="432">
        <f t="shared" si="17"/>
        <v>5000000</v>
      </c>
      <c r="W100" s="420"/>
      <c r="X100" s="336"/>
      <c r="Y100" s="337"/>
      <c r="Z100" s="338"/>
      <c r="AA100" s="383">
        <f t="shared" si="22"/>
        <v>202452</v>
      </c>
      <c r="AB100" s="339"/>
      <c r="AC100" s="384">
        <f t="shared" si="27"/>
        <v>0</v>
      </c>
      <c r="AD100" s="336"/>
      <c r="AE100" s="329"/>
      <c r="AF100" s="330"/>
      <c r="AG100" s="375">
        <f t="shared" si="23"/>
        <v>466700</v>
      </c>
      <c r="AH100" s="331"/>
      <c r="AI100" s="377">
        <f t="shared" si="28"/>
        <v>0</v>
      </c>
      <c r="AJ100" s="336"/>
      <c r="AK100" s="336"/>
      <c r="AL100" s="336"/>
      <c r="AM100" s="340"/>
      <c r="AN100" s="341"/>
      <c r="AO100" s="341"/>
      <c r="AP100" s="386">
        <f t="shared" si="25"/>
        <v>827481</v>
      </c>
      <c r="AQ100" s="342"/>
      <c r="AR100" s="389">
        <f t="shared" si="18"/>
        <v>0</v>
      </c>
      <c r="AT100" s="343"/>
      <c r="AU100" s="344"/>
      <c r="AV100" s="344"/>
      <c r="AW100" s="435">
        <f t="shared" si="19"/>
        <v>0</v>
      </c>
      <c r="AX100" s="438">
        <f t="shared" si="24"/>
        <v>0</v>
      </c>
    </row>
    <row r="101" spans="1:50">
      <c r="A101" s="264"/>
      <c r="B101" s="326"/>
      <c r="C101" s="327"/>
      <c r="D101" s="327"/>
      <c r="E101" s="371">
        <f t="shared" si="20"/>
        <v>140185</v>
      </c>
      <c r="F101" s="372">
        <f t="shared" si="21"/>
        <v>0</v>
      </c>
      <c r="G101" s="264"/>
      <c r="H101" s="414"/>
      <c r="I101" s="415"/>
      <c r="J101" s="428">
        <f t="shared" si="26"/>
        <v>1066262</v>
      </c>
      <c r="K101" s="416"/>
      <c r="L101" s="430">
        <f t="shared" si="16"/>
        <v>0</v>
      </c>
      <c r="M101" s="328"/>
      <c r="O101" s="417"/>
      <c r="P101" s="418"/>
      <c r="Q101" s="419"/>
      <c r="R101" s="419"/>
      <c r="S101" s="419"/>
      <c r="T101" s="419"/>
      <c r="U101" s="419"/>
      <c r="V101" s="432">
        <f t="shared" si="17"/>
        <v>5000000</v>
      </c>
      <c r="W101" s="420"/>
      <c r="X101" s="336"/>
      <c r="Y101" s="337"/>
      <c r="Z101" s="338"/>
      <c r="AA101" s="383">
        <f t="shared" si="22"/>
        <v>202452</v>
      </c>
      <c r="AB101" s="339"/>
      <c r="AC101" s="384">
        <f t="shared" si="27"/>
        <v>0</v>
      </c>
      <c r="AD101" s="336"/>
      <c r="AE101" s="329"/>
      <c r="AF101" s="330"/>
      <c r="AG101" s="375">
        <f t="shared" si="23"/>
        <v>466700</v>
      </c>
      <c r="AH101" s="331"/>
      <c r="AI101" s="377">
        <f t="shared" si="28"/>
        <v>0</v>
      </c>
      <c r="AJ101" s="336"/>
      <c r="AK101" s="336"/>
      <c r="AL101" s="336"/>
      <c r="AM101" s="340"/>
      <c r="AN101" s="341"/>
      <c r="AO101" s="341"/>
      <c r="AP101" s="386">
        <f t="shared" si="25"/>
        <v>827481</v>
      </c>
      <c r="AQ101" s="342"/>
      <c r="AR101" s="389">
        <f t="shared" si="18"/>
        <v>0</v>
      </c>
      <c r="AT101" s="343"/>
      <c r="AU101" s="344"/>
      <c r="AV101" s="344"/>
      <c r="AW101" s="435">
        <f t="shared" si="19"/>
        <v>0</v>
      </c>
      <c r="AX101" s="438">
        <f t="shared" si="24"/>
        <v>0</v>
      </c>
    </row>
    <row r="102" spans="1:50">
      <c r="A102" s="264"/>
      <c r="B102" s="326"/>
      <c r="C102" s="327"/>
      <c r="D102" s="327"/>
      <c r="E102" s="371">
        <f t="shared" si="20"/>
        <v>140185</v>
      </c>
      <c r="F102" s="372">
        <f t="shared" si="21"/>
        <v>0</v>
      </c>
      <c r="G102" s="264"/>
      <c r="H102" s="414"/>
      <c r="I102" s="415"/>
      <c r="J102" s="428">
        <f t="shared" si="26"/>
        <v>1066262</v>
      </c>
      <c r="K102" s="416"/>
      <c r="L102" s="430">
        <f t="shared" si="16"/>
        <v>0</v>
      </c>
      <c r="M102" s="328"/>
      <c r="O102" s="417"/>
      <c r="P102" s="418"/>
      <c r="Q102" s="419"/>
      <c r="R102" s="419"/>
      <c r="S102" s="419"/>
      <c r="T102" s="419"/>
      <c r="U102" s="419"/>
      <c r="V102" s="432">
        <f t="shared" si="17"/>
        <v>5000000</v>
      </c>
      <c r="W102" s="420"/>
      <c r="X102" s="336"/>
      <c r="Y102" s="337"/>
      <c r="Z102" s="338"/>
      <c r="AA102" s="383">
        <f t="shared" si="22"/>
        <v>202452</v>
      </c>
      <c r="AB102" s="339"/>
      <c r="AC102" s="384">
        <f t="shared" si="27"/>
        <v>0</v>
      </c>
      <c r="AD102" s="336"/>
      <c r="AE102" s="329"/>
      <c r="AF102" s="330"/>
      <c r="AG102" s="375">
        <f t="shared" si="23"/>
        <v>466700</v>
      </c>
      <c r="AH102" s="331"/>
      <c r="AI102" s="377">
        <f t="shared" si="28"/>
        <v>0</v>
      </c>
      <c r="AJ102" s="336"/>
      <c r="AK102" s="336"/>
      <c r="AL102" s="336"/>
      <c r="AM102" s="340"/>
      <c r="AN102" s="341"/>
      <c r="AO102" s="341"/>
      <c r="AP102" s="386">
        <f t="shared" si="25"/>
        <v>827481</v>
      </c>
      <c r="AQ102" s="342"/>
      <c r="AR102" s="389">
        <f t="shared" si="18"/>
        <v>0</v>
      </c>
      <c r="AT102" s="343"/>
      <c r="AU102" s="344"/>
      <c r="AV102" s="344"/>
      <c r="AW102" s="435">
        <f t="shared" si="19"/>
        <v>0</v>
      </c>
      <c r="AX102" s="438">
        <f t="shared" si="24"/>
        <v>0</v>
      </c>
    </row>
    <row r="103" spans="1:50">
      <c r="A103" s="264"/>
      <c r="B103" s="326"/>
      <c r="C103" s="327"/>
      <c r="D103" s="327"/>
      <c r="E103" s="371">
        <f t="shared" si="20"/>
        <v>140185</v>
      </c>
      <c r="F103" s="372">
        <f t="shared" si="21"/>
        <v>0</v>
      </c>
      <c r="G103" s="264"/>
      <c r="H103" s="414"/>
      <c r="I103" s="415"/>
      <c r="J103" s="428">
        <f t="shared" si="26"/>
        <v>1066262</v>
      </c>
      <c r="K103" s="416"/>
      <c r="L103" s="430">
        <f t="shared" si="16"/>
        <v>0</v>
      </c>
      <c r="M103" s="328"/>
      <c r="O103" s="417"/>
      <c r="P103" s="418"/>
      <c r="Q103" s="419"/>
      <c r="R103" s="419"/>
      <c r="S103" s="419"/>
      <c r="T103" s="419"/>
      <c r="U103" s="419"/>
      <c r="V103" s="432">
        <f t="shared" si="17"/>
        <v>5000000</v>
      </c>
      <c r="W103" s="420"/>
      <c r="X103" s="336"/>
      <c r="Y103" s="337"/>
      <c r="Z103" s="338"/>
      <c r="AA103" s="383">
        <f t="shared" si="22"/>
        <v>202452</v>
      </c>
      <c r="AB103" s="339"/>
      <c r="AC103" s="384">
        <f t="shared" si="27"/>
        <v>0</v>
      </c>
      <c r="AD103" s="336"/>
      <c r="AE103" s="329"/>
      <c r="AF103" s="330"/>
      <c r="AG103" s="375">
        <f t="shared" si="23"/>
        <v>466700</v>
      </c>
      <c r="AH103" s="331"/>
      <c r="AI103" s="377">
        <f t="shared" si="28"/>
        <v>0</v>
      </c>
      <c r="AJ103" s="336"/>
      <c r="AK103" s="336"/>
      <c r="AL103" s="336"/>
      <c r="AM103" s="340"/>
      <c r="AN103" s="341"/>
      <c r="AO103" s="341"/>
      <c r="AP103" s="386">
        <f t="shared" si="25"/>
        <v>827481</v>
      </c>
      <c r="AQ103" s="342"/>
      <c r="AR103" s="389">
        <f t="shared" si="18"/>
        <v>0</v>
      </c>
      <c r="AT103" s="343"/>
      <c r="AU103" s="344"/>
      <c r="AV103" s="344"/>
      <c r="AW103" s="435">
        <f t="shared" si="19"/>
        <v>0</v>
      </c>
      <c r="AX103" s="438">
        <f t="shared" si="24"/>
        <v>0</v>
      </c>
    </row>
    <row r="104" spans="1:50">
      <c r="A104" s="264"/>
      <c r="B104" s="326"/>
      <c r="C104" s="327"/>
      <c r="D104" s="327"/>
      <c r="E104" s="371">
        <f t="shared" si="20"/>
        <v>140185</v>
      </c>
      <c r="F104" s="372">
        <f t="shared" si="21"/>
        <v>0</v>
      </c>
      <c r="G104" s="264"/>
      <c r="H104" s="414"/>
      <c r="I104" s="415"/>
      <c r="J104" s="428">
        <f t="shared" si="26"/>
        <v>1066262</v>
      </c>
      <c r="K104" s="416"/>
      <c r="L104" s="430">
        <f t="shared" si="16"/>
        <v>0</v>
      </c>
      <c r="M104" s="328"/>
      <c r="O104" s="417"/>
      <c r="P104" s="418"/>
      <c r="Q104" s="419"/>
      <c r="R104" s="419"/>
      <c r="S104" s="419"/>
      <c r="T104" s="419"/>
      <c r="U104" s="419"/>
      <c r="V104" s="432">
        <f t="shared" si="17"/>
        <v>5000000</v>
      </c>
      <c r="W104" s="420"/>
      <c r="X104" s="336"/>
      <c r="Y104" s="337"/>
      <c r="Z104" s="338"/>
      <c r="AA104" s="383">
        <f t="shared" si="22"/>
        <v>202452</v>
      </c>
      <c r="AB104" s="339"/>
      <c r="AC104" s="384">
        <f t="shared" si="27"/>
        <v>0</v>
      </c>
      <c r="AD104" s="336"/>
      <c r="AE104" s="329"/>
      <c r="AF104" s="330"/>
      <c r="AG104" s="375">
        <f t="shared" si="23"/>
        <v>466700</v>
      </c>
      <c r="AH104" s="331"/>
      <c r="AI104" s="377">
        <f t="shared" si="28"/>
        <v>0</v>
      </c>
      <c r="AJ104" s="336"/>
      <c r="AK104" s="336"/>
      <c r="AL104" s="336"/>
      <c r="AM104" s="340"/>
      <c r="AN104" s="341"/>
      <c r="AO104" s="341"/>
      <c r="AP104" s="386">
        <f t="shared" si="25"/>
        <v>827481</v>
      </c>
      <c r="AQ104" s="342"/>
      <c r="AR104" s="389">
        <f t="shared" si="18"/>
        <v>0</v>
      </c>
      <c r="AT104" s="343"/>
      <c r="AU104" s="344"/>
      <c r="AV104" s="344"/>
      <c r="AW104" s="435">
        <f t="shared" si="19"/>
        <v>0</v>
      </c>
      <c r="AX104" s="438">
        <f t="shared" si="24"/>
        <v>0</v>
      </c>
    </row>
    <row r="105" spans="1:50">
      <c r="A105" s="264"/>
      <c r="B105" s="326"/>
      <c r="C105" s="327"/>
      <c r="D105" s="327"/>
      <c r="E105" s="371">
        <f t="shared" si="20"/>
        <v>140185</v>
      </c>
      <c r="F105" s="372">
        <f t="shared" si="21"/>
        <v>0</v>
      </c>
      <c r="G105" s="264"/>
      <c r="H105" s="414"/>
      <c r="I105" s="415"/>
      <c r="J105" s="428">
        <f t="shared" si="26"/>
        <v>1066262</v>
      </c>
      <c r="K105" s="416"/>
      <c r="L105" s="430">
        <f t="shared" si="16"/>
        <v>0</v>
      </c>
      <c r="M105" s="328"/>
      <c r="O105" s="417"/>
      <c r="P105" s="418"/>
      <c r="Q105" s="419"/>
      <c r="R105" s="419"/>
      <c r="S105" s="419"/>
      <c r="T105" s="419"/>
      <c r="U105" s="419"/>
      <c r="V105" s="432">
        <f t="shared" si="17"/>
        <v>5000000</v>
      </c>
      <c r="W105" s="420"/>
      <c r="X105" s="336"/>
      <c r="Y105" s="337"/>
      <c r="Z105" s="338"/>
      <c r="AA105" s="383">
        <f t="shared" si="22"/>
        <v>202452</v>
      </c>
      <c r="AB105" s="339"/>
      <c r="AC105" s="384">
        <f t="shared" si="27"/>
        <v>0</v>
      </c>
      <c r="AD105" s="336"/>
      <c r="AE105" s="329"/>
      <c r="AF105" s="330"/>
      <c r="AG105" s="375">
        <f t="shared" si="23"/>
        <v>466700</v>
      </c>
      <c r="AH105" s="331"/>
      <c r="AI105" s="377">
        <f t="shared" si="28"/>
        <v>0</v>
      </c>
      <c r="AJ105" s="336"/>
      <c r="AK105" s="336"/>
      <c r="AL105" s="336"/>
      <c r="AM105" s="340"/>
      <c r="AN105" s="341"/>
      <c r="AO105" s="341"/>
      <c r="AP105" s="386">
        <f t="shared" si="25"/>
        <v>827481</v>
      </c>
      <c r="AQ105" s="342"/>
      <c r="AR105" s="389">
        <f t="shared" si="18"/>
        <v>0</v>
      </c>
      <c r="AT105" s="343"/>
      <c r="AU105" s="344"/>
      <c r="AV105" s="344"/>
      <c r="AW105" s="435">
        <f t="shared" si="19"/>
        <v>0</v>
      </c>
      <c r="AX105" s="438">
        <f t="shared" si="24"/>
        <v>0</v>
      </c>
    </row>
    <row r="106" spans="1:50">
      <c r="A106" s="264"/>
      <c r="B106" s="326"/>
      <c r="C106" s="327"/>
      <c r="D106" s="327"/>
      <c r="E106" s="371">
        <f t="shared" si="20"/>
        <v>140185</v>
      </c>
      <c r="F106" s="372">
        <f t="shared" si="21"/>
        <v>0</v>
      </c>
      <c r="G106" s="264"/>
      <c r="H106" s="414"/>
      <c r="I106" s="415"/>
      <c r="J106" s="428">
        <f t="shared" si="26"/>
        <v>1066262</v>
      </c>
      <c r="K106" s="416"/>
      <c r="L106" s="430">
        <f t="shared" si="16"/>
        <v>0</v>
      </c>
      <c r="M106" s="328"/>
      <c r="O106" s="417"/>
      <c r="P106" s="418"/>
      <c r="Q106" s="419"/>
      <c r="R106" s="419"/>
      <c r="S106" s="419"/>
      <c r="T106" s="419"/>
      <c r="U106" s="419"/>
      <c r="V106" s="432">
        <f t="shared" si="17"/>
        <v>5000000</v>
      </c>
      <c r="W106" s="420"/>
      <c r="X106" s="336"/>
      <c r="Y106" s="337"/>
      <c r="Z106" s="338"/>
      <c r="AA106" s="383">
        <f t="shared" si="22"/>
        <v>202452</v>
      </c>
      <c r="AB106" s="339"/>
      <c r="AC106" s="384">
        <f t="shared" si="27"/>
        <v>0</v>
      </c>
      <c r="AD106" s="336"/>
      <c r="AE106" s="329"/>
      <c r="AF106" s="330"/>
      <c r="AG106" s="375">
        <f t="shared" si="23"/>
        <v>466700</v>
      </c>
      <c r="AH106" s="331"/>
      <c r="AI106" s="377">
        <f t="shared" si="28"/>
        <v>0</v>
      </c>
      <c r="AJ106" s="336"/>
      <c r="AK106" s="336"/>
      <c r="AL106" s="336"/>
      <c r="AM106" s="340"/>
      <c r="AN106" s="341"/>
      <c r="AO106" s="341"/>
      <c r="AP106" s="386">
        <f t="shared" si="25"/>
        <v>827481</v>
      </c>
      <c r="AQ106" s="342"/>
      <c r="AR106" s="389">
        <f t="shared" si="18"/>
        <v>0</v>
      </c>
      <c r="AT106" s="343"/>
      <c r="AU106" s="344"/>
      <c r="AV106" s="344"/>
      <c r="AW106" s="435">
        <f t="shared" si="19"/>
        <v>0</v>
      </c>
      <c r="AX106" s="438">
        <f t="shared" si="24"/>
        <v>0</v>
      </c>
    </row>
    <row r="107" spans="1:50">
      <c r="A107" s="264"/>
      <c r="B107" s="326"/>
      <c r="C107" s="327"/>
      <c r="D107" s="327"/>
      <c r="E107" s="371">
        <f t="shared" si="20"/>
        <v>140185</v>
      </c>
      <c r="F107" s="372">
        <f t="shared" si="21"/>
        <v>0</v>
      </c>
      <c r="G107" s="264"/>
      <c r="H107" s="414"/>
      <c r="I107" s="415"/>
      <c r="J107" s="428">
        <f t="shared" si="26"/>
        <v>1066262</v>
      </c>
      <c r="K107" s="416"/>
      <c r="L107" s="430">
        <f t="shared" si="16"/>
        <v>0</v>
      </c>
      <c r="M107" s="328"/>
      <c r="O107" s="417"/>
      <c r="P107" s="418"/>
      <c r="Q107" s="419"/>
      <c r="R107" s="419"/>
      <c r="S107" s="419"/>
      <c r="T107" s="419"/>
      <c r="U107" s="419"/>
      <c r="V107" s="432">
        <f t="shared" si="17"/>
        <v>5000000</v>
      </c>
      <c r="W107" s="420"/>
      <c r="X107" s="336"/>
      <c r="Y107" s="337"/>
      <c r="Z107" s="338"/>
      <c r="AA107" s="383">
        <f t="shared" si="22"/>
        <v>202452</v>
      </c>
      <c r="AB107" s="339"/>
      <c r="AC107" s="384">
        <f t="shared" si="27"/>
        <v>0</v>
      </c>
      <c r="AD107" s="336"/>
      <c r="AE107" s="329"/>
      <c r="AF107" s="330"/>
      <c r="AG107" s="375">
        <f t="shared" si="23"/>
        <v>466700</v>
      </c>
      <c r="AH107" s="331"/>
      <c r="AI107" s="377">
        <f t="shared" si="28"/>
        <v>0</v>
      </c>
      <c r="AJ107" s="336"/>
      <c r="AK107" s="336"/>
      <c r="AL107" s="336"/>
      <c r="AM107" s="340"/>
      <c r="AN107" s="341"/>
      <c r="AO107" s="341"/>
      <c r="AP107" s="386">
        <f t="shared" si="25"/>
        <v>827481</v>
      </c>
      <c r="AQ107" s="342"/>
      <c r="AR107" s="389">
        <f t="shared" si="18"/>
        <v>0</v>
      </c>
      <c r="AT107" s="343"/>
      <c r="AU107" s="344"/>
      <c r="AV107" s="344"/>
      <c r="AW107" s="435">
        <f t="shared" si="19"/>
        <v>0</v>
      </c>
      <c r="AX107" s="438">
        <f t="shared" si="24"/>
        <v>0</v>
      </c>
    </row>
    <row r="108" spans="1:50">
      <c r="A108" s="264"/>
      <c r="B108" s="326"/>
      <c r="C108" s="327"/>
      <c r="D108" s="327"/>
      <c r="E108" s="371">
        <f t="shared" si="20"/>
        <v>140185</v>
      </c>
      <c r="F108" s="372">
        <f t="shared" si="21"/>
        <v>0</v>
      </c>
      <c r="G108" s="264"/>
      <c r="H108" s="414"/>
      <c r="I108" s="415"/>
      <c r="J108" s="428">
        <f t="shared" si="26"/>
        <v>1066262</v>
      </c>
      <c r="K108" s="416"/>
      <c r="L108" s="430">
        <f t="shared" si="16"/>
        <v>0</v>
      </c>
      <c r="M108" s="328"/>
      <c r="O108" s="417"/>
      <c r="P108" s="418"/>
      <c r="Q108" s="419"/>
      <c r="R108" s="419"/>
      <c r="S108" s="419"/>
      <c r="T108" s="419"/>
      <c r="U108" s="419"/>
      <c r="V108" s="432">
        <f t="shared" si="17"/>
        <v>5000000</v>
      </c>
      <c r="W108" s="420"/>
      <c r="X108" s="336"/>
      <c r="Y108" s="337"/>
      <c r="Z108" s="338"/>
      <c r="AA108" s="383">
        <f t="shared" si="22"/>
        <v>202452</v>
      </c>
      <c r="AB108" s="339"/>
      <c r="AC108" s="384">
        <f t="shared" si="27"/>
        <v>0</v>
      </c>
      <c r="AD108" s="336"/>
      <c r="AE108" s="329"/>
      <c r="AF108" s="330"/>
      <c r="AG108" s="375">
        <f t="shared" si="23"/>
        <v>466700</v>
      </c>
      <c r="AH108" s="331"/>
      <c r="AI108" s="377">
        <f t="shared" si="28"/>
        <v>0</v>
      </c>
      <c r="AJ108" s="336"/>
      <c r="AK108" s="336"/>
      <c r="AL108" s="336"/>
      <c r="AM108" s="340"/>
      <c r="AN108" s="341"/>
      <c r="AO108" s="341"/>
      <c r="AP108" s="386">
        <f t="shared" si="25"/>
        <v>827481</v>
      </c>
      <c r="AQ108" s="342"/>
      <c r="AR108" s="389">
        <f t="shared" si="18"/>
        <v>0</v>
      </c>
      <c r="AT108" s="343"/>
      <c r="AU108" s="344"/>
      <c r="AV108" s="344"/>
      <c r="AW108" s="435">
        <f t="shared" si="19"/>
        <v>0</v>
      </c>
      <c r="AX108" s="438">
        <f t="shared" si="24"/>
        <v>0</v>
      </c>
    </row>
    <row r="109" spans="1:50">
      <c r="A109" s="264"/>
      <c r="B109" s="326"/>
      <c r="C109" s="327"/>
      <c r="D109" s="327"/>
      <c r="E109" s="371">
        <f t="shared" si="20"/>
        <v>140185</v>
      </c>
      <c r="F109" s="372">
        <f t="shared" si="21"/>
        <v>0</v>
      </c>
      <c r="G109" s="264"/>
      <c r="H109" s="414"/>
      <c r="I109" s="415"/>
      <c r="J109" s="428">
        <f t="shared" si="26"/>
        <v>1066262</v>
      </c>
      <c r="K109" s="416"/>
      <c r="L109" s="430">
        <f t="shared" si="16"/>
        <v>0</v>
      </c>
      <c r="M109" s="328"/>
      <c r="O109" s="417"/>
      <c r="P109" s="418"/>
      <c r="Q109" s="419"/>
      <c r="R109" s="419"/>
      <c r="S109" s="419"/>
      <c r="T109" s="419"/>
      <c r="U109" s="419"/>
      <c r="V109" s="432">
        <f t="shared" si="17"/>
        <v>5000000</v>
      </c>
      <c r="W109" s="420"/>
      <c r="X109" s="336"/>
      <c r="Y109" s="337"/>
      <c r="Z109" s="338"/>
      <c r="AA109" s="383">
        <f t="shared" si="22"/>
        <v>202452</v>
      </c>
      <c r="AB109" s="339"/>
      <c r="AC109" s="384">
        <f t="shared" si="27"/>
        <v>0</v>
      </c>
      <c r="AD109" s="336"/>
      <c r="AE109" s="329"/>
      <c r="AF109" s="330"/>
      <c r="AG109" s="375">
        <f t="shared" si="23"/>
        <v>466700</v>
      </c>
      <c r="AH109" s="331"/>
      <c r="AI109" s="377">
        <f t="shared" si="28"/>
        <v>0</v>
      </c>
      <c r="AJ109" s="336"/>
      <c r="AK109" s="336"/>
      <c r="AL109" s="336"/>
      <c r="AM109" s="340"/>
      <c r="AN109" s="341"/>
      <c r="AO109" s="341"/>
      <c r="AP109" s="386">
        <f t="shared" si="25"/>
        <v>827481</v>
      </c>
      <c r="AQ109" s="342"/>
      <c r="AR109" s="389">
        <f t="shared" si="18"/>
        <v>0</v>
      </c>
      <c r="AT109" s="343"/>
      <c r="AU109" s="344"/>
      <c r="AV109" s="344"/>
      <c r="AW109" s="435">
        <f t="shared" si="19"/>
        <v>0</v>
      </c>
      <c r="AX109" s="438">
        <f t="shared" si="24"/>
        <v>0</v>
      </c>
    </row>
    <row r="110" spans="1:50">
      <c r="A110" s="264"/>
      <c r="B110" s="326"/>
      <c r="C110" s="327"/>
      <c r="D110" s="327"/>
      <c r="E110" s="371">
        <f t="shared" si="20"/>
        <v>140185</v>
      </c>
      <c r="F110" s="372">
        <f t="shared" si="21"/>
        <v>0</v>
      </c>
      <c r="G110" s="264"/>
      <c r="H110" s="414"/>
      <c r="I110" s="415"/>
      <c r="J110" s="428">
        <f t="shared" si="26"/>
        <v>1066262</v>
      </c>
      <c r="K110" s="416"/>
      <c r="L110" s="430">
        <f t="shared" si="16"/>
        <v>0</v>
      </c>
      <c r="M110" s="328"/>
      <c r="O110" s="417"/>
      <c r="P110" s="418"/>
      <c r="Q110" s="419"/>
      <c r="R110" s="419"/>
      <c r="S110" s="419"/>
      <c r="T110" s="419"/>
      <c r="U110" s="419"/>
      <c r="V110" s="432">
        <f t="shared" si="17"/>
        <v>5000000</v>
      </c>
      <c r="W110" s="420"/>
      <c r="X110" s="336"/>
      <c r="Y110" s="337"/>
      <c r="Z110" s="338"/>
      <c r="AA110" s="383">
        <f t="shared" si="22"/>
        <v>202452</v>
      </c>
      <c r="AB110" s="339"/>
      <c r="AC110" s="384">
        <f t="shared" si="27"/>
        <v>0</v>
      </c>
      <c r="AD110" s="336"/>
      <c r="AE110" s="329"/>
      <c r="AF110" s="330"/>
      <c r="AG110" s="375">
        <f t="shared" si="23"/>
        <v>466700</v>
      </c>
      <c r="AH110" s="331"/>
      <c r="AI110" s="377">
        <f t="shared" si="28"/>
        <v>0</v>
      </c>
      <c r="AJ110" s="336"/>
      <c r="AK110" s="336"/>
      <c r="AL110" s="336"/>
      <c r="AM110" s="340"/>
      <c r="AN110" s="341"/>
      <c r="AO110" s="341"/>
      <c r="AP110" s="386">
        <f t="shared" si="25"/>
        <v>827481</v>
      </c>
      <c r="AQ110" s="342"/>
      <c r="AR110" s="389">
        <f t="shared" si="18"/>
        <v>0</v>
      </c>
      <c r="AT110" s="343"/>
      <c r="AU110" s="344"/>
      <c r="AV110" s="344"/>
      <c r="AW110" s="435">
        <f t="shared" si="19"/>
        <v>0</v>
      </c>
      <c r="AX110" s="438">
        <f t="shared" si="24"/>
        <v>0</v>
      </c>
    </row>
    <row r="111" spans="1:50">
      <c r="A111" s="264"/>
      <c r="B111" s="326"/>
      <c r="C111" s="327"/>
      <c r="D111" s="327"/>
      <c r="E111" s="371">
        <f t="shared" si="20"/>
        <v>140185</v>
      </c>
      <c r="F111" s="372">
        <f t="shared" si="21"/>
        <v>0</v>
      </c>
      <c r="G111" s="264"/>
      <c r="H111" s="414"/>
      <c r="I111" s="415"/>
      <c r="J111" s="428">
        <f t="shared" si="26"/>
        <v>1066262</v>
      </c>
      <c r="K111" s="416"/>
      <c r="L111" s="430">
        <f t="shared" si="16"/>
        <v>0</v>
      </c>
      <c r="M111" s="328"/>
      <c r="O111" s="417"/>
      <c r="P111" s="418"/>
      <c r="Q111" s="419"/>
      <c r="R111" s="419"/>
      <c r="S111" s="419"/>
      <c r="T111" s="419"/>
      <c r="U111" s="419"/>
      <c r="V111" s="432">
        <f t="shared" si="17"/>
        <v>5000000</v>
      </c>
      <c r="W111" s="420"/>
      <c r="X111" s="336"/>
      <c r="Y111" s="337"/>
      <c r="Z111" s="338"/>
      <c r="AA111" s="383">
        <f t="shared" si="22"/>
        <v>202452</v>
      </c>
      <c r="AB111" s="339"/>
      <c r="AC111" s="384">
        <f t="shared" si="27"/>
        <v>0</v>
      </c>
      <c r="AD111" s="336"/>
      <c r="AE111" s="329"/>
      <c r="AF111" s="330"/>
      <c r="AG111" s="375">
        <f t="shared" si="23"/>
        <v>466700</v>
      </c>
      <c r="AH111" s="331"/>
      <c r="AI111" s="377">
        <f t="shared" si="28"/>
        <v>0</v>
      </c>
      <c r="AJ111" s="336"/>
      <c r="AK111" s="336"/>
      <c r="AL111" s="336"/>
      <c r="AM111" s="340"/>
      <c r="AN111" s="341"/>
      <c r="AO111" s="341"/>
      <c r="AP111" s="386">
        <f t="shared" si="25"/>
        <v>827481</v>
      </c>
      <c r="AQ111" s="342"/>
      <c r="AR111" s="389">
        <f t="shared" si="18"/>
        <v>0</v>
      </c>
      <c r="AT111" s="343"/>
      <c r="AU111" s="344"/>
      <c r="AV111" s="344"/>
      <c r="AW111" s="435">
        <f t="shared" si="19"/>
        <v>0</v>
      </c>
      <c r="AX111" s="438">
        <f t="shared" si="24"/>
        <v>0</v>
      </c>
    </row>
    <row r="112" spans="1:50">
      <c r="A112" s="264"/>
      <c r="B112" s="326"/>
      <c r="C112" s="327"/>
      <c r="D112" s="327"/>
      <c r="E112" s="371">
        <f t="shared" si="20"/>
        <v>140185</v>
      </c>
      <c r="F112" s="372">
        <f t="shared" si="21"/>
        <v>0</v>
      </c>
      <c r="G112" s="264"/>
      <c r="H112" s="414"/>
      <c r="I112" s="415"/>
      <c r="J112" s="428">
        <f t="shared" si="26"/>
        <v>1066262</v>
      </c>
      <c r="K112" s="416"/>
      <c r="L112" s="430">
        <f t="shared" si="16"/>
        <v>0</v>
      </c>
      <c r="M112" s="328"/>
      <c r="O112" s="417"/>
      <c r="P112" s="418"/>
      <c r="Q112" s="419"/>
      <c r="R112" s="419"/>
      <c r="S112" s="419"/>
      <c r="T112" s="419"/>
      <c r="U112" s="419"/>
      <c r="V112" s="432">
        <f t="shared" si="17"/>
        <v>5000000</v>
      </c>
      <c r="W112" s="420"/>
      <c r="X112" s="336"/>
      <c r="Y112" s="337"/>
      <c r="Z112" s="338"/>
      <c r="AA112" s="383">
        <f t="shared" si="22"/>
        <v>202452</v>
      </c>
      <c r="AB112" s="339"/>
      <c r="AC112" s="384">
        <f t="shared" si="27"/>
        <v>0</v>
      </c>
      <c r="AD112" s="336"/>
      <c r="AE112" s="329"/>
      <c r="AF112" s="330"/>
      <c r="AG112" s="375">
        <f t="shared" si="23"/>
        <v>466700</v>
      </c>
      <c r="AH112" s="331"/>
      <c r="AI112" s="377">
        <f t="shared" si="28"/>
        <v>0</v>
      </c>
      <c r="AJ112" s="336"/>
      <c r="AK112" s="336"/>
      <c r="AL112" s="336"/>
      <c r="AM112" s="340"/>
      <c r="AN112" s="341"/>
      <c r="AO112" s="341"/>
      <c r="AP112" s="386">
        <f t="shared" si="25"/>
        <v>827481</v>
      </c>
      <c r="AQ112" s="342"/>
      <c r="AR112" s="389">
        <f t="shared" si="18"/>
        <v>0</v>
      </c>
      <c r="AT112" s="343"/>
      <c r="AU112" s="344"/>
      <c r="AV112" s="344"/>
      <c r="AW112" s="435">
        <f t="shared" si="19"/>
        <v>0</v>
      </c>
      <c r="AX112" s="438">
        <f t="shared" si="24"/>
        <v>0</v>
      </c>
    </row>
    <row r="113" spans="1:50">
      <c r="A113" s="264"/>
      <c r="B113" s="326"/>
      <c r="C113" s="327"/>
      <c r="D113" s="327"/>
      <c r="E113" s="371">
        <f t="shared" si="20"/>
        <v>140185</v>
      </c>
      <c r="F113" s="372">
        <f t="shared" si="21"/>
        <v>0</v>
      </c>
      <c r="G113" s="264"/>
      <c r="H113" s="414"/>
      <c r="I113" s="415"/>
      <c r="J113" s="428">
        <f t="shared" si="26"/>
        <v>1066262</v>
      </c>
      <c r="K113" s="416"/>
      <c r="L113" s="430">
        <f t="shared" si="16"/>
        <v>0</v>
      </c>
      <c r="M113" s="328"/>
      <c r="O113" s="417"/>
      <c r="P113" s="418"/>
      <c r="Q113" s="419"/>
      <c r="R113" s="419"/>
      <c r="S113" s="419"/>
      <c r="T113" s="419"/>
      <c r="U113" s="419"/>
      <c r="V113" s="432">
        <f t="shared" si="17"/>
        <v>5000000</v>
      </c>
      <c r="W113" s="420"/>
      <c r="X113" s="336"/>
      <c r="Y113" s="337"/>
      <c r="Z113" s="338"/>
      <c r="AA113" s="383">
        <f t="shared" si="22"/>
        <v>202452</v>
      </c>
      <c r="AB113" s="339"/>
      <c r="AC113" s="384">
        <f t="shared" si="27"/>
        <v>0</v>
      </c>
      <c r="AD113" s="336"/>
      <c r="AE113" s="329"/>
      <c r="AF113" s="330"/>
      <c r="AG113" s="375">
        <f t="shared" si="23"/>
        <v>466700</v>
      </c>
      <c r="AH113" s="331"/>
      <c r="AI113" s="377">
        <f t="shared" si="28"/>
        <v>0</v>
      </c>
      <c r="AJ113" s="336"/>
      <c r="AK113" s="336"/>
      <c r="AL113" s="336"/>
      <c r="AM113" s="340"/>
      <c r="AN113" s="341"/>
      <c r="AO113" s="341"/>
      <c r="AP113" s="386">
        <f t="shared" si="25"/>
        <v>827481</v>
      </c>
      <c r="AQ113" s="342"/>
      <c r="AR113" s="389">
        <f t="shared" si="18"/>
        <v>0</v>
      </c>
      <c r="AT113" s="343"/>
      <c r="AU113" s="344"/>
      <c r="AV113" s="344"/>
      <c r="AW113" s="435">
        <f t="shared" si="19"/>
        <v>0</v>
      </c>
      <c r="AX113" s="438">
        <f t="shared" si="24"/>
        <v>0</v>
      </c>
    </row>
    <row r="114" spans="1:50">
      <c r="A114" s="264"/>
      <c r="B114" s="326"/>
      <c r="C114" s="327"/>
      <c r="D114" s="327"/>
      <c r="E114" s="371">
        <f t="shared" si="20"/>
        <v>140185</v>
      </c>
      <c r="F114" s="372">
        <f t="shared" si="21"/>
        <v>0</v>
      </c>
      <c r="G114" s="264"/>
      <c r="H114" s="414"/>
      <c r="I114" s="415"/>
      <c r="J114" s="428">
        <f t="shared" si="26"/>
        <v>1066262</v>
      </c>
      <c r="K114" s="416"/>
      <c r="L114" s="430">
        <f t="shared" si="16"/>
        <v>0</v>
      </c>
      <c r="M114" s="328"/>
      <c r="O114" s="417"/>
      <c r="P114" s="418"/>
      <c r="Q114" s="419"/>
      <c r="R114" s="419"/>
      <c r="S114" s="419"/>
      <c r="T114" s="419"/>
      <c r="U114" s="419"/>
      <c r="V114" s="432">
        <f t="shared" si="17"/>
        <v>5000000</v>
      </c>
      <c r="W114" s="420"/>
      <c r="X114" s="336"/>
      <c r="Y114" s="337"/>
      <c r="Z114" s="338"/>
      <c r="AA114" s="383">
        <f t="shared" si="22"/>
        <v>202452</v>
      </c>
      <c r="AB114" s="339"/>
      <c r="AC114" s="384">
        <f t="shared" si="27"/>
        <v>0</v>
      </c>
      <c r="AD114" s="336"/>
      <c r="AE114" s="329"/>
      <c r="AF114" s="330"/>
      <c r="AG114" s="375">
        <f t="shared" si="23"/>
        <v>466700</v>
      </c>
      <c r="AH114" s="331"/>
      <c r="AI114" s="377">
        <f t="shared" si="28"/>
        <v>0</v>
      </c>
      <c r="AJ114" s="336"/>
      <c r="AK114" s="336"/>
      <c r="AL114" s="336"/>
      <c r="AM114" s="340"/>
      <c r="AN114" s="341"/>
      <c r="AO114" s="341"/>
      <c r="AP114" s="386">
        <f t="shared" si="25"/>
        <v>827481</v>
      </c>
      <c r="AQ114" s="342"/>
      <c r="AR114" s="389">
        <f t="shared" si="18"/>
        <v>0</v>
      </c>
      <c r="AT114" s="343"/>
      <c r="AU114" s="344"/>
      <c r="AV114" s="344"/>
      <c r="AW114" s="435">
        <f t="shared" si="19"/>
        <v>0</v>
      </c>
      <c r="AX114" s="438">
        <f t="shared" si="24"/>
        <v>0</v>
      </c>
    </row>
    <row r="115" spans="1:50">
      <c r="A115" s="264"/>
      <c r="B115" s="326"/>
      <c r="C115" s="327"/>
      <c r="D115" s="327"/>
      <c r="E115" s="371">
        <f t="shared" si="20"/>
        <v>140185</v>
      </c>
      <c r="F115" s="372">
        <f t="shared" si="21"/>
        <v>0</v>
      </c>
      <c r="G115" s="264"/>
      <c r="H115" s="414"/>
      <c r="I115" s="415"/>
      <c r="J115" s="428">
        <f t="shared" si="26"/>
        <v>1066262</v>
      </c>
      <c r="K115" s="416"/>
      <c r="L115" s="430">
        <f t="shared" si="16"/>
        <v>0</v>
      </c>
      <c r="M115" s="328"/>
      <c r="O115" s="417"/>
      <c r="P115" s="418"/>
      <c r="Q115" s="419"/>
      <c r="R115" s="419"/>
      <c r="S115" s="419"/>
      <c r="T115" s="419"/>
      <c r="U115" s="419"/>
      <c r="V115" s="432">
        <f t="shared" si="17"/>
        <v>5000000</v>
      </c>
      <c r="W115" s="420"/>
      <c r="X115" s="336"/>
      <c r="Y115" s="337"/>
      <c r="Z115" s="338"/>
      <c r="AA115" s="383">
        <f t="shared" si="22"/>
        <v>202452</v>
      </c>
      <c r="AB115" s="339"/>
      <c r="AC115" s="384">
        <f t="shared" si="27"/>
        <v>0</v>
      </c>
      <c r="AD115" s="336"/>
      <c r="AE115" s="329"/>
      <c r="AF115" s="330"/>
      <c r="AG115" s="375">
        <f t="shared" si="23"/>
        <v>466700</v>
      </c>
      <c r="AH115" s="331"/>
      <c r="AI115" s="377">
        <f t="shared" si="28"/>
        <v>0</v>
      </c>
      <c r="AJ115" s="336"/>
      <c r="AK115" s="336"/>
      <c r="AL115" s="336"/>
      <c r="AM115" s="340"/>
      <c r="AN115" s="341"/>
      <c r="AO115" s="341"/>
      <c r="AP115" s="386">
        <f t="shared" si="25"/>
        <v>827481</v>
      </c>
      <c r="AQ115" s="342"/>
      <c r="AR115" s="389">
        <f t="shared" si="18"/>
        <v>0</v>
      </c>
      <c r="AT115" s="343"/>
      <c r="AU115" s="344"/>
      <c r="AV115" s="344"/>
      <c r="AW115" s="435">
        <f t="shared" si="19"/>
        <v>0</v>
      </c>
      <c r="AX115" s="438">
        <f t="shared" si="24"/>
        <v>0</v>
      </c>
    </row>
    <row r="116" spans="1:50">
      <c r="A116" s="264"/>
      <c r="B116" s="326"/>
      <c r="C116" s="327"/>
      <c r="D116" s="327"/>
      <c r="E116" s="371">
        <f t="shared" si="20"/>
        <v>140185</v>
      </c>
      <c r="F116" s="372">
        <f t="shared" si="21"/>
        <v>0</v>
      </c>
      <c r="G116" s="264"/>
      <c r="H116" s="414"/>
      <c r="I116" s="415"/>
      <c r="J116" s="428">
        <f t="shared" si="26"/>
        <v>1066262</v>
      </c>
      <c r="K116" s="416"/>
      <c r="L116" s="430">
        <f t="shared" si="16"/>
        <v>0</v>
      </c>
      <c r="M116" s="328"/>
      <c r="O116" s="417"/>
      <c r="P116" s="418"/>
      <c r="Q116" s="419"/>
      <c r="R116" s="419"/>
      <c r="S116" s="419"/>
      <c r="T116" s="419"/>
      <c r="U116" s="419"/>
      <c r="V116" s="432">
        <f t="shared" si="17"/>
        <v>5000000</v>
      </c>
      <c r="W116" s="420"/>
      <c r="X116" s="336"/>
      <c r="Y116" s="337"/>
      <c r="Z116" s="338"/>
      <c r="AA116" s="383">
        <f t="shared" si="22"/>
        <v>202452</v>
      </c>
      <c r="AB116" s="339"/>
      <c r="AC116" s="384">
        <f t="shared" si="27"/>
        <v>0</v>
      </c>
      <c r="AD116" s="336"/>
      <c r="AE116" s="329"/>
      <c r="AF116" s="330"/>
      <c r="AG116" s="375">
        <f t="shared" si="23"/>
        <v>466700</v>
      </c>
      <c r="AH116" s="331"/>
      <c r="AI116" s="377">
        <f t="shared" si="28"/>
        <v>0</v>
      </c>
      <c r="AJ116" s="336"/>
      <c r="AK116" s="336"/>
      <c r="AL116" s="336"/>
      <c r="AM116" s="340"/>
      <c r="AN116" s="341"/>
      <c r="AO116" s="341"/>
      <c r="AP116" s="386">
        <f t="shared" si="25"/>
        <v>827481</v>
      </c>
      <c r="AQ116" s="342"/>
      <c r="AR116" s="389">
        <f t="shared" si="18"/>
        <v>0</v>
      </c>
      <c r="AT116" s="343"/>
      <c r="AU116" s="344"/>
      <c r="AV116" s="344"/>
      <c r="AW116" s="435">
        <f t="shared" si="19"/>
        <v>0</v>
      </c>
      <c r="AX116" s="438">
        <f t="shared" si="24"/>
        <v>0</v>
      </c>
    </row>
    <row r="117" spans="1:50">
      <c r="A117" s="264"/>
      <c r="B117" s="326"/>
      <c r="C117" s="327"/>
      <c r="D117" s="327"/>
      <c r="E117" s="371">
        <f t="shared" si="20"/>
        <v>140185</v>
      </c>
      <c r="F117" s="372">
        <f t="shared" si="21"/>
        <v>0</v>
      </c>
      <c r="G117" s="264"/>
      <c r="H117" s="414"/>
      <c r="I117" s="415"/>
      <c r="J117" s="428">
        <f t="shared" si="26"/>
        <v>1066262</v>
      </c>
      <c r="K117" s="416"/>
      <c r="L117" s="430">
        <f t="shared" si="16"/>
        <v>0</v>
      </c>
      <c r="M117" s="328"/>
      <c r="O117" s="417"/>
      <c r="P117" s="418"/>
      <c r="Q117" s="419"/>
      <c r="R117" s="419"/>
      <c r="S117" s="419"/>
      <c r="T117" s="419"/>
      <c r="U117" s="419"/>
      <c r="V117" s="432">
        <f t="shared" si="17"/>
        <v>5000000</v>
      </c>
      <c r="W117" s="420"/>
      <c r="X117" s="336"/>
      <c r="Y117" s="337"/>
      <c r="Z117" s="338"/>
      <c r="AA117" s="383">
        <f t="shared" si="22"/>
        <v>202452</v>
      </c>
      <c r="AB117" s="339"/>
      <c r="AC117" s="384">
        <f t="shared" si="27"/>
        <v>0</v>
      </c>
      <c r="AD117" s="336"/>
      <c r="AE117" s="329"/>
      <c r="AF117" s="330"/>
      <c r="AG117" s="375">
        <f t="shared" si="23"/>
        <v>466700</v>
      </c>
      <c r="AH117" s="331"/>
      <c r="AI117" s="377">
        <f t="shared" si="28"/>
        <v>0</v>
      </c>
      <c r="AJ117" s="336"/>
      <c r="AK117" s="336"/>
      <c r="AL117" s="336"/>
      <c r="AM117" s="340"/>
      <c r="AN117" s="341"/>
      <c r="AO117" s="341"/>
      <c r="AP117" s="386">
        <f t="shared" si="25"/>
        <v>827481</v>
      </c>
      <c r="AQ117" s="342"/>
      <c r="AR117" s="389">
        <f t="shared" si="18"/>
        <v>0</v>
      </c>
      <c r="AT117" s="343"/>
      <c r="AU117" s="344"/>
      <c r="AV117" s="344"/>
      <c r="AW117" s="435">
        <f t="shared" si="19"/>
        <v>0</v>
      </c>
      <c r="AX117" s="438">
        <f t="shared" si="24"/>
        <v>0</v>
      </c>
    </row>
    <row r="118" spans="1:50">
      <c r="A118" s="264"/>
      <c r="B118" s="326"/>
      <c r="C118" s="327"/>
      <c r="D118" s="327"/>
      <c r="E118" s="371">
        <f t="shared" si="20"/>
        <v>140185</v>
      </c>
      <c r="F118" s="372">
        <f t="shared" si="21"/>
        <v>0</v>
      </c>
      <c r="G118" s="264"/>
      <c r="H118" s="414"/>
      <c r="I118" s="415"/>
      <c r="J118" s="428">
        <f t="shared" si="26"/>
        <v>1066262</v>
      </c>
      <c r="K118" s="416"/>
      <c r="L118" s="430">
        <f t="shared" si="16"/>
        <v>0</v>
      </c>
      <c r="M118" s="328"/>
      <c r="O118" s="417"/>
      <c r="P118" s="418"/>
      <c r="Q118" s="419"/>
      <c r="R118" s="419"/>
      <c r="S118" s="419"/>
      <c r="T118" s="419"/>
      <c r="U118" s="419"/>
      <c r="V118" s="432">
        <f t="shared" si="17"/>
        <v>5000000</v>
      </c>
      <c r="W118" s="420"/>
      <c r="X118" s="336"/>
      <c r="Y118" s="337"/>
      <c r="Z118" s="338"/>
      <c r="AA118" s="383">
        <f t="shared" si="22"/>
        <v>202452</v>
      </c>
      <c r="AB118" s="339"/>
      <c r="AC118" s="384">
        <f t="shared" si="27"/>
        <v>0</v>
      </c>
      <c r="AD118" s="336"/>
      <c r="AE118" s="329"/>
      <c r="AF118" s="330"/>
      <c r="AG118" s="375">
        <f t="shared" si="23"/>
        <v>466700</v>
      </c>
      <c r="AH118" s="331"/>
      <c r="AI118" s="377">
        <f t="shared" si="28"/>
        <v>0</v>
      </c>
      <c r="AJ118" s="336"/>
      <c r="AK118" s="336"/>
      <c r="AL118" s="336"/>
      <c r="AM118" s="340"/>
      <c r="AN118" s="341"/>
      <c r="AO118" s="341"/>
      <c r="AP118" s="386">
        <f t="shared" si="25"/>
        <v>827481</v>
      </c>
      <c r="AQ118" s="342"/>
      <c r="AR118" s="389">
        <f t="shared" si="18"/>
        <v>0</v>
      </c>
      <c r="AT118" s="343"/>
      <c r="AU118" s="344"/>
      <c r="AV118" s="344"/>
      <c r="AW118" s="435">
        <f t="shared" si="19"/>
        <v>0</v>
      </c>
      <c r="AX118" s="438">
        <f t="shared" si="24"/>
        <v>0</v>
      </c>
    </row>
    <row r="119" spans="1:50">
      <c r="A119" s="264"/>
      <c r="B119" s="326"/>
      <c r="C119" s="327"/>
      <c r="D119" s="327"/>
      <c r="E119" s="371">
        <f t="shared" si="20"/>
        <v>140185</v>
      </c>
      <c r="F119" s="372">
        <f t="shared" si="21"/>
        <v>0</v>
      </c>
      <c r="G119" s="264"/>
      <c r="H119" s="414"/>
      <c r="I119" s="415"/>
      <c r="J119" s="428">
        <f t="shared" si="26"/>
        <v>1066262</v>
      </c>
      <c r="K119" s="416"/>
      <c r="L119" s="430">
        <f t="shared" si="16"/>
        <v>0</v>
      </c>
      <c r="M119" s="328"/>
      <c r="O119" s="417"/>
      <c r="P119" s="418"/>
      <c r="Q119" s="419"/>
      <c r="R119" s="419"/>
      <c r="S119" s="419"/>
      <c r="T119" s="419"/>
      <c r="U119" s="419"/>
      <c r="V119" s="432">
        <f t="shared" si="17"/>
        <v>5000000</v>
      </c>
      <c r="W119" s="420"/>
      <c r="X119" s="336"/>
      <c r="Y119" s="337"/>
      <c r="Z119" s="338"/>
      <c r="AA119" s="383">
        <f t="shared" si="22"/>
        <v>202452</v>
      </c>
      <c r="AB119" s="339"/>
      <c r="AC119" s="384">
        <f t="shared" si="27"/>
        <v>0</v>
      </c>
      <c r="AD119" s="336"/>
      <c r="AE119" s="329"/>
      <c r="AF119" s="330"/>
      <c r="AG119" s="375">
        <f t="shared" si="23"/>
        <v>466700</v>
      </c>
      <c r="AH119" s="331"/>
      <c r="AI119" s="377">
        <f t="shared" si="28"/>
        <v>0</v>
      </c>
      <c r="AJ119" s="336"/>
      <c r="AK119" s="336"/>
      <c r="AL119" s="336"/>
      <c r="AM119" s="340"/>
      <c r="AN119" s="341"/>
      <c r="AO119" s="341"/>
      <c r="AP119" s="386">
        <f t="shared" si="25"/>
        <v>827481</v>
      </c>
      <c r="AQ119" s="342"/>
      <c r="AR119" s="389">
        <f t="shared" si="18"/>
        <v>0</v>
      </c>
      <c r="AT119" s="343"/>
      <c r="AU119" s="344"/>
      <c r="AV119" s="344"/>
      <c r="AW119" s="435">
        <f t="shared" si="19"/>
        <v>0</v>
      </c>
      <c r="AX119" s="438">
        <f t="shared" si="24"/>
        <v>0</v>
      </c>
    </row>
    <row r="120" spans="1:50">
      <c r="A120" s="264"/>
      <c r="B120" s="326"/>
      <c r="C120" s="327"/>
      <c r="D120" s="327"/>
      <c r="E120" s="371">
        <f t="shared" si="20"/>
        <v>140185</v>
      </c>
      <c r="F120" s="372">
        <f t="shared" si="21"/>
        <v>0</v>
      </c>
      <c r="G120" s="264"/>
      <c r="H120" s="414"/>
      <c r="I120" s="415"/>
      <c r="J120" s="428">
        <f t="shared" si="26"/>
        <v>1066262</v>
      </c>
      <c r="K120" s="416"/>
      <c r="L120" s="430">
        <f t="shared" si="16"/>
        <v>0</v>
      </c>
      <c r="M120" s="328"/>
      <c r="O120" s="417"/>
      <c r="P120" s="418"/>
      <c r="Q120" s="419"/>
      <c r="R120" s="419"/>
      <c r="S120" s="419"/>
      <c r="T120" s="419"/>
      <c r="U120" s="419"/>
      <c r="V120" s="432">
        <f t="shared" si="17"/>
        <v>5000000</v>
      </c>
      <c r="W120" s="420"/>
      <c r="X120" s="336"/>
      <c r="Y120" s="337"/>
      <c r="Z120" s="338"/>
      <c r="AA120" s="383">
        <f t="shared" si="22"/>
        <v>202452</v>
      </c>
      <c r="AB120" s="339"/>
      <c r="AC120" s="384">
        <f t="shared" si="27"/>
        <v>0</v>
      </c>
      <c r="AD120" s="336"/>
      <c r="AE120" s="329"/>
      <c r="AF120" s="330"/>
      <c r="AG120" s="375">
        <f t="shared" si="23"/>
        <v>466700</v>
      </c>
      <c r="AH120" s="331"/>
      <c r="AI120" s="377">
        <f t="shared" si="28"/>
        <v>0</v>
      </c>
      <c r="AJ120" s="336"/>
      <c r="AK120" s="336"/>
      <c r="AL120" s="336"/>
      <c r="AM120" s="340"/>
      <c r="AN120" s="341"/>
      <c r="AO120" s="341"/>
      <c r="AP120" s="386">
        <f t="shared" si="25"/>
        <v>827481</v>
      </c>
      <c r="AQ120" s="342"/>
      <c r="AR120" s="389">
        <f t="shared" si="18"/>
        <v>0</v>
      </c>
      <c r="AT120" s="343"/>
      <c r="AU120" s="344"/>
      <c r="AV120" s="344"/>
      <c r="AW120" s="435">
        <f t="shared" si="19"/>
        <v>0</v>
      </c>
      <c r="AX120" s="438">
        <f t="shared" si="24"/>
        <v>0</v>
      </c>
    </row>
    <row r="121" spans="1:50">
      <c r="A121" s="264"/>
      <c r="B121" s="326"/>
      <c r="C121" s="327"/>
      <c r="D121" s="327"/>
      <c r="E121" s="371">
        <f t="shared" si="20"/>
        <v>140185</v>
      </c>
      <c r="F121" s="372">
        <f t="shared" si="21"/>
        <v>0</v>
      </c>
      <c r="G121" s="264"/>
      <c r="H121" s="414"/>
      <c r="I121" s="415"/>
      <c r="J121" s="428">
        <f t="shared" si="26"/>
        <v>1066262</v>
      </c>
      <c r="K121" s="416"/>
      <c r="L121" s="430">
        <f t="shared" si="16"/>
        <v>0</v>
      </c>
      <c r="M121" s="328"/>
      <c r="O121" s="417"/>
      <c r="P121" s="418"/>
      <c r="Q121" s="419"/>
      <c r="R121" s="419"/>
      <c r="S121" s="419"/>
      <c r="T121" s="419"/>
      <c r="U121" s="419"/>
      <c r="V121" s="432">
        <f t="shared" si="17"/>
        <v>5000000</v>
      </c>
      <c r="W121" s="420"/>
      <c r="X121" s="336"/>
      <c r="Y121" s="337"/>
      <c r="Z121" s="338"/>
      <c r="AA121" s="383">
        <f t="shared" si="22"/>
        <v>202452</v>
      </c>
      <c r="AB121" s="339"/>
      <c r="AC121" s="384">
        <f t="shared" si="27"/>
        <v>0</v>
      </c>
      <c r="AD121" s="336"/>
      <c r="AE121" s="329"/>
      <c r="AF121" s="330"/>
      <c r="AG121" s="375">
        <f t="shared" si="23"/>
        <v>466700</v>
      </c>
      <c r="AH121" s="331"/>
      <c r="AI121" s="377">
        <f t="shared" si="28"/>
        <v>0</v>
      </c>
      <c r="AJ121" s="336"/>
      <c r="AK121" s="336"/>
      <c r="AL121" s="336"/>
      <c r="AM121" s="340"/>
      <c r="AN121" s="341"/>
      <c r="AO121" s="341"/>
      <c r="AP121" s="386">
        <f t="shared" si="25"/>
        <v>827481</v>
      </c>
      <c r="AQ121" s="342"/>
      <c r="AR121" s="389">
        <f t="shared" si="18"/>
        <v>0</v>
      </c>
      <c r="AT121" s="343"/>
      <c r="AU121" s="344"/>
      <c r="AV121" s="344"/>
      <c r="AW121" s="435">
        <f t="shared" si="19"/>
        <v>0</v>
      </c>
      <c r="AX121" s="438">
        <f t="shared" si="24"/>
        <v>0</v>
      </c>
    </row>
    <row r="122" spans="1:50">
      <c r="A122" s="264"/>
      <c r="B122" s="326"/>
      <c r="C122" s="327"/>
      <c r="D122" s="327"/>
      <c r="E122" s="371">
        <f t="shared" si="20"/>
        <v>140185</v>
      </c>
      <c r="F122" s="372">
        <f t="shared" si="21"/>
        <v>0</v>
      </c>
      <c r="G122" s="264"/>
      <c r="H122" s="414"/>
      <c r="I122" s="415"/>
      <c r="J122" s="428">
        <f t="shared" si="26"/>
        <v>1066262</v>
      </c>
      <c r="K122" s="416"/>
      <c r="L122" s="430">
        <f t="shared" si="16"/>
        <v>0</v>
      </c>
      <c r="M122" s="328"/>
      <c r="O122" s="417"/>
      <c r="P122" s="418"/>
      <c r="Q122" s="419"/>
      <c r="R122" s="419"/>
      <c r="S122" s="419"/>
      <c r="T122" s="419"/>
      <c r="U122" s="419"/>
      <c r="V122" s="432">
        <f t="shared" si="17"/>
        <v>5000000</v>
      </c>
      <c r="W122" s="420"/>
      <c r="X122" s="336"/>
      <c r="Y122" s="337"/>
      <c r="Z122" s="338"/>
      <c r="AA122" s="383">
        <f t="shared" si="22"/>
        <v>202452</v>
      </c>
      <c r="AB122" s="339"/>
      <c r="AC122" s="384">
        <f t="shared" si="27"/>
        <v>0</v>
      </c>
      <c r="AD122" s="336"/>
      <c r="AE122" s="329"/>
      <c r="AF122" s="330"/>
      <c r="AG122" s="375">
        <f t="shared" si="23"/>
        <v>466700</v>
      </c>
      <c r="AH122" s="331"/>
      <c r="AI122" s="377">
        <f t="shared" si="28"/>
        <v>0</v>
      </c>
      <c r="AJ122" s="336"/>
      <c r="AK122" s="336"/>
      <c r="AL122" s="336"/>
      <c r="AM122" s="340"/>
      <c r="AN122" s="341"/>
      <c r="AO122" s="341"/>
      <c r="AP122" s="386">
        <f t="shared" si="25"/>
        <v>827481</v>
      </c>
      <c r="AQ122" s="342"/>
      <c r="AR122" s="389">
        <f t="shared" si="18"/>
        <v>0</v>
      </c>
      <c r="AT122" s="343"/>
      <c r="AU122" s="344"/>
      <c r="AV122" s="344"/>
      <c r="AW122" s="435">
        <f t="shared" si="19"/>
        <v>0</v>
      </c>
      <c r="AX122" s="438">
        <f t="shared" si="24"/>
        <v>0</v>
      </c>
    </row>
    <row r="123" spans="1:50">
      <c r="A123" s="264"/>
      <c r="B123" s="326"/>
      <c r="C123" s="327"/>
      <c r="D123" s="327"/>
      <c r="E123" s="371">
        <f t="shared" si="20"/>
        <v>140185</v>
      </c>
      <c r="F123" s="372">
        <f t="shared" si="21"/>
        <v>0</v>
      </c>
      <c r="G123" s="264"/>
      <c r="H123" s="414"/>
      <c r="I123" s="415"/>
      <c r="J123" s="428">
        <f t="shared" si="26"/>
        <v>1066262</v>
      </c>
      <c r="K123" s="416"/>
      <c r="L123" s="430">
        <f t="shared" si="16"/>
        <v>0</v>
      </c>
      <c r="M123" s="328"/>
      <c r="O123" s="417"/>
      <c r="P123" s="418"/>
      <c r="Q123" s="419"/>
      <c r="R123" s="419"/>
      <c r="S123" s="419"/>
      <c r="T123" s="419"/>
      <c r="U123" s="419"/>
      <c r="V123" s="432">
        <f t="shared" si="17"/>
        <v>5000000</v>
      </c>
      <c r="W123" s="420"/>
      <c r="X123" s="336"/>
      <c r="Y123" s="337"/>
      <c r="Z123" s="338"/>
      <c r="AA123" s="383">
        <f t="shared" si="22"/>
        <v>202452</v>
      </c>
      <c r="AB123" s="339"/>
      <c r="AC123" s="384">
        <f t="shared" si="27"/>
        <v>0</v>
      </c>
      <c r="AD123" s="336"/>
      <c r="AE123" s="329"/>
      <c r="AF123" s="330"/>
      <c r="AG123" s="375">
        <f t="shared" si="23"/>
        <v>466700</v>
      </c>
      <c r="AH123" s="331"/>
      <c r="AI123" s="377">
        <f t="shared" si="28"/>
        <v>0</v>
      </c>
      <c r="AJ123" s="336"/>
      <c r="AK123" s="336"/>
      <c r="AL123" s="336"/>
      <c r="AM123" s="340"/>
      <c r="AN123" s="341"/>
      <c r="AO123" s="341"/>
      <c r="AP123" s="386">
        <f t="shared" si="25"/>
        <v>827481</v>
      </c>
      <c r="AQ123" s="342"/>
      <c r="AR123" s="389">
        <f t="shared" si="18"/>
        <v>0</v>
      </c>
      <c r="AT123" s="343"/>
      <c r="AU123" s="344"/>
      <c r="AV123" s="344"/>
      <c r="AW123" s="435">
        <f t="shared" si="19"/>
        <v>0</v>
      </c>
      <c r="AX123" s="438">
        <f t="shared" si="24"/>
        <v>0</v>
      </c>
    </row>
    <row r="124" spans="1:50">
      <c r="A124" s="264"/>
      <c r="B124" s="326"/>
      <c r="C124" s="327"/>
      <c r="D124" s="327"/>
      <c r="E124" s="371">
        <f t="shared" si="20"/>
        <v>140185</v>
      </c>
      <c r="F124" s="372">
        <f t="shared" si="21"/>
        <v>0</v>
      </c>
      <c r="G124" s="264"/>
      <c r="H124" s="414"/>
      <c r="I124" s="415"/>
      <c r="J124" s="428">
        <f t="shared" si="26"/>
        <v>1066262</v>
      </c>
      <c r="K124" s="416"/>
      <c r="L124" s="430">
        <f t="shared" si="16"/>
        <v>0</v>
      </c>
      <c r="M124" s="328"/>
      <c r="O124" s="417"/>
      <c r="P124" s="418"/>
      <c r="Q124" s="419"/>
      <c r="R124" s="419"/>
      <c r="S124" s="419"/>
      <c r="T124" s="419"/>
      <c r="U124" s="419"/>
      <c r="V124" s="432">
        <f t="shared" si="17"/>
        <v>5000000</v>
      </c>
      <c r="W124" s="420"/>
      <c r="X124" s="336"/>
      <c r="Y124" s="337"/>
      <c r="Z124" s="338"/>
      <c r="AA124" s="383">
        <f t="shared" si="22"/>
        <v>202452</v>
      </c>
      <c r="AB124" s="339"/>
      <c r="AC124" s="384">
        <f t="shared" si="27"/>
        <v>0</v>
      </c>
      <c r="AD124" s="336"/>
      <c r="AE124" s="329"/>
      <c r="AF124" s="330"/>
      <c r="AG124" s="375">
        <f t="shared" si="23"/>
        <v>466700</v>
      </c>
      <c r="AH124" s="331"/>
      <c r="AI124" s="377">
        <f t="shared" si="28"/>
        <v>0</v>
      </c>
      <c r="AJ124" s="336"/>
      <c r="AK124" s="336"/>
      <c r="AL124" s="336"/>
      <c r="AM124" s="340"/>
      <c r="AN124" s="341"/>
      <c r="AO124" s="341"/>
      <c r="AP124" s="386">
        <f t="shared" si="25"/>
        <v>827481</v>
      </c>
      <c r="AQ124" s="342"/>
      <c r="AR124" s="389">
        <f t="shared" si="18"/>
        <v>0</v>
      </c>
      <c r="AT124" s="343"/>
      <c r="AU124" s="344"/>
      <c r="AV124" s="344"/>
      <c r="AW124" s="435">
        <f t="shared" si="19"/>
        <v>0</v>
      </c>
      <c r="AX124" s="438">
        <f t="shared" si="24"/>
        <v>0</v>
      </c>
    </row>
    <row r="125" spans="1:50">
      <c r="A125" s="264"/>
      <c r="B125" s="326"/>
      <c r="C125" s="327"/>
      <c r="D125" s="327"/>
      <c r="E125" s="371">
        <f t="shared" si="20"/>
        <v>140185</v>
      </c>
      <c r="F125" s="372">
        <f t="shared" si="21"/>
        <v>0</v>
      </c>
      <c r="G125" s="264"/>
      <c r="H125" s="414"/>
      <c r="I125" s="415"/>
      <c r="J125" s="428">
        <f t="shared" si="26"/>
        <v>1066262</v>
      </c>
      <c r="K125" s="416"/>
      <c r="L125" s="430">
        <f t="shared" si="16"/>
        <v>0</v>
      </c>
      <c r="M125" s="328"/>
      <c r="O125" s="417"/>
      <c r="P125" s="418"/>
      <c r="Q125" s="419"/>
      <c r="R125" s="419"/>
      <c r="S125" s="419"/>
      <c r="T125" s="419"/>
      <c r="U125" s="419"/>
      <c r="V125" s="432">
        <f t="shared" si="17"/>
        <v>5000000</v>
      </c>
      <c r="W125" s="420"/>
      <c r="X125" s="336"/>
      <c r="Y125" s="337"/>
      <c r="Z125" s="338"/>
      <c r="AA125" s="383">
        <f t="shared" si="22"/>
        <v>202452</v>
      </c>
      <c r="AB125" s="339"/>
      <c r="AC125" s="384">
        <f t="shared" si="27"/>
        <v>0</v>
      </c>
      <c r="AD125" s="336"/>
      <c r="AE125" s="329"/>
      <c r="AF125" s="330"/>
      <c r="AG125" s="375">
        <f t="shared" si="23"/>
        <v>466700</v>
      </c>
      <c r="AH125" s="331"/>
      <c r="AI125" s="377">
        <f t="shared" si="28"/>
        <v>0</v>
      </c>
      <c r="AJ125" s="336"/>
      <c r="AK125" s="336"/>
      <c r="AL125" s="336"/>
      <c r="AM125" s="340"/>
      <c r="AN125" s="341"/>
      <c r="AO125" s="341"/>
      <c r="AP125" s="386">
        <f t="shared" si="25"/>
        <v>827481</v>
      </c>
      <c r="AQ125" s="342"/>
      <c r="AR125" s="389">
        <f t="shared" si="18"/>
        <v>0</v>
      </c>
      <c r="AT125" s="343"/>
      <c r="AU125" s="344"/>
      <c r="AV125" s="344"/>
      <c r="AW125" s="435">
        <f t="shared" si="19"/>
        <v>0</v>
      </c>
      <c r="AX125" s="438">
        <f t="shared" si="24"/>
        <v>0</v>
      </c>
    </row>
    <row r="126" spans="1:50">
      <c r="A126" s="264"/>
      <c r="B126" s="326"/>
      <c r="C126" s="327"/>
      <c r="D126" s="327"/>
      <c r="E126" s="371">
        <f t="shared" si="20"/>
        <v>140185</v>
      </c>
      <c r="F126" s="372">
        <f t="shared" si="21"/>
        <v>0</v>
      </c>
      <c r="G126" s="264"/>
      <c r="H126" s="414"/>
      <c r="I126" s="415"/>
      <c r="J126" s="428">
        <f t="shared" si="26"/>
        <v>1066262</v>
      </c>
      <c r="K126" s="416"/>
      <c r="L126" s="430">
        <f t="shared" si="16"/>
        <v>0</v>
      </c>
      <c r="M126" s="328"/>
      <c r="O126" s="417"/>
      <c r="P126" s="418"/>
      <c r="Q126" s="419"/>
      <c r="R126" s="419"/>
      <c r="S126" s="419"/>
      <c r="T126" s="419"/>
      <c r="U126" s="419"/>
      <c r="V126" s="432">
        <f t="shared" si="17"/>
        <v>5000000</v>
      </c>
      <c r="W126" s="420"/>
      <c r="X126" s="336"/>
      <c r="Y126" s="337"/>
      <c r="Z126" s="338"/>
      <c r="AA126" s="383">
        <f t="shared" si="22"/>
        <v>202452</v>
      </c>
      <c r="AB126" s="339"/>
      <c r="AC126" s="384">
        <f t="shared" si="27"/>
        <v>0</v>
      </c>
      <c r="AD126" s="336"/>
      <c r="AE126" s="329"/>
      <c r="AF126" s="330"/>
      <c r="AG126" s="375">
        <f t="shared" si="23"/>
        <v>466700</v>
      </c>
      <c r="AH126" s="331"/>
      <c r="AI126" s="377">
        <f t="shared" si="28"/>
        <v>0</v>
      </c>
      <c r="AJ126" s="336"/>
      <c r="AK126" s="336"/>
      <c r="AL126" s="336"/>
      <c r="AM126" s="340"/>
      <c r="AN126" s="341"/>
      <c r="AO126" s="341"/>
      <c r="AP126" s="386">
        <f t="shared" si="25"/>
        <v>827481</v>
      </c>
      <c r="AQ126" s="342"/>
      <c r="AR126" s="389">
        <f t="shared" si="18"/>
        <v>0</v>
      </c>
      <c r="AT126" s="343"/>
      <c r="AU126" s="344"/>
      <c r="AV126" s="344"/>
      <c r="AW126" s="435">
        <f t="shared" si="19"/>
        <v>0</v>
      </c>
      <c r="AX126" s="438">
        <f t="shared" si="24"/>
        <v>0</v>
      </c>
    </row>
    <row r="127" spans="1:50">
      <c r="A127" s="264"/>
      <c r="B127" s="326"/>
      <c r="C127" s="327"/>
      <c r="D127" s="327"/>
      <c r="E127" s="371">
        <f t="shared" si="20"/>
        <v>140185</v>
      </c>
      <c r="F127" s="372">
        <f t="shared" si="21"/>
        <v>0</v>
      </c>
      <c r="G127" s="264"/>
      <c r="H127" s="414"/>
      <c r="I127" s="415"/>
      <c r="J127" s="428">
        <f t="shared" si="26"/>
        <v>1066262</v>
      </c>
      <c r="K127" s="416"/>
      <c r="L127" s="430">
        <f t="shared" si="16"/>
        <v>0</v>
      </c>
      <c r="M127" s="328"/>
      <c r="O127" s="417"/>
      <c r="P127" s="418"/>
      <c r="Q127" s="419"/>
      <c r="R127" s="419"/>
      <c r="S127" s="419"/>
      <c r="T127" s="419"/>
      <c r="U127" s="419"/>
      <c r="V127" s="432">
        <f t="shared" si="17"/>
        <v>5000000</v>
      </c>
      <c r="W127" s="420"/>
      <c r="X127" s="336"/>
      <c r="Y127" s="337"/>
      <c r="Z127" s="338"/>
      <c r="AA127" s="383">
        <f t="shared" si="22"/>
        <v>202452</v>
      </c>
      <c r="AB127" s="339"/>
      <c r="AC127" s="384">
        <f t="shared" si="27"/>
        <v>0</v>
      </c>
      <c r="AD127" s="336"/>
      <c r="AE127" s="329"/>
      <c r="AF127" s="330"/>
      <c r="AG127" s="375">
        <f t="shared" si="23"/>
        <v>466700</v>
      </c>
      <c r="AH127" s="331"/>
      <c r="AI127" s="377">
        <f t="shared" si="28"/>
        <v>0</v>
      </c>
      <c r="AJ127" s="336"/>
      <c r="AK127" s="336"/>
      <c r="AL127" s="336"/>
      <c r="AM127" s="340"/>
      <c r="AN127" s="341"/>
      <c r="AO127" s="341"/>
      <c r="AP127" s="386">
        <f t="shared" si="25"/>
        <v>827481</v>
      </c>
      <c r="AQ127" s="342"/>
      <c r="AR127" s="389">
        <f t="shared" si="18"/>
        <v>0</v>
      </c>
      <c r="AT127" s="343"/>
      <c r="AU127" s="344"/>
      <c r="AV127" s="344"/>
      <c r="AW127" s="435">
        <f t="shared" si="19"/>
        <v>0</v>
      </c>
      <c r="AX127" s="438">
        <f t="shared" si="24"/>
        <v>0</v>
      </c>
    </row>
    <row r="128" spans="1:50">
      <c r="A128" s="264"/>
      <c r="B128" s="326"/>
      <c r="C128" s="327"/>
      <c r="D128" s="327"/>
      <c r="E128" s="371">
        <f t="shared" si="20"/>
        <v>140185</v>
      </c>
      <c r="F128" s="372">
        <f t="shared" si="21"/>
        <v>0</v>
      </c>
      <c r="G128" s="264"/>
      <c r="H128" s="414"/>
      <c r="I128" s="415"/>
      <c r="J128" s="428">
        <f t="shared" si="26"/>
        <v>1066262</v>
      </c>
      <c r="K128" s="416"/>
      <c r="L128" s="430">
        <f t="shared" si="16"/>
        <v>0</v>
      </c>
      <c r="M128" s="328"/>
      <c r="O128" s="417"/>
      <c r="P128" s="418"/>
      <c r="Q128" s="419"/>
      <c r="R128" s="419"/>
      <c r="S128" s="419"/>
      <c r="T128" s="419"/>
      <c r="U128" s="419"/>
      <c r="V128" s="432">
        <f t="shared" si="17"/>
        <v>5000000</v>
      </c>
      <c r="W128" s="420"/>
      <c r="X128" s="336"/>
      <c r="Y128" s="337"/>
      <c r="Z128" s="338"/>
      <c r="AA128" s="383">
        <f t="shared" si="22"/>
        <v>202452</v>
      </c>
      <c r="AB128" s="339"/>
      <c r="AC128" s="384">
        <f t="shared" si="27"/>
        <v>0</v>
      </c>
      <c r="AD128" s="336"/>
      <c r="AE128" s="329"/>
      <c r="AF128" s="330"/>
      <c r="AG128" s="375">
        <f t="shared" si="23"/>
        <v>466700</v>
      </c>
      <c r="AH128" s="331"/>
      <c r="AI128" s="377">
        <f t="shared" si="28"/>
        <v>0</v>
      </c>
      <c r="AJ128" s="336"/>
      <c r="AK128" s="336"/>
      <c r="AL128" s="336"/>
      <c r="AM128" s="340"/>
      <c r="AN128" s="341"/>
      <c r="AO128" s="341"/>
      <c r="AP128" s="386">
        <f t="shared" si="25"/>
        <v>827481</v>
      </c>
      <c r="AQ128" s="342"/>
      <c r="AR128" s="389">
        <f t="shared" si="18"/>
        <v>0</v>
      </c>
      <c r="AT128" s="343"/>
      <c r="AU128" s="344"/>
      <c r="AV128" s="344"/>
      <c r="AW128" s="435">
        <f t="shared" si="19"/>
        <v>0</v>
      </c>
      <c r="AX128" s="438">
        <f t="shared" si="24"/>
        <v>0</v>
      </c>
    </row>
    <row r="129" spans="1:50">
      <c r="A129" s="264"/>
      <c r="B129" s="326"/>
      <c r="C129" s="327"/>
      <c r="D129" s="327"/>
      <c r="E129" s="371">
        <f t="shared" si="20"/>
        <v>140185</v>
      </c>
      <c r="F129" s="372">
        <f t="shared" si="21"/>
        <v>0</v>
      </c>
      <c r="G129" s="264"/>
      <c r="H129" s="414"/>
      <c r="I129" s="415"/>
      <c r="J129" s="428">
        <f t="shared" si="26"/>
        <v>1066262</v>
      </c>
      <c r="K129" s="416"/>
      <c r="L129" s="430">
        <f t="shared" si="16"/>
        <v>0</v>
      </c>
      <c r="M129" s="328"/>
      <c r="O129" s="417"/>
      <c r="P129" s="418"/>
      <c r="Q129" s="419"/>
      <c r="R129" s="419"/>
      <c r="S129" s="419"/>
      <c r="T129" s="419"/>
      <c r="U129" s="419"/>
      <c r="V129" s="432">
        <f t="shared" si="17"/>
        <v>5000000</v>
      </c>
      <c r="W129" s="420"/>
      <c r="X129" s="336"/>
      <c r="Y129" s="337"/>
      <c r="Z129" s="338"/>
      <c r="AA129" s="383">
        <f t="shared" si="22"/>
        <v>202452</v>
      </c>
      <c r="AB129" s="339"/>
      <c r="AC129" s="384">
        <f t="shared" si="27"/>
        <v>0</v>
      </c>
      <c r="AD129" s="336"/>
      <c r="AE129" s="329"/>
      <c r="AF129" s="330"/>
      <c r="AG129" s="375">
        <f t="shared" si="23"/>
        <v>466700</v>
      </c>
      <c r="AH129" s="331"/>
      <c r="AI129" s="377">
        <f t="shared" si="28"/>
        <v>0</v>
      </c>
      <c r="AJ129" s="336"/>
      <c r="AK129" s="336"/>
      <c r="AL129" s="336"/>
      <c r="AM129" s="340"/>
      <c r="AN129" s="341"/>
      <c r="AO129" s="341"/>
      <c r="AP129" s="386">
        <f t="shared" si="25"/>
        <v>827481</v>
      </c>
      <c r="AQ129" s="342"/>
      <c r="AR129" s="389">
        <f t="shared" si="18"/>
        <v>0</v>
      </c>
      <c r="AT129" s="343"/>
      <c r="AU129" s="344"/>
      <c r="AV129" s="344"/>
      <c r="AW129" s="435">
        <f t="shared" si="19"/>
        <v>0</v>
      </c>
      <c r="AX129" s="438">
        <f t="shared" si="24"/>
        <v>0</v>
      </c>
    </row>
    <row r="130" spans="1:50">
      <c r="A130" s="264"/>
      <c r="B130" s="326"/>
      <c r="C130" s="327"/>
      <c r="D130" s="327"/>
      <c r="E130" s="371">
        <f t="shared" si="20"/>
        <v>140185</v>
      </c>
      <c r="F130" s="372">
        <f t="shared" si="21"/>
        <v>0</v>
      </c>
      <c r="G130" s="264"/>
      <c r="H130" s="414"/>
      <c r="I130" s="415"/>
      <c r="J130" s="428">
        <f t="shared" si="26"/>
        <v>1066262</v>
      </c>
      <c r="K130" s="416"/>
      <c r="L130" s="430">
        <f t="shared" si="16"/>
        <v>0</v>
      </c>
      <c r="M130" s="328"/>
      <c r="O130" s="417"/>
      <c r="P130" s="418"/>
      <c r="Q130" s="419"/>
      <c r="R130" s="419"/>
      <c r="S130" s="419"/>
      <c r="T130" s="419"/>
      <c r="U130" s="419"/>
      <c r="V130" s="432">
        <f t="shared" si="17"/>
        <v>5000000</v>
      </c>
      <c r="W130" s="420"/>
      <c r="X130" s="336"/>
      <c r="Y130" s="337"/>
      <c r="Z130" s="338"/>
      <c r="AA130" s="383">
        <f t="shared" si="22"/>
        <v>202452</v>
      </c>
      <c r="AB130" s="339"/>
      <c r="AC130" s="384">
        <f t="shared" si="27"/>
        <v>0</v>
      </c>
      <c r="AD130" s="336"/>
      <c r="AE130" s="329"/>
      <c r="AF130" s="330"/>
      <c r="AG130" s="375">
        <f t="shared" si="23"/>
        <v>466700</v>
      </c>
      <c r="AH130" s="331"/>
      <c r="AI130" s="377">
        <f t="shared" si="28"/>
        <v>0</v>
      </c>
      <c r="AJ130" s="336"/>
      <c r="AK130" s="336"/>
      <c r="AL130" s="336"/>
      <c r="AM130" s="340"/>
      <c r="AN130" s="341"/>
      <c r="AO130" s="341"/>
      <c r="AP130" s="386">
        <f t="shared" si="25"/>
        <v>827481</v>
      </c>
      <c r="AQ130" s="342"/>
      <c r="AR130" s="389">
        <f t="shared" si="18"/>
        <v>0</v>
      </c>
      <c r="AT130" s="343"/>
      <c r="AU130" s="344"/>
      <c r="AV130" s="344"/>
      <c r="AW130" s="435">
        <f t="shared" si="19"/>
        <v>0</v>
      </c>
      <c r="AX130" s="438">
        <f t="shared" si="24"/>
        <v>0</v>
      </c>
    </row>
    <row r="131" spans="1:50">
      <c r="A131" s="264"/>
      <c r="B131" s="326"/>
      <c r="C131" s="327"/>
      <c r="D131" s="327"/>
      <c r="E131" s="371">
        <f t="shared" si="20"/>
        <v>140185</v>
      </c>
      <c r="F131" s="372">
        <f t="shared" si="21"/>
        <v>0</v>
      </c>
      <c r="G131" s="264"/>
      <c r="H131" s="414"/>
      <c r="I131" s="415"/>
      <c r="J131" s="428">
        <f t="shared" si="26"/>
        <v>1066262</v>
      </c>
      <c r="K131" s="416"/>
      <c r="L131" s="430">
        <f t="shared" si="16"/>
        <v>0</v>
      </c>
      <c r="M131" s="328"/>
      <c r="O131" s="417"/>
      <c r="P131" s="418"/>
      <c r="Q131" s="419"/>
      <c r="R131" s="419"/>
      <c r="S131" s="419"/>
      <c r="T131" s="419"/>
      <c r="U131" s="419"/>
      <c r="V131" s="432">
        <f t="shared" si="17"/>
        <v>5000000</v>
      </c>
      <c r="W131" s="420"/>
      <c r="X131" s="336"/>
      <c r="Y131" s="337"/>
      <c r="Z131" s="338"/>
      <c r="AA131" s="383">
        <f t="shared" si="22"/>
        <v>202452</v>
      </c>
      <c r="AB131" s="339"/>
      <c r="AC131" s="384">
        <f t="shared" si="27"/>
        <v>0</v>
      </c>
      <c r="AD131" s="336"/>
      <c r="AE131" s="329"/>
      <c r="AF131" s="330"/>
      <c r="AG131" s="375">
        <f t="shared" si="23"/>
        <v>466700</v>
      </c>
      <c r="AH131" s="331"/>
      <c r="AI131" s="377">
        <f t="shared" si="28"/>
        <v>0</v>
      </c>
      <c r="AJ131" s="336"/>
      <c r="AK131" s="336"/>
      <c r="AL131" s="336"/>
      <c r="AM131" s="340"/>
      <c r="AN131" s="341"/>
      <c r="AO131" s="341"/>
      <c r="AP131" s="386">
        <f t="shared" si="25"/>
        <v>827481</v>
      </c>
      <c r="AQ131" s="342"/>
      <c r="AR131" s="389">
        <f t="shared" si="18"/>
        <v>0</v>
      </c>
      <c r="AT131" s="343"/>
      <c r="AU131" s="344"/>
      <c r="AV131" s="344"/>
      <c r="AW131" s="435">
        <f t="shared" si="19"/>
        <v>0</v>
      </c>
      <c r="AX131" s="438">
        <f t="shared" si="24"/>
        <v>0</v>
      </c>
    </row>
    <row r="132" spans="1:50">
      <c r="A132" s="264"/>
      <c r="B132" s="326"/>
      <c r="C132" s="327"/>
      <c r="D132" s="327"/>
      <c r="E132" s="371">
        <f t="shared" si="20"/>
        <v>140185</v>
      </c>
      <c r="F132" s="372">
        <f t="shared" si="21"/>
        <v>0</v>
      </c>
      <c r="G132" s="264"/>
      <c r="H132" s="414"/>
      <c r="I132" s="415"/>
      <c r="J132" s="428">
        <f t="shared" si="26"/>
        <v>1066262</v>
      </c>
      <c r="K132" s="416"/>
      <c r="L132" s="430">
        <f t="shared" si="16"/>
        <v>0</v>
      </c>
      <c r="M132" s="328"/>
      <c r="O132" s="417"/>
      <c r="P132" s="418"/>
      <c r="Q132" s="419"/>
      <c r="R132" s="419"/>
      <c r="S132" s="419"/>
      <c r="T132" s="419"/>
      <c r="U132" s="419"/>
      <c r="V132" s="432">
        <f t="shared" si="17"/>
        <v>5000000</v>
      </c>
      <c r="W132" s="420"/>
      <c r="X132" s="336"/>
      <c r="Y132" s="337"/>
      <c r="Z132" s="338"/>
      <c r="AA132" s="383">
        <f t="shared" si="22"/>
        <v>202452</v>
      </c>
      <c r="AB132" s="339"/>
      <c r="AC132" s="384">
        <f t="shared" si="27"/>
        <v>0</v>
      </c>
      <c r="AD132" s="336"/>
      <c r="AE132" s="329"/>
      <c r="AF132" s="330"/>
      <c r="AG132" s="375">
        <f t="shared" si="23"/>
        <v>466700</v>
      </c>
      <c r="AH132" s="331"/>
      <c r="AI132" s="377">
        <f t="shared" si="28"/>
        <v>0</v>
      </c>
      <c r="AJ132" s="336"/>
      <c r="AK132" s="336"/>
      <c r="AL132" s="336"/>
      <c r="AM132" s="340"/>
      <c r="AN132" s="341"/>
      <c r="AO132" s="341"/>
      <c r="AP132" s="386">
        <f t="shared" si="25"/>
        <v>827481</v>
      </c>
      <c r="AQ132" s="342"/>
      <c r="AR132" s="389">
        <f t="shared" si="18"/>
        <v>0</v>
      </c>
      <c r="AT132" s="343"/>
      <c r="AU132" s="344"/>
      <c r="AV132" s="344"/>
      <c r="AW132" s="435">
        <f t="shared" si="19"/>
        <v>0</v>
      </c>
      <c r="AX132" s="438">
        <f t="shared" si="24"/>
        <v>0</v>
      </c>
    </row>
    <row r="133" spans="1:50">
      <c r="A133" s="264"/>
      <c r="B133" s="326"/>
      <c r="C133" s="327"/>
      <c r="D133" s="327"/>
      <c r="E133" s="371">
        <f t="shared" si="20"/>
        <v>140185</v>
      </c>
      <c r="F133" s="372">
        <f t="shared" si="21"/>
        <v>0</v>
      </c>
      <c r="G133" s="264"/>
      <c r="H133" s="414"/>
      <c r="I133" s="415"/>
      <c r="J133" s="428">
        <f t="shared" si="26"/>
        <v>1066262</v>
      </c>
      <c r="K133" s="416"/>
      <c r="L133" s="430">
        <f t="shared" si="16"/>
        <v>0</v>
      </c>
      <c r="M133" s="328"/>
      <c r="O133" s="417"/>
      <c r="P133" s="418"/>
      <c r="Q133" s="419"/>
      <c r="R133" s="419"/>
      <c r="S133" s="419"/>
      <c r="T133" s="419"/>
      <c r="U133" s="419"/>
      <c r="V133" s="432">
        <f t="shared" si="17"/>
        <v>5000000</v>
      </c>
      <c r="W133" s="420"/>
      <c r="X133" s="336"/>
      <c r="Y133" s="337"/>
      <c r="Z133" s="338"/>
      <c r="AA133" s="383">
        <f t="shared" si="22"/>
        <v>202452</v>
      </c>
      <c r="AB133" s="339"/>
      <c r="AC133" s="384">
        <f t="shared" si="27"/>
        <v>0</v>
      </c>
      <c r="AD133" s="336"/>
      <c r="AE133" s="329"/>
      <c r="AF133" s="330"/>
      <c r="AG133" s="375">
        <f t="shared" si="23"/>
        <v>466700</v>
      </c>
      <c r="AH133" s="331"/>
      <c r="AI133" s="377">
        <f t="shared" si="28"/>
        <v>0</v>
      </c>
      <c r="AJ133" s="336"/>
      <c r="AK133" s="336"/>
      <c r="AL133" s="336"/>
      <c r="AM133" s="340"/>
      <c r="AN133" s="341"/>
      <c r="AO133" s="341"/>
      <c r="AP133" s="386">
        <f t="shared" si="25"/>
        <v>827481</v>
      </c>
      <c r="AQ133" s="342"/>
      <c r="AR133" s="389">
        <f t="shared" si="18"/>
        <v>0</v>
      </c>
      <c r="AT133" s="343"/>
      <c r="AU133" s="344"/>
      <c r="AV133" s="344"/>
      <c r="AW133" s="435">
        <f t="shared" si="19"/>
        <v>0</v>
      </c>
      <c r="AX133" s="438">
        <f t="shared" si="24"/>
        <v>0</v>
      </c>
    </row>
    <row r="134" spans="1:50">
      <c r="A134" s="264"/>
      <c r="B134" s="326"/>
      <c r="C134" s="327"/>
      <c r="D134" s="327"/>
      <c r="E134" s="371">
        <f t="shared" si="20"/>
        <v>140185</v>
      </c>
      <c r="F134" s="372">
        <f t="shared" si="21"/>
        <v>0</v>
      </c>
      <c r="G134" s="264"/>
      <c r="H134" s="414"/>
      <c r="I134" s="415"/>
      <c r="J134" s="428">
        <f t="shared" si="26"/>
        <v>1066262</v>
      </c>
      <c r="K134" s="416"/>
      <c r="L134" s="430">
        <f t="shared" ref="L134:L190" si="29">K134-I134</f>
        <v>0</v>
      </c>
      <c r="M134" s="328"/>
      <c r="O134" s="417"/>
      <c r="P134" s="418"/>
      <c r="Q134" s="419"/>
      <c r="R134" s="419"/>
      <c r="S134" s="419"/>
      <c r="T134" s="419"/>
      <c r="U134" s="419"/>
      <c r="V134" s="432">
        <f t="shared" ref="V134:V190" si="30">V133+O134+P134-Q134-R134-S134-T134+U134</f>
        <v>5000000</v>
      </c>
      <c r="W134" s="420"/>
      <c r="X134" s="336"/>
      <c r="Y134" s="337"/>
      <c r="Z134" s="338"/>
      <c r="AA134" s="383">
        <f t="shared" si="22"/>
        <v>202452</v>
      </c>
      <c r="AB134" s="339"/>
      <c r="AC134" s="384">
        <f t="shared" si="27"/>
        <v>0</v>
      </c>
      <c r="AD134" s="336"/>
      <c r="AE134" s="329"/>
      <c r="AF134" s="330"/>
      <c r="AG134" s="375">
        <f t="shared" si="23"/>
        <v>466700</v>
      </c>
      <c r="AH134" s="331"/>
      <c r="AI134" s="377">
        <f t="shared" si="28"/>
        <v>0</v>
      </c>
      <c r="AJ134" s="336"/>
      <c r="AK134" s="336"/>
      <c r="AL134" s="336"/>
      <c r="AM134" s="340"/>
      <c r="AN134" s="341"/>
      <c r="AO134" s="341"/>
      <c r="AP134" s="386">
        <f t="shared" si="25"/>
        <v>827481</v>
      </c>
      <c r="AQ134" s="342"/>
      <c r="AR134" s="389">
        <f t="shared" ref="AR134:AR190" si="31">AQ134-AN134</f>
        <v>0</v>
      </c>
      <c r="AT134" s="343"/>
      <c r="AU134" s="344"/>
      <c r="AV134" s="344"/>
      <c r="AW134" s="435">
        <f t="shared" ref="AW134:AW190" si="32">AW133+AT134-AV134</f>
        <v>0</v>
      </c>
      <c r="AX134" s="438">
        <f t="shared" si="24"/>
        <v>0</v>
      </c>
    </row>
    <row r="135" spans="1:50">
      <c r="A135" s="264"/>
      <c r="B135" s="326"/>
      <c r="C135" s="327"/>
      <c r="D135" s="327"/>
      <c r="E135" s="371">
        <f t="shared" ref="E135:E190" si="33">E134+B135-D135</f>
        <v>140185</v>
      </c>
      <c r="F135" s="372">
        <f t="shared" ref="F135:F190" si="34">C135-D135</f>
        <v>0</v>
      </c>
      <c r="G135" s="264"/>
      <c r="H135" s="414"/>
      <c r="I135" s="415"/>
      <c r="J135" s="428">
        <f t="shared" si="26"/>
        <v>1066262</v>
      </c>
      <c r="K135" s="416"/>
      <c r="L135" s="430">
        <f t="shared" si="29"/>
        <v>0</v>
      </c>
      <c r="M135" s="328"/>
      <c r="O135" s="417"/>
      <c r="P135" s="418"/>
      <c r="Q135" s="419"/>
      <c r="R135" s="419"/>
      <c r="S135" s="419"/>
      <c r="T135" s="419"/>
      <c r="U135" s="419"/>
      <c r="V135" s="432">
        <f t="shared" si="30"/>
        <v>5000000</v>
      </c>
      <c r="W135" s="420"/>
      <c r="X135" s="336"/>
      <c r="Y135" s="337"/>
      <c r="Z135" s="338"/>
      <c r="AA135" s="383">
        <f t="shared" ref="AA135:AA190" si="35">AA134+Y135-Z135</f>
        <v>202452</v>
      </c>
      <c r="AB135" s="339"/>
      <c r="AC135" s="384">
        <f t="shared" si="27"/>
        <v>0</v>
      </c>
      <c r="AD135" s="336"/>
      <c r="AE135" s="329"/>
      <c r="AF135" s="330"/>
      <c r="AG135" s="375">
        <f t="shared" ref="AG135:AG190" si="36">AG134+AE135-AF135</f>
        <v>466700</v>
      </c>
      <c r="AH135" s="331"/>
      <c r="AI135" s="377">
        <f t="shared" si="28"/>
        <v>0</v>
      </c>
      <c r="AJ135" s="336"/>
      <c r="AK135" s="336"/>
      <c r="AL135" s="336"/>
      <c r="AM135" s="340"/>
      <c r="AN135" s="341"/>
      <c r="AO135" s="341"/>
      <c r="AP135" s="386">
        <f t="shared" si="25"/>
        <v>827481</v>
      </c>
      <c r="AQ135" s="342"/>
      <c r="AR135" s="389">
        <f t="shared" si="31"/>
        <v>0</v>
      </c>
      <c r="AT135" s="343"/>
      <c r="AU135" s="344"/>
      <c r="AV135" s="344"/>
      <c r="AW135" s="435">
        <f t="shared" si="32"/>
        <v>0</v>
      </c>
      <c r="AX135" s="438">
        <f t="shared" ref="AX135:AX190" si="37">AU135-AV135</f>
        <v>0</v>
      </c>
    </row>
    <row r="136" spans="1:50">
      <c r="A136" s="264"/>
      <c r="B136" s="326"/>
      <c r="C136" s="327"/>
      <c r="D136" s="327"/>
      <c r="E136" s="371">
        <f t="shared" si="33"/>
        <v>140185</v>
      </c>
      <c r="F136" s="372">
        <f t="shared" si="34"/>
        <v>0</v>
      </c>
      <c r="G136" s="264"/>
      <c r="H136" s="414"/>
      <c r="I136" s="415"/>
      <c r="J136" s="428">
        <f t="shared" si="26"/>
        <v>1066262</v>
      </c>
      <c r="K136" s="416"/>
      <c r="L136" s="430">
        <f t="shared" si="29"/>
        <v>0</v>
      </c>
      <c r="M136" s="328"/>
      <c r="O136" s="417"/>
      <c r="P136" s="418"/>
      <c r="Q136" s="419"/>
      <c r="R136" s="419"/>
      <c r="S136" s="419"/>
      <c r="T136" s="419"/>
      <c r="U136" s="419"/>
      <c r="V136" s="432">
        <f t="shared" si="30"/>
        <v>5000000</v>
      </c>
      <c r="W136" s="420"/>
      <c r="X136" s="336"/>
      <c r="Y136" s="337"/>
      <c r="Z136" s="338"/>
      <c r="AA136" s="383">
        <f t="shared" si="35"/>
        <v>202452</v>
      </c>
      <c r="AB136" s="339"/>
      <c r="AC136" s="384">
        <f t="shared" si="27"/>
        <v>0</v>
      </c>
      <c r="AD136" s="336"/>
      <c r="AE136" s="329"/>
      <c r="AF136" s="330"/>
      <c r="AG136" s="375">
        <f t="shared" si="36"/>
        <v>466700</v>
      </c>
      <c r="AH136" s="331"/>
      <c r="AI136" s="377">
        <f t="shared" si="28"/>
        <v>0</v>
      </c>
      <c r="AJ136" s="336"/>
      <c r="AK136" s="336"/>
      <c r="AL136" s="336"/>
      <c r="AM136" s="340"/>
      <c r="AN136" s="341"/>
      <c r="AO136" s="341"/>
      <c r="AP136" s="386">
        <f>AP135+AM136-AN136+AO136</f>
        <v>827481</v>
      </c>
      <c r="AQ136" s="342"/>
      <c r="AR136" s="389">
        <f t="shared" si="31"/>
        <v>0</v>
      </c>
      <c r="AT136" s="343"/>
      <c r="AU136" s="344"/>
      <c r="AV136" s="344"/>
      <c r="AW136" s="435">
        <f t="shared" si="32"/>
        <v>0</v>
      </c>
      <c r="AX136" s="438">
        <f t="shared" si="37"/>
        <v>0</v>
      </c>
    </row>
    <row r="137" spans="1:50">
      <c r="A137" s="264"/>
      <c r="B137" s="326"/>
      <c r="C137" s="327"/>
      <c r="D137" s="327"/>
      <c r="E137" s="371">
        <f t="shared" si="33"/>
        <v>140185</v>
      </c>
      <c r="F137" s="372">
        <f t="shared" si="34"/>
        <v>0</v>
      </c>
      <c r="G137" s="264"/>
      <c r="H137" s="414"/>
      <c r="I137" s="415"/>
      <c r="J137" s="428">
        <f t="shared" si="26"/>
        <v>1066262</v>
      </c>
      <c r="K137" s="416"/>
      <c r="L137" s="430">
        <f t="shared" si="29"/>
        <v>0</v>
      </c>
      <c r="M137" s="328"/>
      <c r="O137" s="417"/>
      <c r="P137" s="418"/>
      <c r="Q137" s="419"/>
      <c r="R137" s="419"/>
      <c r="S137" s="419"/>
      <c r="T137" s="419"/>
      <c r="U137" s="419"/>
      <c r="V137" s="432">
        <f t="shared" si="30"/>
        <v>5000000</v>
      </c>
      <c r="W137" s="420"/>
      <c r="X137" s="336"/>
      <c r="Y137" s="337"/>
      <c r="Z137" s="338"/>
      <c r="AA137" s="383">
        <f t="shared" si="35"/>
        <v>202452</v>
      </c>
      <c r="AB137" s="339"/>
      <c r="AC137" s="384">
        <f t="shared" si="27"/>
        <v>0</v>
      </c>
      <c r="AD137" s="336"/>
      <c r="AE137" s="329"/>
      <c r="AF137" s="330"/>
      <c r="AG137" s="375">
        <f t="shared" si="36"/>
        <v>466700</v>
      </c>
      <c r="AH137" s="331"/>
      <c r="AI137" s="377">
        <f t="shared" si="28"/>
        <v>0</v>
      </c>
      <c r="AJ137" s="336"/>
      <c r="AK137" s="336"/>
      <c r="AL137" s="336"/>
      <c r="AM137" s="340"/>
      <c r="AN137" s="341"/>
      <c r="AO137" s="341"/>
      <c r="AP137" s="386">
        <f>AP136+AM137-AN137+AO137</f>
        <v>827481</v>
      </c>
      <c r="AQ137" s="342"/>
      <c r="AR137" s="389">
        <f t="shared" si="31"/>
        <v>0</v>
      </c>
      <c r="AT137" s="343"/>
      <c r="AU137" s="344"/>
      <c r="AV137" s="344"/>
      <c r="AW137" s="435">
        <f t="shared" si="32"/>
        <v>0</v>
      </c>
      <c r="AX137" s="438">
        <f t="shared" si="37"/>
        <v>0</v>
      </c>
    </row>
    <row r="138" spans="1:50">
      <c r="A138" s="264"/>
      <c r="B138" s="326"/>
      <c r="C138" s="327"/>
      <c r="D138" s="327"/>
      <c r="E138" s="371">
        <f t="shared" si="33"/>
        <v>140185</v>
      </c>
      <c r="F138" s="372">
        <f t="shared" si="34"/>
        <v>0</v>
      </c>
      <c r="G138" s="264"/>
      <c r="H138" s="414"/>
      <c r="I138" s="415"/>
      <c r="J138" s="428">
        <f t="shared" si="26"/>
        <v>1066262</v>
      </c>
      <c r="K138" s="416"/>
      <c r="L138" s="430">
        <f t="shared" si="29"/>
        <v>0</v>
      </c>
      <c r="M138" s="328"/>
      <c r="O138" s="417"/>
      <c r="P138" s="418"/>
      <c r="Q138" s="419"/>
      <c r="R138" s="419"/>
      <c r="S138" s="419"/>
      <c r="T138" s="419"/>
      <c r="U138" s="419"/>
      <c r="V138" s="432">
        <f t="shared" si="30"/>
        <v>5000000</v>
      </c>
      <c r="W138" s="420"/>
      <c r="X138" s="336"/>
      <c r="Y138" s="337"/>
      <c r="Z138" s="338"/>
      <c r="AA138" s="383">
        <f t="shared" si="35"/>
        <v>202452</v>
      </c>
      <c r="AB138" s="339"/>
      <c r="AC138" s="384">
        <f t="shared" si="27"/>
        <v>0</v>
      </c>
      <c r="AD138" s="336"/>
      <c r="AE138" s="329"/>
      <c r="AF138" s="330"/>
      <c r="AG138" s="375">
        <f t="shared" si="36"/>
        <v>466700</v>
      </c>
      <c r="AH138" s="331"/>
      <c r="AI138" s="377">
        <f t="shared" si="28"/>
        <v>0</v>
      </c>
      <c r="AJ138" s="336"/>
      <c r="AK138" s="336"/>
      <c r="AL138" s="336"/>
      <c r="AM138" s="340"/>
      <c r="AN138" s="341"/>
      <c r="AO138" s="341"/>
      <c r="AP138" s="386">
        <f>AP137+AM138-AN138+AO138</f>
        <v>827481</v>
      </c>
      <c r="AQ138" s="342"/>
      <c r="AR138" s="389">
        <f t="shared" si="31"/>
        <v>0</v>
      </c>
      <c r="AT138" s="343"/>
      <c r="AU138" s="344"/>
      <c r="AV138" s="344"/>
      <c r="AW138" s="435">
        <f t="shared" si="32"/>
        <v>0</v>
      </c>
      <c r="AX138" s="438">
        <f t="shared" si="37"/>
        <v>0</v>
      </c>
    </row>
    <row r="139" spans="1:50">
      <c r="A139" s="264"/>
      <c r="B139" s="326"/>
      <c r="C139" s="327"/>
      <c r="D139" s="327"/>
      <c r="E139" s="371">
        <f t="shared" si="33"/>
        <v>140185</v>
      </c>
      <c r="F139" s="372">
        <f t="shared" si="34"/>
        <v>0</v>
      </c>
      <c r="G139" s="264"/>
      <c r="H139" s="414"/>
      <c r="I139" s="415"/>
      <c r="J139" s="428">
        <f t="shared" ref="J139:J190" si="38">SUM(J138+H139-I139)</f>
        <v>1066262</v>
      </c>
      <c r="K139" s="416"/>
      <c r="L139" s="430">
        <f t="shared" si="29"/>
        <v>0</v>
      </c>
      <c r="M139" s="328"/>
      <c r="O139" s="417"/>
      <c r="P139" s="418"/>
      <c r="Q139" s="419"/>
      <c r="R139" s="419"/>
      <c r="S139" s="419"/>
      <c r="T139" s="419"/>
      <c r="U139" s="419"/>
      <c r="V139" s="432">
        <f t="shared" si="30"/>
        <v>5000000</v>
      </c>
      <c r="W139" s="420"/>
      <c r="X139" s="336"/>
      <c r="Y139" s="337"/>
      <c r="Z139" s="338"/>
      <c r="AA139" s="383">
        <f t="shared" si="35"/>
        <v>202452</v>
      </c>
      <c r="AB139" s="339"/>
      <c r="AC139" s="384">
        <f t="shared" si="27"/>
        <v>0</v>
      </c>
      <c r="AD139" s="336"/>
      <c r="AE139" s="329"/>
      <c r="AF139" s="330"/>
      <c r="AG139" s="375">
        <f t="shared" si="36"/>
        <v>466700</v>
      </c>
      <c r="AH139" s="331"/>
      <c r="AI139" s="377">
        <f t="shared" si="28"/>
        <v>0</v>
      </c>
      <c r="AJ139" s="336"/>
      <c r="AK139" s="336"/>
      <c r="AL139" s="336"/>
      <c r="AM139" s="340"/>
      <c r="AN139" s="341"/>
      <c r="AO139" s="341"/>
      <c r="AP139" s="386">
        <f>AP138+AM139-AN139+AO139</f>
        <v>827481</v>
      </c>
      <c r="AQ139" s="342"/>
      <c r="AR139" s="389">
        <f t="shared" si="31"/>
        <v>0</v>
      </c>
      <c r="AT139" s="343"/>
      <c r="AU139" s="344"/>
      <c r="AV139" s="344"/>
      <c r="AW139" s="435">
        <f t="shared" si="32"/>
        <v>0</v>
      </c>
      <c r="AX139" s="438">
        <f t="shared" si="37"/>
        <v>0</v>
      </c>
    </row>
    <row r="140" spans="1:50">
      <c r="A140" s="264"/>
      <c r="B140" s="326"/>
      <c r="C140" s="327"/>
      <c r="D140" s="327"/>
      <c r="E140" s="371">
        <f t="shared" si="33"/>
        <v>140185</v>
      </c>
      <c r="F140" s="372">
        <f t="shared" si="34"/>
        <v>0</v>
      </c>
      <c r="G140" s="264"/>
      <c r="H140" s="414"/>
      <c r="I140" s="415"/>
      <c r="J140" s="428">
        <f t="shared" si="38"/>
        <v>1066262</v>
      </c>
      <c r="K140" s="416"/>
      <c r="L140" s="430">
        <f t="shared" si="29"/>
        <v>0</v>
      </c>
      <c r="M140" s="328"/>
      <c r="O140" s="417"/>
      <c r="P140" s="418"/>
      <c r="Q140" s="419"/>
      <c r="R140" s="419"/>
      <c r="S140" s="419"/>
      <c r="T140" s="419"/>
      <c r="U140" s="419"/>
      <c r="V140" s="432">
        <f t="shared" si="30"/>
        <v>5000000</v>
      </c>
      <c r="W140" s="420"/>
      <c r="X140" s="336"/>
      <c r="Y140" s="337"/>
      <c r="Z140" s="338"/>
      <c r="AA140" s="383">
        <f t="shared" si="35"/>
        <v>202452</v>
      </c>
      <c r="AB140" s="339"/>
      <c r="AC140" s="384">
        <f t="shared" si="27"/>
        <v>0</v>
      </c>
      <c r="AD140" s="336"/>
      <c r="AE140" s="329"/>
      <c r="AF140" s="330"/>
      <c r="AG140" s="375">
        <f t="shared" si="36"/>
        <v>466700</v>
      </c>
      <c r="AH140" s="331"/>
      <c r="AI140" s="377">
        <f t="shared" si="28"/>
        <v>0</v>
      </c>
      <c r="AJ140" s="336"/>
      <c r="AK140" s="336"/>
      <c r="AL140" s="336"/>
      <c r="AM140" s="340"/>
      <c r="AN140" s="341"/>
      <c r="AO140" s="341"/>
      <c r="AP140" s="386">
        <f>AP139+AM140-AN140+AO140</f>
        <v>827481</v>
      </c>
      <c r="AQ140" s="342"/>
      <c r="AR140" s="389">
        <f t="shared" si="31"/>
        <v>0</v>
      </c>
      <c r="AT140" s="343"/>
      <c r="AU140" s="344"/>
      <c r="AV140" s="344"/>
      <c r="AW140" s="435">
        <f t="shared" si="32"/>
        <v>0</v>
      </c>
      <c r="AX140" s="438">
        <f t="shared" si="37"/>
        <v>0</v>
      </c>
    </row>
    <row r="141" spans="1:50">
      <c r="A141" s="264"/>
      <c r="B141" s="326"/>
      <c r="C141" s="327"/>
      <c r="D141" s="327"/>
      <c r="E141" s="371">
        <f t="shared" si="33"/>
        <v>140185</v>
      </c>
      <c r="F141" s="372">
        <f t="shared" si="34"/>
        <v>0</v>
      </c>
      <c r="G141" s="264"/>
      <c r="H141" s="414"/>
      <c r="I141" s="415"/>
      <c r="J141" s="428">
        <f t="shared" si="38"/>
        <v>1066262</v>
      </c>
      <c r="K141" s="416"/>
      <c r="L141" s="430">
        <f t="shared" si="29"/>
        <v>0</v>
      </c>
      <c r="M141" s="328"/>
      <c r="O141" s="417"/>
      <c r="P141" s="418"/>
      <c r="Q141" s="419"/>
      <c r="R141" s="419"/>
      <c r="S141" s="419"/>
      <c r="T141" s="419"/>
      <c r="U141" s="419"/>
      <c r="V141" s="432">
        <f t="shared" si="30"/>
        <v>5000000</v>
      </c>
      <c r="W141" s="420"/>
      <c r="X141" s="336"/>
      <c r="Y141" s="337"/>
      <c r="Z141" s="338"/>
      <c r="AA141" s="383">
        <f t="shared" si="35"/>
        <v>202452</v>
      </c>
      <c r="AB141" s="339"/>
      <c r="AC141" s="384">
        <f t="shared" si="27"/>
        <v>0</v>
      </c>
      <c r="AD141" s="336"/>
      <c r="AE141" s="329"/>
      <c r="AF141" s="330"/>
      <c r="AG141" s="375">
        <f t="shared" si="36"/>
        <v>466700</v>
      </c>
      <c r="AH141" s="331"/>
      <c r="AI141" s="377">
        <f t="shared" si="28"/>
        <v>0</v>
      </c>
      <c r="AJ141" s="336"/>
      <c r="AK141" s="336"/>
      <c r="AL141" s="336"/>
      <c r="AM141" s="340"/>
      <c r="AN141" s="341"/>
      <c r="AO141" s="341"/>
      <c r="AP141" s="386">
        <f t="shared" ref="AP141:AP190" si="39">AP140+AM141-AN141+AO141</f>
        <v>827481</v>
      </c>
      <c r="AQ141" s="342"/>
      <c r="AR141" s="389">
        <f t="shared" si="31"/>
        <v>0</v>
      </c>
      <c r="AT141" s="343"/>
      <c r="AU141" s="344"/>
      <c r="AV141" s="344"/>
      <c r="AW141" s="435">
        <f t="shared" si="32"/>
        <v>0</v>
      </c>
      <c r="AX141" s="438">
        <f t="shared" si="37"/>
        <v>0</v>
      </c>
    </row>
    <row r="142" spans="1:50">
      <c r="A142" s="264"/>
      <c r="B142" s="326"/>
      <c r="C142" s="327"/>
      <c r="D142" s="327"/>
      <c r="E142" s="371">
        <f t="shared" si="33"/>
        <v>140185</v>
      </c>
      <c r="F142" s="372">
        <f t="shared" si="34"/>
        <v>0</v>
      </c>
      <c r="G142" s="264"/>
      <c r="H142" s="414"/>
      <c r="I142" s="415"/>
      <c r="J142" s="428">
        <f t="shared" si="38"/>
        <v>1066262</v>
      </c>
      <c r="K142" s="416"/>
      <c r="L142" s="430">
        <f t="shared" si="29"/>
        <v>0</v>
      </c>
      <c r="M142" s="328"/>
      <c r="O142" s="417"/>
      <c r="P142" s="418"/>
      <c r="Q142" s="419"/>
      <c r="R142" s="419"/>
      <c r="S142" s="419"/>
      <c r="T142" s="419"/>
      <c r="U142" s="419"/>
      <c r="V142" s="432">
        <f t="shared" si="30"/>
        <v>5000000</v>
      </c>
      <c r="W142" s="420"/>
      <c r="X142" s="336"/>
      <c r="Y142" s="337"/>
      <c r="Z142" s="338"/>
      <c r="AA142" s="383">
        <f t="shared" si="35"/>
        <v>202452</v>
      </c>
      <c r="AB142" s="339"/>
      <c r="AC142" s="384">
        <f t="shared" ref="AC142:AC190" si="40">AB142-Z142</f>
        <v>0</v>
      </c>
      <c r="AD142" s="336"/>
      <c r="AE142" s="329"/>
      <c r="AF142" s="330"/>
      <c r="AG142" s="375">
        <f t="shared" si="36"/>
        <v>466700</v>
      </c>
      <c r="AH142" s="331"/>
      <c r="AI142" s="377">
        <f t="shared" ref="AI142:AI190" si="41">AH142-AF142</f>
        <v>0</v>
      </c>
      <c r="AJ142" s="336"/>
      <c r="AK142" s="336"/>
      <c r="AL142" s="336"/>
      <c r="AM142" s="340"/>
      <c r="AN142" s="341"/>
      <c r="AO142" s="341"/>
      <c r="AP142" s="386">
        <f t="shared" si="39"/>
        <v>827481</v>
      </c>
      <c r="AQ142" s="342"/>
      <c r="AR142" s="389">
        <f t="shared" si="31"/>
        <v>0</v>
      </c>
      <c r="AT142" s="343"/>
      <c r="AU142" s="344"/>
      <c r="AV142" s="344"/>
      <c r="AW142" s="435">
        <f t="shared" si="32"/>
        <v>0</v>
      </c>
      <c r="AX142" s="438">
        <f t="shared" si="37"/>
        <v>0</v>
      </c>
    </row>
    <row r="143" spans="1:50">
      <c r="A143" s="264"/>
      <c r="B143" s="326"/>
      <c r="C143" s="327"/>
      <c r="D143" s="327"/>
      <c r="E143" s="371">
        <f t="shared" si="33"/>
        <v>140185</v>
      </c>
      <c r="F143" s="372">
        <f t="shared" si="34"/>
        <v>0</v>
      </c>
      <c r="G143" s="264"/>
      <c r="H143" s="414"/>
      <c r="I143" s="415"/>
      <c r="J143" s="428">
        <f t="shared" si="38"/>
        <v>1066262</v>
      </c>
      <c r="K143" s="416"/>
      <c r="L143" s="430">
        <f t="shared" si="29"/>
        <v>0</v>
      </c>
      <c r="M143" s="328"/>
      <c r="O143" s="417"/>
      <c r="P143" s="418"/>
      <c r="Q143" s="419"/>
      <c r="R143" s="419"/>
      <c r="S143" s="419"/>
      <c r="T143" s="419"/>
      <c r="U143" s="419"/>
      <c r="V143" s="432">
        <f t="shared" si="30"/>
        <v>5000000</v>
      </c>
      <c r="W143" s="420"/>
      <c r="X143" s="336"/>
      <c r="Y143" s="337"/>
      <c r="Z143" s="338"/>
      <c r="AA143" s="383">
        <f t="shared" si="35"/>
        <v>202452</v>
      </c>
      <c r="AB143" s="339"/>
      <c r="AC143" s="384">
        <f t="shared" si="40"/>
        <v>0</v>
      </c>
      <c r="AD143" s="336"/>
      <c r="AE143" s="329"/>
      <c r="AF143" s="330"/>
      <c r="AG143" s="375">
        <f t="shared" si="36"/>
        <v>466700</v>
      </c>
      <c r="AH143" s="331"/>
      <c r="AI143" s="377">
        <f t="shared" si="41"/>
        <v>0</v>
      </c>
      <c r="AJ143" s="336"/>
      <c r="AK143" s="336"/>
      <c r="AL143" s="336"/>
      <c r="AM143" s="340"/>
      <c r="AN143" s="341"/>
      <c r="AO143" s="341"/>
      <c r="AP143" s="386">
        <f t="shared" si="39"/>
        <v>827481</v>
      </c>
      <c r="AQ143" s="342"/>
      <c r="AR143" s="389">
        <f t="shared" si="31"/>
        <v>0</v>
      </c>
      <c r="AT143" s="343"/>
      <c r="AU143" s="344"/>
      <c r="AV143" s="344"/>
      <c r="AW143" s="435">
        <f t="shared" si="32"/>
        <v>0</v>
      </c>
      <c r="AX143" s="438">
        <f t="shared" si="37"/>
        <v>0</v>
      </c>
    </row>
    <row r="144" spans="1:50">
      <c r="A144" s="264"/>
      <c r="B144" s="326"/>
      <c r="C144" s="327"/>
      <c r="D144" s="327"/>
      <c r="E144" s="371">
        <f t="shared" si="33"/>
        <v>140185</v>
      </c>
      <c r="F144" s="372">
        <f t="shared" si="34"/>
        <v>0</v>
      </c>
      <c r="G144" s="264"/>
      <c r="H144" s="414"/>
      <c r="I144" s="415"/>
      <c r="J144" s="428">
        <f t="shared" si="38"/>
        <v>1066262</v>
      </c>
      <c r="K144" s="416"/>
      <c r="L144" s="430">
        <f t="shared" si="29"/>
        <v>0</v>
      </c>
      <c r="M144" s="328"/>
      <c r="O144" s="417"/>
      <c r="P144" s="418"/>
      <c r="Q144" s="419"/>
      <c r="R144" s="419"/>
      <c r="S144" s="419"/>
      <c r="T144" s="419"/>
      <c r="U144" s="419"/>
      <c r="V144" s="432">
        <f t="shared" si="30"/>
        <v>5000000</v>
      </c>
      <c r="W144" s="420"/>
      <c r="X144" s="336"/>
      <c r="Y144" s="337"/>
      <c r="Z144" s="338"/>
      <c r="AA144" s="383">
        <f t="shared" si="35"/>
        <v>202452</v>
      </c>
      <c r="AB144" s="339"/>
      <c r="AC144" s="384">
        <f t="shared" si="40"/>
        <v>0</v>
      </c>
      <c r="AD144" s="336"/>
      <c r="AE144" s="329"/>
      <c r="AF144" s="330"/>
      <c r="AG144" s="375">
        <f t="shared" si="36"/>
        <v>466700</v>
      </c>
      <c r="AH144" s="331"/>
      <c r="AI144" s="377">
        <f t="shared" si="41"/>
        <v>0</v>
      </c>
      <c r="AJ144" s="336"/>
      <c r="AK144" s="336"/>
      <c r="AL144" s="336"/>
      <c r="AM144" s="340"/>
      <c r="AN144" s="341"/>
      <c r="AO144" s="341"/>
      <c r="AP144" s="386">
        <f t="shared" si="39"/>
        <v>827481</v>
      </c>
      <c r="AQ144" s="342"/>
      <c r="AR144" s="389">
        <f t="shared" si="31"/>
        <v>0</v>
      </c>
      <c r="AT144" s="343"/>
      <c r="AU144" s="344"/>
      <c r="AV144" s="344"/>
      <c r="AW144" s="435">
        <f t="shared" si="32"/>
        <v>0</v>
      </c>
      <c r="AX144" s="438">
        <f t="shared" si="37"/>
        <v>0</v>
      </c>
    </row>
    <row r="145" spans="1:50">
      <c r="A145" s="264"/>
      <c r="B145" s="326"/>
      <c r="C145" s="327"/>
      <c r="D145" s="327"/>
      <c r="E145" s="371">
        <f t="shared" si="33"/>
        <v>140185</v>
      </c>
      <c r="F145" s="372">
        <f t="shared" si="34"/>
        <v>0</v>
      </c>
      <c r="G145" s="264"/>
      <c r="H145" s="414"/>
      <c r="I145" s="415"/>
      <c r="J145" s="428">
        <f t="shared" si="38"/>
        <v>1066262</v>
      </c>
      <c r="K145" s="416"/>
      <c r="L145" s="430">
        <f t="shared" si="29"/>
        <v>0</v>
      </c>
      <c r="M145" s="328"/>
      <c r="O145" s="417"/>
      <c r="P145" s="418"/>
      <c r="Q145" s="419"/>
      <c r="R145" s="419"/>
      <c r="S145" s="419"/>
      <c r="T145" s="419"/>
      <c r="U145" s="419"/>
      <c r="V145" s="432">
        <f t="shared" si="30"/>
        <v>5000000</v>
      </c>
      <c r="W145" s="420"/>
      <c r="X145" s="336"/>
      <c r="Y145" s="337"/>
      <c r="Z145" s="338"/>
      <c r="AA145" s="383">
        <f t="shared" si="35"/>
        <v>202452</v>
      </c>
      <c r="AB145" s="339"/>
      <c r="AC145" s="384">
        <f t="shared" si="40"/>
        <v>0</v>
      </c>
      <c r="AD145" s="336"/>
      <c r="AE145" s="329"/>
      <c r="AF145" s="330"/>
      <c r="AG145" s="375">
        <f t="shared" si="36"/>
        <v>466700</v>
      </c>
      <c r="AH145" s="331"/>
      <c r="AI145" s="377">
        <f t="shared" si="41"/>
        <v>0</v>
      </c>
      <c r="AJ145" s="336"/>
      <c r="AK145" s="336"/>
      <c r="AL145" s="336"/>
      <c r="AM145" s="340"/>
      <c r="AN145" s="341"/>
      <c r="AO145" s="341"/>
      <c r="AP145" s="386">
        <f t="shared" si="39"/>
        <v>827481</v>
      </c>
      <c r="AQ145" s="342"/>
      <c r="AR145" s="389">
        <f t="shared" si="31"/>
        <v>0</v>
      </c>
      <c r="AT145" s="343"/>
      <c r="AU145" s="344"/>
      <c r="AV145" s="344"/>
      <c r="AW145" s="435">
        <f t="shared" si="32"/>
        <v>0</v>
      </c>
      <c r="AX145" s="438">
        <f t="shared" si="37"/>
        <v>0</v>
      </c>
    </row>
    <row r="146" spans="1:50">
      <c r="A146" s="264"/>
      <c r="B146" s="326"/>
      <c r="C146" s="327"/>
      <c r="D146" s="327"/>
      <c r="E146" s="371">
        <f t="shared" si="33"/>
        <v>140185</v>
      </c>
      <c r="F146" s="372">
        <f t="shared" si="34"/>
        <v>0</v>
      </c>
      <c r="G146" s="264"/>
      <c r="H146" s="414"/>
      <c r="I146" s="415"/>
      <c r="J146" s="428">
        <f t="shared" si="38"/>
        <v>1066262</v>
      </c>
      <c r="K146" s="416"/>
      <c r="L146" s="430">
        <f t="shared" si="29"/>
        <v>0</v>
      </c>
      <c r="M146" s="328"/>
      <c r="O146" s="417"/>
      <c r="P146" s="418"/>
      <c r="Q146" s="419"/>
      <c r="R146" s="419"/>
      <c r="S146" s="419"/>
      <c r="T146" s="419"/>
      <c r="U146" s="419"/>
      <c r="V146" s="432">
        <f t="shared" si="30"/>
        <v>5000000</v>
      </c>
      <c r="W146" s="420"/>
      <c r="X146" s="336"/>
      <c r="Y146" s="337"/>
      <c r="Z146" s="338"/>
      <c r="AA146" s="383">
        <f t="shared" si="35"/>
        <v>202452</v>
      </c>
      <c r="AB146" s="339"/>
      <c r="AC146" s="384">
        <f t="shared" si="40"/>
        <v>0</v>
      </c>
      <c r="AD146" s="336"/>
      <c r="AE146" s="329"/>
      <c r="AF146" s="330"/>
      <c r="AG146" s="375">
        <f t="shared" si="36"/>
        <v>466700</v>
      </c>
      <c r="AH146" s="331"/>
      <c r="AI146" s="377">
        <f t="shared" si="41"/>
        <v>0</v>
      </c>
      <c r="AJ146" s="336"/>
      <c r="AK146" s="336"/>
      <c r="AL146" s="336"/>
      <c r="AM146" s="340"/>
      <c r="AN146" s="341"/>
      <c r="AO146" s="341"/>
      <c r="AP146" s="386">
        <f t="shared" si="39"/>
        <v>827481</v>
      </c>
      <c r="AQ146" s="342"/>
      <c r="AR146" s="389">
        <f t="shared" si="31"/>
        <v>0</v>
      </c>
      <c r="AT146" s="343"/>
      <c r="AU146" s="344"/>
      <c r="AV146" s="344"/>
      <c r="AW146" s="435">
        <f t="shared" si="32"/>
        <v>0</v>
      </c>
      <c r="AX146" s="438">
        <f t="shared" si="37"/>
        <v>0</v>
      </c>
    </row>
    <row r="147" spans="1:50">
      <c r="A147" s="264"/>
      <c r="B147" s="326"/>
      <c r="C147" s="327"/>
      <c r="D147" s="327"/>
      <c r="E147" s="371">
        <f t="shared" si="33"/>
        <v>140185</v>
      </c>
      <c r="F147" s="372">
        <f t="shared" si="34"/>
        <v>0</v>
      </c>
      <c r="G147" s="264"/>
      <c r="H147" s="414"/>
      <c r="I147" s="415"/>
      <c r="J147" s="428">
        <f t="shared" si="38"/>
        <v>1066262</v>
      </c>
      <c r="K147" s="416"/>
      <c r="L147" s="430">
        <f t="shared" si="29"/>
        <v>0</v>
      </c>
      <c r="M147" s="328"/>
      <c r="O147" s="417"/>
      <c r="P147" s="418"/>
      <c r="Q147" s="419"/>
      <c r="R147" s="419"/>
      <c r="S147" s="419"/>
      <c r="T147" s="419"/>
      <c r="U147" s="419"/>
      <c r="V147" s="432">
        <f t="shared" si="30"/>
        <v>5000000</v>
      </c>
      <c r="W147" s="420"/>
      <c r="X147" s="336"/>
      <c r="Y147" s="337"/>
      <c r="Z147" s="338"/>
      <c r="AA147" s="383">
        <f t="shared" si="35"/>
        <v>202452</v>
      </c>
      <c r="AB147" s="339"/>
      <c r="AC147" s="384">
        <f t="shared" si="40"/>
        <v>0</v>
      </c>
      <c r="AD147" s="336"/>
      <c r="AE147" s="329"/>
      <c r="AF147" s="330"/>
      <c r="AG147" s="375">
        <f t="shared" si="36"/>
        <v>466700</v>
      </c>
      <c r="AH147" s="331"/>
      <c r="AI147" s="377">
        <f t="shared" si="41"/>
        <v>0</v>
      </c>
      <c r="AJ147" s="336"/>
      <c r="AK147" s="336"/>
      <c r="AL147" s="336"/>
      <c r="AM147" s="340"/>
      <c r="AN147" s="341"/>
      <c r="AO147" s="341"/>
      <c r="AP147" s="386">
        <f t="shared" si="39"/>
        <v>827481</v>
      </c>
      <c r="AQ147" s="342"/>
      <c r="AR147" s="389">
        <f t="shared" si="31"/>
        <v>0</v>
      </c>
      <c r="AT147" s="343"/>
      <c r="AU147" s="344"/>
      <c r="AV147" s="344"/>
      <c r="AW147" s="435">
        <f t="shared" si="32"/>
        <v>0</v>
      </c>
      <c r="AX147" s="438">
        <f t="shared" si="37"/>
        <v>0</v>
      </c>
    </row>
    <row r="148" spans="1:50">
      <c r="A148" s="264"/>
      <c r="B148" s="326"/>
      <c r="C148" s="327"/>
      <c r="D148" s="327"/>
      <c r="E148" s="371">
        <f t="shared" si="33"/>
        <v>140185</v>
      </c>
      <c r="F148" s="372">
        <f t="shared" si="34"/>
        <v>0</v>
      </c>
      <c r="G148" s="264"/>
      <c r="H148" s="414"/>
      <c r="I148" s="415"/>
      <c r="J148" s="428">
        <f t="shared" si="38"/>
        <v>1066262</v>
      </c>
      <c r="K148" s="416"/>
      <c r="L148" s="430">
        <f t="shared" si="29"/>
        <v>0</v>
      </c>
      <c r="M148" s="328"/>
      <c r="O148" s="417"/>
      <c r="P148" s="418"/>
      <c r="Q148" s="419"/>
      <c r="R148" s="419"/>
      <c r="S148" s="419"/>
      <c r="T148" s="419"/>
      <c r="U148" s="419"/>
      <c r="V148" s="432">
        <f t="shared" si="30"/>
        <v>5000000</v>
      </c>
      <c r="W148" s="420"/>
      <c r="X148" s="336"/>
      <c r="Y148" s="337"/>
      <c r="Z148" s="338"/>
      <c r="AA148" s="383">
        <f t="shared" si="35"/>
        <v>202452</v>
      </c>
      <c r="AB148" s="339"/>
      <c r="AC148" s="384">
        <f t="shared" si="40"/>
        <v>0</v>
      </c>
      <c r="AD148" s="336"/>
      <c r="AE148" s="329"/>
      <c r="AF148" s="330"/>
      <c r="AG148" s="375">
        <f t="shared" si="36"/>
        <v>466700</v>
      </c>
      <c r="AH148" s="331"/>
      <c r="AI148" s="377">
        <f t="shared" si="41"/>
        <v>0</v>
      </c>
      <c r="AJ148" s="336"/>
      <c r="AK148" s="336"/>
      <c r="AL148" s="336"/>
      <c r="AM148" s="340"/>
      <c r="AN148" s="341"/>
      <c r="AO148" s="341"/>
      <c r="AP148" s="386">
        <f t="shared" si="39"/>
        <v>827481</v>
      </c>
      <c r="AQ148" s="342"/>
      <c r="AR148" s="389">
        <f t="shared" si="31"/>
        <v>0</v>
      </c>
      <c r="AT148" s="343"/>
      <c r="AU148" s="344"/>
      <c r="AV148" s="344"/>
      <c r="AW148" s="435">
        <f t="shared" si="32"/>
        <v>0</v>
      </c>
      <c r="AX148" s="438">
        <f t="shared" si="37"/>
        <v>0</v>
      </c>
    </row>
    <row r="149" spans="1:50">
      <c r="A149" s="264"/>
      <c r="B149" s="326"/>
      <c r="C149" s="327"/>
      <c r="D149" s="327"/>
      <c r="E149" s="371">
        <f t="shared" si="33"/>
        <v>140185</v>
      </c>
      <c r="F149" s="372">
        <f t="shared" si="34"/>
        <v>0</v>
      </c>
      <c r="G149" s="264"/>
      <c r="H149" s="414"/>
      <c r="I149" s="415"/>
      <c r="J149" s="428">
        <f t="shared" si="38"/>
        <v>1066262</v>
      </c>
      <c r="K149" s="416"/>
      <c r="L149" s="430">
        <f t="shared" si="29"/>
        <v>0</v>
      </c>
      <c r="M149" s="328"/>
      <c r="O149" s="417"/>
      <c r="P149" s="418"/>
      <c r="Q149" s="419"/>
      <c r="R149" s="419"/>
      <c r="S149" s="419"/>
      <c r="T149" s="419"/>
      <c r="U149" s="419"/>
      <c r="V149" s="432">
        <f t="shared" si="30"/>
        <v>5000000</v>
      </c>
      <c r="W149" s="420"/>
      <c r="X149" s="336"/>
      <c r="Y149" s="337"/>
      <c r="Z149" s="338"/>
      <c r="AA149" s="383">
        <f t="shared" si="35"/>
        <v>202452</v>
      </c>
      <c r="AB149" s="339"/>
      <c r="AC149" s="384">
        <f t="shared" si="40"/>
        <v>0</v>
      </c>
      <c r="AD149" s="336"/>
      <c r="AE149" s="329"/>
      <c r="AF149" s="330"/>
      <c r="AG149" s="375">
        <f t="shared" si="36"/>
        <v>466700</v>
      </c>
      <c r="AH149" s="331"/>
      <c r="AI149" s="377">
        <f t="shared" si="41"/>
        <v>0</v>
      </c>
      <c r="AJ149" s="336"/>
      <c r="AK149" s="336"/>
      <c r="AL149" s="336"/>
      <c r="AM149" s="340"/>
      <c r="AN149" s="341"/>
      <c r="AO149" s="341"/>
      <c r="AP149" s="386">
        <f t="shared" si="39"/>
        <v>827481</v>
      </c>
      <c r="AQ149" s="342"/>
      <c r="AR149" s="389">
        <f t="shared" si="31"/>
        <v>0</v>
      </c>
      <c r="AT149" s="343"/>
      <c r="AU149" s="344"/>
      <c r="AV149" s="344"/>
      <c r="AW149" s="435">
        <f t="shared" si="32"/>
        <v>0</v>
      </c>
      <c r="AX149" s="438">
        <f t="shared" si="37"/>
        <v>0</v>
      </c>
    </row>
    <row r="150" spans="1:50">
      <c r="A150" s="264"/>
      <c r="B150" s="326"/>
      <c r="C150" s="327"/>
      <c r="D150" s="327"/>
      <c r="E150" s="371">
        <f t="shared" si="33"/>
        <v>140185</v>
      </c>
      <c r="F150" s="372">
        <f t="shared" si="34"/>
        <v>0</v>
      </c>
      <c r="G150" s="264"/>
      <c r="H150" s="414"/>
      <c r="I150" s="415"/>
      <c r="J150" s="428">
        <f t="shared" si="38"/>
        <v>1066262</v>
      </c>
      <c r="K150" s="416"/>
      <c r="L150" s="430">
        <f t="shared" si="29"/>
        <v>0</v>
      </c>
      <c r="M150" s="328"/>
      <c r="O150" s="417"/>
      <c r="P150" s="418"/>
      <c r="Q150" s="419"/>
      <c r="R150" s="419"/>
      <c r="S150" s="419"/>
      <c r="T150" s="419"/>
      <c r="U150" s="419"/>
      <c r="V150" s="432">
        <f t="shared" si="30"/>
        <v>5000000</v>
      </c>
      <c r="W150" s="420"/>
      <c r="X150" s="336"/>
      <c r="Y150" s="337"/>
      <c r="Z150" s="338"/>
      <c r="AA150" s="383">
        <f t="shared" si="35"/>
        <v>202452</v>
      </c>
      <c r="AB150" s="339"/>
      <c r="AC150" s="384">
        <f t="shared" si="40"/>
        <v>0</v>
      </c>
      <c r="AD150" s="336"/>
      <c r="AE150" s="329"/>
      <c r="AF150" s="330"/>
      <c r="AG150" s="375">
        <f t="shared" si="36"/>
        <v>466700</v>
      </c>
      <c r="AH150" s="331"/>
      <c r="AI150" s="377">
        <f t="shared" si="41"/>
        <v>0</v>
      </c>
      <c r="AJ150" s="336"/>
      <c r="AK150" s="336"/>
      <c r="AL150" s="336"/>
      <c r="AM150" s="340"/>
      <c r="AN150" s="341"/>
      <c r="AO150" s="341"/>
      <c r="AP150" s="386">
        <f t="shared" si="39"/>
        <v>827481</v>
      </c>
      <c r="AQ150" s="342"/>
      <c r="AR150" s="389">
        <f t="shared" si="31"/>
        <v>0</v>
      </c>
      <c r="AT150" s="343"/>
      <c r="AU150" s="344"/>
      <c r="AV150" s="344"/>
      <c r="AW150" s="435">
        <f t="shared" si="32"/>
        <v>0</v>
      </c>
      <c r="AX150" s="438">
        <f t="shared" si="37"/>
        <v>0</v>
      </c>
    </row>
    <row r="151" spans="1:50">
      <c r="A151" s="264"/>
      <c r="B151" s="326"/>
      <c r="C151" s="327"/>
      <c r="D151" s="327"/>
      <c r="E151" s="371">
        <f t="shared" si="33"/>
        <v>140185</v>
      </c>
      <c r="F151" s="372">
        <f t="shared" si="34"/>
        <v>0</v>
      </c>
      <c r="G151" s="264"/>
      <c r="H151" s="414"/>
      <c r="I151" s="415"/>
      <c r="J151" s="428">
        <f t="shared" si="38"/>
        <v>1066262</v>
      </c>
      <c r="K151" s="416"/>
      <c r="L151" s="430">
        <f t="shared" si="29"/>
        <v>0</v>
      </c>
      <c r="M151" s="328"/>
      <c r="O151" s="417"/>
      <c r="P151" s="418"/>
      <c r="Q151" s="419"/>
      <c r="R151" s="419"/>
      <c r="S151" s="419"/>
      <c r="T151" s="419"/>
      <c r="U151" s="419"/>
      <c r="V151" s="432">
        <f t="shared" si="30"/>
        <v>5000000</v>
      </c>
      <c r="W151" s="420"/>
      <c r="X151" s="336"/>
      <c r="Y151" s="337"/>
      <c r="Z151" s="338"/>
      <c r="AA151" s="383">
        <f t="shared" si="35"/>
        <v>202452</v>
      </c>
      <c r="AB151" s="339"/>
      <c r="AC151" s="384">
        <f t="shared" si="40"/>
        <v>0</v>
      </c>
      <c r="AD151" s="336"/>
      <c r="AE151" s="329"/>
      <c r="AF151" s="330"/>
      <c r="AG151" s="375">
        <f t="shared" si="36"/>
        <v>466700</v>
      </c>
      <c r="AH151" s="331"/>
      <c r="AI151" s="377">
        <f t="shared" si="41"/>
        <v>0</v>
      </c>
      <c r="AJ151" s="336"/>
      <c r="AK151" s="336"/>
      <c r="AL151" s="336"/>
      <c r="AM151" s="340"/>
      <c r="AN151" s="341"/>
      <c r="AO151" s="341"/>
      <c r="AP151" s="386">
        <f t="shared" si="39"/>
        <v>827481</v>
      </c>
      <c r="AQ151" s="342"/>
      <c r="AR151" s="389">
        <f t="shared" si="31"/>
        <v>0</v>
      </c>
      <c r="AT151" s="343"/>
      <c r="AU151" s="344"/>
      <c r="AV151" s="344"/>
      <c r="AW151" s="435">
        <f t="shared" si="32"/>
        <v>0</v>
      </c>
      <c r="AX151" s="438">
        <f t="shared" si="37"/>
        <v>0</v>
      </c>
    </row>
    <row r="152" spans="1:50">
      <c r="A152" s="264"/>
      <c r="B152" s="326"/>
      <c r="C152" s="327"/>
      <c r="D152" s="327"/>
      <c r="E152" s="371">
        <f t="shared" si="33"/>
        <v>140185</v>
      </c>
      <c r="F152" s="372">
        <f t="shared" si="34"/>
        <v>0</v>
      </c>
      <c r="G152" s="264"/>
      <c r="H152" s="414"/>
      <c r="I152" s="415"/>
      <c r="J152" s="428">
        <f t="shared" si="38"/>
        <v>1066262</v>
      </c>
      <c r="K152" s="416"/>
      <c r="L152" s="430">
        <f t="shared" si="29"/>
        <v>0</v>
      </c>
      <c r="M152" s="328"/>
      <c r="O152" s="417"/>
      <c r="P152" s="418"/>
      <c r="Q152" s="419"/>
      <c r="R152" s="419"/>
      <c r="S152" s="419"/>
      <c r="T152" s="419"/>
      <c r="U152" s="419"/>
      <c r="V152" s="432">
        <f t="shared" si="30"/>
        <v>5000000</v>
      </c>
      <c r="W152" s="420"/>
      <c r="X152" s="336"/>
      <c r="Y152" s="337"/>
      <c r="Z152" s="338"/>
      <c r="AA152" s="383">
        <f t="shared" si="35"/>
        <v>202452</v>
      </c>
      <c r="AB152" s="339"/>
      <c r="AC152" s="384">
        <f t="shared" si="40"/>
        <v>0</v>
      </c>
      <c r="AD152" s="336"/>
      <c r="AE152" s="329"/>
      <c r="AF152" s="330"/>
      <c r="AG152" s="375">
        <f t="shared" si="36"/>
        <v>466700</v>
      </c>
      <c r="AH152" s="331"/>
      <c r="AI152" s="377">
        <f t="shared" si="41"/>
        <v>0</v>
      </c>
      <c r="AJ152" s="336"/>
      <c r="AK152" s="336"/>
      <c r="AL152" s="336"/>
      <c r="AM152" s="340"/>
      <c r="AN152" s="341"/>
      <c r="AO152" s="341"/>
      <c r="AP152" s="386">
        <f t="shared" si="39"/>
        <v>827481</v>
      </c>
      <c r="AQ152" s="342"/>
      <c r="AR152" s="389">
        <f t="shared" si="31"/>
        <v>0</v>
      </c>
      <c r="AT152" s="343"/>
      <c r="AU152" s="344"/>
      <c r="AV152" s="344"/>
      <c r="AW152" s="435">
        <f t="shared" si="32"/>
        <v>0</v>
      </c>
      <c r="AX152" s="438">
        <f t="shared" si="37"/>
        <v>0</v>
      </c>
    </row>
    <row r="153" spans="1:50">
      <c r="A153" s="264"/>
      <c r="B153" s="326"/>
      <c r="C153" s="327"/>
      <c r="D153" s="327"/>
      <c r="E153" s="371">
        <f t="shared" si="33"/>
        <v>140185</v>
      </c>
      <c r="F153" s="372">
        <f t="shared" si="34"/>
        <v>0</v>
      </c>
      <c r="G153" s="264"/>
      <c r="H153" s="414"/>
      <c r="I153" s="415"/>
      <c r="J153" s="428">
        <f t="shared" si="38"/>
        <v>1066262</v>
      </c>
      <c r="K153" s="416"/>
      <c r="L153" s="430">
        <f t="shared" si="29"/>
        <v>0</v>
      </c>
      <c r="M153" s="328"/>
      <c r="O153" s="417"/>
      <c r="P153" s="418"/>
      <c r="Q153" s="419"/>
      <c r="R153" s="419"/>
      <c r="S153" s="419"/>
      <c r="T153" s="419"/>
      <c r="U153" s="419"/>
      <c r="V153" s="432">
        <f t="shared" si="30"/>
        <v>5000000</v>
      </c>
      <c r="W153" s="420"/>
      <c r="X153" s="336"/>
      <c r="Y153" s="337"/>
      <c r="Z153" s="338"/>
      <c r="AA153" s="383">
        <f t="shared" si="35"/>
        <v>202452</v>
      </c>
      <c r="AB153" s="339"/>
      <c r="AC153" s="384">
        <f t="shared" si="40"/>
        <v>0</v>
      </c>
      <c r="AD153" s="336"/>
      <c r="AE153" s="329"/>
      <c r="AF153" s="330"/>
      <c r="AG153" s="375">
        <f t="shared" si="36"/>
        <v>466700</v>
      </c>
      <c r="AH153" s="331"/>
      <c r="AI153" s="377">
        <f t="shared" si="41"/>
        <v>0</v>
      </c>
      <c r="AJ153" s="336"/>
      <c r="AK153" s="336"/>
      <c r="AL153" s="336"/>
      <c r="AM153" s="340"/>
      <c r="AN153" s="341"/>
      <c r="AO153" s="341"/>
      <c r="AP153" s="386">
        <f t="shared" si="39"/>
        <v>827481</v>
      </c>
      <c r="AQ153" s="342"/>
      <c r="AR153" s="389">
        <f t="shared" si="31"/>
        <v>0</v>
      </c>
      <c r="AT153" s="343"/>
      <c r="AU153" s="344"/>
      <c r="AV153" s="344"/>
      <c r="AW153" s="435">
        <f t="shared" si="32"/>
        <v>0</v>
      </c>
      <c r="AX153" s="438">
        <f t="shared" si="37"/>
        <v>0</v>
      </c>
    </row>
    <row r="154" spans="1:50">
      <c r="A154" s="264"/>
      <c r="B154" s="326"/>
      <c r="C154" s="327"/>
      <c r="D154" s="327"/>
      <c r="E154" s="371">
        <f t="shared" si="33"/>
        <v>140185</v>
      </c>
      <c r="F154" s="372">
        <f t="shared" si="34"/>
        <v>0</v>
      </c>
      <c r="G154" s="264"/>
      <c r="H154" s="414"/>
      <c r="I154" s="415"/>
      <c r="J154" s="428">
        <f t="shared" si="38"/>
        <v>1066262</v>
      </c>
      <c r="K154" s="416"/>
      <c r="L154" s="430">
        <f t="shared" si="29"/>
        <v>0</v>
      </c>
      <c r="M154" s="328"/>
      <c r="O154" s="417"/>
      <c r="P154" s="418"/>
      <c r="Q154" s="419"/>
      <c r="R154" s="419"/>
      <c r="S154" s="419"/>
      <c r="T154" s="419"/>
      <c r="U154" s="419"/>
      <c r="V154" s="432">
        <f t="shared" si="30"/>
        <v>5000000</v>
      </c>
      <c r="W154" s="420"/>
      <c r="X154" s="336"/>
      <c r="Y154" s="337"/>
      <c r="Z154" s="338"/>
      <c r="AA154" s="383">
        <f t="shared" si="35"/>
        <v>202452</v>
      </c>
      <c r="AB154" s="339"/>
      <c r="AC154" s="384">
        <f t="shared" si="40"/>
        <v>0</v>
      </c>
      <c r="AD154" s="336"/>
      <c r="AE154" s="329"/>
      <c r="AF154" s="330"/>
      <c r="AG154" s="375">
        <f t="shared" si="36"/>
        <v>466700</v>
      </c>
      <c r="AH154" s="331"/>
      <c r="AI154" s="377">
        <f t="shared" si="41"/>
        <v>0</v>
      </c>
      <c r="AJ154" s="336"/>
      <c r="AK154" s="336"/>
      <c r="AL154" s="336"/>
      <c r="AM154" s="340"/>
      <c r="AN154" s="341"/>
      <c r="AO154" s="341"/>
      <c r="AP154" s="386">
        <f t="shared" si="39"/>
        <v>827481</v>
      </c>
      <c r="AQ154" s="342"/>
      <c r="AR154" s="389">
        <f t="shared" si="31"/>
        <v>0</v>
      </c>
      <c r="AT154" s="343"/>
      <c r="AU154" s="344"/>
      <c r="AV154" s="344"/>
      <c r="AW154" s="435">
        <f t="shared" si="32"/>
        <v>0</v>
      </c>
      <c r="AX154" s="438">
        <f t="shared" si="37"/>
        <v>0</v>
      </c>
    </row>
    <row r="155" spans="1:50">
      <c r="A155" s="264"/>
      <c r="B155" s="326"/>
      <c r="C155" s="327"/>
      <c r="D155" s="327"/>
      <c r="E155" s="371">
        <f t="shared" si="33"/>
        <v>140185</v>
      </c>
      <c r="F155" s="372">
        <f t="shared" si="34"/>
        <v>0</v>
      </c>
      <c r="G155" s="264"/>
      <c r="H155" s="414"/>
      <c r="I155" s="415"/>
      <c r="J155" s="428">
        <f t="shared" si="38"/>
        <v>1066262</v>
      </c>
      <c r="K155" s="416"/>
      <c r="L155" s="430">
        <f t="shared" si="29"/>
        <v>0</v>
      </c>
      <c r="M155" s="328"/>
      <c r="O155" s="417"/>
      <c r="P155" s="418"/>
      <c r="Q155" s="419"/>
      <c r="R155" s="419"/>
      <c r="S155" s="419"/>
      <c r="T155" s="419"/>
      <c r="U155" s="419"/>
      <c r="V155" s="432">
        <f t="shared" si="30"/>
        <v>5000000</v>
      </c>
      <c r="W155" s="420"/>
      <c r="X155" s="336"/>
      <c r="Y155" s="337"/>
      <c r="Z155" s="338"/>
      <c r="AA155" s="383">
        <f t="shared" si="35"/>
        <v>202452</v>
      </c>
      <c r="AB155" s="339"/>
      <c r="AC155" s="384">
        <f t="shared" si="40"/>
        <v>0</v>
      </c>
      <c r="AD155" s="336"/>
      <c r="AE155" s="329"/>
      <c r="AF155" s="330"/>
      <c r="AG155" s="375">
        <f t="shared" si="36"/>
        <v>466700</v>
      </c>
      <c r="AH155" s="331"/>
      <c r="AI155" s="377">
        <f t="shared" si="41"/>
        <v>0</v>
      </c>
      <c r="AJ155" s="336"/>
      <c r="AK155" s="336"/>
      <c r="AL155" s="336"/>
      <c r="AM155" s="340"/>
      <c r="AN155" s="341"/>
      <c r="AO155" s="341"/>
      <c r="AP155" s="386">
        <f t="shared" si="39"/>
        <v>827481</v>
      </c>
      <c r="AQ155" s="342"/>
      <c r="AR155" s="389">
        <f t="shared" si="31"/>
        <v>0</v>
      </c>
      <c r="AT155" s="343"/>
      <c r="AU155" s="344"/>
      <c r="AV155" s="344"/>
      <c r="AW155" s="435">
        <f t="shared" si="32"/>
        <v>0</v>
      </c>
      <c r="AX155" s="438">
        <f t="shared" si="37"/>
        <v>0</v>
      </c>
    </row>
    <row r="156" spans="1:50">
      <c r="A156" s="264"/>
      <c r="B156" s="326"/>
      <c r="C156" s="327"/>
      <c r="D156" s="327"/>
      <c r="E156" s="371">
        <f t="shared" si="33"/>
        <v>140185</v>
      </c>
      <c r="F156" s="372">
        <f t="shared" si="34"/>
        <v>0</v>
      </c>
      <c r="G156" s="264"/>
      <c r="H156" s="414"/>
      <c r="I156" s="415"/>
      <c r="J156" s="428">
        <f t="shared" si="38"/>
        <v>1066262</v>
      </c>
      <c r="K156" s="416"/>
      <c r="L156" s="430">
        <f t="shared" si="29"/>
        <v>0</v>
      </c>
      <c r="M156" s="328"/>
      <c r="O156" s="417"/>
      <c r="P156" s="418"/>
      <c r="Q156" s="419"/>
      <c r="R156" s="419"/>
      <c r="S156" s="419"/>
      <c r="T156" s="419"/>
      <c r="U156" s="419"/>
      <c r="V156" s="432">
        <f t="shared" si="30"/>
        <v>5000000</v>
      </c>
      <c r="W156" s="420"/>
      <c r="X156" s="336"/>
      <c r="Y156" s="337"/>
      <c r="Z156" s="338"/>
      <c r="AA156" s="383">
        <f t="shared" si="35"/>
        <v>202452</v>
      </c>
      <c r="AB156" s="339"/>
      <c r="AC156" s="384">
        <f t="shared" si="40"/>
        <v>0</v>
      </c>
      <c r="AD156" s="336"/>
      <c r="AE156" s="329"/>
      <c r="AF156" s="330"/>
      <c r="AG156" s="375">
        <f t="shared" si="36"/>
        <v>466700</v>
      </c>
      <c r="AH156" s="331"/>
      <c r="AI156" s="377">
        <f t="shared" si="41"/>
        <v>0</v>
      </c>
      <c r="AJ156" s="336"/>
      <c r="AK156" s="336"/>
      <c r="AL156" s="336"/>
      <c r="AM156" s="340"/>
      <c r="AN156" s="341"/>
      <c r="AO156" s="341"/>
      <c r="AP156" s="386">
        <f t="shared" si="39"/>
        <v>827481</v>
      </c>
      <c r="AQ156" s="342"/>
      <c r="AR156" s="389">
        <f t="shared" si="31"/>
        <v>0</v>
      </c>
      <c r="AT156" s="343"/>
      <c r="AU156" s="344"/>
      <c r="AV156" s="344"/>
      <c r="AW156" s="435">
        <f t="shared" si="32"/>
        <v>0</v>
      </c>
      <c r="AX156" s="438">
        <f t="shared" si="37"/>
        <v>0</v>
      </c>
    </row>
    <row r="157" spans="1:50">
      <c r="A157" s="264"/>
      <c r="B157" s="326"/>
      <c r="C157" s="327"/>
      <c r="D157" s="327"/>
      <c r="E157" s="371">
        <f t="shared" si="33"/>
        <v>140185</v>
      </c>
      <c r="F157" s="372">
        <f t="shared" si="34"/>
        <v>0</v>
      </c>
      <c r="G157" s="264"/>
      <c r="H157" s="414"/>
      <c r="I157" s="415"/>
      <c r="J157" s="428">
        <f t="shared" si="38"/>
        <v>1066262</v>
      </c>
      <c r="K157" s="416"/>
      <c r="L157" s="430">
        <f t="shared" si="29"/>
        <v>0</v>
      </c>
      <c r="M157" s="328"/>
      <c r="O157" s="417"/>
      <c r="P157" s="418"/>
      <c r="Q157" s="419"/>
      <c r="R157" s="419"/>
      <c r="S157" s="419"/>
      <c r="T157" s="419"/>
      <c r="U157" s="419"/>
      <c r="V157" s="432">
        <f t="shared" si="30"/>
        <v>5000000</v>
      </c>
      <c r="W157" s="420"/>
      <c r="X157" s="336"/>
      <c r="Y157" s="337"/>
      <c r="Z157" s="338"/>
      <c r="AA157" s="383">
        <f t="shared" si="35"/>
        <v>202452</v>
      </c>
      <c r="AB157" s="339"/>
      <c r="AC157" s="384">
        <f t="shared" si="40"/>
        <v>0</v>
      </c>
      <c r="AD157" s="336"/>
      <c r="AE157" s="329"/>
      <c r="AF157" s="330"/>
      <c r="AG157" s="375">
        <f t="shared" si="36"/>
        <v>466700</v>
      </c>
      <c r="AH157" s="331"/>
      <c r="AI157" s="377">
        <f t="shared" si="41"/>
        <v>0</v>
      </c>
      <c r="AJ157" s="336"/>
      <c r="AK157" s="336"/>
      <c r="AL157" s="336"/>
      <c r="AM157" s="340"/>
      <c r="AN157" s="341"/>
      <c r="AO157" s="341"/>
      <c r="AP157" s="386">
        <f t="shared" si="39"/>
        <v>827481</v>
      </c>
      <c r="AQ157" s="342"/>
      <c r="AR157" s="389">
        <f t="shared" si="31"/>
        <v>0</v>
      </c>
      <c r="AT157" s="343"/>
      <c r="AU157" s="344"/>
      <c r="AV157" s="344"/>
      <c r="AW157" s="435">
        <f t="shared" si="32"/>
        <v>0</v>
      </c>
      <c r="AX157" s="438">
        <f t="shared" si="37"/>
        <v>0</v>
      </c>
    </row>
    <row r="158" spans="1:50">
      <c r="A158" s="264"/>
      <c r="B158" s="326"/>
      <c r="C158" s="327"/>
      <c r="D158" s="327"/>
      <c r="E158" s="371">
        <f t="shared" si="33"/>
        <v>140185</v>
      </c>
      <c r="F158" s="372">
        <f t="shared" si="34"/>
        <v>0</v>
      </c>
      <c r="G158" s="264"/>
      <c r="H158" s="414"/>
      <c r="I158" s="415"/>
      <c r="J158" s="428">
        <f t="shared" si="38"/>
        <v>1066262</v>
      </c>
      <c r="K158" s="416"/>
      <c r="L158" s="430">
        <f t="shared" si="29"/>
        <v>0</v>
      </c>
      <c r="M158" s="328"/>
      <c r="O158" s="417"/>
      <c r="P158" s="418"/>
      <c r="Q158" s="419"/>
      <c r="R158" s="419"/>
      <c r="S158" s="419"/>
      <c r="T158" s="419"/>
      <c r="U158" s="419"/>
      <c r="V158" s="432">
        <f t="shared" si="30"/>
        <v>5000000</v>
      </c>
      <c r="W158" s="420"/>
      <c r="X158" s="336"/>
      <c r="Y158" s="337"/>
      <c r="Z158" s="338"/>
      <c r="AA158" s="383">
        <f t="shared" si="35"/>
        <v>202452</v>
      </c>
      <c r="AB158" s="339"/>
      <c r="AC158" s="384">
        <f t="shared" si="40"/>
        <v>0</v>
      </c>
      <c r="AD158" s="336"/>
      <c r="AE158" s="329"/>
      <c r="AF158" s="330"/>
      <c r="AG158" s="375">
        <f t="shared" si="36"/>
        <v>466700</v>
      </c>
      <c r="AH158" s="331"/>
      <c r="AI158" s="377">
        <f t="shared" si="41"/>
        <v>0</v>
      </c>
      <c r="AJ158" s="336"/>
      <c r="AK158" s="336"/>
      <c r="AL158" s="336"/>
      <c r="AM158" s="340"/>
      <c r="AN158" s="341"/>
      <c r="AO158" s="341"/>
      <c r="AP158" s="386">
        <f t="shared" si="39"/>
        <v>827481</v>
      </c>
      <c r="AQ158" s="342"/>
      <c r="AR158" s="389">
        <f t="shared" si="31"/>
        <v>0</v>
      </c>
      <c r="AT158" s="343"/>
      <c r="AU158" s="344"/>
      <c r="AV158" s="344"/>
      <c r="AW158" s="435">
        <f t="shared" si="32"/>
        <v>0</v>
      </c>
      <c r="AX158" s="438">
        <f t="shared" si="37"/>
        <v>0</v>
      </c>
    </row>
    <row r="159" spans="1:50">
      <c r="A159" s="264"/>
      <c r="B159" s="326"/>
      <c r="C159" s="327"/>
      <c r="D159" s="327"/>
      <c r="E159" s="371">
        <f t="shared" si="33"/>
        <v>140185</v>
      </c>
      <c r="F159" s="372">
        <f t="shared" si="34"/>
        <v>0</v>
      </c>
      <c r="G159" s="264"/>
      <c r="H159" s="414"/>
      <c r="I159" s="415"/>
      <c r="J159" s="428">
        <f t="shared" si="38"/>
        <v>1066262</v>
      </c>
      <c r="K159" s="416"/>
      <c r="L159" s="430">
        <f t="shared" si="29"/>
        <v>0</v>
      </c>
      <c r="M159" s="328"/>
      <c r="O159" s="417"/>
      <c r="P159" s="418"/>
      <c r="Q159" s="419"/>
      <c r="R159" s="419"/>
      <c r="S159" s="419"/>
      <c r="T159" s="419"/>
      <c r="U159" s="419"/>
      <c r="V159" s="432">
        <f t="shared" si="30"/>
        <v>5000000</v>
      </c>
      <c r="W159" s="420"/>
      <c r="X159" s="336"/>
      <c r="Y159" s="337"/>
      <c r="Z159" s="338"/>
      <c r="AA159" s="383">
        <f t="shared" si="35"/>
        <v>202452</v>
      </c>
      <c r="AB159" s="339"/>
      <c r="AC159" s="384">
        <f t="shared" si="40"/>
        <v>0</v>
      </c>
      <c r="AD159" s="336"/>
      <c r="AE159" s="329"/>
      <c r="AF159" s="330"/>
      <c r="AG159" s="375">
        <f t="shared" si="36"/>
        <v>466700</v>
      </c>
      <c r="AH159" s="331"/>
      <c r="AI159" s="377">
        <f t="shared" si="41"/>
        <v>0</v>
      </c>
      <c r="AJ159" s="336"/>
      <c r="AK159" s="336"/>
      <c r="AL159" s="336"/>
      <c r="AM159" s="340"/>
      <c r="AN159" s="341"/>
      <c r="AO159" s="341"/>
      <c r="AP159" s="386">
        <f t="shared" si="39"/>
        <v>827481</v>
      </c>
      <c r="AQ159" s="342"/>
      <c r="AR159" s="389">
        <f t="shared" si="31"/>
        <v>0</v>
      </c>
      <c r="AT159" s="343"/>
      <c r="AU159" s="344"/>
      <c r="AV159" s="344"/>
      <c r="AW159" s="435">
        <f t="shared" si="32"/>
        <v>0</v>
      </c>
      <c r="AX159" s="438">
        <f t="shared" si="37"/>
        <v>0</v>
      </c>
    </row>
    <row r="160" spans="1:50">
      <c r="A160" s="264"/>
      <c r="B160" s="326"/>
      <c r="C160" s="327"/>
      <c r="D160" s="327"/>
      <c r="E160" s="371">
        <f t="shared" si="33"/>
        <v>140185</v>
      </c>
      <c r="F160" s="372">
        <f t="shared" si="34"/>
        <v>0</v>
      </c>
      <c r="G160" s="264"/>
      <c r="H160" s="414"/>
      <c r="I160" s="415"/>
      <c r="J160" s="428">
        <f t="shared" si="38"/>
        <v>1066262</v>
      </c>
      <c r="K160" s="416"/>
      <c r="L160" s="430">
        <f t="shared" si="29"/>
        <v>0</v>
      </c>
      <c r="M160" s="328"/>
      <c r="O160" s="417"/>
      <c r="P160" s="418"/>
      <c r="Q160" s="419"/>
      <c r="R160" s="419"/>
      <c r="S160" s="419"/>
      <c r="T160" s="419"/>
      <c r="U160" s="419"/>
      <c r="V160" s="432">
        <f t="shared" si="30"/>
        <v>5000000</v>
      </c>
      <c r="W160" s="420"/>
      <c r="X160" s="336"/>
      <c r="Y160" s="337"/>
      <c r="Z160" s="338"/>
      <c r="AA160" s="383">
        <f t="shared" si="35"/>
        <v>202452</v>
      </c>
      <c r="AB160" s="339"/>
      <c r="AC160" s="384">
        <f t="shared" si="40"/>
        <v>0</v>
      </c>
      <c r="AD160" s="336"/>
      <c r="AE160" s="329"/>
      <c r="AF160" s="330"/>
      <c r="AG160" s="375">
        <f t="shared" si="36"/>
        <v>466700</v>
      </c>
      <c r="AH160" s="331"/>
      <c r="AI160" s="377">
        <f t="shared" si="41"/>
        <v>0</v>
      </c>
      <c r="AJ160" s="336"/>
      <c r="AK160" s="336"/>
      <c r="AL160" s="336"/>
      <c r="AM160" s="340"/>
      <c r="AN160" s="341"/>
      <c r="AO160" s="341"/>
      <c r="AP160" s="386">
        <f t="shared" si="39"/>
        <v>827481</v>
      </c>
      <c r="AQ160" s="342"/>
      <c r="AR160" s="389">
        <f t="shared" si="31"/>
        <v>0</v>
      </c>
      <c r="AT160" s="343"/>
      <c r="AU160" s="344"/>
      <c r="AV160" s="344"/>
      <c r="AW160" s="435">
        <f t="shared" si="32"/>
        <v>0</v>
      </c>
      <c r="AX160" s="438">
        <f t="shared" si="37"/>
        <v>0</v>
      </c>
    </row>
    <row r="161" spans="1:50">
      <c r="A161" s="264"/>
      <c r="B161" s="326"/>
      <c r="C161" s="327"/>
      <c r="D161" s="327"/>
      <c r="E161" s="371">
        <f t="shared" si="33"/>
        <v>140185</v>
      </c>
      <c r="F161" s="372">
        <f t="shared" si="34"/>
        <v>0</v>
      </c>
      <c r="G161" s="264"/>
      <c r="H161" s="414"/>
      <c r="I161" s="415"/>
      <c r="J161" s="428">
        <f t="shared" si="38"/>
        <v>1066262</v>
      </c>
      <c r="K161" s="416"/>
      <c r="L161" s="430">
        <f t="shared" si="29"/>
        <v>0</v>
      </c>
      <c r="M161" s="328"/>
      <c r="O161" s="417"/>
      <c r="P161" s="418"/>
      <c r="Q161" s="419"/>
      <c r="R161" s="419"/>
      <c r="S161" s="419"/>
      <c r="T161" s="419"/>
      <c r="U161" s="419"/>
      <c r="V161" s="432">
        <f t="shared" si="30"/>
        <v>5000000</v>
      </c>
      <c r="W161" s="420"/>
      <c r="X161" s="336"/>
      <c r="Y161" s="337"/>
      <c r="Z161" s="338"/>
      <c r="AA161" s="383">
        <f t="shared" si="35"/>
        <v>202452</v>
      </c>
      <c r="AB161" s="339"/>
      <c r="AC161" s="384">
        <f t="shared" si="40"/>
        <v>0</v>
      </c>
      <c r="AD161" s="336"/>
      <c r="AE161" s="329"/>
      <c r="AF161" s="330"/>
      <c r="AG161" s="375">
        <f t="shared" si="36"/>
        <v>466700</v>
      </c>
      <c r="AH161" s="331"/>
      <c r="AI161" s="377">
        <f t="shared" si="41"/>
        <v>0</v>
      </c>
      <c r="AJ161" s="336"/>
      <c r="AK161" s="336"/>
      <c r="AL161" s="336"/>
      <c r="AM161" s="340"/>
      <c r="AN161" s="341"/>
      <c r="AO161" s="341"/>
      <c r="AP161" s="386">
        <f t="shared" si="39"/>
        <v>827481</v>
      </c>
      <c r="AQ161" s="342"/>
      <c r="AR161" s="389">
        <f t="shared" si="31"/>
        <v>0</v>
      </c>
      <c r="AT161" s="343"/>
      <c r="AU161" s="344"/>
      <c r="AV161" s="344"/>
      <c r="AW161" s="435">
        <f t="shared" si="32"/>
        <v>0</v>
      </c>
      <c r="AX161" s="438">
        <f t="shared" si="37"/>
        <v>0</v>
      </c>
    </row>
    <row r="162" spans="1:50">
      <c r="A162" s="264"/>
      <c r="B162" s="326"/>
      <c r="C162" s="327"/>
      <c r="D162" s="327"/>
      <c r="E162" s="371">
        <f t="shared" si="33"/>
        <v>140185</v>
      </c>
      <c r="F162" s="372">
        <f t="shared" si="34"/>
        <v>0</v>
      </c>
      <c r="G162" s="264"/>
      <c r="H162" s="414"/>
      <c r="I162" s="415"/>
      <c r="J162" s="428">
        <f t="shared" si="38"/>
        <v>1066262</v>
      </c>
      <c r="K162" s="416"/>
      <c r="L162" s="430">
        <f t="shared" si="29"/>
        <v>0</v>
      </c>
      <c r="M162" s="328"/>
      <c r="O162" s="417"/>
      <c r="P162" s="418"/>
      <c r="Q162" s="419"/>
      <c r="R162" s="419"/>
      <c r="S162" s="419"/>
      <c r="T162" s="419"/>
      <c r="U162" s="419"/>
      <c r="V162" s="432">
        <f t="shared" si="30"/>
        <v>5000000</v>
      </c>
      <c r="W162" s="420"/>
      <c r="X162" s="336"/>
      <c r="Y162" s="337"/>
      <c r="Z162" s="338"/>
      <c r="AA162" s="383">
        <f t="shared" si="35"/>
        <v>202452</v>
      </c>
      <c r="AB162" s="339"/>
      <c r="AC162" s="384">
        <f t="shared" si="40"/>
        <v>0</v>
      </c>
      <c r="AD162" s="336"/>
      <c r="AE162" s="329"/>
      <c r="AF162" s="330"/>
      <c r="AG162" s="375">
        <f t="shared" si="36"/>
        <v>466700</v>
      </c>
      <c r="AH162" s="331"/>
      <c r="AI162" s="377">
        <f t="shared" si="41"/>
        <v>0</v>
      </c>
      <c r="AJ162" s="336"/>
      <c r="AK162" s="336"/>
      <c r="AL162" s="336"/>
      <c r="AM162" s="340"/>
      <c r="AN162" s="341"/>
      <c r="AO162" s="341"/>
      <c r="AP162" s="386">
        <f t="shared" si="39"/>
        <v>827481</v>
      </c>
      <c r="AQ162" s="342"/>
      <c r="AR162" s="389">
        <f t="shared" si="31"/>
        <v>0</v>
      </c>
      <c r="AT162" s="343"/>
      <c r="AU162" s="344"/>
      <c r="AV162" s="344"/>
      <c r="AW162" s="435">
        <f t="shared" si="32"/>
        <v>0</v>
      </c>
      <c r="AX162" s="438">
        <f t="shared" si="37"/>
        <v>0</v>
      </c>
    </row>
    <row r="163" spans="1:50">
      <c r="A163" s="264"/>
      <c r="B163" s="326"/>
      <c r="C163" s="327"/>
      <c r="D163" s="327"/>
      <c r="E163" s="371">
        <f t="shared" si="33"/>
        <v>140185</v>
      </c>
      <c r="F163" s="372">
        <f t="shared" si="34"/>
        <v>0</v>
      </c>
      <c r="G163" s="264"/>
      <c r="H163" s="414"/>
      <c r="I163" s="415"/>
      <c r="J163" s="428">
        <f t="shared" si="38"/>
        <v>1066262</v>
      </c>
      <c r="K163" s="416"/>
      <c r="L163" s="430">
        <f t="shared" si="29"/>
        <v>0</v>
      </c>
      <c r="M163" s="328"/>
      <c r="O163" s="417"/>
      <c r="P163" s="418"/>
      <c r="Q163" s="419"/>
      <c r="R163" s="419"/>
      <c r="S163" s="419"/>
      <c r="T163" s="419"/>
      <c r="U163" s="419"/>
      <c r="V163" s="432">
        <f t="shared" si="30"/>
        <v>5000000</v>
      </c>
      <c r="W163" s="420"/>
      <c r="X163" s="336"/>
      <c r="Y163" s="337"/>
      <c r="Z163" s="338"/>
      <c r="AA163" s="383">
        <f t="shared" si="35"/>
        <v>202452</v>
      </c>
      <c r="AB163" s="339"/>
      <c r="AC163" s="384">
        <f t="shared" si="40"/>
        <v>0</v>
      </c>
      <c r="AD163" s="336"/>
      <c r="AE163" s="329"/>
      <c r="AF163" s="330"/>
      <c r="AG163" s="375">
        <f t="shared" si="36"/>
        <v>466700</v>
      </c>
      <c r="AH163" s="331"/>
      <c r="AI163" s="377">
        <f t="shared" si="41"/>
        <v>0</v>
      </c>
      <c r="AJ163" s="336"/>
      <c r="AK163" s="336"/>
      <c r="AL163" s="336"/>
      <c r="AM163" s="340"/>
      <c r="AN163" s="341"/>
      <c r="AO163" s="341"/>
      <c r="AP163" s="386">
        <f t="shared" si="39"/>
        <v>827481</v>
      </c>
      <c r="AQ163" s="342"/>
      <c r="AR163" s="389">
        <f t="shared" si="31"/>
        <v>0</v>
      </c>
      <c r="AT163" s="343"/>
      <c r="AU163" s="344"/>
      <c r="AV163" s="344"/>
      <c r="AW163" s="435">
        <f t="shared" si="32"/>
        <v>0</v>
      </c>
      <c r="AX163" s="438">
        <f t="shared" si="37"/>
        <v>0</v>
      </c>
    </row>
    <row r="164" spans="1:50">
      <c r="A164" s="264"/>
      <c r="B164" s="326"/>
      <c r="C164" s="327"/>
      <c r="D164" s="327"/>
      <c r="E164" s="371">
        <f t="shared" si="33"/>
        <v>140185</v>
      </c>
      <c r="F164" s="372">
        <f t="shared" si="34"/>
        <v>0</v>
      </c>
      <c r="G164" s="264"/>
      <c r="H164" s="414"/>
      <c r="I164" s="415"/>
      <c r="J164" s="428">
        <f t="shared" si="38"/>
        <v>1066262</v>
      </c>
      <c r="K164" s="416"/>
      <c r="L164" s="430">
        <f t="shared" si="29"/>
        <v>0</v>
      </c>
      <c r="M164" s="328"/>
      <c r="O164" s="417"/>
      <c r="P164" s="418"/>
      <c r="Q164" s="419"/>
      <c r="R164" s="419"/>
      <c r="S164" s="419"/>
      <c r="T164" s="419"/>
      <c r="U164" s="419"/>
      <c r="V164" s="432">
        <f t="shared" si="30"/>
        <v>5000000</v>
      </c>
      <c r="W164" s="420"/>
      <c r="X164" s="336"/>
      <c r="Y164" s="337"/>
      <c r="Z164" s="338"/>
      <c r="AA164" s="383">
        <f t="shared" si="35"/>
        <v>202452</v>
      </c>
      <c r="AB164" s="339"/>
      <c r="AC164" s="384">
        <f t="shared" si="40"/>
        <v>0</v>
      </c>
      <c r="AD164" s="336"/>
      <c r="AE164" s="329"/>
      <c r="AF164" s="330"/>
      <c r="AG164" s="375">
        <f t="shared" si="36"/>
        <v>466700</v>
      </c>
      <c r="AH164" s="331"/>
      <c r="AI164" s="377">
        <f t="shared" si="41"/>
        <v>0</v>
      </c>
      <c r="AJ164" s="336"/>
      <c r="AK164" s="336"/>
      <c r="AL164" s="336"/>
      <c r="AM164" s="340"/>
      <c r="AN164" s="341"/>
      <c r="AO164" s="341"/>
      <c r="AP164" s="386">
        <f t="shared" si="39"/>
        <v>827481</v>
      </c>
      <c r="AQ164" s="342"/>
      <c r="AR164" s="389">
        <f t="shared" si="31"/>
        <v>0</v>
      </c>
      <c r="AT164" s="343"/>
      <c r="AU164" s="344"/>
      <c r="AV164" s="344"/>
      <c r="AW164" s="435">
        <f t="shared" si="32"/>
        <v>0</v>
      </c>
      <c r="AX164" s="438">
        <f t="shared" si="37"/>
        <v>0</v>
      </c>
    </row>
    <row r="165" spans="1:50">
      <c r="A165" s="264"/>
      <c r="B165" s="326"/>
      <c r="C165" s="327"/>
      <c r="D165" s="327"/>
      <c r="E165" s="371">
        <f t="shared" si="33"/>
        <v>140185</v>
      </c>
      <c r="F165" s="372">
        <f t="shared" si="34"/>
        <v>0</v>
      </c>
      <c r="G165" s="264"/>
      <c r="H165" s="414"/>
      <c r="I165" s="415"/>
      <c r="J165" s="428">
        <f t="shared" si="38"/>
        <v>1066262</v>
      </c>
      <c r="K165" s="416"/>
      <c r="L165" s="430">
        <f t="shared" si="29"/>
        <v>0</v>
      </c>
      <c r="M165" s="328"/>
      <c r="O165" s="417"/>
      <c r="P165" s="418"/>
      <c r="Q165" s="419"/>
      <c r="R165" s="419"/>
      <c r="S165" s="419"/>
      <c r="T165" s="419"/>
      <c r="U165" s="419"/>
      <c r="V165" s="432">
        <f t="shared" si="30"/>
        <v>5000000</v>
      </c>
      <c r="W165" s="420"/>
      <c r="X165" s="336"/>
      <c r="Y165" s="337"/>
      <c r="Z165" s="338"/>
      <c r="AA165" s="383">
        <f t="shared" si="35"/>
        <v>202452</v>
      </c>
      <c r="AB165" s="339"/>
      <c r="AC165" s="384">
        <f t="shared" si="40"/>
        <v>0</v>
      </c>
      <c r="AD165" s="336"/>
      <c r="AE165" s="329"/>
      <c r="AF165" s="330"/>
      <c r="AG165" s="375">
        <f t="shared" si="36"/>
        <v>466700</v>
      </c>
      <c r="AH165" s="331"/>
      <c r="AI165" s="377">
        <f t="shared" si="41"/>
        <v>0</v>
      </c>
      <c r="AJ165" s="336"/>
      <c r="AK165" s="336"/>
      <c r="AL165" s="336"/>
      <c r="AM165" s="340"/>
      <c r="AN165" s="341"/>
      <c r="AO165" s="341"/>
      <c r="AP165" s="386">
        <f t="shared" si="39"/>
        <v>827481</v>
      </c>
      <c r="AQ165" s="342"/>
      <c r="AR165" s="389">
        <f t="shared" si="31"/>
        <v>0</v>
      </c>
      <c r="AT165" s="343"/>
      <c r="AU165" s="344"/>
      <c r="AV165" s="344"/>
      <c r="AW165" s="435">
        <f t="shared" si="32"/>
        <v>0</v>
      </c>
      <c r="AX165" s="438">
        <f t="shared" si="37"/>
        <v>0</v>
      </c>
    </row>
    <row r="166" spans="1:50">
      <c r="A166" s="264"/>
      <c r="B166" s="326"/>
      <c r="C166" s="327"/>
      <c r="D166" s="327"/>
      <c r="E166" s="371">
        <f t="shared" si="33"/>
        <v>140185</v>
      </c>
      <c r="F166" s="372">
        <f t="shared" si="34"/>
        <v>0</v>
      </c>
      <c r="G166" s="264"/>
      <c r="H166" s="414"/>
      <c r="I166" s="415"/>
      <c r="J166" s="428">
        <f t="shared" si="38"/>
        <v>1066262</v>
      </c>
      <c r="K166" s="416"/>
      <c r="L166" s="430">
        <f t="shared" si="29"/>
        <v>0</v>
      </c>
      <c r="M166" s="328"/>
      <c r="O166" s="417"/>
      <c r="P166" s="418"/>
      <c r="Q166" s="419"/>
      <c r="R166" s="419"/>
      <c r="S166" s="419"/>
      <c r="T166" s="419"/>
      <c r="U166" s="419"/>
      <c r="V166" s="432">
        <f t="shared" si="30"/>
        <v>5000000</v>
      </c>
      <c r="W166" s="420"/>
      <c r="X166" s="336"/>
      <c r="Y166" s="337"/>
      <c r="Z166" s="338"/>
      <c r="AA166" s="383">
        <f t="shared" si="35"/>
        <v>202452</v>
      </c>
      <c r="AB166" s="339"/>
      <c r="AC166" s="384">
        <f t="shared" si="40"/>
        <v>0</v>
      </c>
      <c r="AD166" s="336"/>
      <c r="AE166" s="329"/>
      <c r="AF166" s="330"/>
      <c r="AG166" s="375">
        <f t="shared" si="36"/>
        <v>466700</v>
      </c>
      <c r="AH166" s="331"/>
      <c r="AI166" s="377">
        <f t="shared" si="41"/>
        <v>0</v>
      </c>
      <c r="AJ166" s="336"/>
      <c r="AK166" s="336"/>
      <c r="AL166" s="336"/>
      <c r="AM166" s="340"/>
      <c r="AN166" s="341"/>
      <c r="AO166" s="341"/>
      <c r="AP166" s="386">
        <f t="shared" si="39"/>
        <v>827481</v>
      </c>
      <c r="AQ166" s="342"/>
      <c r="AR166" s="389">
        <f t="shared" si="31"/>
        <v>0</v>
      </c>
      <c r="AT166" s="343"/>
      <c r="AU166" s="344"/>
      <c r="AV166" s="344"/>
      <c r="AW166" s="435">
        <f t="shared" si="32"/>
        <v>0</v>
      </c>
      <c r="AX166" s="438">
        <f t="shared" si="37"/>
        <v>0</v>
      </c>
    </row>
    <row r="167" spans="1:50">
      <c r="A167" s="264"/>
      <c r="B167" s="326"/>
      <c r="C167" s="327"/>
      <c r="D167" s="327"/>
      <c r="E167" s="371">
        <f t="shared" si="33"/>
        <v>140185</v>
      </c>
      <c r="F167" s="372">
        <f t="shared" si="34"/>
        <v>0</v>
      </c>
      <c r="G167" s="264"/>
      <c r="H167" s="414"/>
      <c r="I167" s="415"/>
      <c r="J167" s="428">
        <f t="shared" si="38"/>
        <v>1066262</v>
      </c>
      <c r="K167" s="416"/>
      <c r="L167" s="430">
        <f t="shared" si="29"/>
        <v>0</v>
      </c>
      <c r="M167" s="328"/>
      <c r="O167" s="417"/>
      <c r="P167" s="418"/>
      <c r="Q167" s="419"/>
      <c r="R167" s="419"/>
      <c r="S167" s="419"/>
      <c r="T167" s="419"/>
      <c r="U167" s="419"/>
      <c r="V167" s="432">
        <f t="shared" si="30"/>
        <v>5000000</v>
      </c>
      <c r="W167" s="420"/>
      <c r="X167" s="336"/>
      <c r="Y167" s="337"/>
      <c r="Z167" s="338"/>
      <c r="AA167" s="383">
        <f t="shared" si="35"/>
        <v>202452</v>
      </c>
      <c r="AB167" s="339"/>
      <c r="AC167" s="384">
        <f t="shared" si="40"/>
        <v>0</v>
      </c>
      <c r="AD167" s="336"/>
      <c r="AE167" s="329"/>
      <c r="AF167" s="330"/>
      <c r="AG167" s="375">
        <f t="shared" si="36"/>
        <v>466700</v>
      </c>
      <c r="AH167" s="331"/>
      <c r="AI167" s="377">
        <f t="shared" si="41"/>
        <v>0</v>
      </c>
      <c r="AJ167" s="336"/>
      <c r="AK167" s="336"/>
      <c r="AL167" s="336"/>
      <c r="AM167" s="340"/>
      <c r="AN167" s="341"/>
      <c r="AO167" s="341"/>
      <c r="AP167" s="386">
        <f t="shared" si="39"/>
        <v>827481</v>
      </c>
      <c r="AQ167" s="342"/>
      <c r="AR167" s="389">
        <f t="shared" si="31"/>
        <v>0</v>
      </c>
      <c r="AT167" s="343"/>
      <c r="AU167" s="344"/>
      <c r="AV167" s="344"/>
      <c r="AW167" s="435">
        <f t="shared" si="32"/>
        <v>0</v>
      </c>
      <c r="AX167" s="438">
        <f t="shared" si="37"/>
        <v>0</v>
      </c>
    </row>
    <row r="168" spans="1:50">
      <c r="A168" s="264"/>
      <c r="B168" s="326"/>
      <c r="C168" s="327"/>
      <c r="D168" s="327"/>
      <c r="E168" s="371">
        <f t="shared" si="33"/>
        <v>140185</v>
      </c>
      <c r="F168" s="372">
        <f t="shared" si="34"/>
        <v>0</v>
      </c>
      <c r="G168" s="264"/>
      <c r="H168" s="414"/>
      <c r="I168" s="415"/>
      <c r="J168" s="428">
        <f t="shared" si="38"/>
        <v>1066262</v>
      </c>
      <c r="K168" s="416"/>
      <c r="L168" s="430">
        <f t="shared" si="29"/>
        <v>0</v>
      </c>
      <c r="M168" s="328"/>
      <c r="O168" s="417"/>
      <c r="P168" s="418"/>
      <c r="Q168" s="419"/>
      <c r="R168" s="419"/>
      <c r="S168" s="419"/>
      <c r="T168" s="419"/>
      <c r="U168" s="419"/>
      <c r="V168" s="432">
        <f t="shared" si="30"/>
        <v>5000000</v>
      </c>
      <c r="W168" s="420"/>
      <c r="X168" s="336"/>
      <c r="Y168" s="337"/>
      <c r="Z168" s="338"/>
      <c r="AA168" s="383">
        <f t="shared" si="35"/>
        <v>202452</v>
      </c>
      <c r="AB168" s="339"/>
      <c r="AC168" s="384">
        <f t="shared" si="40"/>
        <v>0</v>
      </c>
      <c r="AD168" s="336"/>
      <c r="AE168" s="329"/>
      <c r="AF168" s="330"/>
      <c r="AG168" s="375">
        <f t="shared" si="36"/>
        <v>466700</v>
      </c>
      <c r="AH168" s="331"/>
      <c r="AI168" s="377">
        <f t="shared" si="41"/>
        <v>0</v>
      </c>
      <c r="AJ168" s="336"/>
      <c r="AK168" s="336"/>
      <c r="AL168" s="336"/>
      <c r="AM168" s="340"/>
      <c r="AN168" s="341"/>
      <c r="AO168" s="341"/>
      <c r="AP168" s="386">
        <f t="shared" si="39"/>
        <v>827481</v>
      </c>
      <c r="AQ168" s="342"/>
      <c r="AR168" s="389">
        <f t="shared" si="31"/>
        <v>0</v>
      </c>
      <c r="AT168" s="343"/>
      <c r="AU168" s="344"/>
      <c r="AV168" s="344"/>
      <c r="AW168" s="435">
        <f t="shared" si="32"/>
        <v>0</v>
      </c>
      <c r="AX168" s="438">
        <f t="shared" si="37"/>
        <v>0</v>
      </c>
    </row>
    <row r="169" spans="1:50">
      <c r="A169" s="264"/>
      <c r="B169" s="326"/>
      <c r="C169" s="327"/>
      <c r="D169" s="327"/>
      <c r="E169" s="371">
        <f t="shared" si="33"/>
        <v>140185</v>
      </c>
      <c r="F169" s="372">
        <f t="shared" si="34"/>
        <v>0</v>
      </c>
      <c r="G169" s="264"/>
      <c r="H169" s="414"/>
      <c r="I169" s="415"/>
      <c r="J169" s="428">
        <f t="shared" si="38"/>
        <v>1066262</v>
      </c>
      <c r="K169" s="416"/>
      <c r="L169" s="430">
        <f t="shared" si="29"/>
        <v>0</v>
      </c>
      <c r="M169" s="328"/>
      <c r="O169" s="417"/>
      <c r="P169" s="418"/>
      <c r="Q169" s="419"/>
      <c r="R169" s="419"/>
      <c r="S169" s="419"/>
      <c r="T169" s="419"/>
      <c r="U169" s="419"/>
      <c r="V169" s="432">
        <f t="shared" si="30"/>
        <v>5000000</v>
      </c>
      <c r="W169" s="420"/>
      <c r="X169" s="336"/>
      <c r="Y169" s="337"/>
      <c r="Z169" s="338"/>
      <c r="AA169" s="383">
        <f t="shared" si="35"/>
        <v>202452</v>
      </c>
      <c r="AB169" s="339"/>
      <c r="AC169" s="384">
        <f t="shared" si="40"/>
        <v>0</v>
      </c>
      <c r="AD169" s="336"/>
      <c r="AE169" s="329"/>
      <c r="AF169" s="330"/>
      <c r="AG169" s="375">
        <f t="shared" si="36"/>
        <v>466700</v>
      </c>
      <c r="AH169" s="331"/>
      <c r="AI169" s="377">
        <f t="shared" si="41"/>
        <v>0</v>
      </c>
      <c r="AJ169" s="336"/>
      <c r="AK169" s="336"/>
      <c r="AL169" s="336"/>
      <c r="AM169" s="340"/>
      <c r="AN169" s="341"/>
      <c r="AO169" s="341"/>
      <c r="AP169" s="386">
        <f t="shared" si="39"/>
        <v>827481</v>
      </c>
      <c r="AQ169" s="342"/>
      <c r="AR169" s="389">
        <f t="shared" si="31"/>
        <v>0</v>
      </c>
      <c r="AT169" s="343"/>
      <c r="AU169" s="344"/>
      <c r="AV169" s="344"/>
      <c r="AW169" s="435">
        <f t="shared" si="32"/>
        <v>0</v>
      </c>
      <c r="AX169" s="438">
        <f t="shared" si="37"/>
        <v>0</v>
      </c>
    </row>
    <row r="170" spans="1:50">
      <c r="A170" s="264"/>
      <c r="B170" s="326"/>
      <c r="C170" s="327"/>
      <c r="D170" s="327"/>
      <c r="E170" s="371">
        <f t="shared" si="33"/>
        <v>140185</v>
      </c>
      <c r="F170" s="372">
        <f t="shared" si="34"/>
        <v>0</v>
      </c>
      <c r="G170" s="264"/>
      <c r="H170" s="414"/>
      <c r="I170" s="415"/>
      <c r="J170" s="428">
        <f t="shared" si="38"/>
        <v>1066262</v>
      </c>
      <c r="K170" s="416"/>
      <c r="L170" s="430">
        <f t="shared" si="29"/>
        <v>0</v>
      </c>
      <c r="M170" s="328"/>
      <c r="O170" s="417"/>
      <c r="P170" s="418"/>
      <c r="Q170" s="419"/>
      <c r="R170" s="419"/>
      <c r="S170" s="419"/>
      <c r="T170" s="419"/>
      <c r="U170" s="419"/>
      <c r="V170" s="432">
        <f t="shared" si="30"/>
        <v>5000000</v>
      </c>
      <c r="W170" s="420"/>
      <c r="X170" s="336"/>
      <c r="Y170" s="337"/>
      <c r="Z170" s="338"/>
      <c r="AA170" s="383">
        <f t="shared" si="35"/>
        <v>202452</v>
      </c>
      <c r="AB170" s="339"/>
      <c r="AC170" s="384">
        <f t="shared" si="40"/>
        <v>0</v>
      </c>
      <c r="AD170" s="336"/>
      <c r="AE170" s="329"/>
      <c r="AF170" s="330"/>
      <c r="AG170" s="375">
        <f t="shared" si="36"/>
        <v>466700</v>
      </c>
      <c r="AH170" s="331"/>
      <c r="AI170" s="377">
        <f t="shared" si="41"/>
        <v>0</v>
      </c>
      <c r="AJ170" s="336"/>
      <c r="AK170" s="336"/>
      <c r="AL170" s="336"/>
      <c r="AM170" s="340"/>
      <c r="AN170" s="341"/>
      <c r="AO170" s="341"/>
      <c r="AP170" s="386">
        <f t="shared" si="39"/>
        <v>827481</v>
      </c>
      <c r="AQ170" s="342"/>
      <c r="AR170" s="389">
        <f t="shared" si="31"/>
        <v>0</v>
      </c>
      <c r="AT170" s="343"/>
      <c r="AU170" s="344"/>
      <c r="AV170" s="344"/>
      <c r="AW170" s="435">
        <f t="shared" si="32"/>
        <v>0</v>
      </c>
      <c r="AX170" s="438">
        <f t="shared" si="37"/>
        <v>0</v>
      </c>
    </row>
    <row r="171" spans="1:50">
      <c r="A171" s="264"/>
      <c r="B171" s="326"/>
      <c r="C171" s="327"/>
      <c r="D171" s="327"/>
      <c r="E171" s="371">
        <f t="shared" si="33"/>
        <v>140185</v>
      </c>
      <c r="F171" s="372">
        <f t="shared" si="34"/>
        <v>0</v>
      </c>
      <c r="G171" s="264"/>
      <c r="H171" s="414"/>
      <c r="I171" s="415"/>
      <c r="J171" s="428">
        <f t="shared" si="38"/>
        <v>1066262</v>
      </c>
      <c r="K171" s="416"/>
      <c r="L171" s="430">
        <f t="shared" si="29"/>
        <v>0</v>
      </c>
      <c r="M171" s="328"/>
      <c r="O171" s="417"/>
      <c r="P171" s="418"/>
      <c r="Q171" s="419"/>
      <c r="R171" s="419"/>
      <c r="S171" s="419"/>
      <c r="T171" s="419"/>
      <c r="U171" s="419"/>
      <c r="V171" s="432">
        <f t="shared" si="30"/>
        <v>5000000</v>
      </c>
      <c r="W171" s="420"/>
      <c r="X171" s="336"/>
      <c r="Y171" s="337"/>
      <c r="Z171" s="338"/>
      <c r="AA171" s="383">
        <f t="shared" si="35"/>
        <v>202452</v>
      </c>
      <c r="AB171" s="339"/>
      <c r="AC171" s="384">
        <f t="shared" si="40"/>
        <v>0</v>
      </c>
      <c r="AD171" s="336"/>
      <c r="AE171" s="329"/>
      <c r="AF171" s="330"/>
      <c r="AG171" s="375">
        <f t="shared" si="36"/>
        <v>466700</v>
      </c>
      <c r="AH171" s="331"/>
      <c r="AI171" s="377">
        <f t="shared" si="41"/>
        <v>0</v>
      </c>
      <c r="AJ171" s="336"/>
      <c r="AK171" s="336"/>
      <c r="AL171" s="336"/>
      <c r="AM171" s="340"/>
      <c r="AN171" s="341"/>
      <c r="AO171" s="341"/>
      <c r="AP171" s="386">
        <f t="shared" si="39"/>
        <v>827481</v>
      </c>
      <c r="AQ171" s="342"/>
      <c r="AR171" s="389">
        <f t="shared" si="31"/>
        <v>0</v>
      </c>
      <c r="AT171" s="343"/>
      <c r="AU171" s="344"/>
      <c r="AV171" s="344"/>
      <c r="AW171" s="435">
        <f t="shared" si="32"/>
        <v>0</v>
      </c>
      <c r="AX171" s="438">
        <f t="shared" si="37"/>
        <v>0</v>
      </c>
    </row>
    <row r="172" spans="1:50">
      <c r="A172" s="264"/>
      <c r="B172" s="326"/>
      <c r="C172" s="327"/>
      <c r="D172" s="327"/>
      <c r="E172" s="371">
        <f t="shared" si="33"/>
        <v>140185</v>
      </c>
      <c r="F172" s="372">
        <f t="shared" si="34"/>
        <v>0</v>
      </c>
      <c r="G172" s="264"/>
      <c r="H172" s="414"/>
      <c r="I172" s="415"/>
      <c r="J172" s="428">
        <f t="shared" si="38"/>
        <v>1066262</v>
      </c>
      <c r="K172" s="416"/>
      <c r="L172" s="430">
        <f t="shared" si="29"/>
        <v>0</v>
      </c>
      <c r="M172" s="328"/>
      <c r="O172" s="417"/>
      <c r="P172" s="418"/>
      <c r="Q172" s="419"/>
      <c r="R172" s="419"/>
      <c r="S172" s="419"/>
      <c r="T172" s="419"/>
      <c r="U172" s="419"/>
      <c r="V172" s="432">
        <f t="shared" si="30"/>
        <v>5000000</v>
      </c>
      <c r="W172" s="420"/>
      <c r="X172" s="336"/>
      <c r="Y172" s="337"/>
      <c r="Z172" s="338"/>
      <c r="AA172" s="383">
        <f t="shared" si="35"/>
        <v>202452</v>
      </c>
      <c r="AB172" s="339"/>
      <c r="AC172" s="384">
        <f t="shared" si="40"/>
        <v>0</v>
      </c>
      <c r="AD172" s="336"/>
      <c r="AE172" s="329"/>
      <c r="AF172" s="330"/>
      <c r="AG172" s="375">
        <f t="shared" si="36"/>
        <v>466700</v>
      </c>
      <c r="AH172" s="331"/>
      <c r="AI172" s="377">
        <f t="shared" si="41"/>
        <v>0</v>
      </c>
      <c r="AJ172" s="336"/>
      <c r="AK172" s="336"/>
      <c r="AL172" s="336"/>
      <c r="AM172" s="340"/>
      <c r="AN172" s="341"/>
      <c r="AO172" s="341"/>
      <c r="AP172" s="386">
        <f t="shared" si="39"/>
        <v>827481</v>
      </c>
      <c r="AQ172" s="342"/>
      <c r="AR172" s="389">
        <f t="shared" si="31"/>
        <v>0</v>
      </c>
      <c r="AT172" s="343"/>
      <c r="AU172" s="344"/>
      <c r="AV172" s="344"/>
      <c r="AW172" s="435">
        <f t="shared" si="32"/>
        <v>0</v>
      </c>
      <c r="AX172" s="438">
        <f t="shared" si="37"/>
        <v>0</v>
      </c>
    </row>
    <row r="173" spans="1:50">
      <c r="A173" s="264"/>
      <c r="B173" s="326"/>
      <c r="C173" s="327"/>
      <c r="D173" s="327"/>
      <c r="E173" s="371">
        <f t="shared" si="33"/>
        <v>140185</v>
      </c>
      <c r="F173" s="372">
        <f t="shared" si="34"/>
        <v>0</v>
      </c>
      <c r="G173" s="264"/>
      <c r="H173" s="414"/>
      <c r="I173" s="415"/>
      <c r="J173" s="428">
        <f t="shared" si="38"/>
        <v>1066262</v>
      </c>
      <c r="K173" s="416"/>
      <c r="L173" s="430">
        <f t="shared" si="29"/>
        <v>0</v>
      </c>
      <c r="M173" s="328"/>
      <c r="O173" s="417"/>
      <c r="P173" s="418"/>
      <c r="Q173" s="419"/>
      <c r="R173" s="419"/>
      <c r="S173" s="419"/>
      <c r="T173" s="419"/>
      <c r="U173" s="419"/>
      <c r="V173" s="432">
        <f t="shared" si="30"/>
        <v>5000000</v>
      </c>
      <c r="W173" s="420"/>
      <c r="X173" s="336"/>
      <c r="Y173" s="337"/>
      <c r="Z173" s="338"/>
      <c r="AA173" s="383">
        <f t="shared" si="35"/>
        <v>202452</v>
      </c>
      <c r="AB173" s="339"/>
      <c r="AC173" s="384">
        <f t="shared" si="40"/>
        <v>0</v>
      </c>
      <c r="AD173" s="336"/>
      <c r="AE173" s="329"/>
      <c r="AF173" s="330"/>
      <c r="AG173" s="375">
        <f t="shared" si="36"/>
        <v>466700</v>
      </c>
      <c r="AH173" s="331"/>
      <c r="AI173" s="377">
        <f t="shared" si="41"/>
        <v>0</v>
      </c>
      <c r="AJ173" s="336"/>
      <c r="AK173" s="336"/>
      <c r="AL173" s="336"/>
      <c r="AM173" s="340"/>
      <c r="AN173" s="341"/>
      <c r="AO173" s="341"/>
      <c r="AP173" s="386">
        <f t="shared" si="39"/>
        <v>827481</v>
      </c>
      <c r="AQ173" s="342"/>
      <c r="AR173" s="389">
        <f t="shared" si="31"/>
        <v>0</v>
      </c>
      <c r="AT173" s="343"/>
      <c r="AU173" s="344"/>
      <c r="AV173" s="344"/>
      <c r="AW173" s="435">
        <f t="shared" si="32"/>
        <v>0</v>
      </c>
      <c r="AX173" s="438">
        <f t="shared" si="37"/>
        <v>0</v>
      </c>
    </row>
    <row r="174" spans="1:50">
      <c r="A174" s="264"/>
      <c r="B174" s="326"/>
      <c r="C174" s="327"/>
      <c r="D174" s="327"/>
      <c r="E174" s="371">
        <f t="shared" si="33"/>
        <v>140185</v>
      </c>
      <c r="F174" s="372">
        <f t="shared" si="34"/>
        <v>0</v>
      </c>
      <c r="G174" s="264"/>
      <c r="H174" s="414"/>
      <c r="I174" s="415"/>
      <c r="J174" s="428">
        <f t="shared" si="38"/>
        <v>1066262</v>
      </c>
      <c r="K174" s="416"/>
      <c r="L174" s="430">
        <f t="shared" si="29"/>
        <v>0</v>
      </c>
      <c r="M174" s="328"/>
      <c r="O174" s="417"/>
      <c r="P174" s="418"/>
      <c r="Q174" s="419"/>
      <c r="R174" s="419"/>
      <c r="S174" s="419"/>
      <c r="T174" s="419"/>
      <c r="U174" s="419"/>
      <c r="V174" s="432">
        <f t="shared" si="30"/>
        <v>5000000</v>
      </c>
      <c r="W174" s="420"/>
      <c r="X174" s="336"/>
      <c r="Y174" s="337"/>
      <c r="Z174" s="338"/>
      <c r="AA174" s="383">
        <f t="shared" si="35"/>
        <v>202452</v>
      </c>
      <c r="AB174" s="339"/>
      <c r="AC174" s="384">
        <f t="shared" si="40"/>
        <v>0</v>
      </c>
      <c r="AD174" s="336"/>
      <c r="AE174" s="329"/>
      <c r="AF174" s="330"/>
      <c r="AG174" s="375">
        <f t="shared" si="36"/>
        <v>466700</v>
      </c>
      <c r="AH174" s="331"/>
      <c r="AI174" s="377">
        <f t="shared" si="41"/>
        <v>0</v>
      </c>
      <c r="AJ174" s="336"/>
      <c r="AK174" s="336"/>
      <c r="AL174" s="336"/>
      <c r="AM174" s="340"/>
      <c r="AN174" s="341"/>
      <c r="AO174" s="341"/>
      <c r="AP174" s="386">
        <f t="shared" si="39"/>
        <v>827481</v>
      </c>
      <c r="AQ174" s="342"/>
      <c r="AR174" s="389">
        <f t="shared" si="31"/>
        <v>0</v>
      </c>
      <c r="AT174" s="343"/>
      <c r="AU174" s="344"/>
      <c r="AV174" s="344"/>
      <c r="AW174" s="435">
        <f t="shared" si="32"/>
        <v>0</v>
      </c>
      <c r="AX174" s="438">
        <f t="shared" si="37"/>
        <v>0</v>
      </c>
    </row>
    <row r="175" spans="1:50">
      <c r="A175" s="264"/>
      <c r="B175" s="326"/>
      <c r="C175" s="327"/>
      <c r="D175" s="327"/>
      <c r="E175" s="371">
        <f t="shared" si="33"/>
        <v>140185</v>
      </c>
      <c r="F175" s="372">
        <f t="shared" si="34"/>
        <v>0</v>
      </c>
      <c r="G175" s="264"/>
      <c r="H175" s="414"/>
      <c r="I175" s="415"/>
      <c r="J175" s="428">
        <f t="shared" si="38"/>
        <v>1066262</v>
      </c>
      <c r="K175" s="416"/>
      <c r="L175" s="430">
        <f t="shared" si="29"/>
        <v>0</v>
      </c>
      <c r="M175" s="328"/>
      <c r="O175" s="417"/>
      <c r="P175" s="418"/>
      <c r="Q175" s="419"/>
      <c r="R175" s="419"/>
      <c r="S175" s="419"/>
      <c r="T175" s="419"/>
      <c r="U175" s="419"/>
      <c r="V175" s="432">
        <f t="shared" si="30"/>
        <v>5000000</v>
      </c>
      <c r="W175" s="420"/>
      <c r="X175" s="336"/>
      <c r="Y175" s="337"/>
      <c r="Z175" s="338"/>
      <c r="AA175" s="383">
        <f t="shared" si="35"/>
        <v>202452</v>
      </c>
      <c r="AB175" s="339"/>
      <c r="AC175" s="384">
        <f t="shared" si="40"/>
        <v>0</v>
      </c>
      <c r="AD175" s="336"/>
      <c r="AE175" s="329"/>
      <c r="AF175" s="330"/>
      <c r="AG175" s="375">
        <f t="shared" si="36"/>
        <v>466700</v>
      </c>
      <c r="AH175" s="331"/>
      <c r="AI175" s="377">
        <f t="shared" si="41"/>
        <v>0</v>
      </c>
      <c r="AJ175" s="336"/>
      <c r="AK175" s="336"/>
      <c r="AL175" s="336"/>
      <c r="AM175" s="340"/>
      <c r="AN175" s="341"/>
      <c r="AO175" s="341"/>
      <c r="AP175" s="386">
        <f t="shared" si="39"/>
        <v>827481</v>
      </c>
      <c r="AQ175" s="342"/>
      <c r="AR175" s="389">
        <f t="shared" si="31"/>
        <v>0</v>
      </c>
      <c r="AT175" s="343"/>
      <c r="AU175" s="344"/>
      <c r="AV175" s="344"/>
      <c r="AW175" s="435">
        <f t="shared" si="32"/>
        <v>0</v>
      </c>
      <c r="AX175" s="438">
        <f t="shared" si="37"/>
        <v>0</v>
      </c>
    </row>
    <row r="176" spans="1:50">
      <c r="A176" s="264"/>
      <c r="B176" s="326"/>
      <c r="C176" s="327"/>
      <c r="D176" s="327"/>
      <c r="E176" s="371">
        <f t="shared" si="33"/>
        <v>140185</v>
      </c>
      <c r="F176" s="372">
        <f t="shared" si="34"/>
        <v>0</v>
      </c>
      <c r="G176" s="264"/>
      <c r="H176" s="414"/>
      <c r="I176" s="415"/>
      <c r="J176" s="428">
        <f t="shared" si="38"/>
        <v>1066262</v>
      </c>
      <c r="K176" s="416"/>
      <c r="L176" s="430">
        <f t="shared" si="29"/>
        <v>0</v>
      </c>
      <c r="M176" s="328"/>
      <c r="O176" s="417"/>
      <c r="P176" s="418"/>
      <c r="Q176" s="419"/>
      <c r="R176" s="419"/>
      <c r="S176" s="419"/>
      <c r="T176" s="419"/>
      <c r="U176" s="419"/>
      <c r="V176" s="432">
        <f t="shared" si="30"/>
        <v>5000000</v>
      </c>
      <c r="W176" s="420"/>
      <c r="X176" s="336"/>
      <c r="Y176" s="337"/>
      <c r="Z176" s="338"/>
      <c r="AA176" s="383">
        <f t="shared" si="35"/>
        <v>202452</v>
      </c>
      <c r="AB176" s="339"/>
      <c r="AC176" s="384">
        <f t="shared" si="40"/>
        <v>0</v>
      </c>
      <c r="AD176" s="336"/>
      <c r="AE176" s="329"/>
      <c r="AF176" s="330"/>
      <c r="AG176" s="375">
        <f t="shared" si="36"/>
        <v>466700</v>
      </c>
      <c r="AH176" s="331"/>
      <c r="AI176" s="377">
        <f t="shared" si="41"/>
        <v>0</v>
      </c>
      <c r="AJ176" s="336"/>
      <c r="AK176" s="336"/>
      <c r="AL176" s="336"/>
      <c r="AM176" s="340"/>
      <c r="AN176" s="341"/>
      <c r="AO176" s="341"/>
      <c r="AP176" s="386">
        <f t="shared" si="39"/>
        <v>827481</v>
      </c>
      <c r="AQ176" s="342"/>
      <c r="AR176" s="389">
        <f t="shared" si="31"/>
        <v>0</v>
      </c>
      <c r="AT176" s="343"/>
      <c r="AU176" s="344"/>
      <c r="AV176" s="344"/>
      <c r="AW176" s="435">
        <f t="shared" si="32"/>
        <v>0</v>
      </c>
      <c r="AX176" s="438">
        <f t="shared" si="37"/>
        <v>0</v>
      </c>
    </row>
    <row r="177" spans="1:50">
      <c r="A177" s="264"/>
      <c r="B177" s="326"/>
      <c r="C177" s="327"/>
      <c r="D177" s="327"/>
      <c r="E177" s="371">
        <f t="shared" si="33"/>
        <v>140185</v>
      </c>
      <c r="F177" s="372">
        <f t="shared" si="34"/>
        <v>0</v>
      </c>
      <c r="G177" s="264"/>
      <c r="H177" s="414"/>
      <c r="I177" s="415"/>
      <c r="J177" s="428">
        <f t="shared" si="38"/>
        <v>1066262</v>
      </c>
      <c r="K177" s="416"/>
      <c r="L177" s="430">
        <f t="shared" si="29"/>
        <v>0</v>
      </c>
      <c r="M177" s="328"/>
      <c r="O177" s="417"/>
      <c r="P177" s="418"/>
      <c r="Q177" s="419"/>
      <c r="R177" s="419"/>
      <c r="S177" s="419"/>
      <c r="T177" s="419"/>
      <c r="U177" s="419"/>
      <c r="V177" s="432">
        <f t="shared" si="30"/>
        <v>5000000</v>
      </c>
      <c r="W177" s="420"/>
      <c r="X177" s="336"/>
      <c r="Y177" s="337"/>
      <c r="Z177" s="338"/>
      <c r="AA177" s="383">
        <f t="shared" si="35"/>
        <v>202452</v>
      </c>
      <c r="AB177" s="339"/>
      <c r="AC177" s="384">
        <f t="shared" si="40"/>
        <v>0</v>
      </c>
      <c r="AD177" s="336"/>
      <c r="AE177" s="329"/>
      <c r="AF177" s="330"/>
      <c r="AG177" s="375">
        <f t="shared" si="36"/>
        <v>466700</v>
      </c>
      <c r="AH177" s="331"/>
      <c r="AI177" s="377">
        <f t="shared" si="41"/>
        <v>0</v>
      </c>
      <c r="AJ177" s="336"/>
      <c r="AK177" s="336"/>
      <c r="AL177" s="336"/>
      <c r="AM177" s="340"/>
      <c r="AN177" s="341"/>
      <c r="AO177" s="341"/>
      <c r="AP177" s="386">
        <f t="shared" si="39"/>
        <v>827481</v>
      </c>
      <c r="AQ177" s="342"/>
      <c r="AR177" s="389">
        <f t="shared" si="31"/>
        <v>0</v>
      </c>
      <c r="AT177" s="343"/>
      <c r="AU177" s="344"/>
      <c r="AV177" s="344"/>
      <c r="AW177" s="435">
        <f t="shared" si="32"/>
        <v>0</v>
      </c>
      <c r="AX177" s="438">
        <f t="shared" si="37"/>
        <v>0</v>
      </c>
    </row>
    <row r="178" spans="1:50">
      <c r="A178" s="264"/>
      <c r="B178" s="326"/>
      <c r="C178" s="327"/>
      <c r="D178" s="327"/>
      <c r="E178" s="371">
        <f t="shared" si="33"/>
        <v>140185</v>
      </c>
      <c r="F178" s="372">
        <f t="shared" si="34"/>
        <v>0</v>
      </c>
      <c r="G178" s="264"/>
      <c r="H178" s="414"/>
      <c r="I178" s="415"/>
      <c r="J178" s="428">
        <f t="shared" si="38"/>
        <v>1066262</v>
      </c>
      <c r="K178" s="416"/>
      <c r="L178" s="430">
        <f t="shared" si="29"/>
        <v>0</v>
      </c>
      <c r="M178" s="328"/>
      <c r="O178" s="417"/>
      <c r="P178" s="418"/>
      <c r="Q178" s="419"/>
      <c r="R178" s="419"/>
      <c r="S178" s="419"/>
      <c r="T178" s="419"/>
      <c r="U178" s="419"/>
      <c r="V178" s="432">
        <f t="shared" si="30"/>
        <v>5000000</v>
      </c>
      <c r="W178" s="420"/>
      <c r="X178" s="336"/>
      <c r="Y178" s="337"/>
      <c r="Z178" s="338"/>
      <c r="AA178" s="383">
        <f t="shared" si="35"/>
        <v>202452</v>
      </c>
      <c r="AB178" s="339"/>
      <c r="AC178" s="384">
        <f t="shared" si="40"/>
        <v>0</v>
      </c>
      <c r="AD178" s="336"/>
      <c r="AE178" s="329"/>
      <c r="AF178" s="330"/>
      <c r="AG178" s="375">
        <f t="shared" si="36"/>
        <v>466700</v>
      </c>
      <c r="AH178" s="331"/>
      <c r="AI178" s="377">
        <f t="shared" si="41"/>
        <v>0</v>
      </c>
      <c r="AJ178" s="336"/>
      <c r="AK178" s="336"/>
      <c r="AL178" s="336"/>
      <c r="AM178" s="340"/>
      <c r="AN178" s="341"/>
      <c r="AO178" s="341"/>
      <c r="AP178" s="386">
        <f t="shared" si="39"/>
        <v>827481</v>
      </c>
      <c r="AQ178" s="342"/>
      <c r="AR178" s="389">
        <f t="shared" si="31"/>
        <v>0</v>
      </c>
      <c r="AT178" s="343"/>
      <c r="AU178" s="344"/>
      <c r="AV178" s="344"/>
      <c r="AW178" s="435">
        <f t="shared" si="32"/>
        <v>0</v>
      </c>
      <c r="AX178" s="438">
        <f t="shared" si="37"/>
        <v>0</v>
      </c>
    </row>
    <row r="179" spans="1:50">
      <c r="A179" s="264"/>
      <c r="B179" s="326"/>
      <c r="C179" s="327"/>
      <c r="D179" s="327"/>
      <c r="E179" s="371">
        <f t="shared" si="33"/>
        <v>140185</v>
      </c>
      <c r="F179" s="372">
        <f t="shared" si="34"/>
        <v>0</v>
      </c>
      <c r="G179" s="264"/>
      <c r="H179" s="414"/>
      <c r="I179" s="415"/>
      <c r="J179" s="428">
        <f t="shared" si="38"/>
        <v>1066262</v>
      </c>
      <c r="K179" s="416"/>
      <c r="L179" s="430">
        <f t="shared" si="29"/>
        <v>0</v>
      </c>
      <c r="M179" s="328"/>
      <c r="O179" s="417"/>
      <c r="P179" s="418"/>
      <c r="Q179" s="419"/>
      <c r="R179" s="419"/>
      <c r="S179" s="419"/>
      <c r="T179" s="419"/>
      <c r="U179" s="419"/>
      <c r="V179" s="432">
        <f t="shared" si="30"/>
        <v>5000000</v>
      </c>
      <c r="W179" s="420"/>
      <c r="X179" s="336"/>
      <c r="Y179" s="337"/>
      <c r="Z179" s="338"/>
      <c r="AA179" s="383">
        <f t="shared" si="35"/>
        <v>202452</v>
      </c>
      <c r="AB179" s="339"/>
      <c r="AC179" s="384">
        <f t="shared" si="40"/>
        <v>0</v>
      </c>
      <c r="AD179" s="336"/>
      <c r="AE179" s="329"/>
      <c r="AF179" s="330"/>
      <c r="AG179" s="375">
        <f t="shared" si="36"/>
        <v>466700</v>
      </c>
      <c r="AH179" s="331"/>
      <c r="AI179" s="377">
        <f t="shared" si="41"/>
        <v>0</v>
      </c>
      <c r="AJ179" s="336"/>
      <c r="AK179" s="336"/>
      <c r="AL179" s="336"/>
      <c r="AM179" s="340"/>
      <c r="AN179" s="341"/>
      <c r="AO179" s="341"/>
      <c r="AP179" s="386">
        <f t="shared" si="39"/>
        <v>827481</v>
      </c>
      <c r="AQ179" s="342"/>
      <c r="AR179" s="389">
        <f t="shared" si="31"/>
        <v>0</v>
      </c>
      <c r="AT179" s="343"/>
      <c r="AU179" s="344"/>
      <c r="AV179" s="344"/>
      <c r="AW179" s="435">
        <f t="shared" si="32"/>
        <v>0</v>
      </c>
      <c r="AX179" s="438">
        <f t="shared" si="37"/>
        <v>0</v>
      </c>
    </row>
    <row r="180" spans="1:50">
      <c r="A180" s="264"/>
      <c r="B180" s="326"/>
      <c r="C180" s="327"/>
      <c r="D180" s="327"/>
      <c r="E180" s="371">
        <f t="shared" si="33"/>
        <v>140185</v>
      </c>
      <c r="F180" s="372">
        <f t="shared" si="34"/>
        <v>0</v>
      </c>
      <c r="G180" s="264"/>
      <c r="H180" s="414"/>
      <c r="I180" s="415"/>
      <c r="J180" s="428">
        <f t="shared" si="38"/>
        <v>1066262</v>
      </c>
      <c r="K180" s="416"/>
      <c r="L180" s="430">
        <f t="shared" si="29"/>
        <v>0</v>
      </c>
      <c r="M180" s="328"/>
      <c r="O180" s="417"/>
      <c r="P180" s="418"/>
      <c r="Q180" s="419"/>
      <c r="R180" s="419"/>
      <c r="S180" s="419"/>
      <c r="T180" s="419"/>
      <c r="U180" s="419"/>
      <c r="V180" s="432">
        <f t="shared" si="30"/>
        <v>5000000</v>
      </c>
      <c r="W180" s="420"/>
      <c r="X180" s="336"/>
      <c r="Y180" s="337"/>
      <c r="Z180" s="338"/>
      <c r="AA180" s="383">
        <f t="shared" si="35"/>
        <v>202452</v>
      </c>
      <c r="AB180" s="339"/>
      <c r="AC180" s="384">
        <f t="shared" si="40"/>
        <v>0</v>
      </c>
      <c r="AD180" s="336"/>
      <c r="AE180" s="329"/>
      <c r="AF180" s="330"/>
      <c r="AG180" s="375">
        <f t="shared" si="36"/>
        <v>466700</v>
      </c>
      <c r="AH180" s="331"/>
      <c r="AI180" s="377">
        <f t="shared" si="41"/>
        <v>0</v>
      </c>
      <c r="AJ180" s="336"/>
      <c r="AK180" s="336"/>
      <c r="AL180" s="336"/>
      <c r="AM180" s="340"/>
      <c r="AN180" s="341"/>
      <c r="AO180" s="341"/>
      <c r="AP180" s="386">
        <f t="shared" si="39"/>
        <v>827481</v>
      </c>
      <c r="AQ180" s="342"/>
      <c r="AR180" s="389">
        <f t="shared" si="31"/>
        <v>0</v>
      </c>
      <c r="AT180" s="343"/>
      <c r="AU180" s="344"/>
      <c r="AV180" s="344"/>
      <c r="AW180" s="435">
        <f t="shared" si="32"/>
        <v>0</v>
      </c>
      <c r="AX180" s="438">
        <f t="shared" si="37"/>
        <v>0</v>
      </c>
    </row>
    <row r="181" spans="1:50">
      <c r="A181" s="264"/>
      <c r="B181" s="326"/>
      <c r="C181" s="327"/>
      <c r="D181" s="327"/>
      <c r="E181" s="371">
        <f t="shared" si="33"/>
        <v>140185</v>
      </c>
      <c r="F181" s="372">
        <f t="shared" si="34"/>
        <v>0</v>
      </c>
      <c r="G181" s="264"/>
      <c r="H181" s="414"/>
      <c r="I181" s="415"/>
      <c r="J181" s="428">
        <f t="shared" si="38"/>
        <v>1066262</v>
      </c>
      <c r="K181" s="416"/>
      <c r="L181" s="430">
        <f t="shared" si="29"/>
        <v>0</v>
      </c>
      <c r="M181" s="328"/>
      <c r="O181" s="417"/>
      <c r="P181" s="418"/>
      <c r="Q181" s="419"/>
      <c r="R181" s="419"/>
      <c r="S181" s="419"/>
      <c r="T181" s="419"/>
      <c r="U181" s="419"/>
      <c r="V181" s="432">
        <f t="shared" si="30"/>
        <v>5000000</v>
      </c>
      <c r="W181" s="420"/>
      <c r="X181" s="336"/>
      <c r="Y181" s="337"/>
      <c r="Z181" s="338"/>
      <c r="AA181" s="383">
        <f t="shared" si="35"/>
        <v>202452</v>
      </c>
      <c r="AB181" s="339"/>
      <c r="AC181" s="384">
        <f t="shared" si="40"/>
        <v>0</v>
      </c>
      <c r="AD181" s="336"/>
      <c r="AE181" s="329"/>
      <c r="AF181" s="330"/>
      <c r="AG181" s="375">
        <f t="shared" si="36"/>
        <v>466700</v>
      </c>
      <c r="AH181" s="331"/>
      <c r="AI181" s="377">
        <f t="shared" si="41"/>
        <v>0</v>
      </c>
      <c r="AJ181" s="336"/>
      <c r="AK181" s="336"/>
      <c r="AL181" s="336"/>
      <c r="AM181" s="340"/>
      <c r="AN181" s="341"/>
      <c r="AO181" s="341"/>
      <c r="AP181" s="386">
        <f t="shared" si="39"/>
        <v>827481</v>
      </c>
      <c r="AQ181" s="342"/>
      <c r="AR181" s="389">
        <f t="shared" si="31"/>
        <v>0</v>
      </c>
      <c r="AT181" s="343"/>
      <c r="AU181" s="344"/>
      <c r="AV181" s="344"/>
      <c r="AW181" s="435">
        <f t="shared" si="32"/>
        <v>0</v>
      </c>
      <c r="AX181" s="438">
        <f t="shared" si="37"/>
        <v>0</v>
      </c>
    </row>
    <row r="182" spans="1:50">
      <c r="A182" s="264"/>
      <c r="B182" s="326"/>
      <c r="C182" s="327"/>
      <c r="D182" s="327"/>
      <c r="E182" s="371">
        <f t="shared" si="33"/>
        <v>140185</v>
      </c>
      <c r="F182" s="372">
        <f t="shared" si="34"/>
        <v>0</v>
      </c>
      <c r="G182" s="264"/>
      <c r="H182" s="414"/>
      <c r="I182" s="415"/>
      <c r="J182" s="428">
        <f t="shared" si="38"/>
        <v>1066262</v>
      </c>
      <c r="K182" s="416"/>
      <c r="L182" s="430">
        <f t="shared" si="29"/>
        <v>0</v>
      </c>
      <c r="M182" s="328"/>
      <c r="O182" s="417"/>
      <c r="P182" s="418"/>
      <c r="Q182" s="419"/>
      <c r="R182" s="419"/>
      <c r="S182" s="419"/>
      <c r="T182" s="419"/>
      <c r="U182" s="419"/>
      <c r="V182" s="432">
        <f t="shared" si="30"/>
        <v>5000000</v>
      </c>
      <c r="W182" s="420"/>
      <c r="X182" s="336"/>
      <c r="Y182" s="337"/>
      <c r="Z182" s="338"/>
      <c r="AA182" s="383">
        <f t="shared" si="35"/>
        <v>202452</v>
      </c>
      <c r="AB182" s="339"/>
      <c r="AC182" s="384">
        <f t="shared" si="40"/>
        <v>0</v>
      </c>
      <c r="AD182" s="336"/>
      <c r="AE182" s="329"/>
      <c r="AF182" s="330"/>
      <c r="AG182" s="375">
        <f t="shared" si="36"/>
        <v>466700</v>
      </c>
      <c r="AH182" s="331"/>
      <c r="AI182" s="377">
        <f t="shared" si="41"/>
        <v>0</v>
      </c>
      <c r="AJ182" s="336"/>
      <c r="AK182" s="336"/>
      <c r="AL182" s="336"/>
      <c r="AM182" s="340"/>
      <c r="AN182" s="341"/>
      <c r="AO182" s="341"/>
      <c r="AP182" s="386">
        <f t="shared" si="39"/>
        <v>827481</v>
      </c>
      <c r="AQ182" s="342"/>
      <c r="AR182" s="389">
        <f t="shared" si="31"/>
        <v>0</v>
      </c>
      <c r="AT182" s="343"/>
      <c r="AU182" s="344"/>
      <c r="AV182" s="344"/>
      <c r="AW182" s="435">
        <f t="shared" si="32"/>
        <v>0</v>
      </c>
      <c r="AX182" s="438">
        <f t="shared" si="37"/>
        <v>0</v>
      </c>
    </row>
    <row r="183" spans="1:50">
      <c r="A183" s="264"/>
      <c r="B183" s="326"/>
      <c r="C183" s="327"/>
      <c r="D183" s="327"/>
      <c r="E183" s="371">
        <f t="shared" si="33"/>
        <v>140185</v>
      </c>
      <c r="F183" s="372">
        <f t="shared" si="34"/>
        <v>0</v>
      </c>
      <c r="G183" s="264"/>
      <c r="H183" s="414"/>
      <c r="I183" s="415"/>
      <c r="J183" s="428">
        <f t="shared" si="38"/>
        <v>1066262</v>
      </c>
      <c r="K183" s="416"/>
      <c r="L183" s="430">
        <f t="shared" si="29"/>
        <v>0</v>
      </c>
      <c r="M183" s="328"/>
      <c r="O183" s="417"/>
      <c r="P183" s="418"/>
      <c r="Q183" s="419"/>
      <c r="R183" s="419"/>
      <c r="S183" s="419"/>
      <c r="T183" s="419"/>
      <c r="U183" s="419"/>
      <c r="V183" s="432">
        <f t="shared" si="30"/>
        <v>5000000</v>
      </c>
      <c r="W183" s="420"/>
      <c r="X183" s="336"/>
      <c r="Y183" s="337"/>
      <c r="Z183" s="338"/>
      <c r="AA183" s="383">
        <f t="shared" si="35"/>
        <v>202452</v>
      </c>
      <c r="AB183" s="339"/>
      <c r="AC183" s="384">
        <f t="shared" si="40"/>
        <v>0</v>
      </c>
      <c r="AD183" s="336"/>
      <c r="AE183" s="329"/>
      <c r="AF183" s="330"/>
      <c r="AG183" s="375">
        <f t="shared" si="36"/>
        <v>466700</v>
      </c>
      <c r="AH183" s="331"/>
      <c r="AI183" s="377">
        <f t="shared" si="41"/>
        <v>0</v>
      </c>
      <c r="AJ183" s="336"/>
      <c r="AK183" s="336"/>
      <c r="AL183" s="336"/>
      <c r="AM183" s="340"/>
      <c r="AN183" s="341"/>
      <c r="AO183" s="341"/>
      <c r="AP183" s="386">
        <f t="shared" si="39"/>
        <v>827481</v>
      </c>
      <c r="AQ183" s="342"/>
      <c r="AR183" s="389">
        <f t="shared" si="31"/>
        <v>0</v>
      </c>
      <c r="AT183" s="343"/>
      <c r="AU183" s="344"/>
      <c r="AV183" s="344"/>
      <c r="AW183" s="435">
        <f t="shared" si="32"/>
        <v>0</v>
      </c>
      <c r="AX183" s="438">
        <f t="shared" si="37"/>
        <v>0</v>
      </c>
    </row>
    <row r="184" spans="1:50">
      <c r="A184" s="264"/>
      <c r="B184" s="326"/>
      <c r="C184" s="327"/>
      <c r="D184" s="327"/>
      <c r="E184" s="371">
        <f t="shared" si="33"/>
        <v>140185</v>
      </c>
      <c r="F184" s="372">
        <f t="shared" si="34"/>
        <v>0</v>
      </c>
      <c r="G184" s="264"/>
      <c r="H184" s="414"/>
      <c r="I184" s="415"/>
      <c r="J184" s="428">
        <f t="shared" si="38"/>
        <v>1066262</v>
      </c>
      <c r="K184" s="416"/>
      <c r="L184" s="430">
        <f t="shared" si="29"/>
        <v>0</v>
      </c>
      <c r="M184" s="328"/>
      <c r="O184" s="417"/>
      <c r="P184" s="418"/>
      <c r="Q184" s="419"/>
      <c r="R184" s="419"/>
      <c r="S184" s="419"/>
      <c r="T184" s="419"/>
      <c r="U184" s="419"/>
      <c r="V184" s="432">
        <f t="shared" si="30"/>
        <v>5000000</v>
      </c>
      <c r="W184" s="420"/>
      <c r="X184" s="336"/>
      <c r="Y184" s="337"/>
      <c r="Z184" s="338"/>
      <c r="AA184" s="383">
        <f t="shared" si="35"/>
        <v>202452</v>
      </c>
      <c r="AB184" s="339"/>
      <c r="AC184" s="384">
        <f t="shared" si="40"/>
        <v>0</v>
      </c>
      <c r="AD184" s="336"/>
      <c r="AE184" s="329"/>
      <c r="AF184" s="330"/>
      <c r="AG184" s="375">
        <f t="shared" si="36"/>
        <v>466700</v>
      </c>
      <c r="AH184" s="331"/>
      <c r="AI184" s="377">
        <f t="shared" si="41"/>
        <v>0</v>
      </c>
      <c r="AJ184" s="336"/>
      <c r="AK184" s="336"/>
      <c r="AL184" s="336"/>
      <c r="AM184" s="340"/>
      <c r="AN184" s="341"/>
      <c r="AO184" s="341"/>
      <c r="AP184" s="386">
        <f t="shared" si="39"/>
        <v>827481</v>
      </c>
      <c r="AQ184" s="342"/>
      <c r="AR184" s="389">
        <f t="shared" si="31"/>
        <v>0</v>
      </c>
      <c r="AT184" s="343"/>
      <c r="AU184" s="344"/>
      <c r="AV184" s="344"/>
      <c r="AW184" s="435">
        <f t="shared" si="32"/>
        <v>0</v>
      </c>
      <c r="AX184" s="438">
        <f t="shared" si="37"/>
        <v>0</v>
      </c>
    </row>
    <row r="185" spans="1:50">
      <c r="A185" s="264"/>
      <c r="B185" s="326"/>
      <c r="C185" s="327"/>
      <c r="D185" s="327"/>
      <c r="E185" s="371">
        <f t="shared" si="33"/>
        <v>140185</v>
      </c>
      <c r="F185" s="372">
        <f t="shared" si="34"/>
        <v>0</v>
      </c>
      <c r="G185" s="264"/>
      <c r="H185" s="414"/>
      <c r="I185" s="415"/>
      <c r="J185" s="428">
        <f t="shared" si="38"/>
        <v>1066262</v>
      </c>
      <c r="K185" s="416"/>
      <c r="L185" s="430">
        <f t="shared" si="29"/>
        <v>0</v>
      </c>
      <c r="M185" s="328"/>
      <c r="O185" s="417"/>
      <c r="P185" s="418"/>
      <c r="Q185" s="419"/>
      <c r="R185" s="419"/>
      <c r="S185" s="419"/>
      <c r="T185" s="419"/>
      <c r="U185" s="419"/>
      <c r="V185" s="432">
        <f t="shared" si="30"/>
        <v>5000000</v>
      </c>
      <c r="W185" s="420"/>
      <c r="X185" s="336"/>
      <c r="Y185" s="337"/>
      <c r="Z185" s="338"/>
      <c r="AA185" s="383">
        <f t="shared" si="35"/>
        <v>202452</v>
      </c>
      <c r="AB185" s="339"/>
      <c r="AC185" s="384">
        <f t="shared" si="40"/>
        <v>0</v>
      </c>
      <c r="AD185" s="336"/>
      <c r="AE185" s="329"/>
      <c r="AF185" s="330"/>
      <c r="AG185" s="375">
        <f t="shared" si="36"/>
        <v>466700</v>
      </c>
      <c r="AH185" s="331"/>
      <c r="AI185" s="377">
        <f t="shared" si="41"/>
        <v>0</v>
      </c>
      <c r="AJ185" s="336"/>
      <c r="AK185" s="336"/>
      <c r="AL185" s="336"/>
      <c r="AM185" s="340"/>
      <c r="AN185" s="341"/>
      <c r="AO185" s="341"/>
      <c r="AP185" s="386">
        <f t="shared" si="39"/>
        <v>827481</v>
      </c>
      <c r="AQ185" s="342"/>
      <c r="AR185" s="389">
        <f t="shared" si="31"/>
        <v>0</v>
      </c>
      <c r="AT185" s="343"/>
      <c r="AU185" s="344"/>
      <c r="AV185" s="344"/>
      <c r="AW185" s="435">
        <f t="shared" si="32"/>
        <v>0</v>
      </c>
      <c r="AX185" s="438">
        <f t="shared" si="37"/>
        <v>0</v>
      </c>
    </row>
    <row r="186" spans="1:50">
      <c r="A186" s="264"/>
      <c r="B186" s="326"/>
      <c r="C186" s="327"/>
      <c r="D186" s="327"/>
      <c r="E186" s="371">
        <f t="shared" si="33"/>
        <v>140185</v>
      </c>
      <c r="F186" s="372">
        <f t="shared" si="34"/>
        <v>0</v>
      </c>
      <c r="G186" s="264"/>
      <c r="H186" s="414"/>
      <c r="I186" s="415"/>
      <c r="J186" s="428">
        <f t="shared" si="38"/>
        <v>1066262</v>
      </c>
      <c r="K186" s="416"/>
      <c r="L186" s="430">
        <f t="shared" si="29"/>
        <v>0</v>
      </c>
      <c r="M186" s="328"/>
      <c r="O186" s="417"/>
      <c r="P186" s="418"/>
      <c r="Q186" s="419"/>
      <c r="R186" s="419"/>
      <c r="S186" s="419"/>
      <c r="T186" s="419"/>
      <c r="U186" s="419"/>
      <c r="V186" s="432">
        <f t="shared" si="30"/>
        <v>5000000</v>
      </c>
      <c r="W186" s="420"/>
      <c r="X186" s="336"/>
      <c r="Y186" s="337"/>
      <c r="Z186" s="338"/>
      <c r="AA186" s="383">
        <f t="shared" si="35"/>
        <v>202452</v>
      </c>
      <c r="AB186" s="339"/>
      <c r="AC186" s="384">
        <f t="shared" si="40"/>
        <v>0</v>
      </c>
      <c r="AD186" s="336"/>
      <c r="AE186" s="329"/>
      <c r="AF186" s="330"/>
      <c r="AG186" s="375">
        <f t="shared" si="36"/>
        <v>466700</v>
      </c>
      <c r="AH186" s="331"/>
      <c r="AI186" s="377">
        <f t="shared" si="41"/>
        <v>0</v>
      </c>
      <c r="AJ186" s="336"/>
      <c r="AK186" s="336"/>
      <c r="AL186" s="336"/>
      <c r="AM186" s="340"/>
      <c r="AN186" s="341"/>
      <c r="AO186" s="341"/>
      <c r="AP186" s="386">
        <f t="shared" si="39"/>
        <v>827481</v>
      </c>
      <c r="AQ186" s="342"/>
      <c r="AR186" s="389">
        <f t="shared" si="31"/>
        <v>0</v>
      </c>
      <c r="AT186" s="343"/>
      <c r="AU186" s="344"/>
      <c r="AV186" s="344"/>
      <c r="AW186" s="435">
        <f t="shared" si="32"/>
        <v>0</v>
      </c>
      <c r="AX186" s="438">
        <f t="shared" si="37"/>
        <v>0</v>
      </c>
    </row>
    <row r="187" spans="1:50">
      <c r="A187" s="264"/>
      <c r="B187" s="326"/>
      <c r="C187" s="327"/>
      <c r="D187" s="327"/>
      <c r="E187" s="371">
        <f t="shared" si="33"/>
        <v>140185</v>
      </c>
      <c r="F187" s="372">
        <f t="shared" si="34"/>
        <v>0</v>
      </c>
      <c r="G187" s="264"/>
      <c r="H187" s="414"/>
      <c r="I187" s="415"/>
      <c r="J187" s="428">
        <f t="shared" si="38"/>
        <v>1066262</v>
      </c>
      <c r="K187" s="416"/>
      <c r="L187" s="430">
        <f t="shared" si="29"/>
        <v>0</v>
      </c>
      <c r="M187" s="328"/>
      <c r="O187" s="417"/>
      <c r="P187" s="418"/>
      <c r="Q187" s="419"/>
      <c r="R187" s="419"/>
      <c r="S187" s="419"/>
      <c r="T187" s="419"/>
      <c r="U187" s="419"/>
      <c r="V187" s="432">
        <f t="shared" si="30"/>
        <v>5000000</v>
      </c>
      <c r="W187" s="420"/>
      <c r="X187" s="336"/>
      <c r="Y187" s="337"/>
      <c r="Z187" s="338"/>
      <c r="AA187" s="383">
        <f t="shared" si="35"/>
        <v>202452</v>
      </c>
      <c r="AB187" s="339"/>
      <c r="AC187" s="384">
        <f t="shared" si="40"/>
        <v>0</v>
      </c>
      <c r="AD187" s="336"/>
      <c r="AE187" s="329"/>
      <c r="AF187" s="330"/>
      <c r="AG187" s="375">
        <f t="shared" si="36"/>
        <v>466700</v>
      </c>
      <c r="AH187" s="331"/>
      <c r="AI187" s="377">
        <f t="shared" si="41"/>
        <v>0</v>
      </c>
      <c r="AJ187" s="336"/>
      <c r="AK187" s="336"/>
      <c r="AL187" s="336"/>
      <c r="AM187" s="340"/>
      <c r="AN187" s="341"/>
      <c r="AO187" s="341"/>
      <c r="AP187" s="386">
        <f t="shared" si="39"/>
        <v>827481</v>
      </c>
      <c r="AQ187" s="342"/>
      <c r="AR187" s="389">
        <f t="shared" si="31"/>
        <v>0</v>
      </c>
      <c r="AT187" s="343"/>
      <c r="AU187" s="344"/>
      <c r="AV187" s="344"/>
      <c r="AW187" s="435">
        <f t="shared" si="32"/>
        <v>0</v>
      </c>
      <c r="AX187" s="438">
        <f t="shared" si="37"/>
        <v>0</v>
      </c>
    </row>
    <row r="188" spans="1:50">
      <c r="A188" s="264"/>
      <c r="B188" s="326"/>
      <c r="C188" s="327"/>
      <c r="D188" s="327"/>
      <c r="E188" s="371">
        <f t="shared" si="33"/>
        <v>140185</v>
      </c>
      <c r="F188" s="372">
        <f t="shared" si="34"/>
        <v>0</v>
      </c>
      <c r="G188" s="264"/>
      <c r="H188" s="414"/>
      <c r="I188" s="415"/>
      <c r="J188" s="428">
        <f t="shared" si="38"/>
        <v>1066262</v>
      </c>
      <c r="K188" s="416"/>
      <c r="L188" s="430">
        <f t="shared" si="29"/>
        <v>0</v>
      </c>
      <c r="M188" s="328"/>
      <c r="O188" s="417"/>
      <c r="P188" s="418"/>
      <c r="Q188" s="419"/>
      <c r="R188" s="419"/>
      <c r="S188" s="419"/>
      <c r="T188" s="419"/>
      <c r="U188" s="419"/>
      <c r="V188" s="432">
        <f t="shared" si="30"/>
        <v>5000000</v>
      </c>
      <c r="W188" s="420"/>
      <c r="X188" s="336"/>
      <c r="Y188" s="337"/>
      <c r="Z188" s="338"/>
      <c r="AA188" s="383">
        <f t="shared" si="35"/>
        <v>202452</v>
      </c>
      <c r="AB188" s="339"/>
      <c r="AC188" s="384">
        <f t="shared" si="40"/>
        <v>0</v>
      </c>
      <c r="AD188" s="336"/>
      <c r="AE188" s="329"/>
      <c r="AF188" s="330"/>
      <c r="AG188" s="375">
        <f t="shared" si="36"/>
        <v>466700</v>
      </c>
      <c r="AH188" s="331"/>
      <c r="AI188" s="377">
        <f t="shared" si="41"/>
        <v>0</v>
      </c>
      <c r="AJ188" s="336"/>
      <c r="AK188" s="336"/>
      <c r="AL188" s="336"/>
      <c r="AM188" s="340"/>
      <c r="AN188" s="341"/>
      <c r="AO188" s="341"/>
      <c r="AP188" s="386">
        <f t="shared" si="39"/>
        <v>827481</v>
      </c>
      <c r="AQ188" s="342"/>
      <c r="AR188" s="389">
        <f t="shared" si="31"/>
        <v>0</v>
      </c>
      <c r="AT188" s="343"/>
      <c r="AU188" s="344"/>
      <c r="AV188" s="344"/>
      <c r="AW188" s="435">
        <f t="shared" si="32"/>
        <v>0</v>
      </c>
      <c r="AX188" s="438">
        <f t="shared" si="37"/>
        <v>0</v>
      </c>
    </row>
    <row r="189" spans="1:50">
      <c r="A189" s="264"/>
      <c r="B189" s="326"/>
      <c r="C189" s="327"/>
      <c r="D189" s="327"/>
      <c r="E189" s="371">
        <f t="shared" si="33"/>
        <v>140185</v>
      </c>
      <c r="F189" s="372">
        <f t="shared" si="34"/>
        <v>0</v>
      </c>
      <c r="G189" s="264"/>
      <c r="H189" s="414"/>
      <c r="I189" s="415"/>
      <c r="J189" s="428">
        <f t="shared" si="38"/>
        <v>1066262</v>
      </c>
      <c r="K189" s="416"/>
      <c r="L189" s="430">
        <f t="shared" si="29"/>
        <v>0</v>
      </c>
      <c r="M189" s="328"/>
      <c r="O189" s="417"/>
      <c r="P189" s="418"/>
      <c r="Q189" s="419"/>
      <c r="R189" s="419"/>
      <c r="S189" s="419"/>
      <c r="T189" s="419"/>
      <c r="U189" s="419"/>
      <c r="V189" s="432">
        <f t="shared" si="30"/>
        <v>5000000</v>
      </c>
      <c r="W189" s="420"/>
      <c r="X189" s="336"/>
      <c r="Y189" s="337"/>
      <c r="Z189" s="338"/>
      <c r="AA189" s="383">
        <f t="shared" si="35"/>
        <v>202452</v>
      </c>
      <c r="AB189" s="339"/>
      <c r="AC189" s="384">
        <f t="shared" si="40"/>
        <v>0</v>
      </c>
      <c r="AD189" s="336"/>
      <c r="AE189" s="329"/>
      <c r="AF189" s="330"/>
      <c r="AG189" s="375">
        <f t="shared" si="36"/>
        <v>466700</v>
      </c>
      <c r="AH189" s="331"/>
      <c r="AI189" s="377">
        <f t="shared" si="41"/>
        <v>0</v>
      </c>
      <c r="AJ189" s="336"/>
      <c r="AK189" s="336"/>
      <c r="AL189" s="336"/>
      <c r="AM189" s="340"/>
      <c r="AN189" s="341"/>
      <c r="AO189" s="341"/>
      <c r="AP189" s="386">
        <f t="shared" si="39"/>
        <v>827481</v>
      </c>
      <c r="AQ189" s="342"/>
      <c r="AR189" s="389">
        <f t="shared" si="31"/>
        <v>0</v>
      </c>
      <c r="AT189" s="343"/>
      <c r="AU189" s="344"/>
      <c r="AV189" s="344"/>
      <c r="AW189" s="435">
        <f t="shared" si="32"/>
        <v>0</v>
      </c>
      <c r="AX189" s="438">
        <f t="shared" si="37"/>
        <v>0</v>
      </c>
    </row>
    <row r="190" spans="1:50">
      <c r="A190" s="264"/>
      <c r="B190" s="326"/>
      <c r="C190" s="327"/>
      <c r="D190" s="327"/>
      <c r="E190" s="371">
        <f t="shared" si="33"/>
        <v>140185</v>
      </c>
      <c r="F190" s="372">
        <f t="shared" si="34"/>
        <v>0</v>
      </c>
      <c r="G190" s="264"/>
      <c r="H190" s="414"/>
      <c r="I190" s="415"/>
      <c r="J190" s="428">
        <f t="shared" si="38"/>
        <v>1066262</v>
      </c>
      <c r="K190" s="416"/>
      <c r="L190" s="430">
        <f t="shared" si="29"/>
        <v>0</v>
      </c>
      <c r="M190" s="328"/>
      <c r="O190" s="417"/>
      <c r="P190" s="418"/>
      <c r="Q190" s="419"/>
      <c r="R190" s="419"/>
      <c r="S190" s="419"/>
      <c r="T190" s="419"/>
      <c r="U190" s="419"/>
      <c r="V190" s="432">
        <f t="shared" si="30"/>
        <v>5000000</v>
      </c>
      <c r="W190" s="420"/>
      <c r="X190" s="336"/>
      <c r="Y190" s="337"/>
      <c r="Z190" s="338"/>
      <c r="AA190" s="383">
        <f t="shared" si="35"/>
        <v>202452</v>
      </c>
      <c r="AB190" s="339"/>
      <c r="AC190" s="384">
        <f t="shared" si="40"/>
        <v>0</v>
      </c>
      <c r="AD190" s="336"/>
      <c r="AE190" s="329"/>
      <c r="AF190" s="330"/>
      <c r="AG190" s="375">
        <f t="shared" si="36"/>
        <v>466700</v>
      </c>
      <c r="AH190" s="331"/>
      <c r="AI190" s="377">
        <f t="shared" si="41"/>
        <v>0</v>
      </c>
      <c r="AJ190" s="336"/>
      <c r="AK190" s="336"/>
      <c r="AL190" s="336"/>
      <c r="AM190" s="340"/>
      <c r="AN190" s="341"/>
      <c r="AO190" s="341"/>
      <c r="AP190" s="386">
        <f t="shared" si="39"/>
        <v>827481</v>
      </c>
      <c r="AQ190" s="342"/>
      <c r="AR190" s="389">
        <f t="shared" si="31"/>
        <v>0</v>
      </c>
      <c r="AT190" s="343"/>
      <c r="AU190" s="344"/>
      <c r="AV190" s="344"/>
      <c r="AW190" s="435">
        <f t="shared" si="32"/>
        <v>0</v>
      </c>
      <c r="AX190" s="438">
        <f t="shared" si="37"/>
        <v>0</v>
      </c>
    </row>
    <row r="191" spans="1:50">
      <c r="F191" s="374">
        <f>SUM(F6:F190)</f>
        <v>0</v>
      </c>
      <c r="L191" s="431">
        <f>SUM(L6:L190)</f>
        <v>0</v>
      </c>
      <c r="M191" s="328"/>
      <c r="T191" s="434">
        <f>SUM(T6:T190)</f>
        <v>0</v>
      </c>
      <c r="U191" s="434">
        <f>SUM(U6:U190)</f>
        <v>0</v>
      </c>
      <c r="W191" s="433">
        <f>SUM(W6:W190)</f>
        <v>0</v>
      </c>
      <c r="X191" s="362"/>
      <c r="AC191" s="385">
        <f>SUM(AC6:AC190)</f>
        <v>0</v>
      </c>
      <c r="AD191" s="362"/>
      <c r="AI191" s="378">
        <f>SUM(AI6:AI190)</f>
        <v>0</v>
      </c>
      <c r="AJ191" s="362"/>
      <c r="AK191" s="362"/>
      <c r="AL191" s="336"/>
      <c r="AO191" s="387">
        <f>SUM(AO6:AO190)</f>
        <v>0</v>
      </c>
      <c r="AR191" s="387">
        <f>SUM(AR6:AR190)</f>
        <v>0</v>
      </c>
      <c r="AX191" s="392">
        <f>SUM(AX6:AX190)</f>
        <v>0</v>
      </c>
    </row>
    <row r="192" spans="1:50">
      <c r="F192" s="366"/>
      <c r="L192" s="425"/>
      <c r="M192" s="328"/>
      <c r="W192" s="424"/>
      <c r="X192" s="362"/>
      <c r="AC192" s="368"/>
      <c r="AD192" s="362"/>
      <c r="AI192" s="367"/>
      <c r="AJ192" s="362"/>
      <c r="AK192" s="362"/>
      <c r="AL192" s="362"/>
      <c r="AR192" s="364"/>
    </row>
    <row r="193" spans="2:50">
      <c r="AW193" s="393" t="s">
        <v>237</v>
      </c>
      <c r="AX193" s="394">
        <f>F191+L191+U191+W191+AC191+AI191+AO191+AR191+AX191</f>
        <v>0</v>
      </c>
    </row>
    <row r="197" spans="2:50">
      <c r="B197" s="1358" t="s">
        <v>50</v>
      </c>
      <c r="C197" s="1358"/>
      <c r="D197" s="1358"/>
      <c r="E197" s="1358"/>
      <c r="F197" s="1358"/>
      <c r="H197" s="1365" t="s">
        <v>51</v>
      </c>
      <c r="I197" s="1365"/>
      <c r="J197" s="1365"/>
      <c r="K197" s="1365"/>
      <c r="L197" s="1441"/>
      <c r="M197" s="369"/>
      <c r="O197" s="1366" t="s">
        <v>53</v>
      </c>
      <c r="P197" s="1366"/>
      <c r="Q197" s="1366"/>
      <c r="R197" s="1366"/>
      <c r="S197" s="1366"/>
      <c r="T197" s="1366"/>
      <c r="U197" s="1366"/>
      <c r="V197" s="1366"/>
      <c r="W197" s="1366"/>
      <c r="X197" s="370"/>
      <c r="Y197" s="1355" t="s">
        <v>111</v>
      </c>
      <c r="Z197" s="1355"/>
      <c r="AA197" s="1355"/>
      <c r="AB197" s="1355"/>
      <c r="AC197" s="1355"/>
      <c r="AD197" s="370"/>
      <c r="AE197" s="1337" t="s">
        <v>112</v>
      </c>
      <c r="AF197" s="1337"/>
      <c r="AG197" s="1337"/>
      <c r="AH197" s="1337"/>
      <c r="AI197" s="1337"/>
      <c r="AJ197" s="370"/>
      <c r="AK197" s="370"/>
      <c r="AM197" s="1338" t="s">
        <v>9</v>
      </c>
      <c r="AN197" s="1338"/>
      <c r="AO197" s="1338"/>
      <c r="AP197" s="1338"/>
      <c r="AQ197" s="1338"/>
      <c r="AR197" s="1338"/>
      <c r="AT197" s="1342" t="s">
        <v>16</v>
      </c>
      <c r="AU197" s="1342"/>
      <c r="AV197" s="1342"/>
      <c r="AW197" s="1342"/>
      <c r="AX197" s="1342"/>
    </row>
  </sheetData>
  <sheetProtection password="DC1E" sheet="1" objects="1" scenarios="1"/>
  <mergeCells count="16">
    <mergeCell ref="AZ5:BD5"/>
    <mergeCell ref="BA16:BD16"/>
    <mergeCell ref="AM3:AR3"/>
    <mergeCell ref="AT3:AX3"/>
    <mergeCell ref="B197:F197"/>
    <mergeCell ref="H197:L197"/>
    <mergeCell ref="O197:W197"/>
    <mergeCell ref="Y197:AC197"/>
    <mergeCell ref="AE197:AI197"/>
    <mergeCell ref="AM197:AR197"/>
    <mergeCell ref="AT197:AX197"/>
    <mergeCell ref="B3:F3"/>
    <mergeCell ref="H3:L3"/>
    <mergeCell ref="O3:W3"/>
    <mergeCell ref="Y3:AC3"/>
    <mergeCell ref="AE3:AI3"/>
  </mergeCells>
  <pageMargins left="0.7" right="0.7" top="0.75" bottom="0.75" header="0.3" footer="0.3"/>
  <pageSetup paperSize="25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zoomScale="80" zoomScaleNormal="8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9" sqref="B9"/>
    </sheetView>
  </sheetViews>
  <sheetFormatPr defaultRowHeight="14.4"/>
  <cols>
    <col min="1" max="1" width="35.6640625" customWidth="1"/>
    <col min="2" max="7" width="27.109375" customWidth="1"/>
    <col min="8" max="8" width="24.109375" customWidth="1"/>
    <col min="9" max="11" width="23.33203125" customWidth="1"/>
  </cols>
  <sheetData>
    <row r="1" spans="1:11" ht="15" thickBot="1"/>
    <row r="2" spans="1:11" s="2" customFormat="1" ht="18">
      <c r="A2" s="42"/>
      <c r="B2" s="43" t="s">
        <v>116</v>
      </c>
      <c r="C2" s="43" t="s">
        <v>115</v>
      </c>
      <c r="D2" s="43" t="s">
        <v>114</v>
      </c>
      <c r="E2" s="43" t="s">
        <v>113</v>
      </c>
      <c r="F2" s="43" t="s">
        <v>110</v>
      </c>
      <c r="G2" s="43" t="s">
        <v>105</v>
      </c>
      <c r="H2" s="43" t="s">
        <v>104</v>
      </c>
      <c r="I2" s="44" t="s">
        <v>89</v>
      </c>
      <c r="J2" s="44" t="s">
        <v>88</v>
      </c>
      <c r="K2" s="44" t="s">
        <v>87</v>
      </c>
    </row>
    <row r="3" spans="1:11" ht="15" thickBo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5"/>
      <c r="I4" s="8"/>
      <c r="J4" s="8"/>
      <c r="K4" s="8"/>
    </row>
    <row r="5" spans="1:11">
      <c r="A5" s="20" t="s">
        <v>24</v>
      </c>
      <c r="B5" s="45">
        <v>6736076</v>
      </c>
      <c r="C5" s="45">
        <v>3518375</v>
      </c>
      <c r="D5" s="45">
        <v>1890591</v>
      </c>
      <c r="E5" s="45">
        <v>4499562</v>
      </c>
      <c r="F5" s="45">
        <v>2567375</v>
      </c>
      <c r="G5" s="45">
        <v>-1458391</v>
      </c>
      <c r="H5" s="21">
        <v>2555483</v>
      </c>
      <c r="I5" s="21">
        <v>2113897</v>
      </c>
      <c r="J5" s="21">
        <v>3489297</v>
      </c>
      <c r="K5" s="21">
        <v>0</v>
      </c>
    </row>
    <row r="6" spans="1:11" s="2" customFormat="1" ht="18">
      <c r="A6" s="36" t="s">
        <v>47</v>
      </c>
      <c r="B6" s="37">
        <v>25912265</v>
      </c>
      <c r="C6" s="37">
        <v>19176189</v>
      </c>
      <c r="D6" s="37">
        <v>15657814</v>
      </c>
      <c r="E6" s="37">
        <v>13767223</v>
      </c>
      <c r="F6" s="37">
        <v>9267661</v>
      </c>
      <c r="G6" s="37">
        <v>6700286</v>
      </c>
      <c r="H6" s="37">
        <v>8158677</v>
      </c>
      <c r="I6" s="37">
        <v>5603194</v>
      </c>
      <c r="J6" s="37">
        <f>K6+J5</f>
        <v>3489297</v>
      </c>
      <c r="K6" s="37">
        <v>0</v>
      </c>
    </row>
    <row r="7" spans="1:11" ht="7.95" customHeight="1">
      <c r="A7" s="1"/>
      <c r="B7" s="46"/>
      <c r="C7" s="46"/>
      <c r="D7" s="46"/>
      <c r="E7" s="46"/>
      <c r="F7" s="46"/>
      <c r="G7" s="46"/>
      <c r="H7" s="1"/>
      <c r="I7" s="19"/>
      <c r="J7" s="19"/>
      <c r="K7" s="19"/>
    </row>
    <row r="8" spans="1:11">
      <c r="A8" s="11" t="s">
        <v>46</v>
      </c>
      <c r="B8" s="47">
        <v>24792031</v>
      </c>
      <c r="C8" s="47">
        <v>21861367</v>
      </c>
      <c r="D8" s="47">
        <v>24004620</v>
      </c>
      <c r="E8" s="47">
        <v>18767401</v>
      </c>
      <c r="F8" s="47">
        <v>20866441</v>
      </c>
      <c r="G8" s="47">
        <v>17920671</v>
      </c>
      <c r="H8" s="38">
        <v>16242718</v>
      </c>
      <c r="I8" s="38">
        <v>17103881</v>
      </c>
      <c r="J8" s="38">
        <v>14759863</v>
      </c>
      <c r="K8" s="38">
        <v>38029681</v>
      </c>
    </row>
    <row r="9" spans="1:11" s="2" customFormat="1" ht="18">
      <c r="A9" s="34" t="s">
        <v>48</v>
      </c>
      <c r="B9" s="35">
        <v>214348674</v>
      </c>
      <c r="C9" s="35">
        <v>189556643</v>
      </c>
      <c r="D9" s="35">
        <v>167695276</v>
      </c>
      <c r="E9" s="35">
        <v>143690656</v>
      </c>
      <c r="F9" s="35">
        <v>124923255</v>
      </c>
      <c r="G9" s="35">
        <v>104056814</v>
      </c>
      <c r="H9" s="35">
        <v>86136143</v>
      </c>
      <c r="I9" s="35">
        <v>69893425</v>
      </c>
      <c r="J9" s="35">
        <f>K9+J8</f>
        <v>52789544</v>
      </c>
      <c r="K9" s="35">
        <v>38029681</v>
      </c>
    </row>
    <row r="10" spans="1:11" ht="6.6" customHeight="1">
      <c r="A10" s="1"/>
      <c r="B10" s="46"/>
      <c r="C10" s="46"/>
      <c r="D10" s="46"/>
      <c r="E10" s="46"/>
      <c r="F10" s="46"/>
      <c r="G10" s="46"/>
      <c r="H10" s="1"/>
      <c r="I10" s="19"/>
      <c r="J10" s="19"/>
      <c r="K10" s="19"/>
    </row>
    <row r="11" spans="1:11">
      <c r="A11" s="11" t="s">
        <v>84</v>
      </c>
      <c r="B11" s="47">
        <v>1907600</v>
      </c>
      <c r="C11" s="47">
        <v>2099950</v>
      </c>
      <c r="D11" s="47">
        <v>2077612</v>
      </c>
      <c r="E11" s="47">
        <v>1890000</v>
      </c>
      <c r="F11" s="47">
        <v>1603550</v>
      </c>
      <c r="G11" s="47">
        <v>1803050</v>
      </c>
      <c r="H11" s="18">
        <v>1405350</v>
      </c>
      <c r="I11" s="18">
        <v>1332856</v>
      </c>
      <c r="J11" s="18">
        <v>0</v>
      </c>
      <c r="K11" s="18">
        <v>0</v>
      </c>
    </row>
    <row r="12" spans="1:11" s="2" customFormat="1" ht="18">
      <c r="A12" s="34" t="s">
        <v>85</v>
      </c>
      <c r="B12" s="35">
        <v>14119968</v>
      </c>
      <c r="C12" s="35">
        <v>12212368</v>
      </c>
      <c r="D12" s="35">
        <v>10112418</v>
      </c>
      <c r="E12" s="35">
        <v>8034806</v>
      </c>
      <c r="F12" s="35">
        <v>6144806</v>
      </c>
      <c r="G12" s="35">
        <v>4541256</v>
      </c>
      <c r="H12" s="35">
        <v>2738206</v>
      </c>
      <c r="I12" s="35">
        <v>1332856</v>
      </c>
      <c r="J12" s="35">
        <v>0</v>
      </c>
      <c r="K12" s="35">
        <v>0</v>
      </c>
    </row>
    <row r="13" spans="1:11">
      <c r="A13" s="1"/>
      <c r="B13" s="46"/>
      <c r="C13" s="46"/>
      <c r="D13" s="46"/>
      <c r="E13" s="46"/>
      <c r="F13" s="46"/>
      <c r="G13" s="46"/>
      <c r="H13" s="1"/>
      <c r="I13" s="19"/>
      <c r="J13" s="19"/>
      <c r="K13" s="19"/>
    </row>
    <row r="14" spans="1:11">
      <c r="A14" s="28" t="s">
        <v>49</v>
      </c>
      <c r="B14" s="48">
        <v>19892488</v>
      </c>
      <c r="C14" s="48">
        <v>14581532</v>
      </c>
      <c r="D14" s="48">
        <v>11071123</v>
      </c>
      <c r="E14" s="48">
        <v>15509111</v>
      </c>
      <c r="F14" s="48">
        <v>20365030</v>
      </c>
      <c r="G14" s="48">
        <v>14480500</v>
      </c>
      <c r="H14" s="23">
        <v>19615000</v>
      </c>
      <c r="I14" s="23">
        <v>18835598</v>
      </c>
      <c r="J14" s="23">
        <v>13133275</v>
      </c>
      <c r="K14" s="23">
        <v>0</v>
      </c>
    </row>
    <row r="15" spans="1:11" s="2" customFormat="1" ht="18">
      <c r="A15" s="32" t="s">
        <v>13</v>
      </c>
      <c r="B15" s="33">
        <v>147483657</v>
      </c>
      <c r="C15" s="33">
        <v>127591169</v>
      </c>
      <c r="D15" s="33">
        <v>113009637</v>
      </c>
      <c r="E15" s="33">
        <v>101938514</v>
      </c>
      <c r="F15" s="33">
        <v>86429403</v>
      </c>
      <c r="G15" s="33">
        <v>66064373</v>
      </c>
      <c r="H15" s="33">
        <v>51583873</v>
      </c>
      <c r="I15" s="33">
        <v>31968873</v>
      </c>
      <c r="J15" s="33">
        <f>K15+J14</f>
        <v>13133275</v>
      </c>
      <c r="K15" s="33">
        <v>0</v>
      </c>
    </row>
    <row r="16" spans="1:11" ht="4.95" customHeight="1">
      <c r="A16" s="1"/>
      <c r="B16" s="46"/>
      <c r="C16" s="46"/>
      <c r="D16" s="46"/>
      <c r="E16" s="46"/>
      <c r="F16" s="46"/>
      <c r="G16" s="46"/>
      <c r="H16" s="1"/>
      <c r="I16" s="27"/>
      <c r="J16" s="27"/>
      <c r="K16" s="27"/>
    </row>
    <row r="17" spans="1:11">
      <c r="A17" s="28" t="s">
        <v>61</v>
      </c>
      <c r="B17" s="48">
        <v>340297</v>
      </c>
      <c r="C17" s="48">
        <v>374431</v>
      </c>
      <c r="D17" s="48">
        <v>13999</v>
      </c>
      <c r="E17" s="48">
        <v>252935</v>
      </c>
      <c r="F17" s="48">
        <v>358660</v>
      </c>
      <c r="G17" s="48">
        <v>655137</v>
      </c>
      <c r="H17" s="23">
        <v>402282</v>
      </c>
      <c r="I17" s="23">
        <v>0</v>
      </c>
      <c r="J17" s="23">
        <v>0</v>
      </c>
      <c r="K17" s="23">
        <v>0</v>
      </c>
    </row>
    <row r="18" spans="1:11" s="2" customFormat="1" ht="18">
      <c r="A18" s="32" t="s">
        <v>13</v>
      </c>
      <c r="B18" s="33">
        <v>2397741</v>
      </c>
      <c r="C18" s="33">
        <v>2057444</v>
      </c>
      <c r="D18" s="33">
        <v>1683013</v>
      </c>
      <c r="E18" s="33">
        <v>1669014</v>
      </c>
      <c r="F18" s="33">
        <v>1416079</v>
      </c>
      <c r="G18" s="33">
        <v>1057419</v>
      </c>
      <c r="H18" s="33">
        <v>402282</v>
      </c>
      <c r="I18" s="33">
        <v>0</v>
      </c>
      <c r="J18" s="33">
        <v>0</v>
      </c>
      <c r="K18" s="33">
        <v>0</v>
      </c>
    </row>
    <row r="19" spans="1:11" s="2" customFormat="1" ht="7.2" customHeight="1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s="54" customFormat="1" ht="18">
      <c r="A20" s="52" t="s">
        <v>107</v>
      </c>
      <c r="B20" s="48">
        <v>0</v>
      </c>
      <c r="C20" s="48">
        <v>0</v>
      </c>
      <c r="D20" s="48">
        <v>425000</v>
      </c>
      <c r="E20" s="48">
        <v>200000</v>
      </c>
      <c r="F20" s="48">
        <v>300000</v>
      </c>
      <c r="G20" s="48">
        <v>220000</v>
      </c>
      <c r="H20" s="53">
        <v>0</v>
      </c>
      <c r="I20" s="53">
        <v>0</v>
      </c>
      <c r="J20" s="53">
        <v>0</v>
      </c>
      <c r="K20" s="53">
        <v>0</v>
      </c>
    </row>
    <row r="21" spans="1:11" s="2" customFormat="1" ht="18">
      <c r="A21" s="32" t="s">
        <v>13</v>
      </c>
      <c r="B21" s="33">
        <v>1145000</v>
      </c>
      <c r="C21" s="33">
        <v>1145000</v>
      </c>
      <c r="D21" s="33">
        <v>1145000</v>
      </c>
      <c r="E21" s="33">
        <v>720000</v>
      </c>
      <c r="F21" s="33">
        <v>520000</v>
      </c>
      <c r="G21" s="33">
        <v>220000</v>
      </c>
      <c r="H21" s="33">
        <v>0</v>
      </c>
      <c r="I21" s="33">
        <v>0</v>
      </c>
      <c r="J21" s="33">
        <v>0</v>
      </c>
      <c r="K21" s="33">
        <v>0</v>
      </c>
    </row>
    <row r="22" spans="1:11" s="16" customFormat="1" ht="6" customHeight="1">
      <c r="A22" s="29"/>
      <c r="B22" s="49"/>
      <c r="C22" s="49"/>
      <c r="D22" s="49"/>
      <c r="E22" s="49"/>
      <c r="F22" s="49"/>
      <c r="G22" s="49"/>
      <c r="H22" s="30"/>
      <c r="I22" s="30"/>
      <c r="J22" s="30"/>
      <c r="K22" s="30"/>
    </row>
    <row r="23" spans="1:11">
      <c r="A23" s="28" t="s">
        <v>97</v>
      </c>
      <c r="B23" s="48">
        <v>513906</v>
      </c>
      <c r="C23" s="48">
        <v>244500</v>
      </c>
      <c r="D23" s="48">
        <v>291600</v>
      </c>
      <c r="E23" s="48">
        <v>362900</v>
      </c>
      <c r="F23" s="48">
        <v>385000</v>
      </c>
      <c r="G23" s="48">
        <v>257100</v>
      </c>
      <c r="H23" s="23">
        <v>371400</v>
      </c>
      <c r="I23" s="23">
        <v>0</v>
      </c>
      <c r="J23" s="23">
        <v>0</v>
      </c>
      <c r="K23" s="23">
        <v>0</v>
      </c>
    </row>
    <row r="24" spans="1:11" s="2" customFormat="1" ht="18">
      <c r="A24" s="32" t="s">
        <v>13</v>
      </c>
      <c r="B24" s="33">
        <v>2426406</v>
      </c>
      <c r="C24" s="33">
        <v>1912500</v>
      </c>
      <c r="D24" s="33">
        <v>1668000</v>
      </c>
      <c r="E24" s="33">
        <v>1376400</v>
      </c>
      <c r="F24" s="33">
        <v>1013500</v>
      </c>
      <c r="G24" s="33">
        <v>628500</v>
      </c>
      <c r="H24" s="33">
        <v>371400</v>
      </c>
      <c r="I24" s="33">
        <v>0</v>
      </c>
      <c r="J24" s="33">
        <v>0</v>
      </c>
      <c r="K24" s="33">
        <v>0</v>
      </c>
    </row>
    <row r="25" spans="1:11" s="16" customFormat="1">
      <c r="A25" s="29"/>
      <c r="B25" s="49"/>
      <c r="C25" s="49"/>
      <c r="D25" s="49"/>
      <c r="E25" s="49"/>
      <c r="F25" s="49"/>
      <c r="G25" s="49"/>
      <c r="H25" s="30"/>
      <c r="I25" s="30"/>
      <c r="J25" s="30"/>
      <c r="K25" s="30"/>
    </row>
    <row r="26" spans="1:11" s="2" customFormat="1" ht="18">
      <c r="A26" s="34" t="s">
        <v>59</v>
      </c>
      <c r="B26" s="35">
        <v>195042349</v>
      </c>
      <c r="C26" s="35">
        <v>174295658</v>
      </c>
      <c r="D26" s="35">
        <v>159095195</v>
      </c>
      <c r="E26" s="35">
        <v>147293473</v>
      </c>
      <c r="F26" s="35">
        <v>130968527</v>
      </c>
      <c r="G26" s="35">
        <v>109559837</v>
      </c>
      <c r="H26" s="35">
        <v>93947100</v>
      </c>
      <c r="I26" s="35">
        <v>73558418</v>
      </c>
      <c r="J26" s="35">
        <v>54722820</v>
      </c>
      <c r="K26" s="35">
        <v>41589545</v>
      </c>
    </row>
    <row r="27" spans="1:11" ht="6" customHeight="1">
      <c r="A27" s="1"/>
      <c r="B27" s="46"/>
      <c r="C27" s="46"/>
      <c r="D27" s="46"/>
      <c r="E27" s="46"/>
      <c r="F27" s="46"/>
      <c r="G27" s="46"/>
      <c r="H27" s="1"/>
      <c r="I27" s="19"/>
      <c r="J27" s="19"/>
      <c r="K27" s="19"/>
    </row>
    <row r="28" spans="1:11" s="41" customFormat="1" ht="30.6" customHeight="1">
      <c r="A28" s="39" t="s">
        <v>60</v>
      </c>
      <c r="B28" s="40">
        <v>19306325</v>
      </c>
      <c r="C28" s="40">
        <v>15260985</v>
      </c>
      <c r="D28" s="40">
        <v>8600081</v>
      </c>
      <c r="E28" s="40">
        <v>-3602817</v>
      </c>
      <c r="F28" s="40">
        <v>-6045272</v>
      </c>
      <c r="G28" s="40">
        <v>-5503023</v>
      </c>
      <c r="H28" s="40">
        <v>-7810957</v>
      </c>
      <c r="I28" s="40">
        <v>-3664993</v>
      </c>
      <c r="J28" s="40">
        <v>-1933276</v>
      </c>
      <c r="K28" s="40">
        <v>-3559864</v>
      </c>
    </row>
    <row r="29" spans="1:11">
      <c r="A29" s="4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s="56" customFormat="1" ht="25.2" customHeight="1">
      <c r="A30" s="56" t="s">
        <v>117</v>
      </c>
      <c r="B30" s="57">
        <v>133724743</v>
      </c>
      <c r="C30" s="57">
        <v>105729327</v>
      </c>
      <c r="D30" s="57">
        <v>91020903</v>
      </c>
      <c r="E30" s="57">
        <v>70524414</v>
      </c>
      <c r="F30" s="57">
        <v>81598897</v>
      </c>
      <c r="G30" s="57">
        <v>68894771</v>
      </c>
      <c r="H30" s="57">
        <v>59286728</v>
      </c>
      <c r="I30" s="57">
        <v>48368209</v>
      </c>
      <c r="J30" s="57">
        <v>54674029</v>
      </c>
      <c r="K30" s="57">
        <v>76110222</v>
      </c>
    </row>
    <row r="31" spans="1:11" s="2" customFormat="1" ht="18"/>
  </sheetData>
  <pageMargins left="0.7" right="0.7" top="0.75" bottom="0.75" header="0.3" footer="0.3"/>
  <pageSetup paperSize="25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48"/>
  <sheetViews>
    <sheetView topLeftCell="A222" zoomScale="60" zoomScaleNormal="60" workbookViewId="0">
      <selection activeCell="H83" sqref="H83"/>
    </sheetView>
  </sheetViews>
  <sheetFormatPr defaultRowHeight="14.4"/>
  <cols>
    <col min="1" max="1" width="38.6640625" customWidth="1"/>
    <col min="2" max="14" width="27.109375" customWidth="1"/>
    <col min="15" max="15" width="19.33203125" customWidth="1"/>
  </cols>
  <sheetData>
    <row r="1" spans="1:14" ht="15" thickBot="1"/>
    <row r="2" spans="1:14" s="2" customFormat="1" ht="18">
      <c r="A2" s="42"/>
      <c r="B2" s="43" t="s">
        <v>116</v>
      </c>
      <c r="C2" s="43" t="s">
        <v>115</v>
      </c>
      <c r="D2" s="43" t="s">
        <v>114</v>
      </c>
      <c r="E2" s="43" t="s">
        <v>113</v>
      </c>
      <c r="F2" s="43" t="s">
        <v>110</v>
      </c>
      <c r="G2" s="43" t="s">
        <v>105</v>
      </c>
      <c r="H2" s="43" t="s">
        <v>104</v>
      </c>
      <c r="I2" s="43" t="s">
        <v>89</v>
      </c>
      <c r="J2" s="43" t="s">
        <v>88</v>
      </c>
      <c r="K2" s="43" t="s">
        <v>169</v>
      </c>
      <c r="L2" s="43" t="s">
        <v>153</v>
      </c>
      <c r="M2" s="43" t="s">
        <v>118</v>
      </c>
      <c r="N2" s="43"/>
    </row>
    <row r="3" spans="1:14" ht="4.95" customHeight="1" thickBo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3" customHeight="1" thickBot="1">
      <c r="A4" s="5"/>
    </row>
    <row r="5" spans="1:14" ht="15" thickTop="1">
      <c r="A5" s="84" t="s">
        <v>24</v>
      </c>
      <c r="B5" s="85">
        <v>-6889505</v>
      </c>
      <c r="C5" s="85">
        <v>-834061</v>
      </c>
      <c r="D5" s="85">
        <v>-3305529</v>
      </c>
      <c r="E5" s="85">
        <v>9364327</v>
      </c>
      <c r="F5" s="85">
        <v>-179056</v>
      </c>
      <c r="G5" s="85">
        <v>4574928</v>
      </c>
      <c r="H5" s="85">
        <v>4076551</v>
      </c>
      <c r="I5" s="85">
        <v>5879199</v>
      </c>
      <c r="J5" s="85">
        <v>4290223</v>
      </c>
      <c r="K5" s="85">
        <v>4579996</v>
      </c>
      <c r="L5" s="85">
        <v>6539685</v>
      </c>
      <c r="M5" s="85">
        <v>42416</v>
      </c>
      <c r="N5" s="85">
        <v>0</v>
      </c>
    </row>
    <row r="6" spans="1:14" s="2" customFormat="1" ht="18.600000000000001" thickBot="1">
      <c r="A6" s="86" t="s">
        <v>47</v>
      </c>
      <c r="B6" s="114">
        <v>28139174</v>
      </c>
      <c r="C6" s="114">
        <v>35028679</v>
      </c>
      <c r="D6" s="114">
        <v>35862740</v>
      </c>
      <c r="E6" s="114">
        <v>39168269</v>
      </c>
      <c r="F6" s="114">
        <v>29803942</v>
      </c>
      <c r="G6" s="114">
        <v>29982998</v>
      </c>
      <c r="H6" s="114">
        <v>25408070</v>
      </c>
      <c r="I6" s="114">
        <v>21331519</v>
      </c>
      <c r="J6" s="114">
        <v>15452320</v>
      </c>
      <c r="K6" s="114">
        <v>11162097</v>
      </c>
      <c r="L6" s="114">
        <v>6582101</v>
      </c>
      <c r="M6" s="114">
        <v>42416</v>
      </c>
      <c r="N6" s="87">
        <v>0</v>
      </c>
    </row>
    <row r="7" spans="1:14" s="2" customFormat="1" ht="10.5" customHeight="1" thickTop="1" thickBot="1"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</row>
    <row r="8" spans="1:14" s="2" customFormat="1" ht="18">
      <c r="A8" s="169" t="s">
        <v>19</v>
      </c>
      <c r="B8" s="170">
        <v>29514500</v>
      </c>
      <c r="C8" s="170">
        <v>18818500</v>
      </c>
      <c r="D8" s="170">
        <v>26242500</v>
      </c>
      <c r="E8" s="170">
        <v>14833000</v>
      </c>
      <c r="F8" s="170">
        <v>28569000</v>
      </c>
      <c r="G8" s="170">
        <v>31059000</v>
      </c>
      <c r="H8" s="170">
        <v>27456000</v>
      </c>
      <c r="I8" s="170">
        <v>28179500</v>
      </c>
      <c r="J8" s="170">
        <v>30389000</v>
      </c>
      <c r="K8" s="170">
        <v>33703000</v>
      </c>
      <c r="L8" s="244"/>
      <c r="M8" s="244"/>
      <c r="N8" s="170"/>
    </row>
    <row r="9" spans="1:14" s="2" customFormat="1" ht="18.600000000000001" thickBot="1">
      <c r="A9" s="171" t="s">
        <v>13</v>
      </c>
      <c r="B9" s="172">
        <v>268764000</v>
      </c>
      <c r="C9" s="172">
        <v>239249500</v>
      </c>
      <c r="D9" s="172">
        <v>220431000</v>
      </c>
      <c r="E9" s="172">
        <v>194188500</v>
      </c>
      <c r="F9" s="172">
        <v>179355500</v>
      </c>
      <c r="G9" s="172">
        <v>150786500</v>
      </c>
      <c r="H9" s="172">
        <v>119727500</v>
      </c>
      <c r="I9" s="172">
        <v>92271500</v>
      </c>
      <c r="J9" s="172">
        <v>64092000</v>
      </c>
      <c r="K9" s="172">
        <v>33703000</v>
      </c>
      <c r="L9" s="245"/>
      <c r="M9" s="245"/>
      <c r="N9" s="173"/>
    </row>
    <row r="10" spans="1:14" s="2" customFormat="1" ht="9.75" customHeight="1" thickBot="1"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246"/>
      <c r="M10" s="246"/>
      <c r="N10" s="168"/>
    </row>
    <row r="11" spans="1:14" s="2" customFormat="1" ht="18">
      <c r="A11" s="169" t="s">
        <v>180</v>
      </c>
      <c r="B11" s="170">
        <v>2339000</v>
      </c>
      <c r="C11" s="170">
        <v>1497000</v>
      </c>
      <c r="D11" s="170">
        <v>2043500</v>
      </c>
      <c r="E11" s="170">
        <v>1921000</v>
      </c>
      <c r="F11" s="170">
        <v>1693500</v>
      </c>
      <c r="G11" s="170">
        <v>1958500</v>
      </c>
      <c r="H11" s="170">
        <v>1660500</v>
      </c>
      <c r="I11" s="170">
        <v>2470000</v>
      </c>
      <c r="J11" s="170">
        <v>1748000</v>
      </c>
      <c r="K11" s="170">
        <v>1185000</v>
      </c>
      <c r="L11" s="244"/>
      <c r="M11" s="244"/>
      <c r="N11" s="170"/>
    </row>
    <row r="12" spans="1:14" s="2" customFormat="1" ht="18.600000000000001" thickBot="1">
      <c r="A12" s="171" t="s">
        <v>13</v>
      </c>
      <c r="B12" s="172">
        <v>18516000</v>
      </c>
      <c r="C12" s="172">
        <v>16177000</v>
      </c>
      <c r="D12" s="172">
        <v>14680000</v>
      </c>
      <c r="E12" s="172">
        <v>12636500</v>
      </c>
      <c r="F12" s="172">
        <v>10715500</v>
      </c>
      <c r="G12" s="172">
        <v>9022000</v>
      </c>
      <c r="H12" s="172">
        <v>7063500</v>
      </c>
      <c r="I12" s="172">
        <v>5403000</v>
      </c>
      <c r="J12" s="172">
        <v>2933000</v>
      </c>
      <c r="K12" s="172">
        <v>1185000</v>
      </c>
      <c r="L12" s="245"/>
      <c r="M12" s="245"/>
      <c r="N12" s="173"/>
    </row>
    <row r="13" spans="1:14" ht="7.95" customHeight="1" thickBot="1">
      <c r="A13" s="5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 spans="1:14" ht="15" thickTop="1">
      <c r="A14" s="88" t="s">
        <v>173</v>
      </c>
      <c r="B14" s="205">
        <v>19313911</v>
      </c>
      <c r="C14" s="205">
        <v>19766714</v>
      </c>
      <c r="D14" s="205">
        <v>16995299</v>
      </c>
      <c r="E14" s="205">
        <v>17363421</v>
      </c>
      <c r="F14" s="205">
        <v>20977138</v>
      </c>
      <c r="G14" s="205">
        <v>24093815</v>
      </c>
      <c r="H14" s="205">
        <v>22988038</v>
      </c>
      <c r="I14" s="205">
        <v>19171325</v>
      </c>
      <c r="J14" s="205">
        <v>19187887</v>
      </c>
      <c r="K14" s="205">
        <v>21238370</v>
      </c>
      <c r="L14" s="205">
        <v>25308870</v>
      </c>
      <c r="M14" s="205">
        <v>19485772</v>
      </c>
      <c r="N14" s="89">
        <v>0</v>
      </c>
    </row>
    <row r="15" spans="1:14" s="16" customFormat="1">
      <c r="A15" s="202"/>
      <c r="B15" s="247">
        <v>245890560</v>
      </c>
      <c r="C15" s="247">
        <v>226576649</v>
      </c>
      <c r="D15" s="247">
        <v>206809935</v>
      </c>
      <c r="E15" s="247">
        <v>189814636</v>
      </c>
      <c r="F15" s="247">
        <v>172451215</v>
      </c>
      <c r="G15" s="247">
        <v>151474077</v>
      </c>
      <c r="H15" s="247">
        <f t="shared" ref="H15:M15" si="0">I15+H14</f>
        <v>127380262</v>
      </c>
      <c r="I15" s="247">
        <f t="shared" si="0"/>
        <v>104392224</v>
      </c>
      <c r="J15" s="247">
        <f t="shared" si="0"/>
        <v>85220899</v>
      </c>
      <c r="K15" s="247">
        <f t="shared" si="0"/>
        <v>66033012</v>
      </c>
      <c r="L15" s="247">
        <f t="shared" si="0"/>
        <v>44794642</v>
      </c>
      <c r="M15" s="247">
        <f t="shared" si="0"/>
        <v>19485772</v>
      </c>
      <c r="N15" s="204"/>
    </row>
    <row r="16" spans="1:14" s="16" customFormat="1">
      <c r="A16" s="214" t="s">
        <v>100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</row>
    <row r="17" spans="1:14" s="16" customFormat="1">
      <c r="A17" s="215" t="s">
        <v>337</v>
      </c>
      <c r="B17" s="206">
        <v>0</v>
      </c>
      <c r="C17" s="206">
        <v>0</v>
      </c>
      <c r="D17" s="206">
        <v>0</v>
      </c>
      <c r="E17" s="206">
        <v>0</v>
      </c>
      <c r="F17" s="206">
        <v>20500</v>
      </c>
      <c r="G17" s="206">
        <v>24500</v>
      </c>
      <c r="H17" s="206"/>
      <c r="I17" s="206"/>
      <c r="J17" s="206"/>
      <c r="K17" s="206"/>
      <c r="L17" s="206"/>
      <c r="M17" s="206"/>
      <c r="N17" s="206"/>
    </row>
    <row r="18" spans="1:14" s="16" customFormat="1">
      <c r="A18" s="215"/>
      <c r="B18" s="247">
        <v>45000</v>
      </c>
      <c r="C18" s="247">
        <v>45000</v>
      </c>
      <c r="D18" s="247">
        <v>45000</v>
      </c>
      <c r="E18" s="247">
        <v>45000</v>
      </c>
      <c r="F18" s="247">
        <v>45000</v>
      </c>
      <c r="G18" s="247">
        <v>24500</v>
      </c>
      <c r="H18" s="247"/>
      <c r="I18" s="247"/>
      <c r="J18" s="247"/>
      <c r="K18" s="247"/>
      <c r="L18" s="247"/>
      <c r="M18" s="247"/>
      <c r="N18" s="203"/>
    </row>
    <row r="19" spans="1:14" s="16" customFormat="1">
      <c r="A19" s="215" t="s">
        <v>353</v>
      </c>
      <c r="B19" s="206">
        <v>9000</v>
      </c>
      <c r="C19" s="206">
        <v>9000</v>
      </c>
      <c r="D19" s="206">
        <v>9000</v>
      </c>
      <c r="E19" s="206">
        <v>9000</v>
      </c>
      <c r="F19" s="206">
        <v>8000</v>
      </c>
      <c r="G19" s="206">
        <v>15500</v>
      </c>
      <c r="H19" s="206"/>
      <c r="I19" s="206"/>
      <c r="J19" s="206"/>
      <c r="K19" s="206"/>
      <c r="L19" s="206"/>
      <c r="M19" s="206"/>
      <c r="N19" s="206"/>
    </row>
    <row r="20" spans="1:14" s="16" customFormat="1">
      <c r="A20" s="215"/>
      <c r="B20" s="247">
        <v>59500</v>
      </c>
      <c r="C20" s="247">
        <v>50500</v>
      </c>
      <c r="D20" s="247">
        <v>41500</v>
      </c>
      <c r="E20" s="247">
        <v>32500</v>
      </c>
      <c r="F20" s="247">
        <v>23500</v>
      </c>
      <c r="G20" s="247">
        <v>15500</v>
      </c>
      <c r="H20" s="247"/>
      <c r="I20" s="247"/>
      <c r="J20" s="247"/>
      <c r="K20" s="247"/>
      <c r="L20" s="247"/>
      <c r="M20" s="247"/>
      <c r="N20" s="203"/>
    </row>
    <row r="21" spans="1:14" s="16" customFormat="1">
      <c r="A21" s="215" t="s">
        <v>245</v>
      </c>
      <c r="B21" s="206">
        <v>309300</v>
      </c>
      <c r="C21" s="206">
        <v>230000</v>
      </c>
      <c r="D21" s="206">
        <v>286997</v>
      </c>
      <c r="E21" s="206">
        <v>239998</v>
      </c>
      <c r="F21" s="206">
        <v>234996</v>
      </c>
      <c r="G21" s="206">
        <v>215000</v>
      </c>
      <c r="H21" s="206"/>
      <c r="I21" s="206"/>
      <c r="J21" s="206"/>
      <c r="K21" s="206"/>
      <c r="L21" s="206"/>
      <c r="M21" s="206"/>
      <c r="N21" s="206"/>
    </row>
    <row r="22" spans="1:14" s="16" customFormat="1">
      <c r="A22" s="215"/>
      <c r="B22" s="247">
        <v>1516291</v>
      </c>
      <c r="C22" s="247">
        <v>1206991</v>
      </c>
      <c r="D22" s="247">
        <v>976991</v>
      </c>
      <c r="E22" s="247">
        <v>689994</v>
      </c>
      <c r="F22" s="247">
        <v>449996</v>
      </c>
      <c r="G22" s="247">
        <v>215000</v>
      </c>
      <c r="H22" s="247"/>
      <c r="I22" s="247"/>
      <c r="J22" s="247"/>
      <c r="K22" s="247"/>
      <c r="L22" s="247"/>
      <c r="M22" s="247"/>
      <c r="N22" s="203"/>
    </row>
    <row r="23" spans="1:14" s="16" customFormat="1">
      <c r="A23" s="215" t="s">
        <v>349</v>
      </c>
      <c r="B23" s="220">
        <v>0</v>
      </c>
      <c r="C23" s="220">
        <v>5000</v>
      </c>
      <c r="D23" s="220">
        <v>0</v>
      </c>
      <c r="E23" s="220">
        <v>0</v>
      </c>
      <c r="F23" s="220">
        <v>0</v>
      </c>
      <c r="G23" s="220">
        <v>5000</v>
      </c>
      <c r="H23" s="220"/>
      <c r="I23" s="220"/>
      <c r="J23" s="220"/>
      <c r="K23" s="220"/>
      <c r="L23" s="220"/>
      <c r="M23" s="220"/>
      <c r="N23" s="220"/>
    </row>
    <row r="24" spans="1:14" s="16" customFormat="1">
      <c r="A24" s="215"/>
      <c r="B24" s="247">
        <v>10000</v>
      </c>
      <c r="C24" s="247">
        <v>10000</v>
      </c>
      <c r="D24" s="247">
        <v>5000</v>
      </c>
      <c r="E24" s="247">
        <v>5000</v>
      </c>
      <c r="F24" s="247">
        <v>5000</v>
      </c>
      <c r="G24" s="247">
        <v>5000</v>
      </c>
      <c r="H24" s="247"/>
      <c r="I24" s="247"/>
      <c r="J24" s="247"/>
      <c r="K24" s="247"/>
      <c r="L24" s="247"/>
      <c r="M24" s="247"/>
      <c r="N24" s="203"/>
    </row>
    <row r="25" spans="1:14" s="16" customFormat="1">
      <c r="A25" s="215" t="s">
        <v>247</v>
      </c>
      <c r="B25" s="220">
        <v>101400</v>
      </c>
      <c r="C25" s="220">
        <v>0</v>
      </c>
      <c r="D25" s="220">
        <v>101400</v>
      </c>
      <c r="E25" s="220">
        <v>101400</v>
      </c>
      <c r="F25" s="220">
        <v>101400</v>
      </c>
      <c r="G25" s="220">
        <v>101400</v>
      </c>
      <c r="H25" s="220"/>
      <c r="I25" s="220"/>
      <c r="J25" s="220"/>
      <c r="K25" s="220"/>
      <c r="L25" s="220"/>
      <c r="M25" s="220"/>
      <c r="N25" s="220"/>
    </row>
    <row r="26" spans="1:14" s="16" customFormat="1">
      <c r="A26" s="215"/>
      <c r="B26" s="247">
        <v>507000</v>
      </c>
      <c r="C26" s="247">
        <v>405600</v>
      </c>
      <c r="D26" s="247">
        <v>405600</v>
      </c>
      <c r="E26" s="247">
        <v>304200</v>
      </c>
      <c r="F26" s="247">
        <v>202800</v>
      </c>
      <c r="G26" s="247">
        <v>101400</v>
      </c>
      <c r="H26" s="247"/>
      <c r="I26" s="247"/>
      <c r="J26" s="247"/>
      <c r="K26" s="247"/>
      <c r="L26" s="247"/>
      <c r="M26" s="247"/>
      <c r="N26" s="203"/>
    </row>
    <row r="27" spans="1:14" s="16" customFormat="1">
      <c r="A27" s="215" t="s">
        <v>572</v>
      </c>
      <c r="B27" s="206">
        <v>1564000</v>
      </c>
      <c r="C27" s="206">
        <v>1538000</v>
      </c>
      <c r="D27" s="206">
        <v>1703000</v>
      </c>
      <c r="E27" s="206">
        <v>1956500</v>
      </c>
      <c r="F27" s="206">
        <v>1918000</v>
      </c>
      <c r="G27" s="206">
        <v>1389000</v>
      </c>
      <c r="H27" s="206"/>
      <c r="I27" s="206"/>
      <c r="J27" s="206"/>
      <c r="K27" s="206"/>
      <c r="L27" s="206"/>
      <c r="M27" s="206"/>
      <c r="N27" s="206"/>
    </row>
    <row r="28" spans="1:14" s="16" customFormat="1">
      <c r="A28" s="215"/>
      <c r="B28" s="247">
        <v>10068500</v>
      </c>
      <c r="C28" s="247">
        <v>8504500</v>
      </c>
      <c r="D28" s="247">
        <v>6966500</v>
      </c>
      <c r="E28" s="247">
        <v>5263500</v>
      </c>
      <c r="F28" s="247">
        <v>3307000</v>
      </c>
      <c r="G28" s="247">
        <v>1389000</v>
      </c>
      <c r="H28" s="247"/>
      <c r="I28" s="247"/>
      <c r="J28" s="247"/>
      <c r="K28" s="247"/>
      <c r="L28" s="247"/>
      <c r="M28" s="247"/>
      <c r="N28" s="203"/>
    </row>
    <row r="29" spans="1:14" s="16" customFormat="1">
      <c r="A29" s="215" t="s">
        <v>246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420000</v>
      </c>
      <c r="H29" s="206"/>
      <c r="I29" s="206"/>
      <c r="J29" s="206"/>
      <c r="K29" s="206"/>
      <c r="L29" s="206"/>
      <c r="M29" s="206"/>
      <c r="N29" s="206"/>
    </row>
    <row r="30" spans="1:14" s="16" customFormat="1">
      <c r="A30" s="215"/>
      <c r="B30" s="247">
        <v>420000</v>
      </c>
      <c r="C30" s="247">
        <v>420000</v>
      </c>
      <c r="D30" s="247">
        <v>420000</v>
      </c>
      <c r="E30" s="247">
        <v>420000</v>
      </c>
      <c r="F30" s="247">
        <v>420000</v>
      </c>
      <c r="G30" s="247">
        <v>420000</v>
      </c>
      <c r="H30" s="247"/>
      <c r="I30" s="247"/>
      <c r="J30" s="247"/>
      <c r="K30" s="247"/>
      <c r="L30" s="247"/>
      <c r="M30" s="247"/>
      <c r="N30" s="203"/>
    </row>
    <row r="31" spans="1:14" s="16" customFormat="1">
      <c r="A31" s="215" t="s">
        <v>334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/>
      <c r="I31" s="206"/>
      <c r="J31" s="206"/>
      <c r="K31" s="206"/>
      <c r="L31" s="206"/>
      <c r="M31" s="206"/>
      <c r="N31" s="206"/>
    </row>
    <row r="32" spans="1:14" s="16" customFormat="1">
      <c r="A32" s="215"/>
      <c r="B32" s="247">
        <v>0</v>
      </c>
      <c r="C32" s="247">
        <v>0</v>
      </c>
      <c r="D32" s="247">
        <v>0</v>
      </c>
      <c r="E32" s="247">
        <v>0</v>
      </c>
      <c r="F32" s="247">
        <v>0</v>
      </c>
      <c r="G32" s="247">
        <v>0</v>
      </c>
      <c r="H32" s="247"/>
      <c r="I32" s="247"/>
      <c r="J32" s="247"/>
      <c r="K32" s="247"/>
      <c r="L32" s="247"/>
      <c r="M32" s="247"/>
      <c r="N32" s="203"/>
    </row>
    <row r="33" spans="1:14" s="16" customFormat="1">
      <c r="A33" s="215" t="s">
        <v>27</v>
      </c>
      <c r="B33" s="206">
        <v>1140934</v>
      </c>
      <c r="C33" s="206">
        <v>433200</v>
      </c>
      <c r="D33" s="206">
        <v>89725</v>
      </c>
      <c r="E33" s="206">
        <v>1523000</v>
      </c>
      <c r="F33" s="206">
        <v>114030</v>
      </c>
      <c r="G33" s="206">
        <v>55699</v>
      </c>
      <c r="H33" s="206"/>
      <c r="I33" s="206"/>
      <c r="J33" s="206"/>
      <c r="K33" s="206"/>
      <c r="L33" s="206"/>
      <c r="M33" s="206"/>
      <c r="N33" s="206"/>
    </row>
    <row r="34" spans="1:14" s="16" customFormat="1">
      <c r="A34" s="215"/>
      <c r="B34" s="247">
        <v>3356588</v>
      </c>
      <c r="C34" s="247">
        <v>2215654</v>
      </c>
      <c r="D34" s="247">
        <v>1782454</v>
      </c>
      <c r="E34" s="247">
        <v>1692729</v>
      </c>
      <c r="F34" s="247">
        <v>169729</v>
      </c>
      <c r="G34" s="247">
        <v>55699</v>
      </c>
      <c r="H34" s="247"/>
      <c r="I34" s="247"/>
      <c r="J34" s="247"/>
      <c r="K34" s="247"/>
      <c r="L34" s="247"/>
      <c r="M34" s="247"/>
      <c r="N34" s="203"/>
    </row>
    <row r="35" spans="1:14" s="16" customFormat="1">
      <c r="A35" s="215" t="s">
        <v>59</v>
      </c>
      <c r="B35" s="206">
        <v>3124634</v>
      </c>
      <c r="C35" s="206">
        <v>2215200</v>
      </c>
      <c r="D35" s="206">
        <v>2190122</v>
      </c>
      <c r="E35" s="206">
        <v>3829898</v>
      </c>
      <c r="F35" s="206">
        <v>2396926</v>
      </c>
      <c r="G35" s="206">
        <v>2226099</v>
      </c>
      <c r="H35" s="206"/>
      <c r="I35" s="206"/>
      <c r="J35" s="206"/>
      <c r="K35" s="206"/>
      <c r="L35" s="206"/>
      <c r="M35" s="206"/>
      <c r="N35" s="206"/>
    </row>
    <row r="36" spans="1:14" s="16" customFormat="1">
      <c r="A36" s="202"/>
      <c r="B36" s="247">
        <v>15982879</v>
      </c>
      <c r="C36" s="247">
        <v>12858245</v>
      </c>
      <c r="D36" s="247">
        <v>10643045</v>
      </c>
      <c r="E36" s="247">
        <v>8452923</v>
      </c>
      <c r="F36" s="247">
        <v>4623025</v>
      </c>
      <c r="G36" s="247">
        <v>2226099</v>
      </c>
      <c r="H36" s="247"/>
      <c r="I36" s="247"/>
      <c r="J36" s="247"/>
      <c r="K36" s="247"/>
      <c r="L36" s="247"/>
      <c r="M36" s="247"/>
      <c r="N36" s="203"/>
    </row>
    <row r="37" spans="1:14" s="16" customFormat="1">
      <c r="A37" s="217" t="s">
        <v>350</v>
      </c>
      <c r="B37" s="218">
        <v>16189277</v>
      </c>
      <c r="C37" s="218">
        <v>17551514</v>
      </c>
      <c r="D37" s="218">
        <v>14805177</v>
      </c>
      <c r="E37" s="218">
        <v>13533523</v>
      </c>
      <c r="F37" s="218">
        <v>18580212</v>
      </c>
      <c r="G37" s="218">
        <v>21867716</v>
      </c>
      <c r="H37" s="218">
        <f t="shared" ref="H37:M37" si="1">H14-H35</f>
        <v>22988038</v>
      </c>
      <c r="I37" s="218">
        <f t="shared" si="1"/>
        <v>19171325</v>
      </c>
      <c r="J37" s="218">
        <f t="shared" si="1"/>
        <v>19187887</v>
      </c>
      <c r="K37" s="218">
        <f t="shared" si="1"/>
        <v>21238370</v>
      </c>
      <c r="L37" s="218">
        <f t="shared" si="1"/>
        <v>25308870</v>
      </c>
      <c r="M37" s="218">
        <f t="shared" si="1"/>
        <v>19485772</v>
      </c>
      <c r="N37" s="218"/>
    </row>
    <row r="38" spans="1:14" s="16" customFormat="1">
      <c r="A38" s="217"/>
      <c r="B38" s="247">
        <v>229907681</v>
      </c>
      <c r="C38" s="247">
        <v>213718404</v>
      </c>
      <c r="D38" s="247">
        <v>196166890</v>
      </c>
      <c r="E38" s="247">
        <v>181361713</v>
      </c>
      <c r="F38" s="247">
        <v>167828190</v>
      </c>
      <c r="G38" s="247">
        <v>149247978</v>
      </c>
      <c r="H38" s="247">
        <f t="shared" ref="H38:M38" si="2">I38+H37</f>
        <v>127380262</v>
      </c>
      <c r="I38" s="247">
        <f t="shared" si="2"/>
        <v>104392224</v>
      </c>
      <c r="J38" s="247">
        <f t="shared" si="2"/>
        <v>85220899</v>
      </c>
      <c r="K38" s="247">
        <f t="shared" si="2"/>
        <v>66033012</v>
      </c>
      <c r="L38" s="247">
        <f t="shared" si="2"/>
        <v>44794642</v>
      </c>
      <c r="M38" s="247">
        <f t="shared" si="2"/>
        <v>19485772</v>
      </c>
      <c r="N38" s="203"/>
    </row>
    <row r="39" spans="1:14" s="16" customFormat="1">
      <c r="A39" s="219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</row>
    <row r="40" spans="1:14">
      <c r="A40" s="201" t="s">
        <v>174</v>
      </c>
      <c r="B40" s="206">
        <v>9976089</v>
      </c>
      <c r="C40" s="206">
        <v>11202777</v>
      </c>
      <c r="D40" s="206">
        <v>9005778</v>
      </c>
      <c r="E40" s="206">
        <v>9409748</v>
      </c>
      <c r="F40" s="206">
        <v>8548510</v>
      </c>
      <c r="G40" s="206">
        <v>11055340</v>
      </c>
      <c r="H40" s="206">
        <v>10238175</v>
      </c>
      <c r="I40" s="206">
        <v>8544129</v>
      </c>
      <c r="J40" s="206">
        <v>7682213</v>
      </c>
      <c r="K40" s="206">
        <v>4612351</v>
      </c>
      <c r="L40" s="221"/>
      <c r="M40" s="221"/>
      <c r="N40" s="222"/>
    </row>
    <row r="41" spans="1:14" s="16" customFormat="1">
      <c r="A41" s="202"/>
      <c r="B41" s="247">
        <v>90275110</v>
      </c>
      <c r="C41" s="247">
        <v>80299021</v>
      </c>
      <c r="D41" s="247">
        <v>69096244</v>
      </c>
      <c r="E41" s="247">
        <v>60090466</v>
      </c>
      <c r="F41" s="247">
        <v>50680718</v>
      </c>
      <c r="G41" s="247">
        <v>42132208</v>
      </c>
      <c r="H41" s="247">
        <f>I41+H40</f>
        <v>31076868</v>
      </c>
      <c r="I41" s="247">
        <f>J41+I40</f>
        <v>20838693</v>
      </c>
      <c r="J41" s="247">
        <f>K41+J40</f>
        <v>12294564</v>
      </c>
      <c r="K41" s="247">
        <f>L41+K40</f>
        <v>4612351</v>
      </c>
      <c r="L41" s="223">
        <f>M66+L40</f>
        <v>0</v>
      </c>
      <c r="M41" s="223">
        <f>N66+M40</f>
        <v>0</v>
      </c>
      <c r="N41" s="223"/>
    </row>
    <row r="42" spans="1:14" s="16" customFormat="1">
      <c r="A42" s="214" t="s">
        <v>100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</row>
    <row r="43" spans="1:14" s="16" customFormat="1">
      <c r="A43" s="215" t="s">
        <v>337</v>
      </c>
      <c r="B43" s="206">
        <v>0</v>
      </c>
      <c r="C43" s="206">
        <v>0</v>
      </c>
      <c r="D43" s="206">
        <v>0</v>
      </c>
      <c r="E43" s="206">
        <v>0</v>
      </c>
      <c r="F43" s="206">
        <v>9000</v>
      </c>
      <c r="G43" s="206">
        <v>13000</v>
      </c>
      <c r="H43" s="206"/>
      <c r="I43" s="206"/>
      <c r="J43" s="206"/>
      <c r="K43" s="206">
        <v>200000</v>
      </c>
      <c r="L43" s="221"/>
      <c r="M43" s="221"/>
      <c r="N43" s="221"/>
    </row>
    <row r="44" spans="1:14" s="16" customFormat="1">
      <c r="A44" s="215"/>
      <c r="B44" s="247">
        <v>222000</v>
      </c>
      <c r="C44" s="247">
        <v>222000</v>
      </c>
      <c r="D44" s="247">
        <v>222000</v>
      </c>
      <c r="E44" s="247">
        <v>222000</v>
      </c>
      <c r="F44" s="247">
        <v>222000</v>
      </c>
      <c r="G44" s="247">
        <v>213000</v>
      </c>
      <c r="H44" s="247">
        <f>I44+H43</f>
        <v>200000</v>
      </c>
      <c r="I44" s="247">
        <f>J44+I43</f>
        <v>200000</v>
      </c>
      <c r="J44" s="247">
        <f>K44+J43</f>
        <v>200000</v>
      </c>
      <c r="K44" s="247">
        <f>L44+K43</f>
        <v>200000</v>
      </c>
      <c r="L44" s="223"/>
      <c r="M44" s="223"/>
      <c r="N44" s="223"/>
    </row>
    <row r="45" spans="1:14" s="16" customFormat="1">
      <c r="A45" s="215" t="s">
        <v>353</v>
      </c>
      <c r="B45" s="206">
        <v>9000</v>
      </c>
      <c r="C45" s="206">
        <v>9000</v>
      </c>
      <c r="D45" s="206">
        <v>9000</v>
      </c>
      <c r="E45" s="206">
        <v>9000</v>
      </c>
      <c r="F45" s="206">
        <v>8000</v>
      </c>
      <c r="G45" s="206">
        <v>18884</v>
      </c>
      <c r="H45" s="206"/>
      <c r="I45" s="206"/>
      <c r="J45" s="206"/>
      <c r="K45" s="206">
        <v>200000</v>
      </c>
      <c r="L45" s="221"/>
      <c r="M45" s="221"/>
      <c r="N45" s="221"/>
    </row>
    <row r="46" spans="1:14" s="16" customFormat="1">
      <c r="A46" s="215"/>
      <c r="B46" s="247">
        <v>262884</v>
      </c>
      <c r="C46" s="247">
        <v>253884</v>
      </c>
      <c r="D46" s="247">
        <v>244884</v>
      </c>
      <c r="E46" s="247">
        <v>235884</v>
      </c>
      <c r="F46" s="247">
        <v>226884</v>
      </c>
      <c r="G46" s="247">
        <v>218884</v>
      </c>
      <c r="H46" s="247">
        <f>I46+H45</f>
        <v>200000</v>
      </c>
      <c r="I46" s="247">
        <f>J46+I45</f>
        <v>200000</v>
      </c>
      <c r="J46" s="247">
        <f>K46+J45</f>
        <v>200000</v>
      </c>
      <c r="K46" s="247">
        <f>L46+K45</f>
        <v>200000</v>
      </c>
      <c r="L46" s="223"/>
      <c r="M46" s="223"/>
      <c r="N46" s="223"/>
    </row>
    <row r="47" spans="1:14" s="16" customFormat="1">
      <c r="A47" s="215" t="s">
        <v>245</v>
      </c>
      <c r="B47" s="206">
        <v>132198</v>
      </c>
      <c r="C47" s="206">
        <v>108496</v>
      </c>
      <c r="D47" s="206">
        <v>16499</v>
      </c>
      <c r="E47" s="206">
        <v>107499</v>
      </c>
      <c r="F47" s="206">
        <v>105996</v>
      </c>
      <c r="G47" s="206">
        <v>96998</v>
      </c>
      <c r="H47" s="206"/>
      <c r="I47" s="206"/>
      <c r="J47" s="206"/>
      <c r="K47" s="206">
        <v>1000000</v>
      </c>
      <c r="L47" s="221"/>
      <c r="M47" s="221"/>
      <c r="N47" s="221"/>
    </row>
    <row r="48" spans="1:14" s="16" customFormat="1">
      <c r="A48" s="215"/>
      <c r="B48" s="247">
        <v>1567686</v>
      </c>
      <c r="C48" s="247">
        <v>1435488</v>
      </c>
      <c r="D48" s="247">
        <v>1326992</v>
      </c>
      <c r="E48" s="247">
        <v>1310493</v>
      </c>
      <c r="F48" s="247">
        <v>1202994</v>
      </c>
      <c r="G48" s="247">
        <v>1096998</v>
      </c>
      <c r="H48" s="247">
        <f>I48+H47</f>
        <v>1000000</v>
      </c>
      <c r="I48" s="247">
        <f>J48+I47</f>
        <v>1000000</v>
      </c>
      <c r="J48" s="247">
        <f>K48+J47</f>
        <v>1000000</v>
      </c>
      <c r="K48" s="247">
        <f>L48+K47</f>
        <v>1000000</v>
      </c>
      <c r="L48" s="223"/>
      <c r="M48" s="223"/>
      <c r="N48" s="223"/>
    </row>
    <row r="49" spans="1:14" s="16" customFormat="1">
      <c r="A49" s="215" t="s">
        <v>349</v>
      </c>
      <c r="B49" s="220">
        <v>0</v>
      </c>
      <c r="C49" s="220">
        <v>0</v>
      </c>
      <c r="D49" s="220">
        <v>0</v>
      </c>
      <c r="E49" s="220">
        <v>0</v>
      </c>
      <c r="F49" s="220">
        <v>0</v>
      </c>
      <c r="G49" s="220">
        <v>0</v>
      </c>
      <c r="H49" s="220"/>
      <c r="I49" s="220"/>
      <c r="J49" s="220"/>
      <c r="K49" s="220">
        <v>100000</v>
      </c>
      <c r="L49" s="224"/>
      <c r="M49" s="224"/>
      <c r="N49" s="224"/>
    </row>
    <row r="50" spans="1:14" s="16" customFormat="1">
      <c r="A50" s="215"/>
      <c r="B50" s="247">
        <v>100000</v>
      </c>
      <c r="C50" s="247">
        <v>100000</v>
      </c>
      <c r="D50" s="247">
        <v>100000</v>
      </c>
      <c r="E50" s="247">
        <v>100000</v>
      </c>
      <c r="F50" s="247">
        <v>100000</v>
      </c>
      <c r="G50" s="247">
        <v>100000</v>
      </c>
      <c r="H50" s="247">
        <f>I50+H49</f>
        <v>100000</v>
      </c>
      <c r="I50" s="247">
        <f>J50+I49</f>
        <v>100000</v>
      </c>
      <c r="J50" s="247">
        <f>K50+J49</f>
        <v>100000</v>
      </c>
      <c r="K50" s="247">
        <f>L50+K49</f>
        <v>100000</v>
      </c>
      <c r="L50" s="223"/>
      <c r="M50" s="223"/>
      <c r="N50" s="223"/>
    </row>
    <row r="51" spans="1:14" s="16" customFormat="1">
      <c r="A51" s="215" t="s">
        <v>247</v>
      </c>
      <c r="B51" s="220">
        <v>101400</v>
      </c>
      <c r="C51" s="220">
        <v>101400</v>
      </c>
      <c r="D51" s="220">
        <v>0</v>
      </c>
      <c r="E51" s="220">
        <v>51400</v>
      </c>
      <c r="F51" s="220">
        <v>101400</v>
      </c>
      <c r="G51" s="220">
        <v>51400</v>
      </c>
      <c r="H51" s="220"/>
      <c r="I51" s="220"/>
      <c r="J51" s="220"/>
      <c r="K51" s="220">
        <v>250000</v>
      </c>
      <c r="L51" s="224"/>
      <c r="M51" s="224"/>
      <c r="N51" s="224"/>
    </row>
    <row r="52" spans="1:14" s="16" customFormat="1">
      <c r="A52" s="215"/>
      <c r="B52" s="247">
        <v>657000</v>
      </c>
      <c r="C52" s="247">
        <v>555600</v>
      </c>
      <c r="D52" s="247">
        <v>454200</v>
      </c>
      <c r="E52" s="247">
        <v>454200</v>
      </c>
      <c r="F52" s="247">
        <v>402800</v>
      </c>
      <c r="G52" s="247">
        <v>301400</v>
      </c>
      <c r="H52" s="247">
        <f>I52+H51</f>
        <v>250000</v>
      </c>
      <c r="I52" s="247">
        <f>J52+I51</f>
        <v>250000</v>
      </c>
      <c r="J52" s="247">
        <f>K52+J51</f>
        <v>250000</v>
      </c>
      <c r="K52" s="247">
        <f>L52+K51</f>
        <v>250000</v>
      </c>
      <c r="L52" s="223"/>
      <c r="M52" s="223"/>
      <c r="N52" s="223"/>
    </row>
    <row r="53" spans="1:14" s="16" customFormat="1">
      <c r="A53" s="215" t="s">
        <v>187</v>
      </c>
      <c r="B53" s="206">
        <v>1409000</v>
      </c>
      <c r="C53" s="206">
        <v>1650000</v>
      </c>
      <c r="D53" s="206">
        <v>1550000</v>
      </c>
      <c r="E53" s="206">
        <v>1656500</v>
      </c>
      <c r="F53" s="206">
        <v>1668000</v>
      </c>
      <c r="G53" s="206">
        <v>2139000</v>
      </c>
      <c r="H53" s="206"/>
      <c r="I53" s="206"/>
      <c r="J53" s="206"/>
      <c r="K53" s="206">
        <v>8000000</v>
      </c>
      <c r="L53" s="221"/>
      <c r="M53" s="221"/>
      <c r="N53" s="221"/>
    </row>
    <row r="54" spans="1:14" s="16" customFormat="1">
      <c r="A54" s="215"/>
      <c r="B54" s="247">
        <v>18072500</v>
      </c>
      <c r="C54" s="247">
        <v>16663500</v>
      </c>
      <c r="D54" s="247">
        <v>15013500</v>
      </c>
      <c r="E54" s="247">
        <v>13463500</v>
      </c>
      <c r="F54" s="247">
        <v>11807000</v>
      </c>
      <c r="G54" s="247">
        <v>10139000</v>
      </c>
      <c r="H54" s="247">
        <f>I54+H53</f>
        <v>8000000</v>
      </c>
      <c r="I54" s="247">
        <f>J54+I53</f>
        <v>8000000</v>
      </c>
      <c r="J54" s="247">
        <f>K54+J53</f>
        <v>8000000</v>
      </c>
      <c r="K54" s="247">
        <f>L54+K53</f>
        <v>8000000</v>
      </c>
      <c r="L54" s="223"/>
      <c r="M54" s="223"/>
      <c r="N54" s="223"/>
    </row>
    <row r="55" spans="1:14" s="16" customFormat="1">
      <c r="A55" s="215" t="s">
        <v>246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420000</v>
      </c>
      <c r="H55" s="206"/>
      <c r="I55" s="206"/>
      <c r="J55" s="206"/>
      <c r="K55" s="206">
        <v>350000</v>
      </c>
      <c r="L55" s="221"/>
      <c r="M55" s="221"/>
      <c r="N55" s="221"/>
    </row>
    <row r="56" spans="1:14" s="16" customFormat="1">
      <c r="A56" s="215"/>
      <c r="B56" s="247">
        <v>770000</v>
      </c>
      <c r="C56" s="247">
        <v>770000</v>
      </c>
      <c r="D56" s="247">
        <v>770000</v>
      </c>
      <c r="E56" s="247">
        <v>770000</v>
      </c>
      <c r="F56" s="247">
        <v>770000</v>
      </c>
      <c r="G56" s="247">
        <v>770000</v>
      </c>
      <c r="H56" s="247">
        <f>I56+H55</f>
        <v>350000</v>
      </c>
      <c r="I56" s="247">
        <f>J56+I55</f>
        <v>350000</v>
      </c>
      <c r="J56" s="247">
        <f>K56+J55</f>
        <v>350000</v>
      </c>
      <c r="K56" s="247">
        <f>L56+K55</f>
        <v>350000</v>
      </c>
      <c r="L56" s="223"/>
      <c r="M56" s="223"/>
      <c r="N56" s="223"/>
    </row>
    <row r="57" spans="1:14" s="16" customFormat="1">
      <c r="A57" s="215" t="s">
        <v>334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/>
      <c r="I57" s="206"/>
      <c r="J57" s="206"/>
      <c r="K57" s="206">
        <v>1500000</v>
      </c>
      <c r="L57" s="221"/>
      <c r="M57" s="221"/>
      <c r="N57" s="221"/>
    </row>
    <row r="58" spans="1:14" s="16" customFormat="1">
      <c r="A58" s="215"/>
      <c r="B58" s="247">
        <v>1500000</v>
      </c>
      <c r="C58" s="247">
        <v>1500000</v>
      </c>
      <c r="D58" s="247">
        <v>1500000</v>
      </c>
      <c r="E58" s="247">
        <v>1500000</v>
      </c>
      <c r="F58" s="247">
        <v>1500000</v>
      </c>
      <c r="G58" s="247">
        <v>1500000</v>
      </c>
      <c r="H58" s="247">
        <f>I58+H57</f>
        <v>1500000</v>
      </c>
      <c r="I58" s="247">
        <f>J58+I57</f>
        <v>1500000</v>
      </c>
      <c r="J58" s="247">
        <f>K58+J57</f>
        <v>1500000</v>
      </c>
      <c r="K58" s="247">
        <f>L58+K57</f>
        <v>1500000</v>
      </c>
      <c r="L58" s="223"/>
      <c r="M58" s="223"/>
      <c r="N58" s="223"/>
    </row>
    <row r="59" spans="1:14" s="16" customFormat="1">
      <c r="A59" s="215" t="s">
        <v>27</v>
      </c>
      <c r="B59" s="206">
        <v>770435</v>
      </c>
      <c r="C59" s="206">
        <v>437500</v>
      </c>
      <c r="D59" s="206">
        <v>201000</v>
      </c>
      <c r="E59" s="206">
        <v>3810</v>
      </c>
      <c r="F59" s="206">
        <v>1268405</v>
      </c>
      <c r="G59" s="206">
        <v>314900</v>
      </c>
      <c r="H59" s="206"/>
      <c r="I59" s="206"/>
      <c r="J59" s="206"/>
      <c r="K59" s="206">
        <v>5000000</v>
      </c>
      <c r="L59" s="221"/>
      <c r="M59" s="221"/>
      <c r="N59" s="221"/>
    </row>
    <row r="60" spans="1:14" s="16" customFormat="1">
      <c r="A60" s="215"/>
      <c r="B60" s="247">
        <v>7996050</v>
      </c>
      <c r="C60" s="247">
        <v>7225615</v>
      </c>
      <c r="D60" s="247">
        <v>6788115</v>
      </c>
      <c r="E60" s="247">
        <v>6587115</v>
      </c>
      <c r="F60" s="247">
        <v>6583305</v>
      </c>
      <c r="G60" s="247">
        <v>5314900</v>
      </c>
      <c r="H60" s="247">
        <f>I60+H59</f>
        <v>5000000</v>
      </c>
      <c r="I60" s="247">
        <f>J60+I59</f>
        <v>5000000</v>
      </c>
      <c r="J60" s="247">
        <f>K60+J59</f>
        <v>5000000</v>
      </c>
      <c r="K60" s="247">
        <f>L60+K59</f>
        <v>5000000</v>
      </c>
      <c r="L60" s="223"/>
      <c r="M60" s="223"/>
      <c r="N60" s="223"/>
    </row>
    <row r="61" spans="1:14" s="16" customFormat="1">
      <c r="A61" s="215" t="s">
        <v>59</v>
      </c>
      <c r="B61" s="206">
        <v>2422033</v>
      </c>
      <c r="C61" s="206">
        <v>2306396</v>
      </c>
      <c r="D61" s="206">
        <v>1776499</v>
      </c>
      <c r="E61" s="206">
        <v>1828209</v>
      </c>
      <c r="F61" s="206">
        <v>3160801</v>
      </c>
      <c r="G61" s="206">
        <v>3054182</v>
      </c>
      <c r="H61" s="206">
        <f>H43+H45+H47+H49+H51+H53+H55+H57+H59</f>
        <v>0</v>
      </c>
      <c r="I61" s="206">
        <f>I43+I45+I47+I49+I51+I53+I55+I57+I59</f>
        <v>0</v>
      </c>
      <c r="J61" s="206">
        <f>J43+J45+J47+J49+J51+J53+J55+J57+J59</f>
        <v>0</v>
      </c>
      <c r="K61" s="206">
        <f>K43+K45+K47+K49+K51+K53+K55+K57+K59</f>
        <v>16600000</v>
      </c>
      <c r="L61" s="221"/>
      <c r="M61" s="221"/>
      <c r="N61" s="221"/>
    </row>
    <row r="62" spans="1:14" s="16" customFormat="1">
      <c r="A62" s="202"/>
      <c r="B62" s="247">
        <v>31148120</v>
      </c>
      <c r="C62" s="247">
        <v>28726087</v>
      </c>
      <c r="D62" s="247">
        <v>26419691</v>
      </c>
      <c r="E62" s="247">
        <v>24643192</v>
      </c>
      <c r="F62" s="247">
        <v>22814983</v>
      </c>
      <c r="G62" s="247">
        <v>19654182</v>
      </c>
      <c r="H62" s="247">
        <f>I62+H61</f>
        <v>16600000</v>
      </c>
      <c r="I62" s="247">
        <f>J62+I61</f>
        <v>16600000</v>
      </c>
      <c r="J62" s="247">
        <f>K62+J61</f>
        <v>16600000</v>
      </c>
      <c r="K62" s="247">
        <f>L62+K61</f>
        <v>16600000</v>
      </c>
      <c r="L62" s="223"/>
      <c r="M62" s="223"/>
      <c r="N62" s="223"/>
    </row>
    <row r="63" spans="1:14" s="16" customFormat="1">
      <c r="A63" s="217" t="s">
        <v>350</v>
      </c>
      <c r="B63" s="218">
        <v>7554056</v>
      </c>
      <c r="C63" s="218">
        <v>8896381</v>
      </c>
      <c r="D63" s="218">
        <v>7229279</v>
      </c>
      <c r="E63" s="218">
        <v>7581539</v>
      </c>
      <c r="F63" s="218">
        <v>5387709</v>
      </c>
      <c r="G63" s="218">
        <v>8001158</v>
      </c>
      <c r="H63" s="218">
        <f>H40-H61</f>
        <v>10238175</v>
      </c>
      <c r="I63" s="218">
        <f>I40-I61</f>
        <v>8544129</v>
      </c>
      <c r="J63" s="218">
        <f>J40-J61</f>
        <v>7682213</v>
      </c>
      <c r="K63" s="218">
        <f>K40-K61</f>
        <v>-11987649</v>
      </c>
      <c r="L63" s="223"/>
      <c r="M63" s="223"/>
      <c r="N63" s="223"/>
    </row>
    <row r="64" spans="1:14" s="16" customFormat="1">
      <c r="A64" s="217"/>
      <c r="B64" s="247">
        <v>59126990</v>
      </c>
      <c r="C64" s="247">
        <v>51572934</v>
      </c>
      <c r="D64" s="247">
        <v>42676553</v>
      </c>
      <c r="E64" s="247">
        <v>35447274</v>
      </c>
      <c r="F64" s="247">
        <v>27865735</v>
      </c>
      <c r="G64" s="247">
        <v>22478026</v>
      </c>
      <c r="H64" s="247">
        <f>I64+H63</f>
        <v>14476868</v>
      </c>
      <c r="I64" s="247">
        <f>J64+I63</f>
        <v>4238693</v>
      </c>
      <c r="J64" s="247">
        <f>K64+J63</f>
        <v>-4305436</v>
      </c>
      <c r="K64" s="247">
        <f>L64+K63</f>
        <v>-11987649</v>
      </c>
      <c r="L64" s="223"/>
      <c r="M64" s="223"/>
      <c r="N64" s="223"/>
    </row>
    <row r="65" spans="1:14" s="16" customFormat="1">
      <c r="A65" s="219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</row>
    <row r="66" spans="1:14">
      <c r="A66" s="201" t="s">
        <v>333</v>
      </c>
      <c r="B66" s="206">
        <v>7246240</v>
      </c>
      <c r="C66" s="206">
        <v>15474918</v>
      </c>
      <c r="D66" s="206">
        <v>8711914</v>
      </c>
      <c r="E66" s="206">
        <v>11951129</v>
      </c>
      <c r="F66" s="206">
        <v>9433740</v>
      </c>
      <c r="G66" s="206">
        <v>13033040</v>
      </c>
      <c r="H66" s="206">
        <v>9888303</v>
      </c>
      <c r="I66" s="221"/>
      <c r="J66" s="221"/>
      <c r="K66" s="221"/>
      <c r="L66" s="221"/>
      <c r="M66" s="221"/>
      <c r="N66" s="222"/>
    </row>
    <row r="67" spans="1:14" s="16" customFormat="1">
      <c r="A67" s="202"/>
      <c r="B67" s="247">
        <v>75739284</v>
      </c>
      <c r="C67" s="247">
        <v>68493044</v>
      </c>
      <c r="D67" s="247">
        <v>53018126</v>
      </c>
      <c r="E67" s="247">
        <v>44306212</v>
      </c>
      <c r="F67" s="247">
        <v>32355083</v>
      </c>
      <c r="G67" s="247">
        <v>22921343</v>
      </c>
      <c r="H67" s="247">
        <f t="shared" ref="H67:M67" si="3">I67+H66</f>
        <v>9888303</v>
      </c>
      <c r="I67" s="223">
        <f t="shared" si="3"/>
        <v>0</v>
      </c>
      <c r="J67" s="223">
        <f t="shared" si="3"/>
        <v>0</v>
      </c>
      <c r="K67" s="223">
        <f t="shared" si="3"/>
        <v>0</v>
      </c>
      <c r="L67" s="223">
        <f t="shared" si="3"/>
        <v>0</v>
      </c>
      <c r="M67" s="223">
        <f t="shared" si="3"/>
        <v>0</v>
      </c>
      <c r="N67" s="223"/>
    </row>
    <row r="68" spans="1:14" s="16" customFormat="1">
      <c r="A68" s="214" t="s">
        <v>100</v>
      </c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</row>
    <row r="69" spans="1:14" s="16" customFormat="1">
      <c r="A69" s="215" t="s">
        <v>337</v>
      </c>
      <c r="B69" s="206">
        <v>0</v>
      </c>
      <c r="C69" s="206">
        <v>0</v>
      </c>
      <c r="D69" s="206">
        <v>0</v>
      </c>
      <c r="E69" s="206">
        <v>0</v>
      </c>
      <c r="F69" s="206">
        <v>71000</v>
      </c>
      <c r="G69" s="206">
        <v>205000</v>
      </c>
      <c r="H69" s="206">
        <v>100000</v>
      </c>
      <c r="I69" s="221"/>
      <c r="J69" s="221"/>
      <c r="K69" s="221"/>
      <c r="L69" s="221"/>
      <c r="M69" s="221"/>
      <c r="N69" s="221"/>
    </row>
    <row r="70" spans="1:14" s="16" customFormat="1">
      <c r="A70" s="215"/>
      <c r="B70" s="247">
        <v>376000</v>
      </c>
      <c r="C70" s="247">
        <v>376000</v>
      </c>
      <c r="D70" s="247">
        <v>376000</v>
      </c>
      <c r="E70" s="247">
        <v>376000</v>
      </c>
      <c r="F70" s="247">
        <v>376000</v>
      </c>
      <c r="G70" s="247">
        <v>305000</v>
      </c>
      <c r="H70" s="247">
        <f>I70+H69</f>
        <v>100000</v>
      </c>
      <c r="I70" s="223"/>
      <c r="J70" s="223"/>
      <c r="K70" s="223"/>
      <c r="L70" s="223"/>
      <c r="M70" s="223"/>
      <c r="N70" s="223"/>
    </row>
    <row r="71" spans="1:14" s="16" customFormat="1">
      <c r="A71" s="215" t="s">
        <v>353</v>
      </c>
      <c r="B71" s="206">
        <v>20500</v>
      </c>
      <c r="C71" s="206">
        <v>20500</v>
      </c>
      <c r="D71" s="206">
        <v>34500</v>
      </c>
      <c r="E71" s="206">
        <v>34800</v>
      </c>
      <c r="F71" s="206">
        <v>32799</v>
      </c>
      <c r="G71" s="206">
        <v>8593</v>
      </c>
      <c r="H71" s="206">
        <v>200000</v>
      </c>
      <c r="I71" s="221"/>
      <c r="J71" s="221"/>
      <c r="K71" s="221"/>
      <c r="L71" s="221"/>
      <c r="M71" s="221"/>
      <c r="N71" s="221"/>
    </row>
    <row r="72" spans="1:14" s="16" customFormat="1">
      <c r="A72" s="215"/>
      <c r="B72" s="247">
        <v>351692</v>
      </c>
      <c r="C72" s="247">
        <v>331192</v>
      </c>
      <c r="D72" s="247">
        <v>310692</v>
      </c>
      <c r="E72" s="247">
        <v>276192</v>
      </c>
      <c r="F72" s="247">
        <v>241392</v>
      </c>
      <c r="G72" s="247">
        <v>208593</v>
      </c>
      <c r="H72" s="247">
        <f>I72+H71</f>
        <v>200000</v>
      </c>
      <c r="I72" s="223"/>
      <c r="J72" s="223"/>
      <c r="K72" s="223"/>
      <c r="L72" s="223"/>
      <c r="M72" s="223"/>
      <c r="N72" s="223"/>
    </row>
    <row r="73" spans="1:14" s="16" customFormat="1">
      <c r="A73" s="215" t="s">
        <v>245</v>
      </c>
      <c r="B73" s="206">
        <v>75999</v>
      </c>
      <c r="C73" s="206">
        <v>109497</v>
      </c>
      <c r="D73" s="206">
        <v>88497</v>
      </c>
      <c r="E73" s="206">
        <v>58997</v>
      </c>
      <c r="F73" s="206">
        <v>78997</v>
      </c>
      <c r="G73" s="206">
        <v>49497</v>
      </c>
      <c r="H73" s="206">
        <v>800000</v>
      </c>
      <c r="I73" s="221"/>
      <c r="J73" s="221"/>
      <c r="K73" s="221"/>
      <c r="L73" s="221"/>
      <c r="M73" s="221"/>
      <c r="N73" s="221"/>
    </row>
    <row r="74" spans="1:14" s="16" customFormat="1">
      <c r="A74" s="215"/>
      <c r="B74" s="247">
        <v>1261484</v>
      </c>
      <c r="C74" s="247">
        <v>1185485</v>
      </c>
      <c r="D74" s="247">
        <v>1075988</v>
      </c>
      <c r="E74" s="247">
        <v>987491</v>
      </c>
      <c r="F74" s="247">
        <v>928494</v>
      </c>
      <c r="G74" s="247">
        <v>849497</v>
      </c>
      <c r="H74" s="247">
        <f>I74+H73</f>
        <v>800000</v>
      </c>
      <c r="I74" s="223"/>
      <c r="J74" s="223"/>
      <c r="K74" s="223"/>
      <c r="L74" s="223"/>
      <c r="M74" s="223"/>
      <c r="N74" s="223"/>
    </row>
    <row r="75" spans="1:14" s="16" customFormat="1">
      <c r="A75" s="215" t="s">
        <v>349</v>
      </c>
      <c r="B75" s="220">
        <v>0</v>
      </c>
      <c r="C75" s="220">
        <v>0</v>
      </c>
      <c r="D75" s="220">
        <v>0</v>
      </c>
      <c r="E75" s="220">
        <v>0</v>
      </c>
      <c r="F75" s="220">
        <v>0</v>
      </c>
      <c r="G75" s="220">
        <v>0</v>
      </c>
      <c r="H75" s="220"/>
      <c r="I75" s="224"/>
      <c r="J75" s="224"/>
      <c r="K75" s="224"/>
      <c r="L75" s="224"/>
      <c r="M75" s="224"/>
      <c r="N75" s="224"/>
    </row>
    <row r="76" spans="1:14" s="16" customFormat="1">
      <c r="A76" s="215"/>
      <c r="B76" s="247">
        <v>0</v>
      </c>
      <c r="C76" s="247">
        <v>0</v>
      </c>
      <c r="D76" s="247">
        <v>0</v>
      </c>
      <c r="E76" s="247">
        <v>0</v>
      </c>
      <c r="F76" s="247">
        <v>0</v>
      </c>
      <c r="G76" s="247">
        <v>0</v>
      </c>
      <c r="H76" s="247">
        <f>I76+H75</f>
        <v>0</v>
      </c>
      <c r="I76" s="223"/>
      <c r="J76" s="223"/>
      <c r="K76" s="223"/>
      <c r="L76" s="223"/>
      <c r="M76" s="223"/>
      <c r="N76" s="223"/>
    </row>
    <row r="77" spans="1:14" s="16" customFormat="1">
      <c r="A77" s="215" t="s">
        <v>247</v>
      </c>
      <c r="B77" s="220">
        <v>201400</v>
      </c>
      <c r="C77" s="220">
        <v>201400</v>
      </c>
      <c r="D77" s="220">
        <v>0</v>
      </c>
      <c r="E77" s="220">
        <v>201400</v>
      </c>
      <c r="F77" s="220">
        <v>201400</v>
      </c>
      <c r="G77" s="220">
        <v>357200</v>
      </c>
      <c r="H77" s="220">
        <v>250000</v>
      </c>
      <c r="I77" s="224"/>
      <c r="J77" s="224"/>
      <c r="K77" s="224"/>
      <c r="L77" s="224"/>
      <c r="M77" s="224"/>
      <c r="N77" s="224"/>
    </row>
    <row r="78" spans="1:14" s="16" customFormat="1">
      <c r="A78" s="215"/>
      <c r="B78" s="247">
        <v>1412800</v>
      </c>
      <c r="C78" s="247">
        <v>1211400</v>
      </c>
      <c r="D78" s="247">
        <v>1010000</v>
      </c>
      <c r="E78" s="247">
        <v>1010000</v>
      </c>
      <c r="F78" s="247">
        <v>808600</v>
      </c>
      <c r="G78" s="247">
        <v>607200</v>
      </c>
      <c r="H78" s="247">
        <f>I78+H77</f>
        <v>250000</v>
      </c>
      <c r="I78" s="223"/>
      <c r="J78" s="223"/>
      <c r="K78" s="223"/>
      <c r="L78" s="223"/>
      <c r="M78" s="223"/>
      <c r="N78" s="223"/>
    </row>
    <row r="79" spans="1:14" s="16" customFormat="1">
      <c r="A79" s="215" t="s">
        <v>187</v>
      </c>
      <c r="B79" s="206">
        <v>2314000</v>
      </c>
      <c r="C79" s="206">
        <v>2084000</v>
      </c>
      <c r="D79" s="206">
        <v>2481000</v>
      </c>
      <c r="E79" s="206">
        <v>1404000</v>
      </c>
      <c r="F79" s="206">
        <v>1668000</v>
      </c>
      <c r="G79" s="206">
        <v>1386000</v>
      </c>
      <c r="H79" s="206">
        <v>3000000</v>
      </c>
      <c r="I79" s="221"/>
      <c r="J79" s="221"/>
      <c r="K79" s="221"/>
      <c r="L79" s="221"/>
      <c r="M79" s="221"/>
      <c r="N79" s="221"/>
    </row>
    <row r="80" spans="1:14" s="16" customFormat="1">
      <c r="A80" s="215"/>
      <c r="B80" s="247">
        <v>14337000</v>
      </c>
      <c r="C80" s="247">
        <v>12023000</v>
      </c>
      <c r="D80" s="247">
        <v>9939000</v>
      </c>
      <c r="E80" s="247">
        <v>7458000</v>
      </c>
      <c r="F80" s="247">
        <v>6054000</v>
      </c>
      <c r="G80" s="247">
        <v>4386000</v>
      </c>
      <c r="H80" s="247">
        <f>I80+H79</f>
        <v>3000000</v>
      </c>
      <c r="I80" s="223"/>
      <c r="J80" s="223"/>
      <c r="K80" s="223"/>
      <c r="L80" s="223"/>
      <c r="M80" s="223"/>
      <c r="N80" s="223"/>
    </row>
    <row r="81" spans="1:14" s="16" customFormat="1">
      <c r="A81" s="215" t="s">
        <v>246</v>
      </c>
      <c r="B81" s="206">
        <v>0</v>
      </c>
      <c r="C81" s="206">
        <v>0</v>
      </c>
      <c r="D81" s="206">
        <v>0</v>
      </c>
      <c r="E81" s="206">
        <v>0</v>
      </c>
      <c r="F81" s="206">
        <v>0</v>
      </c>
      <c r="G81" s="206">
        <v>420000</v>
      </c>
      <c r="H81" s="206">
        <v>140000</v>
      </c>
      <c r="I81" s="221"/>
      <c r="J81" s="221"/>
      <c r="K81" s="221"/>
      <c r="L81" s="221"/>
      <c r="M81" s="221"/>
      <c r="N81" s="221"/>
    </row>
    <row r="82" spans="1:14" s="16" customFormat="1">
      <c r="A82" s="215"/>
      <c r="B82" s="247">
        <v>560000</v>
      </c>
      <c r="C82" s="247">
        <v>560000</v>
      </c>
      <c r="D82" s="247">
        <v>560000</v>
      </c>
      <c r="E82" s="247">
        <v>560000</v>
      </c>
      <c r="F82" s="247">
        <v>560000</v>
      </c>
      <c r="G82" s="247">
        <v>560000</v>
      </c>
      <c r="H82" s="247">
        <f>I82+H81</f>
        <v>140000</v>
      </c>
      <c r="I82" s="223"/>
      <c r="J82" s="223"/>
      <c r="K82" s="223"/>
      <c r="L82" s="223"/>
      <c r="M82" s="223"/>
      <c r="N82" s="223"/>
    </row>
    <row r="83" spans="1:14" s="16" customFormat="1">
      <c r="A83" s="215" t="s">
        <v>334</v>
      </c>
      <c r="B83" s="206">
        <v>0</v>
      </c>
      <c r="C83" s="206">
        <v>0</v>
      </c>
      <c r="D83" s="206">
        <v>0</v>
      </c>
      <c r="E83" s="206">
        <v>0</v>
      </c>
      <c r="F83" s="206">
        <v>0</v>
      </c>
      <c r="G83" s="206">
        <v>0</v>
      </c>
      <c r="H83" s="206">
        <v>8000000</v>
      </c>
      <c r="I83" s="221"/>
      <c r="J83" s="221"/>
      <c r="K83" s="221"/>
      <c r="L83" s="221"/>
      <c r="M83" s="221"/>
      <c r="N83" s="221"/>
    </row>
    <row r="84" spans="1:14" s="16" customFormat="1">
      <c r="A84" s="215"/>
      <c r="B84" s="247">
        <v>8000000</v>
      </c>
      <c r="C84" s="247">
        <v>8000000</v>
      </c>
      <c r="D84" s="247">
        <v>8000000</v>
      </c>
      <c r="E84" s="247">
        <v>8000000</v>
      </c>
      <c r="F84" s="247">
        <v>8000000</v>
      </c>
      <c r="G84" s="247">
        <v>8000000</v>
      </c>
      <c r="H84" s="247">
        <f>I84+H83</f>
        <v>8000000</v>
      </c>
      <c r="I84" s="223"/>
      <c r="J84" s="223"/>
      <c r="K84" s="223"/>
      <c r="L84" s="223"/>
      <c r="M84" s="223"/>
      <c r="N84" s="223"/>
    </row>
    <row r="85" spans="1:14" s="16" customFormat="1">
      <c r="A85" s="215" t="s">
        <v>27</v>
      </c>
      <c r="B85" s="206">
        <v>730768</v>
      </c>
      <c r="C85" s="206">
        <v>624500</v>
      </c>
      <c r="D85" s="206">
        <v>3354500</v>
      </c>
      <c r="E85" s="206">
        <v>30000</v>
      </c>
      <c r="F85" s="206">
        <v>50000</v>
      </c>
      <c r="G85" s="206">
        <v>290000</v>
      </c>
      <c r="H85" s="206">
        <v>31000000</v>
      </c>
      <c r="I85" s="221"/>
      <c r="J85" s="221"/>
      <c r="K85" s="221"/>
      <c r="L85" s="221"/>
      <c r="M85" s="221"/>
      <c r="N85" s="221"/>
    </row>
    <row r="86" spans="1:14" s="16" customFormat="1">
      <c r="A86" s="215"/>
      <c r="B86" s="247">
        <v>36079768</v>
      </c>
      <c r="C86" s="247">
        <v>35349000</v>
      </c>
      <c r="D86" s="247">
        <v>34724500</v>
      </c>
      <c r="E86" s="247">
        <v>31370000</v>
      </c>
      <c r="F86" s="247">
        <v>31340000</v>
      </c>
      <c r="G86" s="247">
        <v>31290000</v>
      </c>
      <c r="H86" s="247">
        <f>I86+H85</f>
        <v>31000000</v>
      </c>
      <c r="I86" s="223"/>
      <c r="J86" s="223"/>
      <c r="K86" s="223"/>
      <c r="L86" s="223"/>
      <c r="M86" s="223"/>
      <c r="N86" s="223"/>
    </row>
    <row r="87" spans="1:14" s="16" customFormat="1">
      <c r="A87" s="215" t="s">
        <v>59</v>
      </c>
      <c r="B87" s="206">
        <v>3342667</v>
      </c>
      <c r="C87" s="206">
        <v>3039897</v>
      </c>
      <c r="D87" s="206">
        <v>5958497</v>
      </c>
      <c r="E87" s="206">
        <v>1729197</v>
      </c>
      <c r="F87" s="206">
        <v>2102196</v>
      </c>
      <c r="G87" s="206">
        <v>2716290</v>
      </c>
      <c r="H87" s="206">
        <f>H69+H71+H73+H75+H77+H79+H81+H83+H85</f>
        <v>43490000</v>
      </c>
      <c r="I87" s="221"/>
      <c r="J87" s="221"/>
      <c r="K87" s="221"/>
      <c r="L87" s="221"/>
      <c r="M87" s="221"/>
      <c r="N87" s="221"/>
    </row>
    <row r="88" spans="1:14" s="16" customFormat="1">
      <c r="A88" s="202"/>
      <c r="B88" s="247">
        <v>62378744</v>
      </c>
      <c r="C88" s="247">
        <v>59036077</v>
      </c>
      <c r="D88" s="247">
        <v>55996180</v>
      </c>
      <c r="E88" s="247">
        <v>50037683</v>
      </c>
      <c r="F88" s="247">
        <v>48308486</v>
      </c>
      <c r="G88" s="247">
        <v>46206290</v>
      </c>
      <c r="H88" s="247">
        <f>I88+H87</f>
        <v>43490000</v>
      </c>
      <c r="I88" s="223"/>
      <c r="J88" s="223"/>
      <c r="K88" s="223"/>
      <c r="L88" s="223"/>
      <c r="M88" s="223"/>
      <c r="N88" s="223"/>
    </row>
    <row r="89" spans="1:14" s="16" customFormat="1">
      <c r="A89" s="217" t="s">
        <v>350</v>
      </c>
      <c r="B89" s="218">
        <v>3903573</v>
      </c>
      <c r="C89" s="218">
        <v>12435021</v>
      </c>
      <c r="D89" s="218">
        <v>2753417</v>
      </c>
      <c r="E89" s="218">
        <v>10221932</v>
      </c>
      <c r="F89" s="218">
        <v>7331544</v>
      </c>
      <c r="G89" s="218">
        <v>10316750</v>
      </c>
      <c r="H89" s="218">
        <f>H66-H87</f>
        <v>-33601697</v>
      </c>
      <c r="I89" s="223"/>
      <c r="J89" s="223"/>
      <c r="K89" s="223"/>
      <c r="L89" s="223"/>
      <c r="M89" s="223"/>
      <c r="N89" s="223"/>
    </row>
    <row r="90" spans="1:14" s="16" customFormat="1">
      <c r="A90" s="217"/>
      <c r="B90" s="247">
        <v>13360540</v>
      </c>
      <c r="C90" s="247">
        <v>9456967</v>
      </c>
      <c r="D90" s="247">
        <v>-2978054</v>
      </c>
      <c r="E90" s="247">
        <v>-5731471</v>
      </c>
      <c r="F90" s="247">
        <v>-15953403</v>
      </c>
      <c r="G90" s="247">
        <v>-23284947</v>
      </c>
      <c r="H90" s="247">
        <f>I90+H89</f>
        <v>-33601697</v>
      </c>
      <c r="I90" s="223"/>
      <c r="J90" s="223"/>
      <c r="K90" s="223"/>
      <c r="L90" s="223"/>
      <c r="M90" s="223"/>
      <c r="N90" s="223"/>
    </row>
    <row r="91" spans="1:14" s="16" customFormat="1">
      <c r="A91" s="219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</row>
    <row r="92" spans="1:14">
      <c r="A92" s="201" t="s">
        <v>345</v>
      </c>
      <c r="B92" s="206">
        <v>9035043</v>
      </c>
      <c r="C92" s="206">
        <v>9790577</v>
      </c>
      <c r="D92" s="206">
        <v>8479369</v>
      </c>
      <c r="E92" s="206">
        <v>8717864</v>
      </c>
      <c r="F92" s="206">
        <v>4664188</v>
      </c>
      <c r="G92" s="206">
        <v>0</v>
      </c>
      <c r="H92" s="221"/>
      <c r="I92" s="221"/>
      <c r="J92" s="221"/>
      <c r="K92" s="221"/>
      <c r="L92" s="221"/>
      <c r="M92" s="221"/>
      <c r="N92" s="222"/>
    </row>
    <row r="93" spans="1:14" s="16" customFormat="1">
      <c r="A93" s="202"/>
      <c r="B93" s="247">
        <v>40687041</v>
      </c>
      <c r="C93" s="247">
        <v>31651998</v>
      </c>
      <c r="D93" s="247">
        <v>21861421</v>
      </c>
      <c r="E93" s="247">
        <v>13382052</v>
      </c>
      <c r="F93" s="247">
        <v>4664188</v>
      </c>
      <c r="G93" s="247">
        <v>0</v>
      </c>
      <c r="H93" s="223">
        <f t="shared" ref="H93:M93" si="4">I93+H92</f>
        <v>0</v>
      </c>
      <c r="I93" s="223">
        <f t="shared" si="4"/>
        <v>0</v>
      </c>
      <c r="J93" s="223">
        <f t="shared" si="4"/>
        <v>0</v>
      </c>
      <c r="K93" s="223">
        <f t="shared" si="4"/>
        <v>0</v>
      </c>
      <c r="L93" s="223">
        <f t="shared" si="4"/>
        <v>0</v>
      </c>
      <c r="M93" s="223">
        <f t="shared" si="4"/>
        <v>0</v>
      </c>
      <c r="N93" s="223"/>
    </row>
    <row r="94" spans="1:14" s="16" customFormat="1">
      <c r="A94" s="214" t="s">
        <v>100</v>
      </c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</row>
    <row r="95" spans="1:14" s="16" customFormat="1">
      <c r="A95" s="215" t="s">
        <v>337</v>
      </c>
      <c r="B95" s="206">
        <v>1500</v>
      </c>
      <c r="C95" s="206">
        <v>0</v>
      </c>
      <c r="D95" s="206">
        <v>0</v>
      </c>
      <c r="E95" s="206">
        <v>0</v>
      </c>
      <c r="F95" s="206">
        <v>5500</v>
      </c>
      <c r="G95" s="206">
        <v>0</v>
      </c>
      <c r="H95" s="221"/>
      <c r="I95" s="221"/>
      <c r="J95" s="221"/>
      <c r="K95" s="221"/>
      <c r="L95" s="221"/>
      <c r="M95" s="221"/>
      <c r="N95" s="221"/>
    </row>
    <row r="96" spans="1:14" s="16" customFormat="1">
      <c r="A96" s="215"/>
      <c r="B96" s="247">
        <v>7000</v>
      </c>
      <c r="C96" s="247">
        <v>5500</v>
      </c>
      <c r="D96" s="247">
        <v>5500</v>
      </c>
      <c r="E96" s="247">
        <v>5500</v>
      </c>
      <c r="F96" s="247">
        <v>5500</v>
      </c>
      <c r="G96" s="247">
        <v>0</v>
      </c>
      <c r="H96" s="223"/>
      <c r="I96" s="223"/>
      <c r="J96" s="223"/>
      <c r="K96" s="223"/>
      <c r="L96" s="223"/>
      <c r="M96" s="223"/>
      <c r="N96" s="223"/>
    </row>
    <row r="97" spans="1:14" s="16" customFormat="1">
      <c r="A97" s="215" t="s">
        <v>353</v>
      </c>
      <c r="B97" s="206">
        <v>15500</v>
      </c>
      <c r="C97" s="206">
        <v>15500</v>
      </c>
      <c r="D97" s="206">
        <v>0</v>
      </c>
      <c r="E97" s="206">
        <v>0</v>
      </c>
      <c r="F97" s="206">
        <v>0</v>
      </c>
      <c r="G97" s="206">
        <v>0</v>
      </c>
      <c r="H97" s="221"/>
      <c r="I97" s="221"/>
      <c r="J97" s="221"/>
      <c r="K97" s="221"/>
      <c r="L97" s="221"/>
      <c r="M97" s="221"/>
      <c r="N97" s="221"/>
    </row>
    <row r="98" spans="1:14" s="16" customFormat="1">
      <c r="A98" s="215"/>
      <c r="B98" s="247">
        <v>31000</v>
      </c>
      <c r="C98" s="247">
        <v>15500</v>
      </c>
      <c r="D98" s="247">
        <v>0</v>
      </c>
      <c r="E98" s="247">
        <v>0</v>
      </c>
      <c r="F98" s="247">
        <v>0</v>
      </c>
      <c r="G98" s="247">
        <v>0</v>
      </c>
      <c r="H98" s="223"/>
      <c r="I98" s="223"/>
      <c r="J98" s="223"/>
      <c r="K98" s="223"/>
      <c r="L98" s="223"/>
      <c r="M98" s="223"/>
      <c r="N98" s="223"/>
    </row>
    <row r="99" spans="1:14" s="16" customFormat="1">
      <c r="A99" s="215" t="s">
        <v>245</v>
      </c>
      <c r="B99" s="206">
        <v>272000</v>
      </c>
      <c r="C99" s="206">
        <v>147498</v>
      </c>
      <c r="D99" s="206">
        <v>145899</v>
      </c>
      <c r="E99" s="206">
        <v>91000</v>
      </c>
      <c r="F99" s="206">
        <v>137500</v>
      </c>
      <c r="G99" s="206">
        <v>0</v>
      </c>
      <c r="H99" s="221"/>
      <c r="I99" s="221"/>
      <c r="J99" s="221"/>
      <c r="K99" s="221"/>
      <c r="L99" s="221"/>
      <c r="M99" s="221"/>
      <c r="N99" s="221"/>
    </row>
    <row r="100" spans="1:14" s="16" customFormat="1">
      <c r="A100" s="215"/>
      <c r="B100" s="247">
        <v>793897</v>
      </c>
      <c r="C100" s="247">
        <v>521897</v>
      </c>
      <c r="D100" s="247">
        <v>374399</v>
      </c>
      <c r="E100" s="247">
        <v>228500</v>
      </c>
      <c r="F100" s="247">
        <v>137500</v>
      </c>
      <c r="G100" s="247">
        <v>0</v>
      </c>
      <c r="H100" s="223"/>
      <c r="I100" s="223"/>
      <c r="J100" s="223"/>
      <c r="K100" s="223"/>
      <c r="L100" s="223"/>
      <c r="M100" s="223"/>
      <c r="N100" s="223"/>
    </row>
    <row r="101" spans="1:14" s="16" customFormat="1">
      <c r="A101" s="215" t="s">
        <v>349</v>
      </c>
      <c r="B101" s="220">
        <v>0</v>
      </c>
      <c r="C101" s="220">
        <v>5000</v>
      </c>
      <c r="D101" s="220">
        <v>15000</v>
      </c>
      <c r="E101" s="220">
        <v>0</v>
      </c>
      <c r="F101" s="220">
        <v>5000</v>
      </c>
      <c r="G101" s="220">
        <v>0</v>
      </c>
      <c r="H101" s="224"/>
      <c r="I101" s="224"/>
      <c r="J101" s="224"/>
      <c r="K101" s="224"/>
      <c r="L101" s="224"/>
      <c r="M101" s="224"/>
      <c r="N101" s="224"/>
    </row>
    <row r="102" spans="1:14" s="16" customFormat="1">
      <c r="A102" s="215"/>
      <c r="B102" s="247">
        <v>25000</v>
      </c>
      <c r="C102" s="247">
        <v>25000</v>
      </c>
      <c r="D102" s="247">
        <v>20000</v>
      </c>
      <c r="E102" s="247">
        <v>5000</v>
      </c>
      <c r="F102" s="247">
        <v>5000</v>
      </c>
      <c r="G102" s="247">
        <v>0</v>
      </c>
      <c r="H102" s="223"/>
      <c r="I102" s="223"/>
      <c r="J102" s="223"/>
      <c r="K102" s="223"/>
      <c r="L102" s="223"/>
      <c r="M102" s="223"/>
      <c r="N102" s="223"/>
    </row>
    <row r="103" spans="1:14" s="16" customFormat="1">
      <c r="A103" s="215" t="s">
        <v>247</v>
      </c>
      <c r="B103" s="220">
        <v>0</v>
      </c>
      <c r="C103" s="220">
        <v>101400</v>
      </c>
      <c r="D103" s="220">
        <v>101400</v>
      </c>
      <c r="E103" s="220">
        <v>0</v>
      </c>
      <c r="F103" s="220">
        <v>0</v>
      </c>
      <c r="G103" s="220">
        <v>0</v>
      </c>
      <c r="H103" s="224"/>
      <c r="I103" s="224"/>
      <c r="J103" s="224"/>
      <c r="K103" s="224"/>
      <c r="L103" s="224"/>
      <c r="M103" s="224"/>
      <c r="N103" s="224"/>
    </row>
    <row r="104" spans="1:14" s="16" customFormat="1">
      <c r="A104" s="215"/>
      <c r="B104" s="247">
        <v>202800</v>
      </c>
      <c r="C104" s="247">
        <v>202800</v>
      </c>
      <c r="D104" s="247">
        <v>101400</v>
      </c>
      <c r="E104" s="247">
        <v>0</v>
      </c>
      <c r="F104" s="247">
        <v>0</v>
      </c>
      <c r="G104" s="247">
        <v>0</v>
      </c>
      <c r="H104" s="223"/>
      <c r="I104" s="223"/>
      <c r="J104" s="223"/>
      <c r="K104" s="223"/>
      <c r="L104" s="223"/>
      <c r="M104" s="223"/>
      <c r="N104" s="223"/>
    </row>
    <row r="105" spans="1:14" s="16" customFormat="1">
      <c r="A105" s="215" t="s">
        <v>187</v>
      </c>
      <c r="B105" s="206">
        <v>1564000</v>
      </c>
      <c r="C105" s="206">
        <v>1538000</v>
      </c>
      <c r="D105" s="206">
        <v>1693000</v>
      </c>
      <c r="E105" s="206">
        <v>1656500</v>
      </c>
      <c r="F105" s="206">
        <v>1668000</v>
      </c>
      <c r="G105" s="206">
        <v>0</v>
      </c>
      <c r="H105" s="221"/>
      <c r="I105" s="221"/>
      <c r="J105" s="221"/>
      <c r="K105" s="221"/>
      <c r="L105" s="221"/>
      <c r="M105" s="221"/>
      <c r="N105" s="221"/>
    </row>
    <row r="106" spans="1:14" s="16" customFormat="1">
      <c r="A106" s="215"/>
      <c r="B106" s="247">
        <v>8119500</v>
      </c>
      <c r="C106" s="247">
        <v>6555500</v>
      </c>
      <c r="D106" s="247">
        <v>5017500</v>
      </c>
      <c r="E106" s="247">
        <v>3324500</v>
      </c>
      <c r="F106" s="247">
        <v>1668000</v>
      </c>
      <c r="G106" s="247">
        <v>0</v>
      </c>
      <c r="H106" s="223"/>
      <c r="I106" s="223"/>
      <c r="J106" s="223"/>
      <c r="K106" s="223"/>
      <c r="L106" s="223"/>
      <c r="M106" s="223"/>
      <c r="N106" s="223"/>
    </row>
    <row r="107" spans="1:14" s="16" customFormat="1">
      <c r="A107" s="215" t="s">
        <v>246</v>
      </c>
      <c r="B107" s="206">
        <v>0</v>
      </c>
      <c r="C107" s="206">
        <v>0</v>
      </c>
      <c r="D107" s="206">
        <v>0</v>
      </c>
      <c r="E107" s="206">
        <v>0</v>
      </c>
      <c r="F107" s="206">
        <v>379700</v>
      </c>
      <c r="G107" s="206">
        <v>0</v>
      </c>
      <c r="H107" s="221"/>
      <c r="I107" s="221"/>
      <c r="J107" s="221"/>
      <c r="K107" s="221"/>
      <c r="L107" s="221"/>
      <c r="M107" s="221"/>
      <c r="N107" s="221"/>
    </row>
    <row r="108" spans="1:14" s="16" customFormat="1">
      <c r="A108" s="215"/>
      <c r="B108" s="247">
        <v>379700</v>
      </c>
      <c r="C108" s="247">
        <v>379700</v>
      </c>
      <c r="D108" s="247">
        <v>379700</v>
      </c>
      <c r="E108" s="247">
        <v>379700</v>
      </c>
      <c r="F108" s="247">
        <v>379700</v>
      </c>
      <c r="G108" s="247">
        <v>0</v>
      </c>
      <c r="H108" s="223"/>
      <c r="I108" s="223"/>
      <c r="J108" s="223"/>
      <c r="K108" s="223"/>
      <c r="L108" s="223"/>
      <c r="M108" s="223"/>
      <c r="N108" s="223"/>
    </row>
    <row r="109" spans="1:14" s="16" customFormat="1">
      <c r="A109" s="215" t="s">
        <v>334</v>
      </c>
      <c r="B109" s="206">
        <v>0</v>
      </c>
      <c r="C109" s="206">
        <v>0</v>
      </c>
      <c r="D109" s="206">
        <v>0</v>
      </c>
      <c r="E109" s="206">
        <v>0</v>
      </c>
      <c r="F109" s="206">
        <v>3000000</v>
      </c>
      <c r="G109" s="206">
        <v>0</v>
      </c>
      <c r="H109" s="221"/>
      <c r="I109" s="221"/>
      <c r="J109" s="221"/>
      <c r="K109" s="221"/>
      <c r="L109" s="221"/>
      <c r="M109" s="221"/>
      <c r="N109" s="221"/>
    </row>
    <row r="110" spans="1:14" s="16" customFormat="1">
      <c r="A110" s="215"/>
      <c r="B110" s="247">
        <v>3000000</v>
      </c>
      <c r="C110" s="247">
        <v>3000000</v>
      </c>
      <c r="D110" s="247">
        <v>3000000</v>
      </c>
      <c r="E110" s="247">
        <v>3000000</v>
      </c>
      <c r="F110" s="247">
        <v>3000000</v>
      </c>
      <c r="G110" s="247">
        <v>0</v>
      </c>
      <c r="H110" s="223"/>
      <c r="I110" s="223"/>
      <c r="J110" s="223"/>
      <c r="K110" s="223"/>
      <c r="L110" s="223"/>
      <c r="M110" s="223"/>
      <c r="N110" s="223"/>
    </row>
    <row r="111" spans="1:14" s="16" customFormat="1">
      <c r="A111" s="215" t="s">
        <v>27</v>
      </c>
      <c r="B111" s="206">
        <v>780435</v>
      </c>
      <c r="C111" s="206">
        <v>362500</v>
      </c>
      <c r="D111" s="206">
        <v>175200</v>
      </c>
      <c r="E111" s="206">
        <v>34099</v>
      </c>
      <c r="F111" s="206">
        <v>4973399</v>
      </c>
      <c r="G111" s="206">
        <v>6750300</v>
      </c>
      <c r="H111" s="221"/>
      <c r="I111" s="221"/>
      <c r="J111" s="221"/>
      <c r="K111" s="221"/>
      <c r="L111" s="221"/>
      <c r="M111" s="221"/>
      <c r="N111" s="221"/>
    </row>
    <row r="112" spans="1:14" s="16" customFormat="1">
      <c r="A112" s="215"/>
      <c r="B112" s="247">
        <v>13075933</v>
      </c>
      <c r="C112" s="247">
        <v>12295498</v>
      </c>
      <c r="D112" s="247">
        <v>11932998</v>
      </c>
      <c r="E112" s="247">
        <v>11757798</v>
      </c>
      <c r="F112" s="247">
        <v>11723699</v>
      </c>
      <c r="G112" s="247">
        <v>6750300</v>
      </c>
      <c r="H112" s="223"/>
      <c r="I112" s="223"/>
      <c r="J112" s="223"/>
      <c r="K112" s="223"/>
      <c r="L112" s="223"/>
      <c r="M112" s="223"/>
      <c r="N112" s="223"/>
    </row>
    <row r="113" spans="1:14" s="16" customFormat="1">
      <c r="A113" s="215" t="s">
        <v>59</v>
      </c>
      <c r="B113" s="206">
        <v>2633435</v>
      </c>
      <c r="C113" s="206">
        <v>2169898</v>
      </c>
      <c r="D113" s="206">
        <v>2130499</v>
      </c>
      <c r="E113" s="206">
        <v>1781599</v>
      </c>
      <c r="F113" s="206">
        <v>10169099</v>
      </c>
      <c r="G113" s="206">
        <v>6750300</v>
      </c>
      <c r="H113" s="221"/>
      <c r="I113" s="221"/>
      <c r="J113" s="221"/>
      <c r="K113" s="221"/>
      <c r="L113" s="221"/>
      <c r="M113" s="221"/>
      <c r="N113" s="221"/>
    </row>
    <row r="114" spans="1:14" s="16" customFormat="1">
      <c r="A114" s="202"/>
      <c r="B114" s="247">
        <v>25634830</v>
      </c>
      <c r="C114" s="247">
        <v>23001395</v>
      </c>
      <c r="D114" s="247">
        <v>20831497</v>
      </c>
      <c r="E114" s="247">
        <v>18700998</v>
      </c>
      <c r="F114" s="247">
        <v>16919399</v>
      </c>
      <c r="G114" s="247">
        <v>6750300</v>
      </c>
      <c r="H114" s="223"/>
      <c r="I114" s="223"/>
      <c r="J114" s="223"/>
      <c r="K114" s="223"/>
      <c r="L114" s="223"/>
      <c r="M114" s="223"/>
      <c r="N114" s="223"/>
    </row>
    <row r="115" spans="1:14" s="16" customFormat="1">
      <c r="A115" s="217" t="s">
        <v>350</v>
      </c>
      <c r="B115" s="218">
        <v>6401608</v>
      </c>
      <c r="C115" s="218">
        <v>7620679</v>
      </c>
      <c r="D115" s="218">
        <v>6348870</v>
      </c>
      <c r="E115" s="218">
        <v>6936265</v>
      </c>
      <c r="F115" s="218">
        <v>-5504911</v>
      </c>
      <c r="G115" s="218">
        <v>-6750300</v>
      </c>
      <c r="H115" s="223"/>
      <c r="I115" s="223"/>
      <c r="J115" s="223"/>
      <c r="K115" s="223"/>
      <c r="L115" s="223"/>
      <c r="M115" s="223"/>
      <c r="N115" s="223"/>
    </row>
    <row r="116" spans="1:14" s="16" customFormat="1">
      <c r="A116" s="217"/>
      <c r="B116" s="247">
        <v>15052211</v>
      </c>
      <c r="C116" s="247">
        <v>8650603</v>
      </c>
      <c r="D116" s="247">
        <v>1029924</v>
      </c>
      <c r="E116" s="247">
        <v>-5318946</v>
      </c>
      <c r="F116" s="247">
        <v>-12255211</v>
      </c>
      <c r="G116" s="247">
        <v>-6750300</v>
      </c>
      <c r="H116" s="223"/>
      <c r="I116" s="223"/>
      <c r="J116" s="223"/>
      <c r="K116" s="223"/>
      <c r="L116" s="223"/>
      <c r="M116" s="223"/>
      <c r="N116" s="223"/>
    </row>
    <row r="117" spans="1:14" s="16" customFormat="1">
      <c r="A117" s="219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</row>
    <row r="118" spans="1:14" s="54" customFormat="1" ht="18">
      <c r="A118" s="207" t="s">
        <v>149</v>
      </c>
      <c r="B118" s="208">
        <v>45571283</v>
      </c>
      <c r="C118" s="208">
        <v>56234986</v>
      </c>
      <c r="D118" s="208">
        <v>43192360</v>
      </c>
      <c r="E118" s="208">
        <v>47442162</v>
      </c>
      <c r="F118" s="208">
        <v>43623576</v>
      </c>
      <c r="G118" s="208">
        <v>48182195</v>
      </c>
      <c r="H118" s="208">
        <f t="shared" ref="H118:M118" si="5">H14+H40+H66+H92</f>
        <v>43114516</v>
      </c>
      <c r="I118" s="208">
        <f t="shared" si="5"/>
        <v>27715454</v>
      </c>
      <c r="J118" s="208">
        <f t="shared" si="5"/>
        <v>26870100</v>
      </c>
      <c r="K118" s="208">
        <f t="shared" si="5"/>
        <v>25850721</v>
      </c>
      <c r="L118" s="208">
        <f t="shared" si="5"/>
        <v>25308870</v>
      </c>
      <c r="M118" s="208">
        <f t="shared" si="5"/>
        <v>19485772</v>
      </c>
      <c r="N118" s="209"/>
    </row>
    <row r="119" spans="1:14" s="2" customFormat="1" ht="18">
      <c r="A119" s="90" t="s">
        <v>48</v>
      </c>
      <c r="B119" s="115">
        <v>452591995</v>
      </c>
      <c r="C119" s="115">
        <v>407020712</v>
      </c>
      <c r="D119" s="115">
        <v>350785726</v>
      </c>
      <c r="E119" s="115">
        <v>307593366</v>
      </c>
      <c r="F119" s="115">
        <v>260151204</v>
      </c>
      <c r="G119" s="115">
        <v>216527628</v>
      </c>
      <c r="H119" s="115">
        <f>I119+H118</f>
        <v>168345433</v>
      </c>
      <c r="I119" s="115">
        <f>J119+I118</f>
        <v>125230917</v>
      </c>
      <c r="J119" s="115">
        <f>K119+J118</f>
        <v>97515463</v>
      </c>
      <c r="K119" s="115">
        <f>L119+K118</f>
        <v>70645363</v>
      </c>
      <c r="L119" s="115">
        <f>M119+L118</f>
        <v>44794642</v>
      </c>
      <c r="M119" s="35">
        <v>19485772</v>
      </c>
      <c r="N119" s="35">
        <v>0</v>
      </c>
    </row>
    <row r="120" spans="1:14" ht="13.95" customHeight="1">
      <c r="A120" s="91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</row>
    <row r="121" spans="1:14" ht="16.95" customHeight="1">
      <c r="A121" s="226" t="s">
        <v>354</v>
      </c>
      <c r="B121" s="47">
        <v>11522769</v>
      </c>
      <c r="C121" s="47">
        <v>9731391</v>
      </c>
      <c r="D121" s="47">
        <v>12055617</v>
      </c>
      <c r="E121" s="47">
        <v>9168903</v>
      </c>
      <c r="F121" s="47">
        <v>17829022</v>
      </c>
      <c r="G121" s="47">
        <v>14746871</v>
      </c>
      <c r="H121" s="47">
        <f t="shared" ref="H121:M121" si="6">H113+H87+H61+H35</f>
        <v>43490000</v>
      </c>
      <c r="I121" s="47">
        <f t="shared" si="6"/>
        <v>0</v>
      </c>
      <c r="J121" s="47">
        <f t="shared" si="6"/>
        <v>0</v>
      </c>
      <c r="K121" s="47">
        <f t="shared" si="6"/>
        <v>16600000</v>
      </c>
      <c r="L121" s="47">
        <f t="shared" si="6"/>
        <v>0</v>
      </c>
      <c r="M121" s="47">
        <f t="shared" si="6"/>
        <v>0</v>
      </c>
      <c r="N121" s="47"/>
    </row>
    <row r="122" spans="1:14" ht="16.95" customHeight="1">
      <c r="A122" s="226"/>
      <c r="B122" s="235">
        <v>135144573</v>
      </c>
      <c r="C122" s="235">
        <v>123621804</v>
      </c>
      <c r="D122" s="235">
        <v>113890413</v>
      </c>
      <c r="E122" s="235">
        <v>101834796</v>
      </c>
      <c r="F122" s="235">
        <v>92665893</v>
      </c>
      <c r="G122" s="235">
        <v>74836871</v>
      </c>
      <c r="H122" s="235">
        <f t="shared" ref="H122:M122" si="7">I122+H121</f>
        <v>60090000</v>
      </c>
      <c r="I122" s="235">
        <f t="shared" si="7"/>
        <v>16600000</v>
      </c>
      <c r="J122" s="235">
        <f t="shared" si="7"/>
        <v>16600000</v>
      </c>
      <c r="K122" s="235">
        <f t="shared" si="7"/>
        <v>16600000</v>
      </c>
      <c r="L122" s="235">
        <f t="shared" si="7"/>
        <v>0</v>
      </c>
      <c r="M122" s="235">
        <f t="shared" si="7"/>
        <v>0</v>
      </c>
      <c r="N122" s="225"/>
    </row>
    <row r="123" spans="1:14" ht="16.95" customHeight="1">
      <c r="A123" s="91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</row>
    <row r="124" spans="1:14" s="31" customFormat="1" ht="25.2" customHeight="1">
      <c r="A124" s="238" t="s">
        <v>352</v>
      </c>
      <c r="B124" s="239">
        <v>34048514</v>
      </c>
      <c r="C124" s="239">
        <v>46503595</v>
      </c>
      <c r="D124" s="239">
        <v>31136743</v>
      </c>
      <c r="E124" s="239">
        <v>38273259</v>
      </c>
      <c r="F124" s="239">
        <v>25794554</v>
      </c>
      <c r="G124" s="239">
        <v>33435324</v>
      </c>
      <c r="H124" s="239">
        <f t="shared" ref="H124:M124" si="8">H118-H121</f>
        <v>-375484</v>
      </c>
      <c r="I124" s="239">
        <f t="shared" si="8"/>
        <v>27715454</v>
      </c>
      <c r="J124" s="239">
        <f t="shared" si="8"/>
        <v>26870100</v>
      </c>
      <c r="K124" s="239">
        <f t="shared" si="8"/>
        <v>9250721</v>
      </c>
      <c r="L124" s="239">
        <f t="shared" si="8"/>
        <v>25308870</v>
      </c>
      <c r="M124" s="239">
        <f t="shared" si="8"/>
        <v>19485772</v>
      </c>
      <c r="N124" s="239"/>
    </row>
    <row r="125" spans="1:14" s="31" customFormat="1" ht="25.2" customHeight="1">
      <c r="A125" s="238"/>
      <c r="B125" s="248">
        <v>317447422</v>
      </c>
      <c r="C125" s="248">
        <v>283398908</v>
      </c>
      <c r="D125" s="248">
        <v>236895313</v>
      </c>
      <c r="E125" s="248">
        <v>205758570</v>
      </c>
      <c r="F125" s="248">
        <v>167485311</v>
      </c>
      <c r="G125" s="248">
        <v>141690757</v>
      </c>
      <c r="H125" s="248">
        <f t="shared" ref="H125:M125" si="9">I125+H124</f>
        <v>108255433</v>
      </c>
      <c r="I125" s="248">
        <f t="shared" si="9"/>
        <v>108630917</v>
      </c>
      <c r="J125" s="248">
        <f t="shared" si="9"/>
        <v>80915463</v>
      </c>
      <c r="K125" s="248">
        <f t="shared" si="9"/>
        <v>54045363</v>
      </c>
      <c r="L125" s="248">
        <f t="shared" si="9"/>
        <v>44794642</v>
      </c>
      <c r="M125" s="248">
        <f t="shared" si="9"/>
        <v>19485772</v>
      </c>
      <c r="N125" s="240"/>
    </row>
    <row r="126" spans="1:14" ht="17.399999999999999" customHeight="1">
      <c r="A126" s="91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</row>
    <row r="127" spans="1:14">
      <c r="A127" s="92" t="s">
        <v>84</v>
      </c>
      <c r="B127" s="47">
        <v>0</v>
      </c>
      <c r="C127" s="47">
        <v>0</v>
      </c>
      <c r="D127" s="47">
        <v>1739700</v>
      </c>
      <c r="E127" s="47">
        <v>1654300</v>
      </c>
      <c r="F127" s="47">
        <v>2340500</v>
      </c>
      <c r="G127" s="47">
        <v>2838763</v>
      </c>
      <c r="H127" s="47">
        <v>2510710</v>
      </c>
      <c r="I127" s="47">
        <v>2393350</v>
      </c>
      <c r="J127" s="47">
        <v>2449600</v>
      </c>
      <c r="K127" s="47">
        <v>2131520</v>
      </c>
      <c r="L127" s="47">
        <v>1938292</v>
      </c>
      <c r="M127" s="47">
        <v>1768366</v>
      </c>
      <c r="N127" s="47">
        <v>0</v>
      </c>
    </row>
    <row r="128" spans="1:14" s="2" customFormat="1" ht="18.600000000000001" thickBot="1">
      <c r="A128" s="93" t="s">
        <v>85</v>
      </c>
      <c r="B128" s="114">
        <v>21765101</v>
      </c>
      <c r="C128" s="114">
        <v>21765101</v>
      </c>
      <c r="D128" s="114">
        <v>21765101</v>
      </c>
      <c r="E128" s="114">
        <v>20025401</v>
      </c>
      <c r="F128" s="114">
        <v>18371101</v>
      </c>
      <c r="G128" s="114">
        <v>16030601</v>
      </c>
      <c r="H128" s="114">
        <v>13191838</v>
      </c>
      <c r="I128" s="114">
        <v>10681128</v>
      </c>
      <c r="J128" s="114">
        <v>8287778</v>
      </c>
      <c r="K128" s="114">
        <v>5838178</v>
      </c>
      <c r="L128" s="114">
        <v>3706658</v>
      </c>
      <c r="M128" s="94">
        <v>1768366</v>
      </c>
      <c r="N128" s="94">
        <v>0</v>
      </c>
    </row>
    <row r="129" spans="1:15" ht="8.4" customHeight="1" thickTop="1">
      <c r="A129" s="5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</row>
    <row r="130" spans="1:15" ht="15.6" customHeight="1">
      <c r="A130" s="983" t="s">
        <v>576</v>
      </c>
      <c r="B130" s="984"/>
      <c r="C130" s="984"/>
      <c r="D130" s="984"/>
      <c r="E130" s="984"/>
      <c r="F130" s="984"/>
      <c r="G130" s="984"/>
      <c r="H130" s="984"/>
      <c r="I130" s="984"/>
      <c r="J130" s="984"/>
      <c r="K130" s="984"/>
      <c r="L130" s="984"/>
      <c r="M130" s="984"/>
      <c r="N130" s="984"/>
    </row>
    <row r="131" spans="1:15" ht="15.6" customHeight="1">
      <c r="A131" t="s">
        <v>573</v>
      </c>
      <c r="B131" s="67">
        <v>8614500</v>
      </c>
      <c r="C131" s="67">
        <v>25196000</v>
      </c>
      <c r="D131" s="67">
        <v>3600000</v>
      </c>
      <c r="E131" s="67"/>
      <c r="F131" s="67"/>
      <c r="G131" s="67"/>
      <c r="H131" s="67"/>
      <c r="I131" s="67"/>
      <c r="J131" s="67"/>
      <c r="K131" s="67"/>
      <c r="L131" s="67"/>
      <c r="M131" s="67"/>
      <c r="N131" s="67"/>
    </row>
    <row r="132" spans="1:15" ht="15.6" customHeight="1">
      <c r="A132" s="249" t="s">
        <v>13</v>
      </c>
      <c r="B132" s="981">
        <v>37410500</v>
      </c>
      <c r="C132" s="981">
        <v>28796000</v>
      </c>
      <c r="D132" s="981">
        <v>3600000</v>
      </c>
      <c r="E132" s="981"/>
      <c r="F132" s="981"/>
      <c r="G132" s="981"/>
      <c r="H132" s="981"/>
      <c r="I132" s="981"/>
      <c r="J132" s="981"/>
      <c r="K132" s="981"/>
      <c r="L132" s="981"/>
      <c r="M132" s="981"/>
      <c r="N132" s="67"/>
    </row>
    <row r="133" spans="1:15" ht="15.6" customHeight="1">
      <c r="A133" t="s">
        <v>574</v>
      </c>
      <c r="B133" s="67">
        <v>1356000</v>
      </c>
      <c r="C133" s="67">
        <v>654000</v>
      </c>
      <c r="D133" s="67">
        <v>0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</row>
    <row r="134" spans="1:15" ht="15.6" customHeight="1">
      <c r="A134" s="249" t="s">
        <v>13</v>
      </c>
      <c r="B134" s="981">
        <v>2010000</v>
      </c>
      <c r="C134" s="981">
        <v>654000</v>
      </c>
      <c r="D134" s="981">
        <v>0</v>
      </c>
      <c r="E134" s="981"/>
      <c r="F134" s="981"/>
      <c r="G134" s="981"/>
      <c r="H134" s="981"/>
      <c r="I134" s="981"/>
      <c r="J134" s="981"/>
      <c r="K134" s="981"/>
      <c r="L134" s="981"/>
      <c r="M134" s="981"/>
      <c r="N134" s="67"/>
    </row>
    <row r="135" spans="1:15" ht="15.6" customHeight="1">
      <c r="A135" t="s">
        <v>575</v>
      </c>
      <c r="B135" s="67">
        <v>104000</v>
      </c>
      <c r="C135" s="67">
        <v>190000</v>
      </c>
      <c r="D135" s="67">
        <v>0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</row>
    <row r="136" spans="1:15" ht="15.6" customHeight="1">
      <c r="A136" s="249" t="s">
        <v>13</v>
      </c>
      <c r="B136" s="981">
        <v>294000</v>
      </c>
      <c r="C136" s="981">
        <v>190000</v>
      </c>
      <c r="D136" s="981">
        <v>0</v>
      </c>
      <c r="E136" s="981"/>
      <c r="F136" s="981"/>
      <c r="G136" s="981"/>
      <c r="H136" s="981"/>
      <c r="I136" s="981"/>
      <c r="J136" s="981"/>
      <c r="K136" s="981"/>
      <c r="L136" s="981"/>
      <c r="M136" s="981"/>
      <c r="N136" s="67"/>
    </row>
    <row r="137" spans="1:15" ht="15.6" customHeight="1">
      <c r="A137" t="s">
        <v>27</v>
      </c>
      <c r="B137" s="67">
        <v>11470000</v>
      </c>
      <c r="C137" s="67">
        <v>9681000</v>
      </c>
      <c r="D137" s="67">
        <v>900000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</row>
    <row r="138" spans="1:15" ht="15.6" customHeight="1">
      <c r="A138" s="249" t="s">
        <v>13</v>
      </c>
      <c r="B138" s="981">
        <v>22051000</v>
      </c>
      <c r="C138" s="981">
        <v>10581000</v>
      </c>
      <c r="D138" s="981">
        <v>900000</v>
      </c>
      <c r="E138" s="981"/>
      <c r="F138" s="981"/>
      <c r="G138" s="981"/>
      <c r="H138" s="981"/>
      <c r="I138" s="981"/>
      <c r="J138" s="981"/>
      <c r="K138" s="981"/>
      <c r="L138" s="981"/>
      <c r="M138" s="981"/>
      <c r="N138" s="67"/>
    </row>
    <row r="139" spans="1:15" s="16" customFormat="1" ht="15.6" customHeight="1">
      <c r="A139" s="16" t="s">
        <v>149</v>
      </c>
      <c r="B139" s="81">
        <v>21544500</v>
      </c>
      <c r="C139" s="81">
        <v>35721000</v>
      </c>
      <c r="D139" s="81">
        <v>4500000</v>
      </c>
      <c r="E139" s="81"/>
      <c r="F139" s="81"/>
      <c r="G139" s="81"/>
      <c r="H139" s="81"/>
      <c r="I139" s="81"/>
      <c r="J139" s="81"/>
      <c r="K139" s="81"/>
      <c r="L139" s="81"/>
      <c r="M139" s="81"/>
      <c r="N139" s="81"/>
    </row>
    <row r="140" spans="1:15" s="16" customFormat="1" ht="15.6" customHeight="1">
      <c r="A140" s="982" t="s">
        <v>150</v>
      </c>
      <c r="B140" s="251">
        <v>61765500</v>
      </c>
      <c r="C140" s="251">
        <v>40221000</v>
      </c>
      <c r="D140" s="251">
        <v>4500000</v>
      </c>
      <c r="E140" s="251"/>
      <c r="F140" s="251"/>
      <c r="G140" s="251"/>
      <c r="H140" s="251"/>
      <c r="I140" s="251"/>
      <c r="J140" s="251"/>
      <c r="K140" s="251"/>
      <c r="L140" s="251"/>
      <c r="M140" s="251"/>
      <c r="N140" s="81"/>
    </row>
    <row r="141" spans="1:15" ht="8.4" customHeight="1" thickBot="1"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</row>
    <row r="142" spans="1:15" ht="15" thickTop="1">
      <c r="A142" s="122" t="s">
        <v>49</v>
      </c>
      <c r="B142" s="123">
        <v>9948136</v>
      </c>
      <c r="C142" s="123">
        <v>11104458</v>
      </c>
      <c r="D142" s="123">
        <v>15220100</v>
      </c>
      <c r="E142" s="123">
        <v>20830000</v>
      </c>
      <c r="F142" s="123">
        <v>18639443</v>
      </c>
      <c r="G142" s="123">
        <v>7627000</v>
      </c>
      <c r="H142" s="123">
        <v>30655782</v>
      </c>
      <c r="I142" s="123">
        <v>40796205</v>
      </c>
      <c r="J142" s="123">
        <v>16370191</v>
      </c>
      <c r="K142" s="123">
        <v>11949331</v>
      </c>
      <c r="L142" s="123">
        <v>15898863</v>
      </c>
      <c r="M142" s="123">
        <v>18612200</v>
      </c>
      <c r="N142" s="123">
        <v>0</v>
      </c>
    </row>
    <row r="143" spans="1:15" s="2" customFormat="1" ht="18.600000000000001" thickBot="1">
      <c r="A143" s="102" t="s">
        <v>122</v>
      </c>
      <c r="B143" s="127">
        <v>217651709</v>
      </c>
      <c r="C143" s="127">
        <v>207703573</v>
      </c>
      <c r="D143" s="127">
        <v>196599115</v>
      </c>
      <c r="E143" s="127">
        <v>181379015</v>
      </c>
      <c r="F143" s="127">
        <v>160549015</v>
      </c>
      <c r="G143" s="127">
        <v>141909572</v>
      </c>
      <c r="H143" s="127">
        <v>134282572</v>
      </c>
      <c r="I143" s="127">
        <v>103626790</v>
      </c>
      <c r="J143" s="127">
        <v>62830585</v>
      </c>
      <c r="K143" s="127">
        <v>46460394</v>
      </c>
      <c r="L143" s="127">
        <v>34511063</v>
      </c>
      <c r="M143" s="128">
        <v>18612200</v>
      </c>
      <c r="N143" s="128">
        <v>0</v>
      </c>
      <c r="O143" s="24"/>
    </row>
    <row r="144" spans="1:15" ht="6" customHeight="1" thickBot="1">
      <c r="A144" s="104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</row>
    <row r="145" spans="1:14" ht="16.2" customHeight="1">
      <c r="A145" s="118" t="s">
        <v>154</v>
      </c>
      <c r="B145" s="121"/>
      <c r="C145" s="121"/>
      <c r="D145" s="121"/>
      <c r="E145" s="121"/>
      <c r="F145" s="121"/>
      <c r="G145" s="121"/>
      <c r="H145" s="121"/>
      <c r="I145" s="121">
        <v>0</v>
      </c>
      <c r="J145" s="121"/>
      <c r="K145" s="121"/>
      <c r="L145" s="121"/>
      <c r="M145" s="121"/>
      <c r="N145" s="121"/>
    </row>
    <row r="146" spans="1:14" ht="16.2" customHeight="1">
      <c r="A146" s="96" t="s">
        <v>138</v>
      </c>
      <c r="B146" s="72">
        <v>1150000</v>
      </c>
      <c r="C146" s="72">
        <v>200000</v>
      </c>
      <c r="D146" s="72">
        <v>0</v>
      </c>
      <c r="E146" s="72">
        <v>0</v>
      </c>
      <c r="F146" s="72">
        <v>0</v>
      </c>
      <c r="G146" s="72">
        <v>500000</v>
      </c>
      <c r="H146" s="72">
        <v>100000</v>
      </c>
      <c r="I146" s="72">
        <v>0</v>
      </c>
      <c r="J146" s="72">
        <v>0</v>
      </c>
      <c r="K146" s="72">
        <v>550000</v>
      </c>
      <c r="L146" s="72">
        <v>0</v>
      </c>
      <c r="M146" s="72">
        <v>9072000</v>
      </c>
      <c r="N146" s="48"/>
    </row>
    <row r="147" spans="1:14" ht="16.2" customHeight="1">
      <c r="A147" s="97" t="s">
        <v>122</v>
      </c>
      <c r="B147" s="117">
        <v>11572000</v>
      </c>
      <c r="C147" s="117">
        <v>10422000</v>
      </c>
      <c r="D147" s="117">
        <v>10222000</v>
      </c>
      <c r="E147" s="117">
        <v>10222000</v>
      </c>
      <c r="F147" s="117">
        <v>10222000</v>
      </c>
      <c r="G147" s="117">
        <v>10222000</v>
      </c>
      <c r="H147" s="117">
        <v>9722000</v>
      </c>
      <c r="I147" s="117">
        <v>9622000</v>
      </c>
      <c r="J147" s="117">
        <v>9622000</v>
      </c>
      <c r="K147" s="117">
        <v>9622000</v>
      </c>
      <c r="L147" s="117">
        <v>9072000</v>
      </c>
      <c r="M147" s="78">
        <v>9072000</v>
      </c>
      <c r="N147" s="48"/>
    </row>
    <row r="148" spans="1:14" ht="16.2" customHeight="1">
      <c r="A148" s="96" t="s">
        <v>139</v>
      </c>
      <c r="B148" s="72">
        <v>0</v>
      </c>
      <c r="C148" s="72">
        <v>1000000</v>
      </c>
      <c r="D148" s="72">
        <v>2060000</v>
      </c>
      <c r="E148" s="72">
        <v>0</v>
      </c>
      <c r="F148" s="72">
        <v>4000000</v>
      </c>
      <c r="G148" s="72">
        <v>200000</v>
      </c>
      <c r="H148" s="72">
        <v>5600000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48"/>
    </row>
    <row r="149" spans="1:14" ht="16.2" customHeight="1">
      <c r="A149" s="97" t="s">
        <v>122</v>
      </c>
      <c r="B149" s="117">
        <v>12860000</v>
      </c>
      <c r="C149" s="117">
        <v>12860000</v>
      </c>
      <c r="D149" s="117">
        <v>11860000</v>
      </c>
      <c r="E149" s="117">
        <v>9800000</v>
      </c>
      <c r="F149" s="117">
        <v>9800000</v>
      </c>
      <c r="G149" s="117">
        <v>5800000</v>
      </c>
      <c r="H149" s="117">
        <v>5600000</v>
      </c>
      <c r="I149" s="117">
        <v>0</v>
      </c>
      <c r="J149" s="117">
        <v>0</v>
      </c>
      <c r="K149" s="117">
        <v>0</v>
      </c>
      <c r="L149" s="117">
        <v>0</v>
      </c>
      <c r="M149" s="78">
        <v>0</v>
      </c>
      <c r="N149" s="48"/>
    </row>
    <row r="150" spans="1:14" ht="16.2" customHeight="1">
      <c r="A150" s="96" t="s">
        <v>27</v>
      </c>
      <c r="B150" s="72">
        <v>0</v>
      </c>
      <c r="C150" s="72">
        <v>0</v>
      </c>
      <c r="D150" s="72">
        <v>0</v>
      </c>
      <c r="E150" s="72">
        <v>500000</v>
      </c>
      <c r="F150" s="72">
        <v>0</v>
      </c>
      <c r="G150" s="72">
        <v>150000</v>
      </c>
      <c r="H150" s="72">
        <v>250000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48"/>
    </row>
    <row r="151" spans="1:14" ht="16.2" customHeight="1">
      <c r="A151" s="97" t="s">
        <v>122</v>
      </c>
      <c r="B151" s="117">
        <v>900000</v>
      </c>
      <c r="C151" s="117">
        <v>900000</v>
      </c>
      <c r="D151" s="117">
        <v>900000</v>
      </c>
      <c r="E151" s="117">
        <v>900000</v>
      </c>
      <c r="F151" s="117">
        <v>400000</v>
      </c>
      <c r="G151" s="117">
        <v>400000</v>
      </c>
      <c r="H151" s="117">
        <v>250000</v>
      </c>
      <c r="I151" s="117">
        <v>0</v>
      </c>
      <c r="J151" s="117">
        <v>0</v>
      </c>
      <c r="K151" s="117">
        <v>0</v>
      </c>
      <c r="L151" s="117">
        <v>0</v>
      </c>
      <c r="M151" s="78">
        <v>0</v>
      </c>
      <c r="N151" s="48"/>
    </row>
    <row r="152" spans="1:14" ht="16.2" customHeight="1">
      <c r="A152" s="98" t="s">
        <v>149</v>
      </c>
      <c r="B152" s="72">
        <v>1150000</v>
      </c>
      <c r="C152" s="72">
        <v>1200000</v>
      </c>
      <c r="D152" s="72">
        <v>2060000</v>
      </c>
      <c r="E152" s="72">
        <v>500000</v>
      </c>
      <c r="F152" s="72">
        <v>4000000</v>
      </c>
      <c r="G152" s="72">
        <v>850000</v>
      </c>
      <c r="H152" s="72">
        <v>5950000</v>
      </c>
      <c r="I152" s="72">
        <v>0</v>
      </c>
      <c r="J152" s="72">
        <v>0</v>
      </c>
      <c r="K152" s="72">
        <v>550000</v>
      </c>
      <c r="L152" s="72">
        <v>0</v>
      </c>
      <c r="M152" s="72">
        <v>9072000</v>
      </c>
      <c r="N152" s="48"/>
    </row>
    <row r="153" spans="1:14" s="16" customFormat="1" ht="16.2" customHeight="1" thickBot="1">
      <c r="A153" s="106" t="s">
        <v>122</v>
      </c>
      <c r="B153" s="116">
        <v>25332000</v>
      </c>
      <c r="C153" s="116">
        <v>24182000</v>
      </c>
      <c r="D153" s="116">
        <v>22982000</v>
      </c>
      <c r="E153" s="116">
        <v>20922000</v>
      </c>
      <c r="F153" s="116">
        <v>20422000</v>
      </c>
      <c r="G153" s="116">
        <v>16422000</v>
      </c>
      <c r="H153" s="116">
        <v>15572000</v>
      </c>
      <c r="I153" s="116">
        <v>9622000</v>
      </c>
      <c r="J153" s="116">
        <v>9622000</v>
      </c>
      <c r="K153" s="116">
        <v>9622000</v>
      </c>
      <c r="L153" s="116">
        <v>9072000</v>
      </c>
      <c r="M153" s="107">
        <v>9072000</v>
      </c>
      <c r="N153" s="107"/>
    </row>
    <row r="154" spans="1:14" ht="6.6" customHeight="1" thickBot="1">
      <c r="A154" s="104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</row>
    <row r="155" spans="1:14" ht="18.600000000000001" customHeight="1">
      <c r="A155" s="118" t="s">
        <v>61</v>
      </c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</row>
    <row r="156" spans="1:14">
      <c r="A156" s="96" t="s">
        <v>135</v>
      </c>
      <c r="B156" s="72">
        <v>41050</v>
      </c>
      <c r="C156" s="72">
        <v>71398</v>
      </c>
      <c r="D156" s="72">
        <v>161899</v>
      </c>
      <c r="E156" s="72">
        <v>39997</v>
      </c>
      <c r="F156" s="72">
        <v>180289</v>
      </c>
      <c r="G156" s="72">
        <v>56351</v>
      </c>
      <c r="H156" s="72">
        <v>15000</v>
      </c>
      <c r="I156" s="72">
        <v>46000</v>
      </c>
      <c r="J156" s="72">
        <v>138995</v>
      </c>
      <c r="K156" s="72">
        <v>243734</v>
      </c>
      <c r="L156" s="72">
        <v>184000</v>
      </c>
      <c r="M156" s="72">
        <v>213999</v>
      </c>
      <c r="N156" s="48">
        <v>0</v>
      </c>
    </row>
    <row r="157" spans="1:14">
      <c r="A157" s="97" t="s">
        <v>122</v>
      </c>
      <c r="B157" s="117">
        <v>1392712</v>
      </c>
      <c r="C157" s="117">
        <v>1351662</v>
      </c>
      <c r="D157" s="117">
        <v>1280264</v>
      </c>
      <c r="E157" s="117">
        <v>1118365</v>
      </c>
      <c r="F157" s="117">
        <v>1078368</v>
      </c>
      <c r="G157" s="117">
        <v>898079</v>
      </c>
      <c r="H157" s="117">
        <v>841728</v>
      </c>
      <c r="I157" s="117">
        <v>826728</v>
      </c>
      <c r="J157" s="117">
        <v>780728</v>
      </c>
      <c r="K157" s="117">
        <v>641733</v>
      </c>
      <c r="L157" s="117">
        <v>397999</v>
      </c>
      <c r="M157" s="78">
        <v>213999</v>
      </c>
      <c r="N157" s="48"/>
    </row>
    <row r="158" spans="1:14">
      <c r="A158" s="96" t="s">
        <v>4</v>
      </c>
      <c r="B158" s="72">
        <v>183296</v>
      </c>
      <c r="C158" s="72">
        <v>200994</v>
      </c>
      <c r="D158" s="72">
        <v>37097</v>
      </c>
      <c r="E158" s="72">
        <v>229749</v>
      </c>
      <c r="F158" s="72">
        <v>0</v>
      </c>
      <c r="G158" s="72">
        <v>248968</v>
      </c>
      <c r="H158" s="72">
        <v>291499</v>
      </c>
      <c r="I158" s="72">
        <v>300000</v>
      </c>
      <c r="J158" s="72">
        <v>245995</v>
      </c>
      <c r="K158" s="72">
        <v>412334</v>
      </c>
      <c r="L158" s="72">
        <v>102496</v>
      </c>
      <c r="M158" s="72">
        <v>103749</v>
      </c>
      <c r="N158" s="48"/>
    </row>
    <row r="159" spans="1:14">
      <c r="A159" s="97" t="s">
        <v>122</v>
      </c>
      <c r="B159" s="117">
        <v>2356177</v>
      </c>
      <c r="C159" s="117">
        <v>2172881</v>
      </c>
      <c r="D159" s="117">
        <v>1971887</v>
      </c>
      <c r="E159" s="117">
        <v>1934790</v>
      </c>
      <c r="F159" s="117">
        <v>1705041</v>
      </c>
      <c r="G159" s="117">
        <v>1705041</v>
      </c>
      <c r="H159" s="117">
        <v>1456073</v>
      </c>
      <c r="I159" s="117">
        <v>1164574</v>
      </c>
      <c r="J159" s="117">
        <v>864574</v>
      </c>
      <c r="K159" s="117">
        <v>618579</v>
      </c>
      <c r="L159" s="117">
        <v>206245</v>
      </c>
      <c r="M159" s="78">
        <v>103749</v>
      </c>
      <c r="N159" s="48"/>
    </row>
    <row r="160" spans="1:14">
      <c r="A160" s="96" t="s">
        <v>136</v>
      </c>
      <c r="B160" s="72">
        <v>0</v>
      </c>
      <c r="C160" s="72">
        <v>0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23000</v>
      </c>
      <c r="N160" s="48"/>
    </row>
    <row r="161" spans="1:14">
      <c r="A161" s="97" t="s">
        <v>122</v>
      </c>
      <c r="B161" s="117">
        <v>23000</v>
      </c>
      <c r="C161" s="117">
        <v>23000</v>
      </c>
      <c r="D161" s="117">
        <v>23000</v>
      </c>
      <c r="E161" s="117">
        <v>23000</v>
      </c>
      <c r="F161" s="117">
        <v>23000</v>
      </c>
      <c r="G161" s="117">
        <v>23000</v>
      </c>
      <c r="H161" s="117">
        <v>23000</v>
      </c>
      <c r="I161" s="117">
        <v>23000</v>
      </c>
      <c r="J161" s="117">
        <v>23000</v>
      </c>
      <c r="K161" s="117">
        <v>23000</v>
      </c>
      <c r="L161" s="117">
        <v>23000</v>
      </c>
      <c r="M161" s="78">
        <v>23000</v>
      </c>
      <c r="N161" s="48"/>
    </row>
    <row r="162" spans="1:14">
      <c r="A162" s="96" t="s">
        <v>137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25999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16499</v>
      </c>
      <c r="N162" s="48"/>
    </row>
    <row r="163" spans="1:14">
      <c r="A163" s="97" t="s">
        <v>122</v>
      </c>
      <c r="B163" s="117">
        <v>42498</v>
      </c>
      <c r="C163" s="117">
        <v>42498</v>
      </c>
      <c r="D163" s="117">
        <v>42498</v>
      </c>
      <c r="E163" s="117">
        <v>42498</v>
      </c>
      <c r="F163" s="117">
        <v>42498</v>
      </c>
      <c r="G163" s="117">
        <v>42498</v>
      </c>
      <c r="H163" s="117">
        <v>16499</v>
      </c>
      <c r="I163" s="117">
        <v>16499</v>
      </c>
      <c r="J163" s="117">
        <v>16499</v>
      </c>
      <c r="K163" s="117">
        <v>16499</v>
      </c>
      <c r="L163" s="117">
        <v>16499</v>
      </c>
      <c r="M163" s="78">
        <v>16499</v>
      </c>
      <c r="N163" s="48"/>
    </row>
    <row r="164" spans="1:14">
      <c r="A164" s="96" t="s">
        <v>27</v>
      </c>
      <c r="B164" s="72">
        <v>67197</v>
      </c>
      <c r="C164" s="72">
        <v>50999</v>
      </c>
      <c r="D164" s="72">
        <v>218998</v>
      </c>
      <c r="E164" s="72">
        <v>0</v>
      </c>
      <c r="F164" s="72">
        <v>0</v>
      </c>
      <c r="G164" s="72">
        <v>40546</v>
      </c>
      <c r="H164" s="72">
        <v>454573</v>
      </c>
      <c r="I164" s="72">
        <v>358250</v>
      </c>
      <c r="J164" s="72">
        <v>330099</v>
      </c>
      <c r="K164" s="72">
        <v>186598</v>
      </c>
      <c r="L164" s="72">
        <v>102898</v>
      </c>
      <c r="M164" s="72">
        <v>16499</v>
      </c>
      <c r="N164" s="48"/>
    </row>
    <row r="165" spans="1:14">
      <c r="A165" s="97" t="s">
        <v>122</v>
      </c>
      <c r="B165" s="117">
        <v>1826657</v>
      </c>
      <c r="C165" s="117">
        <v>1759460</v>
      </c>
      <c r="D165" s="117">
        <v>1708461</v>
      </c>
      <c r="E165" s="117">
        <v>1489463</v>
      </c>
      <c r="F165" s="117">
        <v>1489463</v>
      </c>
      <c r="G165" s="117">
        <v>1489463</v>
      </c>
      <c r="H165" s="117">
        <v>1448917</v>
      </c>
      <c r="I165" s="117">
        <v>994344</v>
      </c>
      <c r="J165" s="117">
        <v>636094</v>
      </c>
      <c r="K165" s="117">
        <v>305995</v>
      </c>
      <c r="L165" s="117">
        <v>119397</v>
      </c>
      <c r="M165" s="78">
        <v>16499</v>
      </c>
      <c r="N165" s="48"/>
    </row>
    <row r="166" spans="1:14">
      <c r="A166" s="99" t="s">
        <v>149</v>
      </c>
      <c r="B166" s="72">
        <v>291543</v>
      </c>
      <c r="C166" s="72">
        <v>323391</v>
      </c>
      <c r="D166" s="72">
        <v>417994</v>
      </c>
      <c r="E166" s="72">
        <v>269746</v>
      </c>
      <c r="F166" s="72">
        <v>180289</v>
      </c>
      <c r="G166" s="72">
        <v>371864</v>
      </c>
      <c r="H166" s="72">
        <v>761072</v>
      </c>
      <c r="I166" s="72">
        <v>704250</v>
      </c>
      <c r="J166" s="72">
        <v>715089</v>
      </c>
      <c r="K166" s="72">
        <v>842666</v>
      </c>
      <c r="L166" s="72">
        <v>389394</v>
      </c>
      <c r="M166" s="72">
        <v>373746</v>
      </c>
      <c r="N166" s="48"/>
    </row>
    <row r="167" spans="1:14" s="129" customFormat="1" ht="18.600000000000001" thickBot="1">
      <c r="A167" s="126" t="s">
        <v>122</v>
      </c>
      <c r="B167" s="127">
        <v>5641044</v>
      </c>
      <c r="C167" s="127">
        <v>5349501</v>
      </c>
      <c r="D167" s="127">
        <v>5026110</v>
      </c>
      <c r="E167" s="127">
        <v>4608116</v>
      </c>
      <c r="F167" s="127">
        <v>4338370</v>
      </c>
      <c r="G167" s="127">
        <v>4158081</v>
      </c>
      <c r="H167" s="127">
        <v>3786217</v>
      </c>
      <c r="I167" s="127">
        <v>3025145</v>
      </c>
      <c r="J167" s="127">
        <v>2320895</v>
      </c>
      <c r="K167" s="127">
        <v>1605806</v>
      </c>
      <c r="L167" s="127">
        <v>763140</v>
      </c>
      <c r="M167" s="128">
        <v>373746</v>
      </c>
      <c r="N167" s="128">
        <v>0</v>
      </c>
    </row>
    <row r="168" spans="1:14" s="2" customFormat="1" ht="7.2" customHeight="1" thickBot="1">
      <c r="A168" s="109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</row>
    <row r="169" spans="1:14" s="54" customFormat="1" ht="18">
      <c r="A169" s="120" t="s">
        <v>107</v>
      </c>
      <c r="B169" s="130">
        <v>450000</v>
      </c>
      <c r="C169" s="130">
        <v>450000</v>
      </c>
      <c r="D169" s="130">
        <v>0</v>
      </c>
      <c r="E169" s="130">
        <v>235000</v>
      </c>
      <c r="F169" s="130">
        <v>230000</v>
      </c>
      <c r="G169" s="130">
        <v>325000</v>
      </c>
      <c r="H169" s="130">
        <v>0</v>
      </c>
      <c r="I169" s="130"/>
      <c r="J169" s="130">
        <v>200000</v>
      </c>
      <c r="K169" s="130">
        <v>0</v>
      </c>
      <c r="L169" s="130">
        <v>0</v>
      </c>
      <c r="M169" s="130">
        <v>200000</v>
      </c>
      <c r="N169" s="130">
        <v>0</v>
      </c>
    </row>
    <row r="170" spans="1:14" s="2" customFormat="1" ht="18.600000000000001" thickBot="1">
      <c r="A170" s="102" t="s">
        <v>122</v>
      </c>
      <c r="B170" s="127">
        <v>2090000</v>
      </c>
      <c r="C170" s="127">
        <v>1640000</v>
      </c>
      <c r="D170" s="127">
        <v>1190000</v>
      </c>
      <c r="E170" s="127">
        <v>1190000</v>
      </c>
      <c r="F170" s="127">
        <v>955000</v>
      </c>
      <c r="G170" s="127">
        <v>725000</v>
      </c>
      <c r="H170" s="127">
        <v>400000</v>
      </c>
      <c r="I170" s="127">
        <v>400000</v>
      </c>
      <c r="J170" s="127">
        <v>400000</v>
      </c>
      <c r="K170" s="127">
        <v>200000</v>
      </c>
      <c r="L170" s="127">
        <v>200000</v>
      </c>
      <c r="M170" s="128">
        <v>200000</v>
      </c>
      <c r="N170" s="128">
        <v>0</v>
      </c>
    </row>
    <row r="171" spans="1:14" s="16" customFormat="1" ht="6" customHeight="1" thickBot="1">
      <c r="A171" s="11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</row>
    <row r="172" spans="1:14" s="16" customFormat="1" ht="15.6" customHeight="1">
      <c r="A172" s="118" t="s">
        <v>97</v>
      </c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</row>
    <row r="173" spans="1:14">
      <c r="A173" s="96" t="s">
        <v>24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100000</v>
      </c>
      <c r="I173" s="72">
        <v>160000</v>
      </c>
      <c r="J173" s="72">
        <v>106400</v>
      </c>
      <c r="K173" s="72">
        <v>51400</v>
      </c>
      <c r="L173" s="72">
        <v>101400</v>
      </c>
      <c r="M173" s="72">
        <v>101400</v>
      </c>
      <c r="N173" s="72">
        <v>0</v>
      </c>
    </row>
    <row r="174" spans="1:14">
      <c r="A174" s="97" t="s">
        <v>122</v>
      </c>
      <c r="B174" s="117">
        <v>620600</v>
      </c>
      <c r="C174" s="117">
        <v>620600</v>
      </c>
      <c r="D174" s="117">
        <v>620600</v>
      </c>
      <c r="E174" s="117">
        <v>620600</v>
      </c>
      <c r="F174" s="117">
        <v>620600</v>
      </c>
      <c r="G174" s="117">
        <v>620600</v>
      </c>
      <c r="H174" s="117">
        <v>620600</v>
      </c>
      <c r="I174" s="117">
        <v>520600</v>
      </c>
      <c r="J174" s="117">
        <v>360600</v>
      </c>
      <c r="K174" s="117">
        <v>254200</v>
      </c>
      <c r="L174" s="117">
        <v>202800</v>
      </c>
      <c r="M174" s="78">
        <v>101400</v>
      </c>
      <c r="N174" s="78"/>
    </row>
    <row r="175" spans="1:14">
      <c r="A175" s="96" t="s">
        <v>138</v>
      </c>
      <c r="B175" s="72">
        <v>202800</v>
      </c>
      <c r="C175" s="72">
        <v>204400</v>
      </c>
      <c r="D175" s="72">
        <v>255600</v>
      </c>
      <c r="E175" s="72">
        <v>101400</v>
      </c>
      <c r="F175" s="72">
        <v>152800</v>
      </c>
      <c r="G175" s="72">
        <v>156400</v>
      </c>
      <c r="H175" s="72">
        <v>135000</v>
      </c>
      <c r="I175" s="72">
        <v>165000</v>
      </c>
      <c r="J175" s="72">
        <v>159900</v>
      </c>
      <c r="K175" s="72">
        <v>51400</v>
      </c>
      <c r="L175" s="72">
        <v>103000</v>
      </c>
      <c r="M175" s="72">
        <v>211400</v>
      </c>
      <c r="N175" s="72"/>
    </row>
    <row r="176" spans="1:14">
      <c r="A176" s="97" t="s">
        <v>122</v>
      </c>
      <c r="B176" s="117">
        <v>1899100</v>
      </c>
      <c r="C176" s="117">
        <v>1696300</v>
      </c>
      <c r="D176" s="117">
        <v>1491900</v>
      </c>
      <c r="E176" s="117">
        <v>1236300</v>
      </c>
      <c r="F176" s="117">
        <v>1134900</v>
      </c>
      <c r="G176" s="117">
        <v>982100</v>
      </c>
      <c r="H176" s="117">
        <v>825700</v>
      </c>
      <c r="I176" s="117">
        <v>690700</v>
      </c>
      <c r="J176" s="117">
        <v>525700</v>
      </c>
      <c r="K176" s="117">
        <v>365800</v>
      </c>
      <c r="L176" s="117">
        <v>314400</v>
      </c>
      <c r="M176" s="78">
        <v>211400</v>
      </c>
      <c r="N176" s="78"/>
    </row>
    <row r="177" spans="1:14">
      <c r="A177" s="96" t="s">
        <v>139</v>
      </c>
      <c r="B177" s="72">
        <v>401400</v>
      </c>
      <c r="C177" s="72">
        <v>0</v>
      </c>
      <c r="D177" s="72">
        <v>53000</v>
      </c>
      <c r="E177" s="72">
        <v>51400</v>
      </c>
      <c r="F177" s="72">
        <v>53000</v>
      </c>
      <c r="G177" s="72">
        <v>0</v>
      </c>
      <c r="H177" s="72">
        <v>55000</v>
      </c>
      <c r="I177" s="72">
        <v>0</v>
      </c>
      <c r="J177" s="72">
        <v>97800</v>
      </c>
      <c r="K177" s="72">
        <v>0</v>
      </c>
      <c r="L177" s="72">
        <v>0</v>
      </c>
      <c r="M177" s="72">
        <v>101400</v>
      </c>
      <c r="N177" s="72"/>
    </row>
    <row r="178" spans="1:14" ht="14.4" customHeight="1">
      <c r="A178" s="97" t="s">
        <v>122</v>
      </c>
      <c r="B178" s="117">
        <v>813000</v>
      </c>
      <c r="C178" s="117">
        <v>411600</v>
      </c>
      <c r="D178" s="117">
        <v>411600</v>
      </c>
      <c r="E178" s="117">
        <v>358600</v>
      </c>
      <c r="F178" s="117">
        <v>307200</v>
      </c>
      <c r="G178" s="117">
        <v>254200</v>
      </c>
      <c r="H178" s="117">
        <v>254200</v>
      </c>
      <c r="I178" s="117">
        <v>199200</v>
      </c>
      <c r="J178" s="117">
        <v>199200</v>
      </c>
      <c r="K178" s="117">
        <v>101400</v>
      </c>
      <c r="L178" s="117">
        <v>101400</v>
      </c>
      <c r="M178" s="78">
        <v>101400</v>
      </c>
      <c r="N178" s="78"/>
    </row>
    <row r="179" spans="1:14" ht="14.4" customHeight="1">
      <c r="A179" s="99" t="s">
        <v>172</v>
      </c>
      <c r="B179" s="72">
        <v>0</v>
      </c>
      <c r="C179" s="72">
        <v>0</v>
      </c>
      <c r="D179" s="72">
        <v>0</v>
      </c>
      <c r="E179" s="72">
        <v>0</v>
      </c>
      <c r="F179" s="72">
        <v>0</v>
      </c>
      <c r="G179" s="72">
        <v>0</v>
      </c>
      <c r="H179" s="72">
        <v>101400</v>
      </c>
      <c r="I179" s="72">
        <v>0</v>
      </c>
      <c r="J179" s="72"/>
      <c r="K179" s="72"/>
      <c r="L179" s="72"/>
      <c r="M179" s="124"/>
      <c r="N179" s="124"/>
    </row>
    <row r="180" spans="1:14" ht="14.4" customHeight="1">
      <c r="A180" s="97" t="s">
        <v>122</v>
      </c>
      <c r="B180" s="117">
        <v>101400</v>
      </c>
      <c r="C180" s="117">
        <v>101400</v>
      </c>
      <c r="D180" s="117">
        <v>101400</v>
      </c>
      <c r="E180" s="117">
        <v>101400</v>
      </c>
      <c r="F180" s="117">
        <v>101400</v>
      </c>
      <c r="G180" s="117">
        <v>101400</v>
      </c>
      <c r="H180" s="117">
        <v>101400</v>
      </c>
      <c r="I180" s="117">
        <v>0</v>
      </c>
      <c r="J180" s="117"/>
      <c r="K180" s="117"/>
      <c r="L180" s="117"/>
      <c r="M180" s="78"/>
      <c r="N180" s="78"/>
    </row>
    <row r="181" spans="1:14" ht="14.4" customHeight="1">
      <c r="A181" s="99" t="s">
        <v>193</v>
      </c>
      <c r="B181" s="72">
        <v>0</v>
      </c>
      <c r="C181" s="72">
        <v>0</v>
      </c>
      <c r="D181" s="72">
        <v>0</v>
      </c>
      <c r="E181" s="72">
        <v>0</v>
      </c>
      <c r="F181" s="72">
        <v>0</v>
      </c>
      <c r="G181" s="72">
        <v>0</v>
      </c>
      <c r="H181" s="72">
        <v>110000</v>
      </c>
      <c r="I181" s="72">
        <v>0</v>
      </c>
      <c r="J181" s="72"/>
      <c r="K181" s="72"/>
      <c r="L181" s="72"/>
      <c r="M181" s="124"/>
      <c r="N181" s="124"/>
    </row>
    <row r="182" spans="1:14" ht="14.4" customHeight="1">
      <c r="A182" s="97" t="s">
        <v>122</v>
      </c>
      <c r="B182" s="117">
        <v>110000</v>
      </c>
      <c r="C182" s="117">
        <v>110000</v>
      </c>
      <c r="D182" s="117">
        <v>110000</v>
      </c>
      <c r="E182" s="117">
        <v>110000</v>
      </c>
      <c r="F182" s="117">
        <v>110000</v>
      </c>
      <c r="G182" s="117">
        <v>110000</v>
      </c>
      <c r="H182" s="117">
        <v>110000</v>
      </c>
      <c r="I182" s="117">
        <v>0</v>
      </c>
      <c r="J182" s="117"/>
      <c r="K182" s="117"/>
      <c r="L182" s="117"/>
      <c r="M182" s="78"/>
      <c r="N182" s="78"/>
    </row>
    <row r="183" spans="1:14" ht="14.4" customHeight="1">
      <c r="A183" s="98" t="s">
        <v>149</v>
      </c>
      <c r="B183" s="72">
        <v>604200</v>
      </c>
      <c r="C183" s="72">
        <v>204400</v>
      </c>
      <c r="D183" s="72">
        <v>308600</v>
      </c>
      <c r="E183" s="72">
        <v>152800</v>
      </c>
      <c r="F183" s="72">
        <v>205800</v>
      </c>
      <c r="G183" s="72">
        <v>156400</v>
      </c>
      <c r="H183" s="72">
        <v>501400</v>
      </c>
      <c r="I183" s="72">
        <v>325000</v>
      </c>
      <c r="J183" s="72">
        <v>364100</v>
      </c>
      <c r="K183" s="72">
        <v>102800</v>
      </c>
      <c r="L183" s="72">
        <v>204400</v>
      </c>
      <c r="M183" s="72">
        <v>414200</v>
      </c>
      <c r="N183" s="72"/>
    </row>
    <row r="184" spans="1:14" s="2" customFormat="1" ht="18.600000000000001" thickBot="1">
      <c r="A184" s="108" t="s">
        <v>122</v>
      </c>
      <c r="B184" s="127">
        <v>3544100</v>
      </c>
      <c r="C184" s="127">
        <v>2939900</v>
      </c>
      <c r="D184" s="127">
        <v>2735500</v>
      </c>
      <c r="E184" s="127">
        <v>2426900</v>
      </c>
      <c r="F184" s="127">
        <v>2274100</v>
      </c>
      <c r="G184" s="127">
        <v>2068300</v>
      </c>
      <c r="H184" s="127">
        <v>1911900</v>
      </c>
      <c r="I184" s="127">
        <v>1410500</v>
      </c>
      <c r="J184" s="127">
        <v>1085500</v>
      </c>
      <c r="K184" s="127">
        <v>721400</v>
      </c>
      <c r="L184" s="127">
        <v>618600</v>
      </c>
      <c r="M184" s="128">
        <v>414200</v>
      </c>
      <c r="N184" s="103">
        <v>0</v>
      </c>
    </row>
    <row r="185" spans="1:14" s="16" customFormat="1" ht="10.199999999999999" customHeight="1" thickBot="1">
      <c r="A185" s="11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</row>
    <row r="186" spans="1:14" s="16" customFormat="1" ht="14.4" customHeight="1">
      <c r="A186" s="118" t="s">
        <v>140</v>
      </c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</row>
    <row r="187" spans="1:14" s="16" customFormat="1" ht="14.4" customHeight="1">
      <c r="A187" s="95" t="s">
        <v>141</v>
      </c>
      <c r="B187" s="72">
        <v>0</v>
      </c>
      <c r="C187" s="72">
        <v>0</v>
      </c>
      <c r="D187" s="72">
        <v>0</v>
      </c>
      <c r="E187" s="72">
        <v>0</v>
      </c>
      <c r="F187" s="72">
        <v>0</v>
      </c>
      <c r="G187" s="72">
        <v>0</v>
      </c>
      <c r="H187" s="72">
        <v>8000</v>
      </c>
      <c r="I187" s="72">
        <v>15276</v>
      </c>
      <c r="J187" s="72">
        <v>0</v>
      </c>
      <c r="K187" s="72">
        <v>15500</v>
      </c>
      <c r="L187" s="72">
        <v>21500</v>
      </c>
      <c r="M187" s="72">
        <v>92500</v>
      </c>
      <c r="N187" s="124"/>
    </row>
    <row r="188" spans="1:14" s="16" customFormat="1" ht="14.4" customHeight="1">
      <c r="A188" s="97" t="s">
        <v>122</v>
      </c>
      <c r="B188" s="125">
        <v>152776</v>
      </c>
      <c r="C188" s="125">
        <v>152776</v>
      </c>
      <c r="D188" s="125">
        <v>152776</v>
      </c>
      <c r="E188" s="125">
        <v>152776</v>
      </c>
      <c r="F188" s="125">
        <v>152776</v>
      </c>
      <c r="G188" s="125">
        <v>152776</v>
      </c>
      <c r="H188" s="125">
        <v>152776</v>
      </c>
      <c r="I188" s="125">
        <v>144776</v>
      </c>
      <c r="J188" s="125">
        <v>129500</v>
      </c>
      <c r="K188" s="125">
        <v>129500</v>
      </c>
      <c r="L188" s="125">
        <v>114000</v>
      </c>
      <c r="M188" s="78">
        <v>92500</v>
      </c>
      <c r="N188" s="78"/>
    </row>
    <row r="189" spans="1:14" s="16" customFormat="1" ht="14.4" customHeight="1">
      <c r="A189" s="95" t="s">
        <v>142</v>
      </c>
      <c r="B189" s="72">
        <v>38014</v>
      </c>
      <c r="C189" s="72">
        <v>18500</v>
      </c>
      <c r="D189" s="72">
        <v>18500</v>
      </c>
      <c r="E189" s="72">
        <v>18500</v>
      </c>
      <c r="F189" s="72">
        <v>17530</v>
      </c>
      <c r="G189" s="72">
        <v>0</v>
      </c>
      <c r="H189" s="72">
        <v>0</v>
      </c>
      <c r="I189" s="72">
        <v>0</v>
      </c>
      <c r="J189" s="72">
        <v>0</v>
      </c>
      <c r="K189" s="72">
        <v>22250</v>
      </c>
      <c r="L189" s="72">
        <v>44000</v>
      </c>
      <c r="M189" s="72">
        <v>38000</v>
      </c>
      <c r="N189" s="78"/>
    </row>
    <row r="190" spans="1:14" s="16" customFormat="1" ht="14.4" customHeight="1">
      <c r="A190" s="97" t="s">
        <v>122</v>
      </c>
      <c r="B190" s="117">
        <v>215294</v>
      </c>
      <c r="C190" s="117">
        <v>177280</v>
      </c>
      <c r="D190" s="117">
        <v>158780</v>
      </c>
      <c r="E190" s="117">
        <v>140280</v>
      </c>
      <c r="F190" s="117">
        <v>121780</v>
      </c>
      <c r="G190" s="117">
        <v>104250</v>
      </c>
      <c r="H190" s="117">
        <v>104250</v>
      </c>
      <c r="I190" s="117">
        <v>104250</v>
      </c>
      <c r="J190" s="117">
        <v>104250</v>
      </c>
      <c r="K190" s="117">
        <v>104250</v>
      </c>
      <c r="L190" s="117">
        <v>82000</v>
      </c>
      <c r="M190" s="78">
        <v>38000</v>
      </c>
      <c r="N190" s="78"/>
    </row>
    <row r="191" spans="1:14" s="16" customFormat="1" ht="14.4" customHeight="1">
      <c r="A191" s="95" t="s">
        <v>143</v>
      </c>
      <c r="B191" s="72">
        <v>0</v>
      </c>
      <c r="C191" s="72">
        <v>15000</v>
      </c>
      <c r="D191" s="72">
        <v>0</v>
      </c>
      <c r="E191" s="72">
        <v>0</v>
      </c>
      <c r="F191" s="72">
        <v>2500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8"/>
    </row>
    <row r="192" spans="1:14" s="16" customFormat="1" ht="14.4" customHeight="1">
      <c r="A192" s="97" t="s">
        <v>122</v>
      </c>
      <c r="B192" s="117">
        <v>17500</v>
      </c>
      <c r="C192" s="117">
        <v>17500</v>
      </c>
      <c r="D192" s="117">
        <v>2500</v>
      </c>
      <c r="E192" s="117">
        <v>2500</v>
      </c>
      <c r="F192" s="117">
        <v>2500</v>
      </c>
      <c r="G192" s="117">
        <v>0</v>
      </c>
      <c r="H192" s="117">
        <v>0</v>
      </c>
      <c r="I192" s="117">
        <v>0</v>
      </c>
      <c r="J192" s="117">
        <v>0</v>
      </c>
      <c r="K192" s="117">
        <v>0</v>
      </c>
      <c r="L192" s="117">
        <v>0</v>
      </c>
      <c r="M192" s="78">
        <v>0</v>
      </c>
      <c r="N192" s="78"/>
    </row>
    <row r="193" spans="1:14" s="16" customFormat="1" ht="14.4" customHeight="1">
      <c r="A193" s="98" t="s">
        <v>242</v>
      </c>
      <c r="B193" s="72">
        <v>0</v>
      </c>
      <c r="C193" s="72">
        <v>0</v>
      </c>
      <c r="D193" s="72">
        <v>0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/>
      <c r="K193" s="72"/>
      <c r="L193" s="72"/>
      <c r="M193" s="78"/>
      <c r="N193" s="78"/>
    </row>
    <row r="194" spans="1:14" s="16" customFormat="1" ht="14.4" customHeight="1">
      <c r="A194" s="97" t="s">
        <v>122</v>
      </c>
      <c r="B194" s="117">
        <v>0</v>
      </c>
      <c r="C194" s="117">
        <v>0</v>
      </c>
      <c r="D194" s="117">
        <v>0</v>
      </c>
      <c r="E194" s="117">
        <v>0</v>
      </c>
      <c r="F194" s="117">
        <v>0</v>
      </c>
      <c r="G194" s="117">
        <v>0</v>
      </c>
      <c r="H194" s="117">
        <v>0</v>
      </c>
      <c r="I194" s="117">
        <v>0</v>
      </c>
      <c r="J194" s="117"/>
      <c r="K194" s="117"/>
      <c r="L194" s="117"/>
      <c r="M194" s="78"/>
      <c r="N194" s="78"/>
    </row>
    <row r="195" spans="1:14" s="16" customFormat="1" ht="14.4" customHeight="1">
      <c r="A195" s="98" t="s">
        <v>241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/>
      <c r="K195" s="72"/>
      <c r="L195" s="72"/>
      <c r="M195" s="78"/>
      <c r="N195" s="78"/>
    </row>
    <row r="196" spans="1:14" s="16" customFormat="1" ht="14.4" customHeight="1">
      <c r="A196" s="97" t="s">
        <v>122</v>
      </c>
      <c r="B196" s="117">
        <v>0</v>
      </c>
      <c r="C196" s="117">
        <v>0</v>
      </c>
      <c r="D196" s="117">
        <v>0</v>
      </c>
      <c r="E196" s="117">
        <v>0</v>
      </c>
      <c r="F196" s="117">
        <v>0</v>
      </c>
      <c r="G196" s="117">
        <v>0</v>
      </c>
      <c r="H196" s="117">
        <v>0</v>
      </c>
      <c r="I196" s="117">
        <v>0</v>
      </c>
      <c r="J196" s="117"/>
      <c r="K196" s="117"/>
      <c r="L196" s="117"/>
      <c r="M196" s="78"/>
      <c r="N196" s="78"/>
    </row>
    <row r="197" spans="1:14" s="16" customFormat="1" ht="14.4" customHeight="1">
      <c r="A197" s="95" t="s">
        <v>144</v>
      </c>
      <c r="B197" s="72">
        <v>0</v>
      </c>
      <c r="C197" s="72">
        <v>0</v>
      </c>
      <c r="D197" s="72">
        <v>0</v>
      </c>
      <c r="E197" s="72">
        <v>0</v>
      </c>
      <c r="F197" s="72">
        <v>0</v>
      </c>
      <c r="G197" s="72">
        <v>0</v>
      </c>
      <c r="H197" s="72">
        <v>8000</v>
      </c>
      <c r="I197" s="72">
        <v>8000</v>
      </c>
      <c r="J197" s="72">
        <v>0</v>
      </c>
      <c r="K197" s="72">
        <v>8000</v>
      </c>
      <c r="L197" s="72">
        <v>8000</v>
      </c>
      <c r="M197" s="72">
        <v>8000</v>
      </c>
      <c r="N197" s="78"/>
    </row>
    <row r="198" spans="1:14" s="16" customFormat="1" ht="14.4" customHeight="1">
      <c r="A198" s="97" t="s">
        <v>122</v>
      </c>
      <c r="B198" s="117">
        <v>40000</v>
      </c>
      <c r="C198" s="117">
        <v>40000</v>
      </c>
      <c r="D198" s="117">
        <v>40000</v>
      </c>
      <c r="E198" s="117">
        <v>40000</v>
      </c>
      <c r="F198" s="117">
        <v>40000</v>
      </c>
      <c r="G198" s="117">
        <v>40000</v>
      </c>
      <c r="H198" s="117">
        <v>40000</v>
      </c>
      <c r="I198" s="117">
        <v>32000</v>
      </c>
      <c r="J198" s="117">
        <v>24000</v>
      </c>
      <c r="K198" s="117">
        <v>24000</v>
      </c>
      <c r="L198" s="117">
        <v>16000</v>
      </c>
      <c r="M198" s="78">
        <v>8000</v>
      </c>
      <c r="N198" s="78"/>
    </row>
    <row r="199" spans="1:14" s="16" customFormat="1" ht="14.4" customHeight="1">
      <c r="A199" s="95" t="s">
        <v>145</v>
      </c>
      <c r="B199" s="72">
        <v>26926</v>
      </c>
      <c r="C199" s="72">
        <v>23898</v>
      </c>
      <c r="D199" s="72">
        <v>12306</v>
      </c>
      <c r="E199" s="72">
        <v>0</v>
      </c>
      <c r="F199" s="72">
        <v>15500</v>
      </c>
      <c r="G199" s="72">
        <v>15038</v>
      </c>
      <c r="H199" s="72">
        <v>0</v>
      </c>
      <c r="I199" s="72">
        <v>15320</v>
      </c>
      <c r="J199" s="72">
        <v>0</v>
      </c>
      <c r="K199" s="72">
        <v>15368</v>
      </c>
      <c r="L199" s="72">
        <v>15500</v>
      </c>
      <c r="M199" s="72">
        <v>15569</v>
      </c>
      <c r="N199" s="78"/>
    </row>
    <row r="200" spans="1:14" s="16" customFormat="1" ht="14.4" customHeight="1">
      <c r="A200" s="97" t="s">
        <v>122</v>
      </c>
      <c r="B200" s="117">
        <v>155425</v>
      </c>
      <c r="C200" s="117">
        <v>128499</v>
      </c>
      <c r="D200" s="117">
        <v>104601</v>
      </c>
      <c r="E200" s="117">
        <v>92295</v>
      </c>
      <c r="F200" s="117">
        <v>92295</v>
      </c>
      <c r="G200" s="117">
        <v>76795</v>
      </c>
      <c r="H200" s="117">
        <v>61757</v>
      </c>
      <c r="I200" s="117">
        <v>61757</v>
      </c>
      <c r="J200" s="117">
        <v>46437</v>
      </c>
      <c r="K200" s="117">
        <v>46437</v>
      </c>
      <c r="L200" s="117">
        <v>31069</v>
      </c>
      <c r="M200" s="78">
        <v>15569</v>
      </c>
      <c r="N200" s="78"/>
    </row>
    <row r="201" spans="1:14" s="16" customFormat="1" ht="14.4" customHeight="1">
      <c r="A201" s="98" t="s">
        <v>346</v>
      </c>
      <c r="B201" s="72">
        <v>0</v>
      </c>
      <c r="C201" s="72">
        <v>0</v>
      </c>
      <c r="D201" s="72">
        <v>0</v>
      </c>
      <c r="E201" s="72">
        <v>0</v>
      </c>
      <c r="F201" s="72">
        <v>0</v>
      </c>
      <c r="G201" s="72">
        <v>0</v>
      </c>
      <c r="H201" s="72"/>
      <c r="I201" s="72"/>
      <c r="J201" s="72"/>
      <c r="K201" s="72"/>
      <c r="L201" s="72"/>
      <c r="M201" s="72"/>
      <c r="N201" s="78"/>
    </row>
    <row r="202" spans="1:14" s="16" customFormat="1" ht="14.4" customHeight="1">
      <c r="A202" s="97" t="s">
        <v>122</v>
      </c>
      <c r="B202" s="117">
        <v>0</v>
      </c>
      <c r="C202" s="117">
        <v>0</v>
      </c>
      <c r="D202" s="117">
        <v>0</v>
      </c>
      <c r="E202" s="117">
        <v>0</v>
      </c>
      <c r="F202" s="117">
        <v>0</v>
      </c>
      <c r="G202" s="117">
        <v>0</v>
      </c>
      <c r="H202" s="117"/>
      <c r="I202" s="117"/>
      <c r="J202" s="117"/>
      <c r="K202" s="117"/>
      <c r="L202" s="117"/>
      <c r="M202" s="78"/>
      <c r="N202" s="78"/>
    </row>
    <row r="203" spans="1:14" s="16" customFormat="1" ht="14.4" customHeight="1">
      <c r="A203" s="98" t="s">
        <v>146</v>
      </c>
      <c r="B203" s="72">
        <v>15000</v>
      </c>
      <c r="C203" s="72">
        <v>15000</v>
      </c>
      <c r="D203" s="72">
        <v>20000</v>
      </c>
      <c r="E203" s="72">
        <v>20000</v>
      </c>
      <c r="F203" s="72">
        <v>0</v>
      </c>
      <c r="G203" s="72">
        <v>0</v>
      </c>
      <c r="H203" s="72">
        <v>20000</v>
      </c>
      <c r="I203" s="72">
        <v>19000</v>
      </c>
      <c r="J203" s="72">
        <v>0</v>
      </c>
      <c r="K203" s="72">
        <v>20000</v>
      </c>
      <c r="L203" s="72">
        <v>20000</v>
      </c>
      <c r="M203" s="72">
        <v>0</v>
      </c>
      <c r="N203" s="78"/>
    </row>
    <row r="204" spans="1:14" s="16" customFormat="1" ht="14.4" customHeight="1">
      <c r="A204" s="97" t="s">
        <v>122</v>
      </c>
      <c r="B204" s="117">
        <v>149000</v>
      </c>
      <c r="C204" s="117">
        <v>134000</v>
      </c>
      <c r="D204" s="117">
        <v>119000</v>
      </c>
      <c r="E204" s="117">
        <v>99000</v>
      </c>
      <c r="F204" s="117">
        <v>79000</v>
      </c>
      <c r="G204" s="117">
        <v>79000</v>
      </c>
      <c r="H204" s="117">
        <v>79000</v>
      </c>
      <c r="I204" s="117">
        <v>59000</v>
      </c>
      <c r="J204" s="117">
        <v>40000</v>
      </c>
      <c r="K204" s="117">
        <v>40000</v>
      </c>
      <c r="L204" s="117">
        <v>20000</v>
      </c>
      <c r="M204" s="78">
        <v>0</v>
      </c>
      <c r="N204" s="78"/>
    </row>
    <row r="205" spans="1:14" s="16" customFormat="1" ht="14.4" customHeight="1">
      <c r="A205" s="98" t="s">
        <v>147</v>
      </c>
      <c r="B205" s="72">
        <v>0</v>
      </c>
      <c r="C205" s="72">
        <v>0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9000</v>
      </c>
      <c r="J205" s="72">
        <v>0</v>
      </c>
      <c r="K205" s="72">
        <v>3000</v>
      </c>
      <c r="L205" s="72">
        <v>3000</v>
      </c>
      <c r="M205" s="72">
        <v>0</v>
      </c>
      <c r="N205" s="78"/>
    </row>
    <row r="206" spans="1:14" s="16" customFormat="1" ht="14.4" customHeight="1">
      <c r="A206" s="97" t="s">
        <v>122</v>
      </c>
      <c r="B206" s="117">
        <v>15000</v>
      </c>
      <c r="C206" s="117">
        <v>15000</v>
      </c>
      <c r="D206" s="117">
        <v>15000</v>
      </c>
      <c r="E206" s="117">
        <v>15000</v>
      </c>
      <c r="F206" s="117">
        <v>15000</v>
      </c>
      <c r="G206" s="117">
        <v>15000</v>
      </c>
      <c r="H206" s="117">
        <v>15000</v>
      </c>
      <c r="I206" s="117">
        <v>15000</v>
      </c>
      <c r="J206" s="117">
        <v>6000</v>
      </c>
      <c r="K206" s="117">
        <v>6000</v>
      </c>
      <c r="L206" s="117">
        <v>3000</v>
      </c>
      <c r="M206" s="78">
        <v>0</v>
      </c>
      <c r="N206" s="78"/>
    </row>
    <row r="207" spans="1:14" s="16" customFormat="1" ht="14.4" customHeight="1">
      <c r="A207" s="98" t="s">
        <v>230</v>
      </c>
      <c r="B207" s="124">
        <v>38000</v>
      </c>
      <c r="C207" s="124">
        <v>2500</v>
      </c>
      <c r="D207" s="124">
        <v>14000</v>
      </c>
      <c r="E207" s="124">
        <v>14000</v>
      </c>
      <c r="F207" s="124">
        <v>0</v>
      </c>
      <c r="G207" s="124">
        <v>0</v>
      </c>
      <c r="H207" s="124">
        <v>0</v>
      </c>
      <c r="I207" s="124">
        <v>19000</v>
      </c>
      <c r="J207" s="124"/>
      <c r="K207" s="124"/>
      <c r="L207" s="124"/>
      <c r="M207" s="78"/>
      <c r="N207" s="78"/>
    </row>
    <row r="208" spans="1:14" s="16" customFormat="1" ht="14.4" customHeight="1">
      <c r="A208" s="97" t="s">
        <v>122</v>
      </c>
      <c r="B208" s="117">
        <v>87500</v>
      </c>
      <c r="C208" s="117">
        <v>49500</v>
      </c>
      <c r="D208" s="117">
        <v>47000</v>
      </c>
      <c r="E208" s="117">
        <v>33000</v>
      </c>
      <c r="F208" s="117">
        <v>19000</v>
      </c>
      <c r="G208" s="117">
        <v>19000</v>
      </c>
      <c r="H208" s="117">
        <v>19000</v>
      </c>
      <c r="I208" s="117">
        <v>19000</v>
      </c>
      <c r="J208" s="117"/>
      <c r="K208" s="117"/>
      <c r="L208" s="117"/>
      <c r="M208" s="78"/>
      <c r="N208" s="78"/>
    </row>
    <row r="209" spans="1:14" s="16" customFormat="1" ht="14.4" customHeight="1">
      <c r="A209" s="98" t="s">
        <v>231</v>
      </c>
      <c r="B209" s="124">
        <v>0</v>
      </c>
      <c r="C209" s="124">
        <v>0</v>
      </c>
      <c r="D209" s="124">
        <v>0</v>
      </c>
      <c r="E209" s="124">
        <v>0</v>
      </c>
      <c r="F209" s="124">
        <v>0</v>
      </c>
      <c r="G209" s="124">
        <v>0</v>
      </c>
      <c r="H209" s="124">
        <v>14000</v>
      </c>
      <c r="I209" s="124">
        <v>27000</v>
      </c>
      <c r="J209" s="124"/>
      <c r="K209" s="124"/>
      <c r="L209" s="124"/>
      <c r="M209" s="78"/>
      <c r="N209" s="78"/>
    </row>
    <row r="210" spans="1:14" s="16" customFormat="1" ht="14.4" customHeight="1">
      <c r="A210" s="97" t="s">
        <v>122</v>
      </c>
      <c r="B210" s="117">
        <v>41000</v>
      </c>
      <c r="C210" s="117">
        <v>41000</v>
      </c>
      <c r="D210" s="117">
        <v>41000</v>
      </c>
      <c r="E210" s="117">
        <v>41000</v>
      </c>
      <c r="F210" s="117">
        <v>41000</v>
      </c>
      <c r="G210" s="117">
        <v>41000</v>
      </c>
      <c r="H210" s="117">
        <v>41000</v>
      </c>
      <c r="I210" s="117">
        <v>27000</v>
      </c>
      <c r="J210" s="117"/>
      <c r="K210" s="117"/>
      <c r="L210" s="117"/>
      <c r="M210" s="78"/>
      <c r="N210" s="78"/>
    </row>
    <row r="211" spans="1:14" s="16" customFormat="1" ht="14.4" customHeight="1">
      <c r="A211" s="98" t="s">
        <v>232</v>
      </c>
      <c r="B211" s="124">
        <v>11000</v>
      </c>
      <c r="C211" s="124">
        <v>15000</v>
      </c>
      <c r="D211" s="124">
        <v>22000</v>
      </c>
      <c r="E211" s="124">
        <v>5000</v>
      </c>
      <c r="F211" s="124">
        <v>0</v>
      </c>
      <c r="G211" s="124">
        <v>5500</v>
      </c>
      <c r="H211" s="124">
        <v>21500</v>
      </c>
      <c r="I211" s="124">
        <v>13000</v>
      </c>
      <c r="J211" s="124"/>
      <c r="K211" s="124"/>
      <c r="L211" s="124"/>
      <c r="M211" s="78"/>
      <c r="N211" s="78"/>
    </row>
    <row r="212" spans="1:14" s="16" customFormat="1" ht="14.4" customHeight="1">
      <c r="A212" s="97" t="s">
        <v>122</v>
      </c>
      <c r="B212" s="117">
        <v>93000</v>
      </c>
      <c r="C212" s="117">
        <v>82000</v>
      </c>
      <c r="D212" s="117">
        <v>67000</v>
      </c>
      <c r="E212" s="117">
        <v>45000</v>
      </c>
      <c r="F212" s="117">
        <v>40000</v>
      </c>
      <c r="G212" s="117">
        <v>40000</v>
      </c>
      <c r="H212" s="117">
        <v>34500</v>
      </c>
      <c r="I212" s="117">
        <v>13000</v>
      </c>
      <c r="J212" s="117"/>
      <c r="K212" s="117"/>
      <c r="L212" s="117"/>
      <c r="M212" s="78"/>
      <c r="N212" s="78"/>
    </row>
    <row r="213" spans="1:14" s="16" customFormat="1" ht="14.4" customHeight="1">
      <c r="A213" s="98" t="s">
        <v>233</v>
      </c>
      <c r="B213" s="124">
        <v>0</v>
      </c>
      <c r="C213" s="124">
        <v>0</v>
      </c>
      <c r="D213" s="124">
        <v>0</v>
      </c>
      <c r="E213" s="124">
        <v>0</v>
      </c>
      <c r="F213" s="124">
        <v>0</v>
      </c>
      <c r="G213" s="124">
        <v>0</v>
      </c>
      <c r="H213" s="124">
        <v>3500</v>
      </c>
      <c r="I213" s="124">
        <v>48500</v>
      </c>
      <c r="J213" s="124"/>
      <c r="K213" s="124"/>
      <c r="L213" s="124"/>
      <c r="M213" s="78"/>
      <c r="N213" s="78"/>
    </row>
    <row r="214" spans="1:14" s="16" customFormat="1" ht="14.4" customHeight="1">
      <c r="A214" s="97" t="s">
        <v>122</v>
      </c>
      <c r="B214" s="117">
        <v>52000</v>
      </c>
      <c r="C214" s="117">
        <v>52000</v>
      </c>
      <c r="D214" s="117">
        <v>52000</v>
      </c>
      <c r="E214" s="117">
        <v>52000</v>
      </c>
      <c r="F214" s="117">
        <v>52000</v>
      </c>
      <c r="G214" s="117">
        <v>52000</v>
      </c>
      <c r="H214" s="117">
        <v>52000</v>
      </c>
      <c r="I214" s="117">
        <v>48500</v>
      </c>
      <c r="J214" s="117"/>
      <c r="K214" s="117"/>
      <c r="L214" s="117"/>
      <c r="M214" s="78"/>
      <c r="N214" s="78"/>
    </row>
    <row r="215" spans="1:14" s="16" customFormat="1" ht="14.4" customHeight="1">
      <c r="A215" s="98" t="s">
        <v>234</v>
      </c>
      <c r="B215" s="124">
        <v>0</v>
      </c>
      <c r="C215" s="124">
        <v>11500</v>
      </c>
      <c r="D215" s="124">
        <v>0</v>
      </c>
      <c r="E215" s="124">
        <v>0</v>
      </c>
      <c r="F215" s="124">
        <v>0</v>
      </c>
      <c r="G215" s="124">
        <v>0</v>
      </c>
      <c r="H215" s="124">
        <v>0</v>
      </c>
      <c r="I215" s="124">
        <v>0</v>
      </c>
      <c r="J215" s="124"/>
      <c r="K215" s="124"/>
      <c r="L215" s="124"/>
      <c r="M215" s="78"/>
      <c r="N215" s="78"/>
    </row>
    <row r="216" spans="1:14" s="16" customFormat="1" ht="14.4" customHeight="1">
      <c r="A216" s="97" t="s">
        <v>122</v>
      </c>
      <c r="B216" s="117">
        <v>11500</v>
      </c>
      <c r="C216" s="117">
        <v>11500</v>
      </c>
      <c r="D216" s="117">
        <v>0</v>
      </c>
      <c r="E216" s="117">
        <v>0</v>
      </c>
      <c r="F216" s="117">
        <v>0</v>
      </c>
      <c r="G216" s="117">
        <v>0</v>
      </c>
      <c r="H216" s="117">
        <v>0</v>
      </c>
      <c r="I216" s="117">
        <v>0</v>
      </c>
      <c r="J216" s="117"/>
      <c r="K216" s="117"/>
      <c r="L216" s="117"/>
      <c r="M216" s="78"/>
      <c r="N216" s="78"/>
    </row>
    <row r="217" spans="1:14" s="16" customFormat="1" ht="14.4" customHeight="1">
      <c r="A217" s="98" t="s">
        <v>235</v>
      </c>
      <c r="B217" s="124">
        <v>0</v>
      </c>
      <c r="C217" s="124">
        <v>0</v>
      </c>
      <c r="D217" s="124">
        <v>0</v>
      </c>
      <c r="E217" s="124">
        <v>0</v>
      </c>
      <c r="F217" s="124">
        <v>0</v>
      </c>
      <c r="G217" s="124">
        <v>0</v>
      </c>
      <c r="H217" s="124">
        <v>11740</v>
      </c>
      <c r="I217" s="124">
        <v>12000</v>
      </c>
      <c r="J217" s="124"/>
      <c r="K217" s="124"/>
      <c r="L217" s="124"/>
      <c r="M217" s="78"/>
      <c r="N217" s="78"/>
    </row>
    <row r="218" spans="1:14" s="16" customFormat="1" ht="14.4" customHeight="1">
      <c r="A218" s="97" t="s">
        <v>122</v>
      </c>
      <c r="B218" s="117">
        <v>23740</v>
      </c>
      <c r="C218" s="117">
        <v>23740</v>
      </c>
      <c r="D218" s="117">
        <v>23740</v>
      </c>
      <c r="E218" s="117">
        <v>23740</v>
      </c>
      <c r="F218" s="117">
        <v>23740</v>
      </c>
      <c r="G218" s="117">
        <v>23740</v>
      </c>
      <c r="H218" s="117">
        <v>23740</v>
      </c>
      <c r="I218" s="117">
        <v>12000</v>
      </c>
      <c r="J218" s="117"/>
      <c r="K218" s="117"/>
      <c r="L218" s="117"/>
      <c r="M218" s="78"/>
      <c r="N218" s="78"/>
    </row>
    <row r="219" spans="1:14" s="16" customFormat="1" ht="14.4" customHeight="1">
      <c r="A219" s="98" t="s">
        <v>236</v>
      </c>
      <c r="B219" s="124">
        <v>0</v>
      </c>
      <c r="C219" s="124">
        <v>0</v>
      </c>
      <c r="D219" s="124">
        <v>0</v>
      </c>
      <c r="E219" s="124">
        <v>0</v>
      </c>
      <c r="F219" s="124">
        <v>0</v>
      </c>
      <c r="G219" s="124">
        <v>0</v>
      </c>
      <c r="H219" s="124">
        <v>0</v>
      </c>
      <c r="I219" s="124">
        <v>8000</v>
      </c>
      <c r="J219" s="124"/>
      <c r="K219" s="124"/>
      <c r="L219" s="124"/>
      <c r="M219" s="78"/>
      <c r="N219" s="78"/>
    </row>
    <row r="220" spans="1:14" s="16" customFormat="1" ht="14.4" customHeight="1">
      <c r="A220" s="97" t="s">
        <v>122</v>
      </c>
      <c r="B220" s="117">
        <v>8000</v>
      </c>
      <c r="C220" s="117">
        <v>8000</v>
      </c>
      <c r="D220" s="117">
        <v>8000</v>
      </c>
      <c r="E220" s="117">
        <v>8000</v>
      </c>
      <c r="F220" s="117">
        <v>8000</v>
      </c>
      <c r="G220" s="117">
        <v>8000</v>
      </c>
      <c r="H220" s="117">
        <v>8000</v>
      </c>
      <c r="I220" s="117">
        <v>8000</v>
      </c>
      <c r="J220" s="117"/>
      <c r="K220" s="117"/>
      <c r="L220" s="117"/>
      <c r="M220" s="78"/>
      <c r="N220" s="78"/>
    </row>
    <row r="221" spans="1:14" s="16" customFormat="1" ht="14.4" customHeight="1">
      <c r="A221" s="98" t="s">
        <v>149</v>
      </c>
      <c r="B221" s="72">
        <v>128940</v>
      </c>
      <c r="C221" s="72">
        <v>101398</v>
      </c>
      <c r="D221" s="72">
        <v>86806</v>
      </c>
      <c r="E221" s="72">
        <v>57500</v>
      </c>
      <c r="F221" s="72">
        <v>35530</v>
      </c>
      <c r="G221" s="72">
        <v>20538</v>
      </c>
      <c r="H221" s="72">
        <v>86740</v>
      </c>
      <c r="I221" s="72">
        <v>194096</v>
      </c>
      <c r="J221" s="72">
        <v>0</v>
      </c>
      <c r="K221" s="72">
        <v>84118</v>
      </c>
      <c r="L221" s="72">
        <v>112000</v>
      </c>
      <c r="M221" s="72">
        <v>154069</v>
      </c>
      <c r="N221" s="78"/>
    </row>
    <row r="222" spans="1:14" s="16" customFormat="1" ht="14.4" customHeight="1" thickBot="1">
      <c r="A222" s="108" t="s">
        <v>122</v>
      </c>
      <c r="B222" s="116">
        <v>1061735</v>
      </c>
      <c r="C222" s="116">
        <v>932795</v>
      </c>
      <c r="D222" s="116">
        <v>831397</v>
      </c>
      <c r="E222" s="116">
        <v>744591</v>
      </c>
      <c r="F222" s="116">
        <v>687091</v>
      </c>
      <c r="G222" s="116">
        <v>651561</v>
      </c>
      <c r="H222" s="116">
        <v>631023</v>
      </c>
      <c r="I222" s="116">
        <v>544283</v>
      </c>
      <c r="J222" s="116">
        <v>350187</v>
      </c>
      <c r="K222" s="116">
        <v>350187</v>
      </c>
      <c r="L222" s="116">
        <v>266069</v>
      </c>
      <c r="M222" s="107">
        <v>154069</v>
      </c>
      <c r="N222" s="107"/>
    </row>
    <row r="223" spans="1:14" s="16" customFormat="1" ht="14.4" customHeight="1" thickBot="1">
      <c r="A223" s="113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</row>
    <row r="224" spans="1:14" s="16" customFormat="1" ht="14.4" customHeight="1" thickTop="1">
      <c r="A224" s="167" t="s">
        <v>157</v>
      </c>
      <c r="B224" s="164">
        <v>3892000</v>
      </c>
      <c r="C224" s="164">
        <v>3892000</v>
      </c>
      <c r="D224" s="164">
        <v>3892000</v>
      </c>
      <c r="E224" s="164">
        <v>3892000</v>
      </c>
      <c r="F224" s="164">
        <v>3892000</v>
      </c>
      <c r="G224" s="164">
        <v>3891000</v>
      </c>
      <c r="H224" s="164">
        <v>3892000</v>
      </c>
      <c r="I224" s="164">
        <v>3891000</v>
      </c>
      <c r="J224" s="164">
        <v>2763000</v>
      </c>
      <c r="K224" s="164">
        <v>2762000</v>
      </c>
      <c r="L224" s="164"/>
      <c r="M224" s="164"/>
      <c r="N224" s="164"/>
    </row>
    <row r="225" spans="1:14" s="16" customFormat="1" ht="14.4" customHeight="1" thickBot="1">
      <c r="A225" s="165" t="s">
        <v>13</v>
      </c>
      <c r="B225" s="163">
        <v>36659000</v>
      </c>
      <c r="C225" s="163">
        <v>32767000</v>
      </c>
      <c r="D225" s="163">
        <v>28875000</v>
      </c>
      <c r="E225" s="163">
        <v>24983000</v>
      </c>
      <c r="F225" s="163">
        <v>21091000</v>
      </c>
      <c r="G225" s="163">
        <v>17199000</v>
      </c>
      <c r="H225" s="163">
        <v>13308000</v>
      </c>
      <c r="I225" s="163">
        <v>9416000</v>
      </c>
      <c r="J225" s="163">
        <v>5525000</v>
      </c>
      <c r="K225" s="163">
        <v>2762000</v>
      </c>
      <c r="L225" s="163"/>
      <c r="M225" s="166"/>
      <c r="N225" s="166"/>
    </row>
    <row r="226" spans="1:14" s="16" customFormat="1" ht="14.4" customHeight="1" thickTop="1">
      <c r="A226" s="113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</row>
    <row r="227" spans="1:14" s="16" customFormat="1" ht="14.4" customHeight="1">
      <c r="A227" s="250" t="s">
        <v>364</v>
      </c>
      <c r="B227" s="81">
        <v>100000</v>
      </c>
      <c r="C227" s="81">
        <v>100000</v>
      </c>
      <c r="D227" s="81">
        <v>100000</v>
      </c>
      <c r="E227" s="81">
        <v>0</v>
      </c>
      <c r="F227" s="81">
        <v>400000</v>
      </c>
      <c r="G227" s="81"/>
      <c r="H227" s="81"/>
      <c r="I227" s="81"/>
      <c r="J227" s="81"/>
      <c r="K227" s="81"/>
      <c r="L227" s="81"/>
      <c r="M227" s="81"/>
      <c r="N227" s="81"/>
    </row>
    <row r="228" spans="1:14" s="16" customFormat="1" ht="14.4" customHeight="1">
      <c r="A228" s="113" t="s">
        <v>13</v>
      </c>
      <c r="B228" s="251">
        <v>700000</v>
      </c>
      <c r="C228" s="251">
        <v>600000</v>
      </c>
      <c r="D228" s="251">
        <v>500000</v>
      </c>
      <c r="E228" s="251">
        <v>400000</v>
      </c>
      <c r="F228" s="251">
        <v>400000</v>
      </c>
      <c r="G228" s="251"/>
      <c r="H228" s="251"/>
      <c r="I228" s="251"/>
      <c r="J228" s="251"/>
      <c r="K228" s="251"/>
      <c r="L228" s="251"/>
      <c r="M228" s="81"/>
      <c r="N228" s="81"/>
    </row>
    <row r="229" spans="1:14" s="16" customFormat="1" ht="14.4" customHeight="1">
      <c r="A229" s="250" t="s">
        <v>365</v>
      </c>
      <c r="B229" s="81">
        <v>0</v>
      </c>
      <c r="C229" s="81">
        <v>0</v>
      </c>
      <c r="D229" s="81">
        <v>0</v>
      </c>
      <c r="E229" s="81">
        <v>0</v>
      </c>
      <c r="F229" s="81">
        <v>300000</v>
      </c>
      <c r="G229" s="81"/>
      <c r="H229" s="81"/>
      <c r="I229" s="81"/>
      <c r="J229" s="81"/>
      <c r="K229" s="81"/>
      <c r="L229" s="81"/>
      <c r="M229" s="81"/>
      <c r="N229" s="81"/>
    </row>
    <row r="230" spans="1:14" s="16" customFormat="1" ht="14.4" customHeight="1">
      <c r="A230" s="113" t="s">
        <v>13</v>
      </c>
      <c r="B230" s="251">
        <v>300000</v>
      </c>
      <c r="C230" s="251">
        <v>300000</v>
      </c>
      <c r="D230" s="251">
        <v>300000</v>
      </c>
      <c r="E230" s="251">
        <v>300000</v>
      </c>
      <c r="F230" s="251">
        <v>300000</v>
      </c>
      <c r="G230" s="251"/>
      <c r="H230" s="251"/>
      <c r="I230" s="251"/>
      <c r="J230" s="251"/>
      <c r="K230" s="251"/>
      <c r="L230" s="251"/>
      <c r="M230" s="81"/>
      <c r="N230" s="81"/>
    </row>
    <row r="231" spans="1:14" s="16" customFormat="1" ht="14.4" customHeight="1">
      <c r="A231" s="250" t="s">
        <v>366</v>
      </c>
      <c r="B231" s="81">
        <v>100000</v>
      </c>
      <c r="C231" s="81">
        <v>100000</v>
      </c>
      <c r="D231" s="81">
        <v>100000</v>
      </c>
      <c r="E231" s="81">
        <v>0</v>
      </c>
      <c r="F231" s="81">
        <v>100000</v>
      </c>
      <c r="G231" s="81"/>
      <c r="H231" s="81"/>
      <c r="I231" s="81"/>
      <c r="J231" s="81"/>
      <c r="K231" s="81"/>
      <c r="L231" s="81"/>
      <c r="M231" s="81"/>
      <c r="N231" s="81"/>
    </row>
    <row r="232" spans="1:14" s="16" customFormat="1" ht="14.4" customHeight="1">
      <c r="A232" s="113" t="s">
        <v>13</v>
      </c>
      <c r="B232" s="251">
        <v>400000</v>
      </c>
      <c r="C232" s="251">
        <v>300000</v>
      </c>
      <c r="D232" s="251">
        <v>200000</v>
      </c>
      <c r="E232" s="251">
        <v>100000</v>
      </c>
      <c r="F232" s="251">
        <v>100000</v>
      </c>
      <c r="G232" s="251"/>
      <c r="H232" s="251"/>
      <c r="I232" s="251"/>
      <c r="J232" s="251"/>
      <c r="K232" s="251"/>
      <c r="L232" s="251"/>
      <c r="M232" s="81"/>
      <c r="N232" s="81"/>
    </row>
    <row r="233" spans="1:14" s="16" customFormat="1" ht="14.4" customHeight="1" thickBot="1">
      <c r="A233" s="113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</row>
    <row r="234" spans="1:14" s="16" customFormat="1" ht="14.4" customHeight="1">
      <c r="A234" s="153" t="s">
        <v>187</v>
      </c>
      <c r="B234" s="157">
        <v>0</v>
      </c>
      <c r="C234" s="157">
        <v>280000</v>
      </c>
      <c r="D234" s="157">
        <v>0</v>
      </c>
      <c r="E234" s="157">
        <v>0</v>
      </c>
      <c r="F234" s="157">
        <v>0</v>
      </c>
      <c r="G234" s="157">
        <v>673000</v>
      </c>
      <c r="H234" s="157">
        <v>5278000</v>
      </c>
      <c r="I234" s="157">
        <v>3786000</v>
      </c>
      <c r="J234" s="157">
        <v>5221000</v>
      </c>
      <c r="K234" s="157">
        <v>200000</v>
      </c>
      <c r="L234" s="154"/>
      <c r="M234" s="154"/>
      <c r="N234" s="154"/>
    </row>
    <row r="235" spans="1:14" s="16" customFormat="1" ht="14.4" customHeight="1" thickBot="1">
      <c r="A235" s="108" t="s">
        <v>13</v>
      </c>
      <c r="B235" s="158">
        <v>15438000</v>
      </c>
      <c r="C235" s="158">
        <v>15438000</v>
      </c>
      <c r="D235" s="158">
        <v>15158000</v>
      </c>
      <c r="E235" s="158">
        <v>15158000</v>
      </c>
      <c r="F235" s="158">
        <v>15158000</v>
      </c>
      <c r="G235" s="158">
        <v>15158000</v>
      </c>
      <c r="H235" s="158">
        <v>14485000</v>
      </c>
      <c r="I235" s="158">
        <v>9207000</v>
      </c>
      <c r="J235" s="158">
        <v>5421000</v>
      </c>
      <c r="K235" s="158">
        <v>200000</v>
      </c>
      <c r="L235" s="155"/>
      <c r="M235" s="156"/>
      <c r="N235" s="156"/>
    </row>
    <row r="236" spans="1:14" s="16" customFormat="1" ht="14.4" customHeight="1" thickBot="1">
      <c r="A236" s="113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</row>
    <row r="237" spans="1:14" s="16" customFormat="1" ht="23.4" customHeight="1">
      <c r="A237" s="105" t="s">
        <v>121</v>
      </c>
      <c r="B237" s="112">
        <v>51971088</v>
      </c>
      <c r="C237" s="112">
        <v>64605038</v>
      </c>
      <c r="D237" s="112">
        <v>40684617</v>
      </c>
      <c r="E237" s="112">
        <v>37026949</v>
      </c>
      <c r="F237" s="112">
        <v>47105584</v>
      </c>
      <c r="G237" s="112">
        <v>30620173</v>
      </c>
      <c r="H237" s="112">
        <v>48785494</v>
      </c>
      <c r="I237" s="112">
        <v>52166551</v>
      </c>
      <c r="J237" s="112">
        <v>27381380</v>
      </c>
      <c r="K237" s="112">
        <v>17675915</v>
      </c>
      <c r="L237" s="112">
        <v>16604657</v>
      </c>
      <c r="M237" s="112">
        <v>28826215</v>
      </c>
      <c r="N237" s="112"/>
    </row>
    <row r="238" spans="1:14" s="2" customFormat="1" ht="18.600000000000001" thickBot="1">
      <c r="A238" s="100" t="s">
        <v>59</v>
      </c>
      <c r="B238" s="114">
        <v>463453661</v>
      </c>
      <c r="C238" s="114">
        <v>411482573</v>
      </c>
      <c r="D238" s="114">
        <v>346877535</v>
      </c>
      <c r="E238" s="114">
        <v>306192918</v>
      </c>
      <c r="F238" s="114">
        <v>269165969</v>
      </c>
      <c r="G238" s="114">
        <v>222060385</v>
      </c>
      <c r="H238" s="114">
        <f>I238+H237</f>
        <v>191440212</v>
      </c>
      <c r="I238" s="114">
        <f>J238+I237</f>
        <v>142654718</v>
      </c>
      <c r="J238" s="114">
        <f>K238+J237</f>
        <v>90488167</v>
      </c>
      <c r="K238" s="114">
        <f>L238+K237</f>
        <v>63106787</v>
      </c>
      <c r="L238" s="114">
        <f>M238+L237</f>
        <v>45430872</v>
      </c>
      <c r="M238" s="101">
        <v>28826215</v>
      </c>
      <c r="N238" s="101">
        <v>0</v>
      </c>
    </row>
    <row r="239" spans="1:14" ht="6" customHeight="1" thickTop="1">
      <c r="A239" s="25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</row>
    <row r="240" spans="1:14" s="41" customFormat="1" ht="30.6" customHeight="1">
      <c r="A240" s="39" t="s">
        <v>60</v>
      </c>
      <c r="B240" s="40">
        <v>-10861666</v>
      </c>
      <c r="C240" s="40">
        <v>-4461861</v>
      </c>
      <c r="D240" s="40">
        <v>3908191</v>
      </c>
      <c r="E240" s="40">
        <v>1400448</v>
      </c>
      <c r="F240" s="40">
        <v>-9014765</v>
      </c>
      <c r="G240" s="40">
        <v>-5532757</v>
      </c>
      <c r="H240" s="40">
        <v>-23094779</v>
      </c>
      <c r="I240" s="40">
        <v>-17423801</v>
      </c>
      <c r="J240" s="40">
        <v>7027296</v>
      </c>
      <c r="K240" s="40">
        <v>7538576</v>
      </c>
      <c r="L240" s="40">
        <v>-636230</v>
      </c>
      <c r="M240" s="40">
        <v>-9340443</v>
      </c>
      <c r="N240" s="40">
        <v>0</v>
      </c>
    </row>
    <row r="241" spans="1:14" ht="4.95" customHeight="1">
      <c r="A241" s="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s="58" customFormat="1" ht="25.2" customHeight="1">
      <c r="A242" s="56" t="s">
        <v>117</v>
      </c>
      <c r="B242" s="57">
        <v>244286588</v>
      </c>
      <c r="C242" s="57">
        <v>259077898</v>
      </c>
      <c r="D242" s="57">
        <v>366194011</v>
      </c>
      <c r="E242" s="57">
        <v>334755297</v>
      </c>
      <c r="F242" s="57">
        <v>245767757</v>
      </c>
      <c r="G242" s="57">
        <v>278249321</v>
      </c>
      <c r="H242" s="57">
        <v>240476619</v>
      </c>
      <c r="I242" s="57">
        <v>229262561</v>
      </c>
      <c r="J242" s="57">
        <v>255564459</v>
      </c>
      <c r="K242" s="57">
        <v>156117416</v>
      </c>
      <c r="L242" s="57">
        <v>137022614</v>
      </c>
      <c r="M242" s="57">
        <v>112018716</v>
      </c>
      <c r="N242" s="57">
        <v>0</v>
      </c>
    </row>
    <row r="243" spans="1:14" s="2" customFormat="1" ht="25.2" customHeight="1">
      <c r="A243" s="148" t="s">
        <v>21</v>
      </c>
      <c r="B243" s="60">
        <v>3734000</v>
      </c>
      <c r="C243" s="60">
        <v>4104000</v>
      </c>
      <c r="D243" s="60">
        <v>3963000</v>
      </c>
      <c r="E243" s="60">
        <v>4429000</v>
      </c>
      <c r="F243" s="60">
        <v>5729000</v>
      </c>
      <c r="G243" s="60">
        <v>5574000</v>
      </c>
      <c r="H243" s="60">
        <v>4861000</v>
      </c>
      <c r="I243" s="60">
        <v>5979000</v>
      </c>
      <c r="J243" s="60">
        <v>1679000</v>
      </c>
      <c r="K243" s="60">
        <v>1679000</v>
      </c>
      <c r="L243" s="60">
        <v>0</v>
      </c>
      <c r="M243" s="60">
        <v>0</v>
      </c>
      <c r="N243" s="60"/>
    </row>
    <row r="244" spans="1:14" ht="25.2" customHeight="1">
      <c r="A244" s="148" t="s">
        <v>11</v>
      </c>
      <c r="B244" s="60">
        <v>44102000</v>
      </c>
      <c r="C244" s="60">
        <v>43000000</v>
      </c>
      <c r="D244" s="60">
        <v>139130000</v>
      </c>
      <c r="E244" s="60">
        <v>104378000</v>
      </c>
      <c r="F244" s="60">
        <v>31932000</v>
      </c>
      <c r="G244" s="60">
        <v>59630000</v>
      </c>
      <c r="H244" s="60">
        <v>42020000</v>
      </c>
      <c r="I244" s="60">
        <v>27120000</v>
      </c>
      <c r="J244" s="60">
        <v>28575000</v>
      </c>
      <c r="K244" s="60">
        <v>24640000</v>
      </c>
      <c r="L244" s="60">
        <v>15265000</v>
      </c>
      <c r="M244" s="60">
        <v>5605000</v>
      </c>
      <c r="N244" s="60"/>
    </row>
    <row r="245" spans="1:14" ht="25.2" customHeight="1">
      <c r="A245" s="149" t="s">
        <v>162</v>
      </c>
      <c r="B245" s="150">
        <v>203918588</v>
      </c>
      <c r="C245" s="150">
        <v>220181898</v>
      </c>
      <c r="D245" s="150">
        <v>231027011</v>
      </c>
      <c r="E245" s="150">
        <v>234806297</v>
      </c>
      <c r="F245" s="150">
        <v>219564757</v>
      </c>
      <c r="G245" s="150">
        <v>224193321</v>
      </c>
      <c r="H245" s="150">
        <v>203317619</v>
      </c>
      <c r="I245" s="150">
        <v>208121561</v>
      </c>
      <c r="J245" s="150">
        <v>228668459</v>
      </c>
      <c r="K245" s="150">
        <v>133156416</v>
      </c>
      <c r="L245" s="150">
        <v>121757614</v>
      </c>
      <c r="M245" s="150">
        <f>M242+M243-M244</f>
        <v>106413716</v>
      </c>
      <c r="N245" s="149"/>
    </row>
    <row r="247" spans="1:14" s="151" customFormat="1" ht="24.9" customHeight="1">
      <c r="A247" s="151" t="s">
        <v>24</v>
      </c>
      <c r="B247" s="152">
        <v>28139174</v>
      </c>
      <c r="C247" s="152">
        <v>35028679</v>
      </c>
      <c r="D247" s="152">
        <v>35862740</v>
      </c>
      <c r="E247" s="152">
        <v>39168269</v>
      </c>
      <c r="F247" s="152">
        <v>29803942</v>
      </c>
      <c r="G247" s="152">
        <v>29982998</v>
      </c>
      <c r="H247" s="152">
        <v>25408070</v>
      </c>
      <c r="I247" s="152">
        <v>21331519</v>
      </c>
      <c r="J247" s="152">
        <v>15452320</v>
      </c>
      <c r="K247" s="152">
        <v>11162097</v>
      </c>
      <c r="L247" s="152">
        <v>6582101</v>
      </c>
      <c r="M247" s="152">
        <f>M6</f>
        <v>42416</v>
      </c>
    </row>
    <row r="248" spans="1:14" s="151" customFormat="1" ht="24.9" customHeight="1">
      <c r="A248" s="151" t="s">
        <v>46</v>
      </c>
      <c r="B248" s="152">
        <v>175779414</v>
      </c>
      <c r="C248" s="152">
        <v>185153219</v>
      </c>
      <c r="D248" s="152">
        <v>195164271</v>
      </c>
      <c r="E248" s="152">
        <v>195638028</v>
      </c>
      <c r="F248" s="152">
        <v>189760815</v>
      </c>
      <c r="G248" s="152">
        <v>194210323</v>
      </c>
      <c r="H248" s="152">
        <v>177909549</v>
      </c>
      <c r="I248" s="152">
        <v>186790042</v>
      </c>
      <c r="J248" s="152">
        <v>213216139</v>
      </c>
      <c r="K248" s="152">
        <v>121994319</v>
      </c>
      <c r="L248" s="152">
        <v>115175513</v>
      </c>
      <c r="M248" s="152">
        <f>M245-M247</f>
        <v>106371300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1"/>
  <sheetViews>
    <sheetView topLeftCell="A463" zoomScale="60" zoomScaleNormal="60" workbookViewId="0">
      <selection activeCell="C334" sqref="C334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19" width="25.6640625" style="263" customWidth="1"/>
    <col min="20" max="20" width="8.88671875" style="263"/>
    <col min="21" max="21" width="8.88671875" style="263" customWidth="1"/>
    <col min="22" max="16384" width="8.88671875" style="263"/>
  </cols>
  <sheetData>
    <row r="1" spans="1:19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</row>
    <row r="2" spans="1:19" ht="15" thickBot="1"/>
    <row r="3" spans="1:19">
      <c r="A3" s="727"/>
      <c r="B3" s="726"/>
      <c r="C3" s="679" t="s">
        <v>652</v>
      </c>
      <c r="D3" s="679" t="s">
        <v>649</v>
      </c>
      <c r="E3" s="679" t="s">
        <v>647</v>
      </c>
      <c r="F3" s="679">
        <v>46041</v>
      </c>
      <c r="G3" s="679" t="s">
        <v>644</v>
      </c>
      <c r="H3" s="679">
        <v>46037</v>
      </c>
      <c r="I3" s="679">
        <v>46036</v>
      </c>
      <c r="J3" s="679">
        <v>46035</v>
      </c>
      <c r="K3" s="679" t="s">
        <v>642</v>
      </c>
      <c r="L3" s="679" t="s">
        <v>640</v>
      </c>
      <c r="M3" s="679">
        <v>46030</v>
      </c>
      <c r="N3" s="679">
        <v>46029</v>
      </c>
      <c r="O3" s="679">
        <v>46028</v>
      </c>
      <c r="P3" s="679" t="s">
        <v>635</v>
      </c>
      <c r="Q3" s="679">
        <v>46025</v>
      </c>
      <c r="R3" s="679" t="s">
        <v>631</v>
      </c>
      <c r="S3" s="679" t="s">
        <v>630</v>
      </c>
    </row>
    <row r="4" spans="1:19" s="267" customFormat="1" ht="15" thickBot="1">
      <c r="A4" s="728"/>
      <c r="B4" s="729"/>
      <c r="C4" s="680" t="s">
        <v>653</v>
      </c>
      <c r="D4" s="680" t="s">
        <v>650</v>
      </c>
      <c r="E4" s="680" t="s">
        <v>648</v>
      </c>
      <c r="F4" s="680" t="s">
        <v>131</v>
      </c>
      <c r="G4" s="680" t="s">
        <v>645</v>
      </c>
      <c r="H4" s="680" t="s">
        <v>128</v>
      </c>
      <c r="I4" s="680" t="s">
        <v>129</v>
      </c>
      <c r="J4" s="680" t="s">
        <v>130</v>
      </c>
      <c r="K4" s="680" t="s">
        <v>643</v>
      </c>
      <c r="L4" s="680" t="s">
        <v>641</v>
      </c>
      <c r="M4" s="680" t="s">
        <v>128</v>
      </c>
      <c r="N4" s="680" t="s">
        <v>129</v>
      </c>
      <c r="O4" s="680" t="s">
        <v>130</v>
      </c>
      <c r="P4" s="680" t="s">
        <v>636</v>
      </c>
      <c r="Q4" s="680" t="s">
        <v>133</v>
      </c>
      <c r="R4" s="680" t="s">
        <v>633</v>
      </c>
      <c r="S4" s="680" t="s">
        <v>632</v>
      </c>
    </row>
    <row r="5" spans="1:19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</row>
    <row r="6" spans="1:19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</row>
    <row r="7" spans="1:19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</row>
    <row r="8" spans="1:19">
      <c r="A8" s="25" t="s">
        <v>101</v>
      </c>
      <c r="B8" s="735"/>
      <c r="C8" s="641">
        <v>633000</v>
      </c>
      <c r="D8" s="641">
        <v>633000</v>
      </c>
      <c r="E8" s="641">
        <v>629000</v>
      </c>
      <c r="F8" s="641">
        <v>583000</v>
      </c>
      <c r="G8" s="641">
        <v>573000</v>
      </c>
      <c r="H8" s="641">
        <v>573000</v>
      </c>
      <c r="I8" s="641">
        <v>646000</v>
      </c>
      <c r="J8" s="641">
        <v>646000</v>
      </c>
      <c r="K8" s="641">
        <v>646000</v>
      </c>
      <c r="L8" s="641">
        <v>567000</v>
      </c>
      <c r="M8" s="641">
        <v>557000</v>
      </c>
      <c r="N8" s="641">
        <v>557000</v>
      </c>
      <c r="O8" s="641">
        <v>551000</v>
      </c>
      <c r="P8" s="641">
        <v>551000</v>
      </c>
      <c r="Q8" s="641">
        <v>534000</v>
      </c>
      <c r="R8" s="641">
        <v>534000</v>
      </c>
      <c r="S8" s="641">
        <v>524000</v>
      </c>
    </row>
    <row r="9" spans="1:19">
      <c r="A9" s="25" t="s">
        <v>336</v>
      </c>
      <c r="B9" s="735"/>
      <c r="C9" s="641">
        <v>1410000</v>
      </c>
      <c r="D9" s="641">
        <v>1410000</v>
      </c>
      <c r="E9" s="641">
        <v>1390000</v>
      </c>
      <c r="F9" s="641">
        <v>1390000</v>
      </c>
      <c r="G9" s="641">
        <v>1390000</v>
      </c>
      <c r="H9" s="641">
        <v>1390000</v>
      </c>
      <c r="I9" s="641">
        <v>1390000</v>
      </c>
      <c r="J9" s="641">
        <v>1390000</v>
      </c>
      <c r="K9" s="641">
        <v>1390000</v>
      </c>
      <c r="L9" s="641">
        <v>1390000</v>
      </c>
      <c r="M9" s="641">
        <v>1390000</v>
      </c>
      <c r="N9" s="641">
        <v>1390000</v>
      </c>
      <c r="O9" s="641">
        <v>1390000</v>
      </c>
      <c r="P9" s="641">
        <v>1390000</v>
      </c>
      <c r="Q9" s="641">
        <v>1390000</v>
      </c>
      <c r="R9" s="641">
        <v>1390000</v>
      </c>
      <c r="S9" s="641">
        <v>1390000</v>
      </c>
    </row>
    <row r="10" spans="1:19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</row>
    <row r="11" spans="1:19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</row>
    <row r="12" spans="1:19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</row>
    <row r="13" spans="1:19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</row>
    <row r="14" spans="1:19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</row>
    <row r="15" spans="1:19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</row>
    <row r="16" spans="1:19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</row>
    <row r="17" spans="1:22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</row>
    <row r="18" spans="1:22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</row>
    <row r="19" spans="1:22" ht="16.2" thickBot="1">
      <c r="A19" s="737"/>
      <c r="B19" s="738"/>
      <c r="C19" s="848">
        <v>2043000</v>
      </c>
      <c r="D19" s="848">
        <v>2043000</v>
      </c>
      <c r="E19" s="848">
        <v>2019000</v>
      </c>
      <c r="F19" s="848">
        <v>1973000</v>
      </c>
      <c r="G19" s="848">
        <v>1963000</v>
      </c>
      <c r="H19" s="848">
        <v>1963000</v>
      </c>
      <c r="I19" s="848">
        <v>2036000</v>
      </c>
      <c r="J19" s="848">
        <v>2036000</v>
      </c>
      <c r="K19" s="848">
        <v>2036000</v>
      </c>
      <c r="L19" s="848">
        <v>1957000</v>
      </c>
      <c r="M19" s="848">
        <v>1947000</v>
      </c>
      <c r="N19" s="848">
        <v>1947000</v>
      </c>
      <c r="O19" s="848">
        <v>1941000</v>
      </c>
      <c r="P19" s="848">
        <v>1941000</v>
      </c>
      <c r="Q19" s="848">
        <v>1924000</v>
      </c>
      <c r="R19" s="848">
        <v>1924000</v>
      </c>
      <c r="S19" s="848">
        <v>1914000</v>
      </c>
      <c r="V19"/>
    </row>
    <row r="20" spans="1:22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</row>
    <row r="21" spans="1:22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</row>
    <row r="22" spans="1:22">
      <c r="A22" s="739" t="s">
        <v>0</v>
      </c>
      <c r="B22" s="740"/>
      <c r="C22" s="956">
        <v>105300000</v>
      </c>
      <c r="D22" s="956">
        <v>135600000</v>
      </c>
      <c r="E22" s="956">
        <v>79680000</v>
      </c>
      <c r="F22" s="956">
        <v>123300000</v>
      </c>
      <c r="G22" s="956">
        <v>179700000</v>
      </c>
      <c r="H22" s="956">
        <v>95600000</v>
      </c>
      <c r="I22" s="956">
        <v>173500000</v>
      </c>
      <c r="J22" s="956">
        <v>56500000</v>
      </c>
      <c r="K22" s="956">
        <v>154500000</v>
      </c>
      <c r="L22" s="956">
        <v>185550000</v>
      </c>
      <c r="M22" s="956">
        <v>123650000</v>
      </c>
      <c r="N22" s="956">
        <v>156000000</v>
      </c>
      <c r="O22" s="956">
        <v>170750000</v>
      </c>
      <c r="P22" s="956">
        <v>149196000</v>
      </c>
      <c r="Q22" s="956">
        <v>118000000</v>
      </c>
      <c r="R22" s="956">
        <v>118000000</v>
      </c>
      <c r="S22" s="956">
        <v>142000000</v>
      </c>
    </row>
    <row r="23" spans="1:22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</row>
    <row r="24" spans="1:22">
      <c r="A24" s="25" t="s">
        <v>555</v>
      </c>
      <c r="B24" s="741"/>
      <c r="C24" s="686">
        <v>110000</v>
      </c>
      <c r="D24" s="686">
        <v>170000</v>
      </c>
      <c r="E24" s="686">
        <v>348000</v>
      </c>
      <c r="F24" s="686">
        <v>173500</v>
      </c>
      <c r="G24" s="686">
        <v>70500</v>
      </c>
      <c r="H24" s="686">
        <v>218500</v>
      </c>
      <c r="I24" s="686">
        <v>209500</v>
      </c>
      <c r="J24" s="686">
        <v>220500</v>
      </c>
      <c r="K24" s="686">
        <v>41000</v>
      </c>
      <c r="L24" s="686">
        <v>116500</v>
      </c>
      <c r="M24" s="686">
        <v>191000</v>
      </c>
      <c r="N24" s="686">
        <v>203000</v>
      </c>
      <c r="O24" s="686">
        <v>75000</v>
      </c>
      <c r="P24" s="686">
        <v>138000</v>
      </c>
      <c r="Q24" s="686">
        <v>34000</v>
      </c>
      <c r="R24" s="686">
        <v>34000</v>
      </c>
      <c r="S24" s="686">
        <v>158000</v>
      </c>
    </row>
    <row r="25" spans="1:22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0</v>
      </c>
      <c r="O25" s="686">
        <v>0</v>
      </c>
      <c r="P25" s="686">
        <v>0</v>
      </c>
      <c r="Q25" s="686">
        <v>0</v>
      </c>
      <c r="R25" s="686">
        <v>0</v>
      </c>
      <c r="S25" s="686">
        <v>0</v>
      </c>
    </row>
    <row r="26" spans="1:22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0</v>
      </c>
      <c r="O26" s="686">
        <v>0</v>
      </c>
      <c r="P26" s="686">
        <v>0</v>
      </c>
      <c r="Q26" s="686">
        <v>0</v>
      </c>
      <c r="R26" s="686">
        <v>0</v>
      </c>
      <c r="S26" s="686">
        <v>0</v>
      </c>
    </row>
    <row r="27" spans="1:22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0</v>
      </c>
      <c r="O27" s="686">
        <v>0</v>
      </c>
      <c r="P27" s="686">
        <v>0</v>
      </c>
      <c r="Q27" s="686">
        <v>0</v>
      </c>
      <c r="R27" s="686">
        <v>0</v>
      </c>
      <c r="S27" s="686">
        <v>0</v>
      </c>
    </row>
    <row r="28" spans="1:22">
      <c r="A28" s="25" t="s">
        <v>333</v>
      </c>
      <c r="B28" s="741"/>
      <c r="C28" s="686">
        <v>0</v>
      </c>
      <c r="D28" s="686">
        <v>26088000</v>
      </c>
      <c r="E28" s="686">
        <v>0</v>
      </c>
      <c r="F28" s="686">
        <v>10047000</v>
      </c>
      <c r="G28" s="686">
        <v>0</v>
      </c>
      <c r="H28" s="686">
        <v>14145000</v>
      </c>
      <c r="I28" s="686">
        <v>809000</v>
      </c>
      <c r="J28" s="686">
        <v>9031000</v>
      </c>
      <c r="K28" s="686">
        <v>21160000</v>
      </c>
      <c r="L28" s="686">
        <v>0</v>
      </c>
      <c r="M28" s="686">
        <v>0</v>
      </c>
      <c r="N28" s="686">
        <v>22886000</v>
      </c>
      <c r="O28" s="686">
        <v>20388000</v>
      </c>
      <c r="P28" s="686">
        <v>0</v>
      </c>
      <c r="Q28" s="686">
        <v>0</v>
      </c>
      <c r="R28" s="686">
        <v>0</v>
      </c>
      <c r="S28" s="686">
        <v>0</v>
      </c>
    </row>
    <row r="29" spans="1:22">
      <c r="A29" s="1" t="s">
        <v>562</v>
      </c>
      <c r="B29" s="736"/>
      <c r="C29" s="641">
        <v>0</v>
      </c>
      <c r="D29" s="641">
        <v>0</v>
      </c>
      <c r="E29" s="641">
        <v>0</v>
      </c>
      <c r="F29" s="641">
        <v>0</v>
      </c>
      <c r="G29" s="641">
        <v>0</v>
      </c>
      <c r="H29" s="641">
        <v>0</v>
      </c>
      <c r="I29" s="641">
        <v>0</v>
      </c>
      <c r="J29" s="641">
        <v>493000</v>
      </c>
      <c r="K29" s="641">
        <v>493000</v>
      </c>
      <c r="L29" s="641">
        <v>493000</v>
      </c>
      <c r="M29" s="641">
        <v>0</v>
      </c>
      <c r="N29" s="641">
        <v>0</v>
      </c>
      <c r="O29" s="641">
        <v>300000</v>
      </c>
      <c r="P29" s="641">
        <v>618000</v>
      </c>
      <c r="Q29" s="641">
        <v>0</v>
      </c>
      <c r="R29" s="641">
        <v>0</v>
      </c>
      <c r="S29" s="641">
        <v>15000</v>
      </c>
    </row>
    <row r="30" spans="1:22">
      <c r="A30" s="1" t="s">
        <v>563</v>
      </c>
      <c r="B30" s="736"/>
      <c r="C30" s="641">
        <v>0</v>
      </c>
      <c r="D30" s="641">
        <v>0</v>
      </c>
      <c r="E30" s="641">
        <v>79400000</v>
      </c>
      <c r="F30" s="641">
        <v>0</v>
      </c>
      <c r="G30" s="641">
        <v>0</v>
      </c>
      <c r="H30" s="641">
        <v>0</v>
      </c>
      <c r="I30" s="641">
        <v>0</v>
      </c>
      <c r="J30" s="641">
        <v>0</v>
      </c>
      <c r="K30" s="641">
        <v>0</v>
      </c>
      <c r="L30" s="641">
        <v>0</v>
      </c>
      <c r="M30" s="641">
        <v>0</v>
      </c>
      <c r="N30" s="641">
        <v>0</v>
      </c>
      <c r="O30" s="641">
        <v>0</v>
      </c>
      <c r="P30" s="641">
        <v>0</v>
      </c>
      <c r="Q30" s="641">
        <v>0</v>
      </c>
      <c r="R30" s="641">
        <v>0</v>
      </c>
      <c r="S30" s="641">
        <v>0</v>
      </c>
    </row>
    <row r="31" spans="1:22" s="687" customFormat="1" ht="15" thickBot="1">
      <c r="A31" s="742"/>
      <c r="B31" s="743"/>
      <c r="C31" s="849">
        <v>105410000</v>
      </c>
      <c r="D31" s="849">
        <v>161858000</v>
      </c>
      <c r="E31" s="849">
        <v>159428000</v>
      </c>
      <c r="F31" s="849">
        <v>133520500</v>
      </c>
      <c r="G31" s="849">
        <v>179770500</v>
      </c>
      <c r="H31" s="849">
        <v>109963500</v>
      </c>
      <c r="I31" s="849">
        <v>174518500</v>
      </c>
      <c r="J31" s="849">
        <v>66244500</v>
      </c>
      <c r="K31" s="849">
        <v>176194000</v>
      </c>
      <c r="L31" s="849">
        <v>186159500</v>
      </c>
      <c r="M31" s="849">
        <v>123841000</v>
      </c>
      <c r="N31" s="849">
        <v>179089000</v>
      </c>
      <c r="O31" s="849">
        <v>191513000</v>
      </c>
      <c r="P31" s="849">
        <v>149952000</v>
      </c>
      <c r="Q31" s="849">
        <v>118034000</v>
      </c>
      <c r="R31" s="849">
        <v>118034000</v>
      </c>
      <c r="S31" s="849">
        <v>142173000</v>
      </c>
    </row>
    <row r="32" spans="1:22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</row>
    <row r="33" spans="1:19" s="688" customFormat="1" ht="21">
      <c r="A33" s="1446" t="s">
        <v>225</v>
      </c>
      <c r="B33" s="1446"/>
      <c r="C33" s="850">
        <v>107453000</v>
      </c>
      <c r="D33" s="850">
        <v>163901000</v>
      </c>
      <c r="E33" s="850">
        <v>161447000</v>
      </c>
      <c r="F33" s="850">
        <v>135493500</v>
      </c>
      <c r="G33" s="850">
        <v>181733500</v>
      </c>
      <c r="H33" s="850">
        <v>111926500</v>
      </c>
      <c r="I33" s="850">
        <v>176554500</v>
      </c>
      <c r="J33" s="850">
        <v>68280500</v>
      </c>
      <c r="K33" s="850">
        <v>178230000</v>
      </c>
      <c r="L33" s="850">
        <v>188116500</v>
      </c>
      <c r="M33" s="850">
        <v>125788000</v>
      </c>
      <c r="N33" s="850">
        <v>181036000</v>
      </c>
      <c r="O33" s="850">
        <v>193454000</v>
      </c>
      <c r="P33" s="850">
        <v>151893000</v>
      </c>
      <c r="Q33" s="850">
        <v>119958000</v>
      </c>
      <c r="R33" s="850">
        <v>119958000</v>
      </c>
      <c r="S33" s="850">
        <v>144087000</v>
      </c>
    </row>
    <row r="34" spans="1:19" s="688" customFormat="1" ht="21">
      <c r="A34" s="744"/>
      <c r="B34" s="744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</row>
    <row r="35" spans="1:19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</row>
    <row r="36" spans="1:19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</row>
    <row r="37" spans="1:19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</row>
    <row r="38" spans="1:19">
      <c r="A38" s="28" t="s">
        <v>69</v>
      </c>
      <c r="B38" s="747" t="s">
        <v>266</v>
      </c>
      <c r="C38" s="855">
        <v>5000000</v>
      </c>
      <c r="D38" s="855">
        <v>5000000</v>
      </c>
      <c r="E38" s="855">
        <v>5000000</v>
      </c>
      <c r="F38" s="855">
        <v>5000000</v>
      </c>
      <c r="G38" s="855">
        <v>5000000</v>
      </c>
      <c r="H38" s="855">
        <v>5000000</v>
      </c>
      <c r="I38" s="855">
        <v>5000000</v>
      </c>
      <c r="J38" s="855">
        <v>1108000</v>
      </c>
      <c r="K38" s="855">
        <v>5000000</v>
      </c>
      <c r="L38" s="855">
        <v>2895000</v>
      </c>
      <c r="M38" s="855">
        <v>5000000</v>
      </c>
      <c r="N38" s="855">
        <v>5000000</v>
      </c>
      <c r="O38" s="855">
        <v>5000000</v>
      </c>
      <c r="P38" s="855">
        <v>5000000</v>
      </c>
      <c r="Q38" s="855">
        <v>5000000</v>
      </c>
      <c r="R38" s="855">
        <v>5000000</v>
      </c>
      <c r="S38" s="855">
        <v>48587300</v>
      </c>
    </row>
    <row r="39" spans="1:19">
      <c r="A39" s="28" t="s">
        <v>74</v>
      </c>
      <c r="B39" s="746" t="s">
        <v>267</v>
      </c>
      <c r="C39" s="855">
        <v>640017</v>
      </c>
      <c r="D39" s="855">
        <v>525571</v>
      </c>
      <c r="E39" s="855">
        <v>959571</v>
      </c>
      <c r="F39" s="855">
        <v>821171</v>
      </c>
      <c r="G39" s="855">
        <v>314421</v>
      </c>
      <c r="H39" s="855">
        <v>451921</v>
      </c>
      <c r="I39" s="855">
        <v>451921</v>
      </c>
      <c r="J39" s="855">
        <v>85921</v>
      </c>
      <c r="K39" s="855">
        <v>146421</v>
      </c>
      <c r="L39" s="855">
        <v>841621</v>
      </c>
      <c r="M39" s="855">
        <v>229321</v>
      </c>
      <c r="N39" s="855">
        <v>598446</v>
      </c>
      <c r="O39" s="855">
        <v>542446</v>
      </c>
      <c r="P39" s="855">
        <v>1128041</v>
      </c>
      <c r="Q39" s="855">
        <v>431121</v>
      </c>
      <c r="R39" s="855">
        <v>431121</v>
      </c>
      <c r="S39" s="855">
        <v>482771</v>
      </c>
    </row>
    <row r="40" spans="1:19">
      <c r="A40" s="28" t="s">
        <v>1</v>
      </c>
      <c r="B40" s="746" t="s">
        <v>268</v>
      </c>
      <c r="C40" s="855">
        <v>1488139</v>
      </c>
      <c r="D40" s="855">
        <v>280120</v>
      </c>
      <c r="E40" s="855">
        <v>1322098</v>
      </c>
      <c r="F40" s="855">
        <v>1729108</v>
      </c>
      <c r="G40" s="855">
        <v>157603</v>
      </c>
      <c r="H40" s="855">
        <v>1417611</v>
      </c>
      <c r="I40" s="855">
        <v>25051</v>
      </c>
      <c r="J40" s="855">
        <v>553641</v>
      </c>
      <c r="K40" s="855">
        <v>1200071</v>
      </c>
      <c r="L40" s="855">
        <v>201948</v>
      </c>
      <c r="M40" s="855">
        <v>1191667</v>
      </c>
      <c r="N40" s="855">
        <v>1572154</v>
      </c>
      <c r="O40" s="855">
        <v>181032</v>
      </c>
      <c r="P40" s="855">
        <v>653690</v>
      </c>
      <c r="Q40" s="855">
        <v>1901509</v>
      </c>
      <c r="R40" s="855">
        <v>1901509</v>
      </c>
      <c r="S40" s="855">
        <v>574396</v>
      </c>
    </row>
    <row r="41" spans="1:19">
      <c r="A41" s="28" t="s">
        <v>111</v>
      </c>
      <c r="B41" s="746" t="s">
        <v>269</v>
      </c>
      <c r="C41" s="855">
        <v>217395</v>
      </c>
      <c r="D41" s="855">
        <v>49735</v>
      </c>
      <c r="E41" s="855">
        <v>279085</v>
      </c>
      <c r="F41" s="855">
        <v>180405</v>
      </c>
      <c r="G41" s="855">
        <v>269345</v>
      </c>
      <c r="H41" s="855">
        <v>489800</v>
      </c>
      <c r="I41" s="855">
        <v>177010</v>
      </c>
      <c r="J41" s="855">
        <v>245605</v>
      </c>
      <c r="K41" s="855">
        <v>291605</v>
      </c>
      <c r="L41" s="855">
        <v>37430</v>
      </c>
      <c r="M41" s="855">
        <v>79360</v>
      </c>
      <c r="N41" s="855">
        <v>236920</v>
      </c>
      <c r="O41" s="855">
        <v>303615</v>
      </c>
      <c r="P41" s="855">
        <v>387865</v>
      </c>
      <c r="Q41" s="855">
        <v>206875</v>
      </c>
      <c r="R41" s="855">
        <v>206875</v>
      </c>
      <c r="S41" s="855">
        <v>464725</v>
      </c>
    </row>
    <row r="42" spans="1:19">
      <c r="A42" s="28" t="s">
        <v>168</v>
      </c>
      <c r="B42" s="746" t="s">
        <v>204</v>
      </c>
      <c r="C42" s="855">
        <v>308330</v>
      </c>
      <c r="D42" s="855">
        <v>494630</v>
      </c>
      <c r="E42" s="855">
        <v>258130</v>
      </c>
      <c r="F42" s="855">
        <v>3730</v>
      </c>
      <c r="G42" s="855">
        <v>101480</v>
      </c>
      <c r="H42" s="855">
        <v>188980</v>
      </c>
      <c r="I42" s="855">
        <v>81480</v>
      </c>
      <c r="J42" s="855">
        <v>164080</v>
      </c>
      <c r="K42" s="855">
        <v>245580</v>
      </c>
      <c r="L42" s="855">
        <v>245580</v>
      </c>
      <c r="M42" s="855">
        <v>317430</v>
      </c>
      <c r="N42" s="855">
        <v>40730</v>
      </c>
      <c r="O42" s="855">
        <v>71730</v>
      </c>
      <c r="P42" s="855">
        <v>71730</v>
      </c>
      <c r="Q42" s="855">
        <v>5680</v>
      </c>
      <c r="R42" s="855">
        <v>5680</v>
      </c>
      <c r="S42" s="855">
        <v>5680</v>
      </c>
    </row>
    <row r="43" spans="1:19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</row>
    <row r="44" spans="1:19">
      <c r="A44" s="28" t="s">
        <v>9</v>
      </c>
      <c r="B44" s="746" t="s">
        <v>270</v>
      </c>
      <c r="C44" s="855">
        <v>431947</v>
      </c>
      <c r="D44" s="855">
        <v>431974</v>
      </c>
      <c r="E44" s="855">
        <v>199173</v>
      </c>
      <c r="F44" s="855">
        <v>720999</v>
      </c>
      <c r="G44" s="855">
        <v>720999</v>
      </c>
      <c r="H44" s="855">
        <v>233188</v>
      </c>
      <c r="I44" s="855">
        <v>443651</v>
      </c>
      <c r="J44" s="855">
        <v>235714</v>
      </c>
      <c r="K44" s="855">
        <v>338414</v>
      </c>
      <c r="L44" s="855">
        <v>338414</v>
      </c>
      <c r="M44" s="855">
        <v>757566</v>
      </c>
      <c r="N44" s="855">
        <v>757566</v>
      </c>
      <c r="O44" s="855">
        <v>957729</v>
      </c>
      <c r="P44" s="855">
        <v>200992</v>
      </c>
      <c r="Q44" s="855">
        <v>513055</v>
      </c>
      <c r="R44" s="855">
        <v>513055</v>
      </c>
      <c r="S44" s="855">
        <v>513055</v>
      </c>
    </row>
    <row r="45" spans="1:19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  <c r="N45" s="641">
        <v>4149</v>
      </c>
      <c r="O45" s="641">
        <v>4149</v>
      </c>
      <c r="P45" s="641">
        <v>4149</v>
      </c>
      <c r="Q45" s="641">
        <v>4149</v>
      </c>
      <c r="R45" s="641">
        <v>4149</v>
      </c>
      <c r="S45" s="641">
        <v>4149</v>
      </c>
    </row>
    <row r="46" spans="1:19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  <c r="N46" s="641">
        <v>22000</v>
      </c>
      <c r="O46" s="641">
        <v>22000</v>
      </c>
      <c r="P46" s="641">
        <v>22000</v>
      </c>
      <c r="Q46" s="641">
        <v>22000</v>
      </c>
      <c r="R46" s="641">
        <v>22000</v>
      </c>
      <c r="S46" s="641">
        <v>22000</v>
      </c>
    </row>
    <row r="47" spans="1:19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</row>
    <row r="48" spans="1:19" s="687" customFormat="1" ht="15" thickBot="1">
      <c r="A48" s="1447" t="s">
        <v>224</v>
      </c>
      <c r="B48" s="1448"/>
      <c r="C48" s="856">
        <v>8111977</v>
      </c>
      <c r="D48" s="856">
        <v>6808179</v>
      </c>
      <c r="E48" s="856">
        <v>8044206</v>
      </c>
      <c r="F48" s="856">
        <v>8481562</v>
      </c>
      <c r="G48" s="856">
        <v>6589997</v>
      </c>
      <c r="H48" s="856">
        <v>7807649</v>
      </c>
      <c r="I48" s="856">
        <v>6205262</v>
      </c>
      <c r="J48" s="856">
        <v>2419110</v>
      </c>
      <c r="K48" s="856">
        <v>7248240</v>
      </c>
      <c r="L48" s="856">
        <v>4586142</v>
      </c>
      <c r="M48" s="856">
        <v>7601493</v>
      </c>
      <c r="N48" s="856">
        <v>8231965</v>
      </c>
      <c r="O48" s="856">
        <v>7082701</v>
      </c>
      <c r="P48" s="856">
        <v>7468467</v>
      </c>
      <c r="Q48" s="856">
        <v>8084389</v>
      </c>
      <c r="R48" s="856">
        <v>8084389</v>
      </c>
      <c r="S48" s="856">
        <v>50654076</v>
      </c>
    </row>
    <row r="49" spans="1:19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</row>
    <row r="50" spans="1:19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</row>
    <row r="51" spans="1:19">
      <c r="A51" s="28" t="s">
        <v>90</v>
      </c>
      <c r="B51" s="747" t="s">
        <v>206</v>
      </c>
      <c r="C51" s="855">
        <v>5000000</v>
      </c>
      <c r="D51" s="855">
        <v>5000000</v>
      </c>
      <c r="E51" s="855">
        <v>5000000</v>
      </c>
      <c r="F51" s="855">
        <v>5000000</v>
      </c>
      <c r="G51" s="855">
        <v>5026750</v>
      </c>
      <c r="H51" s="855">
        <v>5000000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5000000</v>
      </c>
      <c r="P51" s="855">
        <v>5000000</v>
      </c>
      <c r="Q51" s="855">
        <v>5000000</v>
      </c>
      <c r="R51" s="855">
        <v>5000000</v>
      </c>
      <c r="S51" s="855">
        <v>37998100</v>
      </c>
    </row>
    <row r="52" spans="1:19">
      <c r="A52" s="28" t="s">
        <v>73</v>
      </c>
      <c r="B52" s="746" t="s">
        <v>81</v>
      </c>
      <c r="C52" s="855">
        <v>617606</v>
      </c>
      <c r="D52" s="855">
        <v>729356</v>
      </c>
      <c r="E52" s="855">
        <v>755456</v>
      </c>
      <c r="F52" s="855">
        <v>949456</v>
      </c>
      <c r="G52" s="855">
        <v>246956</v>
      </c>
      <c r="H52" s="855">
        <v>350454</v>
      </c>
      <c r="I52" s="855">
        <v>449454</v>
      </c>
      <c r="J52" s="855">
        <v>651454</v>
      </c>
      <c r="K52" s="855">
        <v>253454</v>
      </c>
      <c r="L52" s="855">
        <v>385654</v>
      </c>
      <c r="M52" s="855">
        <v>289754</v>
      </c>
      <c r="N52" s="855">
        <v>390454</v>
      </c>
      <c r="O52" s="855">
        <v>390454</v>
      </c>
      <c r="P52" s="855">
        <v>496454</v>
      </c>
      <c r="Q52" s="855">
        <v>48454</v>
      </c>
      <c r="R52" s="855">
        <v>48454</v>
      </c>
      <c r="S52" s="855">
        <v>48454</v>
      </c>
    </row>
    <row r="53" spans="1:19">
      <c r="A53" s="28" t="s">
        <v>1</v>
      </c>
      <c r="B53" s="746" t="s">
        <v>271</v>
      </c>
      <c r="C53" s="855">
        <v>383054</v>
      </c>
      <c r="D53" s="855">
        <v>1059939</v>
      </c>
      <c r="E53" s="855">
        <v>550313</v>
      </c>
      <c r="F53" s="855">
        <v>329956</v>
      </c>
      <c r="G53" s="855">
        <v>828441</v>
      </c>
      <c r="H53" s="855">
        <v>1071786</v>
      </c>
      <c r="I53" s="855">
        <v>339381</v>
      </c>
      <c r="J53" s="855">
        <v>821272</v>
      </c>
      <c r="K53" s="855">
        <v>455760</v>
      </c>
      <c r="L53" s="855">
        <v>732152</v>
      </c>
      <c r="M53" s="855">
        <v>1314444</v>
      </c>
      <c r="N53" s="855">
        <v>1847965</v>
      </c>
      <c r="O53" s="855">
        <v>718356</v>
      </c>
      <c r="P53" s="855">
        <v>1357847</v>
      </c>
      <c r="Q53" s="855">
        <v>2012837</v>
      </c>
      <c r="R53" s="855">
        <v>2012837</v>
      </c>
      <c r="S53" s="855">
        <v>12837</v>
      </c>
    </row>
    <row r="54" spans="1:19">
      <c r="A54" s="28" t="s">
        <v>111</v>
      </c>
      <c r="B54" s="746" t="s">
        <v>83</v>
      </c>
      <c r="C54" s="855">
        <v>282072</v>
      </c>
      <c r="D54" s="855">
        <v>508002</v>
      </c>
      <c r="E54" s="855">
        <v>108342</v>
      </c>
      <c r="F54" s="855">
        <v>287212</v>
      </c>
      <c r="G54" s="855">
        <v>287212</v>
      </c>
      <c r="H54" s="855">
        <v>374162</v>
      </c>
      <c r="I54" s="855">
        <v>425162</v>
      </c>
      <c r="J54" s="855">
        <v>524482</v>
      </c>
      <c r="K54" s="855">
        <v>38882</v>
      </c>
      <c r="L54" s="855">
        <v>38882</v>
      </c>
      <c r="M54" s="855">
        <v>136602</v>
      </c>
      <c r="N54" s="855">
        <v>240892</v>
      </c>
      <c r="O54" s="855">
        <v>240892</v>
      </c>
      <c r="P54" s="855">
        <v>240892</v>
      </c>
      <c r="Q54" s="855">
        <v>451207</v>
      </c>
      <c r="R54" s="855">
        <v>451207</v>
      </c>
      <c r="S54" s="855">
        <v>451207</v>
      </c>
    </row>
    <row r="55" spans="1:19">
      <c r="A55" s="28" t="s">
        <v>168</v>
      </c>
      <c r="B55" s="746" t="s">
        <v>272</v>
      </c>
      <c r="C55" s="855">
        <v>257183</v>
      </c>
      <c r="D55" s="855">
        <v>257183</v>
      </c>
      <c r="E55" s="855">
        <v>237683</v>
      </c>
      <c r="F55" s="855">
        <v>28183</v>
      </c>
      <c r="G55" s="855">
        <v>28183</v>
      </c>
      <c r="H55" s="855">
        <v>28183</v>
      </c>
      <c r="I55" s="855">
        <v>28183</v>
      </c>
      <c r="J55" s="855">
        <v>28183</v>
      </c>
      <c r="K55" s="855">
        <v>28183</v>
      </c>
      <c r="L55" s="855">
        <v>28183</v>
      </c>
      <c r="M55" s="855">
        <v>119683</v>
      </c>
      <c r="N55" s="855">
        <v>210683</v>
      </c>
      <c r="O55" s="855">
        <v>210683</v>
      </c>
      <c r="P55" s="855">
        <v>210683</v>
      </c>
      <c r="Q55" s="855">
        <v>210683</v>
      </c>
      <c r="R55" s="855">
        <v>210683</v>
      </c>
      <c r="S55" s="855">
        <v>210683</v>
      </c>
    </row>
    <row r="56" spans="1:19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</row>
    <row r="57" spans="1:19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</row>
    <row r="58" spans="1:19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</row>
    <row r="59" spans="1:19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</row>
    <row r="60" spans="1:19" s="687" customFormat="1" ht="15" thickBot="1">
      <c r="A60" s="1447" t="s">
        <v>224</v>
      </c>
      <c r="B60" s="1448"/>
      <c r="C60" s="856">
        <v>6753420</v>
      </c>
      <c r="D60" s="856">
        <v>7767985</v>
      </c>
      <c r="E60" s="856">
        <v>6865299</v>
      </c>
      <c r="F60" s="856">
        <v>6808312</v>
      </c>
      <c r="G60" s="856">
        <v>6631047</v>
      </c>
      <c r="H60" s="856">
        <v>7038090</v>
      </c>
      <c r="I60" s="856">
        <v>6455685</v>
      </c>
      <c r="J60" s="856">
        <v>7238896</v>
      </c>
      <c r="K60" s="856">
        <v>5989784</v>
      </c>
      <c r="L60" s="856">
        <v>6398376</v>
      </c>
      <c r="M60" s="856">
        <v>7073988</v>
      </c>
      <c r="N60" s="856">
        <v>7903499</v>
      </c>
      <c r="O60" s="856">
        <v>6773890</v>
      </c>
      <c r="P60" s="856">
        <v>7519381</v>
      </c>
      <c r="Q60" s="856">
        <v>7936686</v>
      </c>
      <c r="R60" s="856">
        <v>7936686</v>
      </c>
      <c r="S60" s="856">
        <v>38934786</v>
      </c>
    </row>
    <row r="61" spans="1:19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</row>
    <row r="62" spans="1:19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</row>
    <row r="63" spans="1:19">
      <c r="A63" s="751" t="s">
        <v>1</v>
      </c>
      <c r="B63" s="752" t="s">
        <v>275</v>
      </c>
      <c r="C63" s="859">
        <v>2845144</v>
      </c>
      <c r="D63" s="859">
        <v>436176</v>
      </c>
      <c r="E63" s="859">
        <v>2096828</v>
      </c>
      <c r="F63" s="859">
        <v>759665</v>
      </c>
      <c r="G63" s="859">
        <v>918462</v>
      </c>
      <c r="H63" s="859">
        <v>1385523</v>
      </c>
      <c r="I63" s="859">
        <v>1656415</v>
      </c>
      <c r="J63" s="859">
        <v>2146246</v>
      </c>
      <c r="K63" s="859">
        <v>549994</v>
      </c>
      <c r="L63" s="859">
        <v>577038</v>
      </c>
      <c r="M63" s="859">
        <v>1170375</v>
      </c>
      <c r="N63" s="859">
        <v>1526212</v>
      </c>
      <c r="O63" s="859">
        <v>1621208</v>
      </c>
      <c r="P63" s="859">
        <v>47102</v>
      </c>
      <c r="Q63" s="859">
        <v>969540</v>
      </c>
      <c r="R63" s="859">
        <v>969540</v>
      </c>
      <c r="S63" s="859">
        <v>969540</v>
      </c>
    </row>
    <row r="64" spans="1:19">
      <c r="A64" s="751" t="s">
        <v>212</v>
      </c>
      <c r="B64" s="752" t="s">
        <v>274</v>
      </c>
      <c r="C64" s="859">
        <v>111754</v>
      </c>
      <c r="D64" s="859">
        <v>86754</v>
      </c>
      <c r="E64" s="859">
        <v>413654</v>
      </c>
      <c r="F64" s="859">
        <v>82774</v>
      </c>
      <c r="G64" s="859">
        <v>49274</v>
      </c>
      <c r="H64" s="859">
        <v>360274</v>
      </c>
      <c r="I64" s="859">
        <v>496774</v>
      </c>
      <c r="J64" s="859">
        <v>472774</v>
      </c>
      <c r="K64" s="859">
        <v>484274</v>
      </c>
      <c r="L64" s="859">
        <v>51774</v>
      </c>
      <c r="M64" s="859">
        <v>59774</v>
      </c>
      <c r="N64" s="859">
        <v>17274</v>
      </c>
      <c r="O64" s="859">
        <v>39774</v>
      </c>
      <c r="P64" s="859">
        <v>599774</v>
      </c>
      <c r="Q64" s="859">
        <v>867074</v>
      </c>
      <c r="R64" s="859">
        <v>867074</v>
      </c>
      <c r="S64" s="859">
        <v>867074</v>
      </c>
    </row>
    <row r="65" spans="1:19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</row>
    <row r="66" spans="1:19">
      <c r="A66" s="751" t="s">
        <v>262</v>
      </c>
      <c r="B66" s="752" t="s">
        <v>277</v>
      </c>
      <c r="C66" s="859">
        <v>632266</v>
      </c>
      <c r="D66" s="859">
        <v>65006</v>
      </c>
      <c r="E66" s="859">
        <v>1335006</v>
      </c>
      <c r="F66" s="859">
        <v>3141506</v>
      </c>
      <c r="G66" s="859">
        <v>3746506</v>
      </c>
      <c r="H66" s="859">
        <v>178006</v>
      </c>
      <c r="I66" s="859">
        <v>1768006</v>
      </c>
      <c r="J66" s="859">
        <v>2673006</v>
      </c>
      <c r="K66" s="859">
        <v>3828006</v>
      </c>
      <c r="L66" s="859">
        <v>328006</v>
      </c>
      <c r="M66" s="859">
        <v>2120506</v>
      </c>
      <c r="N66" s="859">
        <v>1605506</v>
      </c>
      <c r="O66" s="859">
        <v>3508006</v>
      </c>
      <c r="P66" s="859">
        <v>2477356</v>
      </c>
      <c r="Q66" s="859">
        <v>43856</v>
      </c>
      <c r="R66" s="859">
        <v>43856</v>
      </c>
      <c r="S66" s="859">
        <v>43856</v>
      </c>
    </row>
    <row r="67" spans="1:19">
      <c r="A67" s="751" t="s">
        <v>200</v>
      </c>
      <c r="B67" s="752" t="s">
        <v>278</v>
      </c>
      <c r="C67" s="859">
        <v>39907</v>
      </c>
      <c r="D67" s="859">
        <v>42907</v>
      </c>
      <c r="E67" s="859">
        <v>42907</v>
      </c>
      <c r="F67" s="859">
        <v>42907</v>
      </c>
      <c r="G67" s="859">
        <v>42907</v>
      </c>
      <c r="H67" s="859">
        <v>42907</v>
      </c>
      <c r="I67" s="859">
        <v>42907</v>
      </c>
      <c r="J67" s="859">
        <v>42907</v>
      </c>
      <c r="K67" s="859">
        <v>42907</v>
      </c>
      <c r="L67" s="859">
        <v>42907</v>
      </c>
      <c r="M67" s="859">
        <v>42907</v>
      </c>
      <c r="N67" s="859">
        <v>42907</v>
      </c>
      <c r="O67" s="859">
        <v>42907</v>
      </c>
      <c r="P67" s="859">
        <v>42907</v>
      </c>
      <c r="Q67" s="859">
        <v>45907</v>
      </c>
      <c r="R67" s="859">
        <v>45907</v>
      </c>
      <c r="S67" s="859">
        <v>45907</v>
      </c>
    </row>
    <row r="68" spans="1:19">
      <c r="A68" s="751" t="s">
        <v>201</v>
      </c>
      <c r="B68" s="752" t="s">
        <v>279</v>
      </c>
      <c r="C68" s="859">
        <v>42000</v>
      </c>
      <c r="D68" s="859">
        <v>42000</v>
      </c>
      <c r="E68" s="859">
        <v>42000</v>
      </c>
      <c r="F68" s="859">
        <v>42000</v>
      </c>
      <c r="G68" s="859">
        <v>42000</v>
      </c>
      <c r="H68" s="859">
        <v>42000</v>
      </c>
      <c r="I68" s="859">
        <v>42000</v>
      </c>
      <c r="J68" s="859">
        <v>42000</v>
      </c>
      <c r="K68" s="859">
        <v>42000</v>
      </c>
      <c r="L68" s="859">
        <v>42000</v>
      </c>
      <c r="M68" s="859">
        <v>42000</v>
      </c>
      <c r="N68" s="859">
        <v>42000</v>
      </c>
      <c r="O68" s="859">
        <v>42000</v>
      </c>
      <c r="P68" s="859">
        <v>42000</v>
      </c>
      <c r="Q68" s="859">
        <v>42000</v>
      </c>
      <c r="R68" s="859">
        <v>42000</v>
      </c>
      <c r="S68" s="859">
        <v>42000</v>
      </c>
    </row>
    <row r="69" spans="1:19">
      <c r="A69" s="751" t="s">
        <v>202</v>
      </c>
      <c r="B69" s="752" t="s">
        <v>280</v>
      </c>
      <c r="C69" s="859">
        <v>62000</v>
      </c>
      <c r="D69" s="859">
        <v>62000</v>
      </c>
      <c r="E69" s="859">
        <v>62000</v>
      </c>
      <c r="F69" s="859">
        <v>62500</v>
      </c>
      <c r="G69" s="859">
        <v>62500</v>
      </c>
      <c r="H69" s="859">
        <v>65500</v>
      </c>
      <c r="I69" s="859">
        <v>65500</v>
      </c>
      <c r="J69" s="859">
        <v>65500</v>
      </c>
      <c r="K69" s="859">
        <v>65500</v>
      </c>
      <c r="L69" s="859">
        <v>65500</v>
      </c>
      <c r="M69" s="859">
        <v>65500</v>
      </c>
      <c r="N69" s="859">
        <v>65500</v>
      </c>
      <c r="O69" s="859">
        <v>65500</v>
      </c>
      <c r="P69" s="859">
        <v>65500</v>
      </c>
      <c r="Q69" s="859">
        <v>70500</v>
      </c>
      <c r="R69" s="859">
        <v>70500</v>
      </c>
      <c r="S69" s="859">
        <v>70500</v>
      </c>
    </row>
    <row r="70" spans="1:19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</row>
    <row r="71" spans="1:19">
      <c r="A71" s="751" t="s">
        <v>535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  <c r="R71" s="859">
        <v>0</v>
      </c>
      <c r="S71" s="859">
        <v>0</v>
      </c>
    </row>
    <row r="72" spans="1:19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0"/>
      <c r="R72" s="860"/>
      <c r="S72" s="860"/>
    </row>
    <row r="73" spans="1:19" s="687" customFormat="1" ht="15" thickBot="1">
      <c r="A73" s="1447" t="s">
        <v>224</v>
      </c>
      <c r="B73" s="1448"/>
      <c r="C73" s="856">
        <v>3962747</v>
      </c>
      <c r="D73" s="856">
        <v>964519</v>
      </c>
      <c r="E73" s="856">
        <v>4222071</v>
      </c>
      <c r="F73" s="856">
        <v>4361028</v>
      </c>
      <c r="G73" s="856">
        <v>5091325</v>
      </c>
      <c r="H73" s="856">
        <v>2303886</v>
      </c>
      <c r="I73" s="856">
        <v>4301278</v>
      </c>
      <c r="J73" s="856">
        <v>5672109</v>
      </c>
      <c r="K73" s="856">
        <v>5242357</v>
      </c>
      <c r="L73" s="856">
        <v>1336901</v>
      </c>
      <c r="M73" s="856">
        <v>3730738</v>
      </c>
      <c r="N73" s="856">
        <v>3529075</v>
      </c>
      <c r="O73" s="856">
        <v>5549071</v>
      </c>
      <c r="P73" s="856">
        <v>3504315</v>
      </c>
      <c r="Q73" s="856">
        <v>2268553</v>
      </c>
      <c r="R73" s="856">
        <v>2268553</v>
      </c>
      <c r="S73" s="856">
        <v>2268553</v>
      </c>
    </row>
    <row r="74" spans="1:19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</row>
    <row r="75" spans="1:19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</row>
    <row r="76" spans="1:19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</row>
    <row r="77" spans="1:19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</row>
    <row r="78" spans="1:19">
      <c r="A78" s="28" t="s">
        <v>90</v>
      </c>
      <c r="B78" s="747" t="s">
        <v>266</v>
      </c>
      <c r="C78" s="855">
        <v>5000000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5047700</v>
      </c>
    </row>
    <row r="79" spans="1:19">
      <c r="A79" s="28" t="s">
        <v>73</v>
      </c>
      <c r="B79" s="746" t="s">
        <v>485</v>
      </c>
      <c r="C79" s="855">
        <v>448604</v>
      </c>
      <c r="D79" s="855">
        <v>651854</v>
      </c>
      <c r="E79" s="855">
        <v>378854</v>
      </c>
      <c r="F79" s="855">
        <v>307104</v>
      </c>
      <c r="G79" s="855">
        <v>225104</v>
      </c>
      <c r="H79" s="855">
        <v>376854</v>
      </c>
      <c r="I79" s="855">
        <v>376854</v>
      </c>
      <c r="J79" s="855">
        <v>376854</v>
      </c>
      <c r="K79" s="855">
        <v>391779</v>
      </c>
      <c r="L79" s="855">
        <v>391779</v>
      </c>
      <c r="M79" s="855">
        <v>416809</v>
      </c>
      <c r="N79" s="855">
        <v>416809</v>
      </c>
      <c r="O79" s="855">
        <v>614809</v>
      </c>
      <c r="P79" s="855">
        <v>614809</v>
      </c>
      <c r="Q79" s="855">
        <v>306809</v>
      </c>
      <c r="R79" s="855">
        <v>306809</v>
      </c>
      <c r="S79" s="855">
        <v>342809</v>
      </c>
    </row>
    <row r="80" spans="1:19">
      <c r="A80" s="28" t="s">
        <v>1</v>
      </c>
      <c r="B80" s="746" t="s">
        <v>486</v>
      </c>
      <c r="C80" s="855">
        <v>917227</v>
      </c>
      <c r="D80" s="855">
        <v>447706</v>
      </c>
      <c r="E80" s="855">
        <v>48061</v>
      </c>
      <c r="F80" s="855">
        <v>791464</v>
      </c>
      <c r="G80" s="855">
        <v>343350</v>
      </c>
      <c r="H80" s="855">
        <v>1093984</v>
      </c>
      <c r="I80" s="855">
        <v>730676</v>
      </c>
      <c r="J80" s="855">
        <v>1010768</v>
      </c>
      <c r="K80" s="855">
        <v>210365</v>
      </c>
      <c r="L80" s="855">
        <v>669558</v>
      </c>
      <c r="M80" s="855">
        <v>1415525</v>
      </c>
      <c r="N80" s="855">
        <v>1778415</v>
      </c>
      <c r="O80" s="855">
        <v>461895</v>
      </c>
      <c r="P80" s="855">
        <v>923837</v>
      </c>
      <c r="Q80" s="855">
        <v>1705863</v>
      </c>
      <c r="R80" s="855">
        <v>1705863</v>
      </c>
      <c r="S80" s="855">
        <v>879302</v>
      </c>
    </row>
    <row r="81" spans="1:19">
      <c r="A81" s="28" t="s">
        <v>111</v>
      </c>
      <c r="B81" s="746" t="s">
        <v>487</v>
      </c>
      <c r="C81" s="855">
        <v>95445</v>
      </c>
      <c r="D81" s="855">
        <v>161945</v>
      </c>
      <c r="E81" s="855">
        <v>31880</v>
      </c>
      <c r="F81" s="855">
        <v>319500</v>
      </c>
      <c r="G81" s="855">
        <v>415200</v>
      </c>
      <c r="H81" s="855">
        <v>415200</v>
      </c>
      <c r="I81" s="855">
        <v>522520</v>
      </c>
      <c r="J81" s="855">
        <v>542410</v>
      </c>
      <c r="K81" s="855">
        <v>109105</v>
      </c>
      <c r="L81" s="855">
        <v>268955</v>
      </c>
      <c r="M81" s="855">
        <v>345655</v>
      </c>
      <c r="N81" s="855">
        <v>435520</v>
      </c>
      <c r="O81" s="855">
        <v>555085</v>
      </c>
      <c r="P81" s="855">
        <v>229160</v>
      </c>
      <c r="Q81" s="855">
        <v>462455</v>
      </c>
      <c r="R81" s="855">
        <v>462455</v>
      </c>
      <c r="S81" s="855">
        <v>462455</v>
      </c>
    </row>
    <row r="82" spans="1:19">
      <c r="A82" s="28" t="s">
        <v>168</v>
      </c>
      <c r="B82" s="746" t="s">
        <v>488</v>
      </c>
      <c r="C82" s="855">
        <v>382750</v>
      </c>
      <c r="D82" s="855">
        <v>382750</v>
      </c>
      <c r="E82" s="855">
        <v>234250</v>
      </c>
      <c r="F82" s="855">
        <v>324950</v>
      </c>
      <c r="G82" s="855">
        <v>324950</v>
      </c>
      <c r="H82" s="855">
        <v>385450</v>
      </c>
      <c r="I82" s="855">
        <v>135450</v>
      </c>
      <c r="J82" s="855">
        <v>135450</v>
      </c>
      <c r="K82" s="855">
        <v>181450</v>
      </c>
      <c r="L82" s="855">
        <v>181450</v>
      </c>
      <c r="M82" s="855">
        <v>181450</v>
      </c>
      <c r="N82" s="855">
        <v>181450</v>
      </c>
      <c r="O82" s="855">
        <v>193200</v>
      </c>
      <c r="P82" s="855">
        <v>222200</v>
      </c>
      <c r="Q82" s="855">
        <v>12000</v>
      </c>
      <c r="R82" s="855">
        <v>12000</v>
      </c>
      <c r="S82" s="855">
        <v>28000</v>
      </c>
    </row>
    <row r="83" spans="1:19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</row>
    <row r="84" spans="1:19">
      <c r="A84" s="28" t="s">
        <v>9</v>
      </c>
      <c r="B84" s="746" t="s">
        <v>490</v>
      </c>
      <c r="C84" s="855">
        <v>470951</v>
      </c>
      <c r="D84" s="855">
        <v>470951</v>
      </c>
      <c r="E84" s="855">
        <v>470951</v>
      </c>
      <c r="F84" s="855">
        <v>462659</v>
      </c>
      <c r="G84" s="855">
        <v>462659</v>
      </c>
      <c r="H84" s="855">
        <v>462659</v>
      </c>
      <c r="I84" s="855">
        <v>462659</v>
      </c>
      <c r="J84" s="855">
        <v>462659</v>
      </c>
      <c r="K84" s="855">
        <v>460222</v>
      </c>
      <c r="L84" s="855">
        <v>43285</v>
      </c>
      <c r="M84" s="855">
        <v>167585</v>
      </c>
      <c r="N84" s="855">
        <v>167585</v>
      </c>
      <c r="O84" s="855">
        <v>167585</v>
      </c>
      <c r="P84" s="855">
        <v>167585</v>
      </c>
      <c r="Q84" s="855">
        <v>167585</v>
      </c>
      <c r="R84" s="855">
        <v>167585</v>
      </c>
      <c r="S84" s="855">
        <v>167585</v>
      </c>
    </row>
    <row r="85" spans="1:19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</row>
    <row r="86" spans="1:19" s="687" customFormat="1" ht="15" thickBot="1">
      <c r="A86" s="1447" t="s">
        <v>224</v>
      </c>
      <c r="B86" s="1448"/>
      <c r="C86" s="856">
        <v>7314977</v>
      </c>
      <c r="D86" s="856">
        <v>7115206</v>
      </c>
      <c r="E86" s="856">
        <v>6163996</v>
      </c>
      <c r="F86" s="856">
        <v>7205677</v>
      </c>
      <c r="G86" s="856">
        <v>6771263</v>
      </c>
      <c r="H86" s="856">
        <v>7734147</v>
      </c>
      <c r="I86" s="856">
        <v>7228159</v>
      </c>
      <c r="J86" s="856">
        <v>7528141</v>
      </c>
      <c r="K86" s="856">
        <v>6352921</v>
      </c>
      <c r="L86" s="856">
        <v>6555027</v>
      </c>
      <c r="M86" s="856">
        <v>7527024</v>
      </c>
      <c r="N86" s="856">
        <v>7979779</v>
      </c>
      <c r="O86" s="856">
        <v>6992574</v>
      </c>
      <c r="P86" s="856">
        <v>7157591</v>
      </c>
      <c r="Q86" s="856">
        <v>7654712</v>
      </c>
      <c r="R86" s="856">
        <v>7654712</v>
      </c>
      <c r="S86" s="856">
        <v>6927851</v>
      </c>
    </row>
    <row r="87" spans="1:19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</row>
    <row r="88" spans="1:19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</row>
    <row r="89" spans="1:19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</row>
    <row r="90" spans="1:19">
      <c r="A90" s="28" t="s">
        <v>95</v>
      </c>
      <c r="B90" s="747" t="s">
        <v>207</v>
      </c>
      <c r="C90" s="855">
        <v>5598140</v>
      </c>
      <c r="D90" s="855">
        <v>405861</v>
      </c>
      <c r="E90" s="855">
        <v>4056239</v>
      </c>
      <c r="F90" s="855">
        <v>3181590</v>
      </c>
      <c r="G90" s="855">
        <v>4210590</v>
      </c>
      <c r="H90" s="855">
        <v>60590</v>
      </c>
      <c r="I90" s="855">
        <v>15347990</v>
      </c>
      <c r="J90" s="855">
        <v>850490</v>
      </c>
      <c r="K90" s="855">
        <v>850490</v>
      </c>
      <c r="L90" s="855">
        <v>2910363</v>
      </c>
      <c r="M90" s="855">
        <v>224763</v>
      </c>
      <c r="N90" s="855">
        <v>224763</v>
      </c>
      <c r="O90" s="855">
        <v>224763</v>
      </c>
      <c r="P90" s="855">
        <v>8874763</v>
      </c>
      <c r="Q90" s="855">
        <v>75052263</v>
      </c>
      <c r="R90" s="855">
        <v>75052263</v>
      </c>
      <c r="S90" s="855">
        <v>719263</v>
      </c>
    </row>
    <row r="91" spans="1:19">
      <c r="A91" s="28" t="s">
        <v>96</v>
      </c>
      <c r="B91" s="747" t="s">
        <v>208</v>
      </c>
      <c r="C91" s="855">
        <v>52870</v>
      </c>
      <c r="D91" s="855">
        <v>52870</v>
      </c>
      <c r="E91" s="855">
        <v>52870</v>
      </c>
      <c r="F91" s="855">
        <v>52870</v>
      </c>
      <c r="G91" s="855">
        <v>52870</v>
      </c>
      <c r="H91" s="855">
        <v>52870</v>
      </c>
      <c r="I91" s="855">
        <v>52870</v>
      </c>
      <c r="J91" s="855">
        <v>52870</v>
      </c>
      <c r="K91" s="855">
        <v>52870</v>
      </c>
      <c r="L91" s="855">
        <v>52870</v>
      </c>
      <c r="M91" s="855">
        <v>52870</v>
      </c>
      <c r="N91" s="855">
        <v>52870</v>
      </c>
      <c r="O91" s="855">
        <v>52870</v>
      </c>
      <c r="P91" s="855">
        <v>52870</v>
      </c>
      <c r="Q91" s="855">
        <v>52870</v>
      </c>
      <c r="R91" s="855">
        <v>52870</v>
      </c>
      <c r="S91" s="855">
        <v>52870</v>
      </c>
    </row>
    <row r="92" spans="1:19">
      <c r="A92" s="28" t="s">
        <v>94</v>
      </c>
      <c r="B92" s="747" t="s">
        <v>82</v>
      </c>
      <c r="C92" s="855">
        <v>102777</v>
      </c>
      <c r="D92" s="855">
        <v>102777</v>
      </c>
      <c r="E92" s="855">
        <v>52777</v>
      </c>
      <c r="F92" s="855">
        <v>52777</v>
      </c>
      <c r="G92" s="855">
        <v>52777</v>
      </c>
      <c r="H92" s="855">
        <v>52777</v>
      </c>
      <c r="I92" s="855">
        <v>52777</v>
      </c>
      <c r="J92" s="855">
        <v>52777</v>
      </c>
      <c r="K92" s="855">
        <v>52777</v>
      </c>
      <c r="L92" s="855">
        <v>52777</v>
      </c>
      <c r="M92" s="855">
        <v>52777</v>
      </c>
      <c r="N92" s="855">
        <v>52777</v>
      </c>
      <c r="O92" s="855">
        <v>52777</v>
      </c>
      <c r="P92" s="855">
        <v>52777</v>
      </c>
      <c r="Q92" s="855">
        <v>52777</v>
      </c>
      <c r="R92" s="855">
        <v>52777</v>
      </c>
      <c r="S92" s="855">
        <v>52777</v>
      </c>
    </row>
    <row r="93" spans="1:19">
      <c r="A93" s="28" t="s">
        <v>103</v>
      </c>
      <c r="B93" s="747" t="s">
        <v>209</v>
      </c>
      <c r="C93" s="855">
        <v>102500</v>
      </c>
      <c r="D93" s="855">
        <v>52500</v>
      </c>
      <c r="E93" s="855">
        <v>52500</v>
      </c>
      <c r="F93" s="855">
        <v>52500</v>
      </c>
      <c r="G93" s="855">
        <v>52500</v>
      </c>
      <c r="H93" s="855">
        <v>52500</v>
      </c>
      <c r="I93" s="855">
        <v>52500</v>
      </c>
      <c r="J93" s="855">
        <v>52500</v>
      </c>
      <c r="K93" s="855">
        <v>52500</v>
      </c>
      <c r="L93" s="855">
        <v>52500</v>
      </c>
      <c r="M93" s="855">
        <v>52500</v>
      </c>
      <c r="N93" s="855">
        <v>52500</v>
      </c>
      <c r="O93" s="855">
        <v>52500</v>
      </c>
      <c r="P93" s="855">
        <v>52500</v>
      </c>
      <c r="Q93" s="855">
        <v>52500</v>
      </c>
      <c r="R93" s="855">
        <v>52500</v>
      </c>
      <c r="S93" s="855">
        <v>52500</v>
      </c>
    </row>
    <row r="94" spans="1:19">
      <c r="A94" s="28" t="s">
        <v>70</v>
      </c>
      <c r="B94" s="747" t="s">
        <v>210</v>
      </c>
      <c r="C94" s="855">
        <v>49123</v>
      </c>
      <c r="D94" s="855">
        <v>69123</v>
      </c>
      <c r="E94" s="855">
        <v>69123</v>
      </c>
      <c r="F94" s="855">
        <v>69123</v>
      </c>
      <c r="G94" s="855">
        <v>69123</v>
      </c>
      <c r="H94" s="855">
        <v>69123</v>
      </c>
      <c r="I94" s="855">
        <v>69123</v>
      </c>
      <c r="J94" s="855">
        <v>69123</v>
      </c>
      <c r="K94" s="855">
        <v>69123</v>
      </c>
      <c r="L94" s="855">
        <v>69123</v>
      </c>
      <c r="M94" s="855">
        <v>69123</v>
      </c>
      <c r="N94" s="855">
        <v>69123</v>
      </c>
      <c r="O94" s="855">
        <v>69123</v>
      </c>
      <c r="P94" s="855">
        <v>69123</v>
      </c>
      <c r="Q94" s="855">
        <v>69123</v>
      </c>
      <c r="R94" s="855">
        <v>69123</v>
      </c>
      <c r="S94" s="855">
        <v>89123</v>
      </c>
    </row>
    <row r="95" spans="1:19">
      <c r="A95" s="28" t="s">
        <v>220</v>
      </c>
      <c r="B95" s="747" t="s">
        <v>204</v>
      </c>
      <c r="C95" s="855">
        <v>11222</v>
      </c>
      <c r="D95" s="855">
        <v>11222</v>
      </c>
      <c r="E95" s="855">
        <v>11222</v>
      </c>
      <c r="F95" s="855">
        <v>11222</v>
      </c>
      <c r="G95" s="855">
        <v>11222</v>
      </c>
      <c r="H95" s="855">
        <v>30222</v>
      </c>
      <c r="I95" s="855">
        <v>30222</v>
      </c>
      <c r="J95" s="855">
        <v>30222</v>
      </c>
      <c r="K95" s="855">
        <v>30222</v>
      </c>
      <c r="L95" s="855">
        <v>30222</v>
      </c>
      <c r="M95" s="855">
        <v>30222</v>
      </c>
      <c r="N95" s="855">
        <v>30222</v>
      </c>
      <c r="O95" s="855">
        <v>30222</v>
      </c>
      <c r="P95" s="855">
        <v>30222</v>
      </c>
      <c r="Q95" s="855">
        <v>30222</v>
      </c>
      <c r="R95" s="855">
        <v>30222</v>
      </c>
      <c r="S95" s="855">
        <v>30222</v>
      </c>
    </row>
    <row r="96" spans="1:19">
      <c r="A96" s="28" t="s">
        <v>221</v>
      </c>
      <c r="B96" s="747" t="s">
        <v>205</v>
      </c>
      <c r="C96" s="855">
        <v>58499</v>
      </c>
      <c r="D96" s="855">
        <v>68499</v>
      </c>
      <c r="E96" s="855">
        <v>68499</v>
      </c>
      <c r="F96" s="855">
        <v>68499</v>
      </c>
      <c r="G96" s="855">
        <v>68499</v>
      </c>
      <c r="H96" s="855">
        <v>68499</v>
      </c>
      <c r="I96" s="855">
        <v>74499</v>
      </c>
      <c r="J96" s="855">
        <v>74499</v>
      </c>
      <c r="K96" s="855">
        <v>74499</v>
      </c>
      <c r="L96" s="855">
        <v>74499</v>
      </c>
      <c r="M96" s="855">
        <v>74499</v>
      </c>
      <c r="N96" s="855">
        <v>74499</v>
      </c>
      <c r="O96" s="855">
        <v>79499</v>
      </c>
      <c r="P96" s="855">
        <v>79499</v>
      </c>
      <c r="Q96" s="855">
        <v>29499</v>
      </c>
      <c r="R96" s="855">
        <v>29499</v>
      </c>
      <c r="S96" s="855">
        <v>29499</v>
      </c>
    </row>
    <row r="97" spans="1:19">
      <c r="A97" s="1" t="s">
        <v>5</v>
      </c>
      <c r="B97" s="756"/>
      <c r="C97" s="641">
        <v>0</v>
      </c>
      <c r="D97" s="641">
        <v>0</v>
      </c>
      <c r="E97" s="641">
        <v>0</v>
      </c>
      <c r="F97" s="641">
        <v>0</v>
      </c>
      <c r="G97" s="641">
        <v>0</v>
      </c>
      <c r="H97" s="641">
        <v>0</v>
      </c>
      <c r="I97" s="641">
        <v>0</v>
      </c>
      <c r="J97" s="641">
        <v>0</v>
      </c>
      <c r="K97" s="641">
        <v>0</v>
      </c>
      <c r="L97" s="641">
        <v>0</v>
      </c>
      <c r="M97" s="641">
        <v>0</v>
      </c>
      <c r="N97" s="641">
        <v>0</v>
      </c>
      <c r="O97" s="641">
        <v>0</v>
      </c>
      <c r="P97" s="641">
        <v>0</v>
      </c>
      <c r="Q97" s="641">
        <v>0</v>
      </c>
      <c r="R97" s="641">
        <v>0</v>
      </c>
      <c r="S97" s="641">
        <v>0</v>
      </c>
    </row>
    <row r="98" spans="1:19">
      <c r="A98" s="1" t="s">
        <v>6</v>
      </c>
      <c r="B98" s="756"/>
      <c r="C98" s="641">
        <v>0</v>
      </c>
      <c r="D98" s="641">
        <v>0</v>
      </c>
      <c r="E98" s="641">
        <v>0</v>
      </c>
      <c r="F98" s="641">
        <v>0</v>
      </c>
      <c r="G98" s="641">
        <v>0</v>
      </c>
      <c r="H98" s="641">
        <v>0</v>
      </c>
      <c r="I98" s="641">
        <v>0</v>
      </c>
      <c r="J98" s="641">
        <v>0</v>
      </c>
      <c r="K98" s="641">
        <v>0</v>
      </c>
      <c r="L98" s="641">
        <v>0</v>
      </c>
      <c r="M98" s="641">
        <v>0</v>
      </c>
      <c r="N98" s="641">
        <v>0</v>
      </c>
      <c r="O98" s="641">
        <v>0</v>
      </c>
      <c r="P98" s="641">
        <v>0</v>
      </c>
      <c r="Q98" s="641">
        <v>0</v>
      </c>
      <c r="R98" s="641">
        <v>0</v>
      </c>
      <c r="S98" s="641">
        <v>0</v>
      </c>
    </row>
    <row r="99" spans="1:19">
      <c r="A99" s="1" t="s">
        <v>7</v>
      </c>
      <c r="B99" s="756"/>
      <c r="C99" s="641">
        <v>5000</v>
      </c>
      <c r="D99" s="641">
        <v>5000</v>
      </c>
      <c r="E99" s="641">
        <v>5000</v>
      </c>
      <c r="F99" s="641">
        <v>5000</v>
      </c>
      <c r="G99" s="641">
        <v>5000</v>
      </c>
      <c r="H99" s="641">
        <v>5000</v>
      </c>
      <c r="I99" s="641">
        <v>5000</v>
      </c>
      <c r="J99" s="641">
        <v>5000</v>
      </c>
      <c r="K99" s="641">
        <v>5000</v>
      </c>
      <c r="L99" s="641">
        <v>5000</v>
      </c>
      <c r="M99" s="641">
        <v>5000</v>
      </c>
      <c r="N99" s="641">
        <v>5000</v>
      </c>
      <c r="O99" s="641">
        <v>5000</v>
      </c>
      <c r="P99" s="641">
        <v>5000</v>
      </c>
      <c r="Q99" s="641">
        <v>5000</v>
      </c>
      <c r="R99" s="641">
        <v>5000</v>
      </c>
      <c r="S99" s="641">
        <v>5000</v>
      </c>
    </row>
    <row r="100" spans="1:19">
      <c r="A100" s="4" t="s">
        <v>565</v>
      </c>
      <c r="B100" s="757"/>
      <c r="C100" s="689">
        <v>0</v>
      </c>
      <c r="D100" s="689">
        <v>0</v>
      </c>
      <c r="E100" s="689">
        <v>0</v>
      </c>
      <c r="F100" s="689">
        <v>0</v>
      </c>
      <c r="G100" s="689">
        <v>0</v>
      </c>
      <c r="H100" s="689">
        <v>0</v>
      </c>
      <c r="I100" s="689">
        <v>0</v>
      </c>
      <c r="J100" s="689">
        <v>0</v>
      </c>
      <c r="K100" s="689">
        <v>0</v>
      </c>
      <c r="L100" s="689">
        <v>0</v>
      </c>
      <c r="M100" s="689">
        <v>0</v>
      </c>
      <c r="N100" s="689">
        <v>0</v>
      </c>
      <c r="O100" s="689">
        <v>0</v>
      </c>
      <c r="P100" s="689">
        <v>0</v>
      </c>
      <c r="Q100" s="689">
        <v>0</v>
      </c>
      <c r="R100" s="689">
        <v>0</v>
      </c>
      <c r="S100" s="689">
        <v>0</v>
      </c>
    </row>
    <row r="101" spans="1:19">
      <c r="A101" s="4" t="s">
        <v>566</v>
      </c>
      <c r="B101" s="757"/>
      <c r="C101" s="689">
        <v>8000</v>
      </c>
      <c r="D101" s="689">
        <v>8000</v>
      </c>
      <c r="E101" s="689">
        <v>8000</v>
      </c>
      <c r="F101" s="689">
        <v>8000</v>
      </c>
      <c r="G101" s="689">
        <v>8000</v>
      </c>
      <c r="H101" s="689">
        <v>8000</v>
      </c>
      <c r="I101" s="689">
        <v>8000</v>
      </c>
      <c r="J101" s="689">
        <v>8000</v>
      </c>
      <c r="K101" s="689">
        <v>8000</v>
      </c>
      <c r="L101" s="689">
        <v>8000</v>
      </c>
      <c r="M101" s="689">
        <v>8000</v>
      </c>
      <c r="N101" s="689">
        <v>8000</v>
      </c>
      <c r="O101" s="689">
        <v>8000</v>
      </c>
      <c r="P101" s="689">
        <v>8000</v>
      </c>
      <c r="Q101" s="689">
        <v>8000</v>
      </c>
      <c r="R101" s="689">
        <v>8000</v>
      </c>
      <c r="S101" s="689">
        <v>8000</v>
      </c>
    </row>
    <row r="102" spans="1:19">
      <c r="A102" s="4" t="s">
        <v>567</v>
      </c>
      <c r="B102" s="757"/>
      <c r="C102" s="689">
        <v>3845</v>
      </c>
      <c r="D102" s="689">
        <v>3845</v>
      </c>
      <c r="E102" s="689">
        <v>3845</v>
      </c>
      <c r="F102" s="689">
        <v>3845</v>
      </c>
      <c r="G102" s="689">
        <v>3845</v>
      </c>
      <c r="H102" s="689">
        <v>3845</v>
      </c>
      <c r="I102" s="689">
        <v>3845</v>
      </c>
      <c r="J102" s="689">
        <v>3845</v>
      </c>
      <c r="K102" s="689">
        <v>3845</v>
      </c>
      <c r="L102" s="689">
        <v>3845</v>
      </c>
      <c r="M102" s="689">
        <v>3845</v>
      </c>
      <c r="N102" s="689">
        <v>3845</v>
      </c>
      <c r="O102" s="689">
        <v>3845</v>
      </c>
      <c r="P102" s="689">
        <v>3845</v>
      </c>
      <c r="Q102" s="689">
        <v>3845</v>
      </c>
      <c r="R102" s="689">
        <v>3845</v>
      </c>
      <c r="S102" s="689">
        <v>3845</v>
      </c>
    </row>
    <row r="103" spans="1:19">
      <c r="A103" s="4" t="s">
        <v>568</v>
      </c>
      <c r="B103" s="757"/>
      <c r="C103" s="689">
        <v>3500</v>
      </c>
      <c r="D103" s="689">
        <v>3500</v>
      </c>
      <c r="E103" s="689">
        <v>3500</v>
      </c>
      <c r="F103" s="689">
        <v>3500</v>
      </c>
      <c r="G103" s="689">
        <v>3500</v>
      </c>
      <c r="H103" s="689">
        <v>3500</v>
      </c>
      <c r="I103" s="689">
        <v>3500</v>
      </c>
      <c r="J103" s="689">
        <v>3500</v>
      </c>
      <c r="K103" s="689">
        <v>3500</v>
      </c>
      <c r="L103" s="689">
        <v>3500</v>
      </c>
      <c r="M103" s="689">
        <v>3500</v>
      </c>
      <c r="N103" s="689">
        <v>3500</v>
      </c>
      <c r="O103" s="689">
        <v>3500</v>
      </c>
      <c r="P103" s="689">
        <v>3500</v>
      </c>
      <c r="Q103" s="689">
        <v>3500</v>
      </c>
      <c r="R103" s="689">
        <v>3500</v>
      </c>
      <c r="S103" s="689">
        <v>3500</v>
      </c>
    </row>
    <row r="104" spans="1:19">
      <c r="A104" s="4" t="s">
        <v>569</v>
      </c>
      <c r="B104" s="757"/>
      <c r="C104" s="689">
        <v>85250</v>
      </c>
      <c r="D104" s="689">
        <v>85250</v>
      </c>
      <c r="E104" s="689">
        <v>85250</v>
      </c>
      <c r="F104" s="689">
        <v>85250</v>
      </c>
      <c r="G104" s="689">
        <v>85250</v>
      </c>
      <c r="H104" s="689">
        <v>35250</v>
      </c>
      <c r="I104" s="689">
        <v>35250</v>
      </c>
      <c r="J104" s="689">
        <v>35250</v>
      </c>
      <c r="K104" s="689">
        <v>35250</v>
      </c>
      <c r="L104" s="689">
        <v>35250</v>
      </c>
      <c r="M104" s="689">
        <v>35250</v>
      </c>
      <c r="N104" s="689">
        <v>35250</v>
      </c>
      <c r="O104" s="689">
        <v>35250</v>
      </c>
      <c r="P104" s="689">
        <v>35250</v>
      </c>
      <c r="Q104" s="689">
        <v>35250</v>
      </c>
      <c r="R104" s="689">
        <v>35250</v>
      </c>
      <c r="S104" s="689">
        <v>35250</v>
      </c>
    </row>
    <row r="105" spans="1:19">
      <c r="A105" s="4"/>
      <c r="B105" s="757"/>
      <c r="C105" s="689"/>
      <c r="D105" s="689"/>
      <c r="E105" s="689"/>
      <c r="F105" s="689"/>
      <c r="G105" s="689"/>
      <c r="H105" s="689"/>
      <c r="I105" s="689"/>
      <c r="J105" s="689"/>
      <c r="K105" s="689"/>
      <c r="L105" s="689"/>
      <c r="M105" s="689"/>
      <c r="N105" s="689"/>
      <c r="O105" s="689"/>
      <c r="P105" s="689"/>
      <c r="Q105" s="689"/>
      <c r="R105" s="689"/>
      <c r="S105" s="689"/>
    </row>
    <row r="106" spans="1:19" ht="16.2" thickBot="1">
      <c r="A106" s="737"/>
      <c r="B106" s="738"/>
      <c r="C106" s="848">
        <v>6080726</v>
      </c>
      <c r="D106" s="848">
        <v>868447</v>
      </c>
      <c r="E106" s="848">
        <v>4468825</v>
      </c>
      <c r="F106" s="848">
        <v>3594176</v>
      </c>
      <c r="G106" s="848">
        <v>4623176</v>
      </c>
      <c r="H106" s="848">
        <v>442176</v>
      </c>
      <c r="I106" s="848">
        <v>15735576</v>
      </c>
      <c r="J106" s="848">
        <v>1238076</v>
      </c>
      <c r="K106" s="848">
        <v>1238076</v>
      </c>
      <c r="L106" s="848">
        <v>3297949</v>
      </c>
      <c r="M106" s="848">
        <v>612349</v>
      </c>
      <c r="N106" s="848">
        <v>612349</v>
      </c>
      <c r="O106" s="848">
        <v>617349</v>
      </c>
      <c r="P106" s="848">
        <v>9267349</v>
      </c>
      <c r="Q106" s="848">
        <v>75394849</v>
      </c>
      <c r="R106" s="848">
        <v>75394849</v>
      </c>
      <c r="S106" s="848">
        <v>1081849</v>
      </c>
    </row>
    <row r="107" spans="1:19">
      <c r="A107" s="5"/>
      <c r="B107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685"/>
      <c r="Q107" s="685"/>
      <c r="R107" s="685"/>
      <c r="S107" s="685"/>
    </row>
    <row r="108" spans="1:19">
      <c r="A108" s="5"/>
      <c r="B108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685"/>
      <c r="Q108" s="685"/>
      <c r="R108" s="685"/>
      <c r="S108" s="685"/>
    </row>
    <row r="109" spans="1:19">
      <c r="A109" s="754" t="s">
        <v>3</v>
      </c>
      <c r="B109" s="755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90"/>
      <c r="P109" s="690"/>
      <c r="Q109" s="690"/>
      <c r="R109" s="690"/>
      <c r="S109" s="690"/>
    </row>
    <row r="110" spans="1:19">
      <c r="A110" s="28" t="s">
        <v>223</v>
      </c>
      <c r="B110" s="747" t="s">
        <v>282</v>
      </c>
      <c r="C110" s="855">
        <v>76347019</v>
      </c>
      <c r="D110" s="855">
        <v>30081745</v>
      </c>
      <c r="E110" s="855">
        <v>30299341</v>
      </c>
      <c r="F110" s="855">
        <v>60094655</v>
      </c>
      <c r="G110" s="855">
        <v>11937543</v>
      </c>
      <c r="H110" s="855">
        <v>94372445</v>
      </c>
      <c r="I110" s="855">
        <v>14094635</v>
      </c>
      <c r="J110" s="855">
        <v>146159012</v>
      </c>
      <c r="K110" s="855">
        <v>38015363</v>
      </c>
      <c r="L110" s="855">
        <v>35602567</v>
      </c>
      <c r="M110" s="855">
        <v>94870809</v>
      </c>
      <c r="N110" s="855">
        <v>37536841</v>
      </c>
      <c r="O110" s="855">
        <v>25408459</v>
      </c>
      <c r="P110" s="855">
        <v>57933110</v>
      </c>
      <c r="Q110" s="855">
        <v>23505299</v>
      </c>
      <c r="R110" s="855">
        <v>23505299</v>
      </c>
      <c r="S110" s="855">
        <v>79171</v>
      </c>
    </row>
    <row r="111" spans="1:19">
      <c r="A111" s="1" t="s">
        <v>5</v>
      </c>
      <c r="B111" s="756"/>
      <c r="C111" s="641">
        <v>5</v>
      </c>
      <c r="D111" s="641">
        <v>5</v>
      </c>
      <c r="E111" s="641">
        <v>5</v>
      </c>
      <c r="F111" s="641">
        <v>5</v>
      </c>
      <c r="G111" s="641">
        <v>5</v>
      </c>
      <c r="H111" s="641">
        <v>5</v>
      </c>
      <c r="I111" s="641">
        <v>5</v>
      </c>
      <c r="J111" s="641">
        <v>5</v>
      </c>
      <c r="K111" s="641">
        <v>5</v>
      </c>
      <c r="L111" s="641">
        <v>5</v>
      </c>
      <c r="M111" s="641">
        <v>5</v>
      </c>
      <c r="N111" s="641">
        <v>5</v>
      </c>
      <c r="O111" s="641">
        <v>5</v>
      </c>
      <c r="P111" s="641">
        <v>5</v>
      </c>
      <c r="Q111" s="641">
        <v>5</v>
      </c>
      <c r="R111" s="641">
        <v>5</v>
      </c>
      <c r="S111" s="641">
        <v>5</v>
      </c>
    </row>
    <row r="112" spans="1:19">
      <c r="A112" s="1" t="s">
        <v>6</v>
      </c>
      <c r="B112" s="756"/>
      <c r="C112" s="641">
        <v>3148</v>
      </c>
      <c r="D112" s="641">
        <v>3148</v>
      </c>
      <c r="E112" s="641">
        <v>3148</v>
      </c>
      <c r="F112" s="641">
        <v>3148</v>
      </c>
      <c r="G112" s="641">
        <v>3148</v>
      </c>
      <c r="H112" s="641">
        <v>3148</v>
      </c>
      <c r="I112" s="641">
        <v>3148</v>
      </c>
      <c r="J112" s="641">
        <v>3148</v>
      </c>
      <c r="K112" s="641">
        <v>3148</v>
      </c>
      <c r="L112" s="641">
        <v>3148</v>
      </c>
      <c r="M112" s="641">
        <v>3148</v>
      </c>
      <c r="N112" s="641">
        <v>3148</v>
      </c>
      <c r="O112" s="641">
        <v>3148</v>
      </c>
      <c r="P112" s="641">
        <v>3148</v>
      </c>
      <c r="Q112" s="641">
        <v>3148</v>
      </c>
      <c r="R112" s="641">
        <v>3148</v>
      </c>
      <c r="S112" s="641">
        <v>3148</v>
      </c>
    </row>
    <row r="113" spans="1:19">
      <c r="A113" s="1" t="s">
        <v>7</v>
      </c>
      <c r="B113" s="756"/>
      <c r="C113" s="641">
        <v>149</v>
      </c>
      <c r="D113" s="641">
        <v>149</v>
      </c>
      <c r="E113" s="641">
        <v>149</v>
      </c>
      <c r="F113" s="641">
        <v>149</v>
      </c>
      <c r="G113" s="641">
        <v>149</v>
      </c>
      <c r="H113" s="641">
        <v>149</v>
      </c>
      <c r="I113" s="641">
        <v>149</v>
      </c>
      <c r="J113" s="641">
        <v>149</v>
      </c>
      <c r="K113" s="641">
        <v>149</v>
      </c>
      <c r="L113" s="641">
        <v>149</v>
      </c>
      <c r="M113" s="641">
        <v>149</v>
      </c>
      <c r="N113" s="641">
        <v>149</v>
      </c>
      <c r="O113" s="641">
        <v>149</v>
      </c>
      <c r="P113" s="641">
        <v>149</v>
      </c>
      <c r="Q113" s="641">
        <v>149</v>
      </c>
      <c r="R113" s="641">
        <v>149</v>
      </c>
      <c r="S113" s="641">
        <v>149</v>
      </c>
    </row>
    <row r="114" spans="1:19">
      <c r="A114" s="1" t="s">
        <v>8</v>
      </c>
      <c r="B114" s="756"/>
      <c r="C114" s="641">
        <v>250000</v>
      </c>
      <c r="D114" s="641">
        <v>250000</v>
      </c>
      <c r="E114" s="641">
        <v>250000</v>
      </c>
      <c r="F114" s="641">
        <v>250000</v>
      </c>
      <c r="G114" s="641">
        <v>250000</v>
      </c>
      <c r="H114" s="641">
        <v>250000</v>
      </c>
      <c r="I114" s="641">
        <v>250000</v>
      </c>
      <c r="J114" s="641">
        <v>250000</v>
      </c>
      <c r="K114" s="641">
        <v>250000</v>
      </c>
      <c r="L114" s="641">
        <v>250000</v>
      </c>
      <c r="M114" s="641">
        <v>250000</v>
      </c>
      <c r="N114" s="641">
        <v>250000</v>
      </c>
      <c r="O114" s="641">
        <v>250000</v>
      </c>
      <c r="P114" s="641">
        <v>250000</v>
      </c>
      <c r="Q114" s="641">
        <v>250000</v>
      </c>
      <c r="R114" s="641">
        <v>250000</v>
      </c>
      <c r="S114" s="641">
        <v>250000</v>
      </c>
    </row>
    <row r="115" spans="1:19">
      <c r="A115" s="1"/>
      <c r="B115" s="736"/>
      <c r="C115" s="641"/>
      <c r="D115" s="641"/>
      <c r="E115" s="641"/>
      <c r="F115" s="641"/>
      <c r="G115" s="641"/>
      <c r="H115" s="641"/>
      <c r="I115" s="641"/>
      <c r="J115" s="641"/>
      <c r="K115" s="641"/>
      <c r="L115" s="641"/>
      <c r="M115" s="641"/>
      <c r="N115" s="641"/>
      <c r="O115" s="641"/>
      <c r="P115" s="641"/>
      <c r="Q115" s="641"/>
      <c r="R115" s="641"/>
      <c r="S115" s="641"/>
    </row>
    <row r="116" spans="1:19" ht="15.6">
      <c r="A116" s="1"/>
      <c r="B116" s="736"/>
      <c r="C116" s="863">
        <v>76600321</v>
      </c>
      <c r="D116" s="863">
        <v>30335047</v>
      </c>
      <c r="E116" s="863">
        <v>30552643</v>
      </c>
      <c r="F116" s="863">
        <v>60347957</v>
      </c>
      <c r="G116" s="863">
        <v>12190845</v>
      </c>
      <c r="H116" s="863">
        <v>94625747</v>
      </c>
      <c r="I116" s="863">
        <v>14347937</v>
      </c>
      <c r="J116" s="863">
        <v>146412314</v>
      </c>
      <c r="K116" s="863">
        <v>38268665</v>
      </c>
      <c r="L116" s="863">
        <v>35855869</v>
      </c>
      <c r="M116" s="863">
        <v>95124111</v>
      </c>
      <c r="N116" s="863">
        <v>37790143</v>
      </c>
      <c r="O116" s="863">
        <v>25661761</v>
      </c>
      <c r="P116" s="863">
        <v>58186412</v>
      </c>
      <c r="Q116" s="863">
        <v>23758601</v>
      </c>
      <c r="R116" s="863">
        <v>23758601</v>
      </c>
      <c r="S116" s="863">
        <v>332473</v>
      </c>
    </row>
    <row r="117" spans="1:19">
      <c r="A117" s="4"/>
      <c r="B117" s="15"/>
      <c r="C117" s="865"/>
      <c r="D117" s="865"/>
      <c r="E117" s="865"/>
      <c r="F117" s="865"/>
      <c r="G117" s="865"/>
      <c r="H117" s="865"/>
      <c r="I117" s="865"/>
      <c r="J117" s="865"/>
      <c r="K117" s="865"/>
      <c r="L117" s="865"/>
      <c r="M117" s="865"/>
      <c r="N117" s="865"/>
      <c r="O117" s="865"/>
      <c r="P117" s="865"/>
      <c r="Q117" s="865"/>
      <c r="R117" s="865"/>
      <c r="S117" s="865"/>
    </row>
    <row r="118" spans="1:19">
      <c r="A118" s="5"/>
      <c r="B118"/>
      <c r="C118" s="864"/>
      <c r="D118" s="864"/>
      <c r="E118" s="864"/>
      <c r="F118" s="864"/>
      <c r="G118" s="864"/>
      <c r="H118" s="864"/>
      <c r="I118" s="864"/>
      <c r="J118" s="864"/>
      <c r="K118" s="864"/>
      <c r="L118" s="864"/>
      <c r="M118" s="864"/>
      <c r="N118" s="864"/>
      <c r="O118" s="864"/>
      <c r="P118" s="864"/>
      <c r="Q118" s="864"/>
      <c r="R118" s="864"/>
      <c r="S118" s="864"/>
    </row>
    <row r="119" spans="1:19" s="688" customFormat="1" ht="21">
      <c r="A119" s="1449" t="s">
        <v>226</v>
      </c>
      <c r="B119" s="1446"/>
      <c r="C119" s="850">
        <v>108824168</v>
      </c>
      <c r="D119" s="850">
        <v>53859383</v>
      </c>
      <c r="E119" s="850">
        <v>60317040</v>
      </c>
      <c r="F119" s="850">
        <v>90798712</v>
      </c>
      <c r="G119" s="850">
        <v>41897653</v>
      </c>
      <c r="H119" s="850">
        <v>119951695</v>
      </c>
      <c r="I119" s="850">
        <v>54273897</v>
      </c>
      <c r="J119" s="850">
        <v>170508646</v>
      </c>
      <c r="K119" s="850">
        <v>64340043</v>
      </c>
      <c r="L119" s="850">
        <v>58030264</v>
      </c>
      <c r="M119" s="850">
        <v>121669703</v>
      </c>
      <c r="N119" s="850">
        <v>66046810</v>
      </c>
      <c r="O119" s="850">
        <v>52677346</v>
      </c>
      <c r="P119" s="850">
        <v>93103515</v>
      </c>
      <c r="Q119" s="850">
        <v>125097790</v>
      </c>
      <c r="R119" s="850">
        <v>125097790</v>
      </c>
      <c r="S119" s="850">
        <v>100199588</v>
      </c>
    </row>
    <row r="120" spans="1:19">
      <c r="A120" s="5"/>
      <c r="B120"/>
      <c r="C120" s="864"/>
      <c r="D120" s="864"/>
      <c r="E120" s="864"/>
      <c r="F120" s="864"/>
      <c r="G120" s="864"/>
      <c r="H120" s="864"/>
      <c r="I120" s="864"/>
      <c r="J120" s="864"/>
      <c r="K120" s="864"/>
      <c r="L120" s="864"/>
      <c r="M120" s="864"/>
      <c r="N120" s="864"/>
      <c r="O120" s="864"/>
      <c r="P120" s="864"/>
      <c r="Q120" s="864"/>
      <c r="R120" s="864"/>
      <c r="S120" s="864"/>
    </row>
    <row r="121" spans="1:19" ht="16.2" thickBot="1">
      <c r="A121" s="758"/>
      <c r="B121" s="759"/>
      <c r="C121" s="866"/>
      <c r="D121" s="866"/>
      <c r="E121" s="866"/>
      <c r="F121" s="866"/>
      <c r="G121" s="866"/>
      <c r="H121" s="866"/>
      <c r="I121" s="866"/>
      <c r="J121" s="866"/>
      <c r="K121" s="866"/>
      <c r="L121" s="866"/>
      <c r="M121" s="866"/>
      <c r="N121" s="866"/>
      <c r="O121" s="866"/>
      <c r="P121" s="866"/>
      <c r="Q121" s="866"/>
      <c r="R121" s="866"/>
      <c r="S121" s="866"/>
    </row>
    <row r="122" spans="1:19" ht="15" thickTop="1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  <c r="R122" s="864"/>
      <c r="S122" s="864"/>
    </row>
    <row r="123" spans="1:19" s="691" customFormat="1" ht="21">
      <c r="A123" s="1442" t="s">
        <v>227</v>
      </c>
      <c r="B123" s="1443"/>
      <c r="C123" s="867">
        <v>216277168</v>
      </c>
      <c r="D123" s="867">
        <v>217760383</v>
      </c>
      <c r="E123" s="867">
        <v>221764040</v>
      </c>
      <c r="F123" s="867">
        <v>226292212</v>
      </c>
      <c r="G123" s="867">
        <v>223631153</v>
      </c>
      <c r="H123" s="867">
        <v>231878195</v>
      </c>
      <c r="I123" s="867">
        <v>230828397</v>
      </c>
      <c r="J123" s="867">
        <v>238789146</v>
      </c>
      <c r="K123" s="867">
        <v>242570043</v>
      </c>
      <c r="L123" s="867">
        <v>246146764</v>
      </c>
      <c r="M123" s="867">
        <v>247457703</v>
      </c>
      <c r="N123" s="867">
        <v>247082810</v>
      </c>
      <c r="O123" s="867">
        <v>246131346</v>
      </c>
      <c r="P123" s="867">
        <v>244996515</v>
      </c>
      <c r="Q123" s="867">
        <v>245055790</v>
      </c>
      <c r="R123" s="867">
        <v>245055790</v>
      </c>
      <c r="S123" s="867">
        <v>244286588</v>
      </c>
    </row>
    <row r="124" spans="1:19">
      <c r="A124" s="5"/>
      <c r="B124"/>
      <c r="C124" s="852"/>
      <c r="D124" s="852"/>
      <c r="E124" s="852"/>
      <c r="F124" s="852"/>
      <c r="G124" s="852"/>
      <c r="H124" s="852"/>
      <c r="I124" s="852"/>
      <c r="J124" s="852"/>
      <c r="K124" s="852"/>
      <c r="L124" s="852"/>
      <c r="M124" s="852"/>
      <c r="N124" s="852"/>
      <c r="O124" s="852"/>
      <c r="P124" s="852"/>
      <c r="Q124" s="852"/>
      <c r="R124" s="852"/>
      <c r="S124" s="852"/>
    </row>
    <row r="125" spans="1:19" ht="18">
      <c r="A125" s="754" t="s">
        <v>21</v>
      </c>
      <c r="B125" s="755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</row>
    <row r="126" spans="1:19">
      <c r="A126" s="1"/>
      <c r="B126" s="736"/>
      <c r="C126" s="641"/>
      <c r="D126" s="641"/>
      <c r="E126" s="641"/>
      <c r="F126" s="641"/>
      <c r="G126" s="641"/>
      <c r="H126" s="641"/>
      <c r="I126" s="641"/>
      <c r="J126" s="641"/>
      <c r="K126" s="641"/>
      <c r="L126" s="641"/>
      <c r="M126" s="641"/>
      <c r="N126" s="641"/>
      <c r="O126" s="641"/>
      <c r="P126" s="641"/>
      <c r="Q126" s="641"/>
      <c r="R126" s="641"/>
      <c r="S126" s="641"/>
    </row>
    <row r="127" spans="1:19">
      <c r="A127" s="4" t="s">
        <v>76</v>
      </c>
      <c r="B127" s="15"/>
      <c r="C127" s="689">
        <v>5000000</v>
      </c>
      <c r="D127" s="689">
        <v>5000000</v>
      </c>
      <c r="E127" s="689">
        <v>5000000</v>
      </c>
      <c r="F127" s="689">
        <v>5000000</v>
      </c>
      <c r="G127" s="689">
        <v>5000000</v>
      </c>
      <c r="H127" s="689">
        <v>5000000</v>
      </c>
      <c r="I127" s="689">
        <v>5000000</v>
      </c>
      <c r="J127" s="689">
        <v>5000000</v>
      </c>
      <c r="K127" s="689">
        <v>5000000</v>
      </c>
      <c r="L127" s="689">
        <v>5000000</v>
      </c>
      <c r="M127" s="689">
        <v>5000000</v>
      </c>
      <c r="N127" s="689">
        <v>5000000</v>
      </c>
      <c r="O127" s="689">
        <v>5000000</v>
      </c>
      <c r="P127" s="689">
        <v>5000000</v>
      </c>
      <c r="Q127" s="689">
        <v>5000000</v>
      </c>
      <c r="R127" s="689">
        <v>5000000</v>
      </c>
      <c r="S127" s="689">
        <v>5000000</v>
      </c>
    </row>
    <row r="128" spans="1:19">
      <c r="A128" s="4" t="s">
        <v>186</v>
      </c>
      <c r="B128" s="15"/>
      <c r="C128" s="689">
        <v>679000</v>
      </c>
      <c r="D128" s="689">
        <v>679000</v>
      </c>
      <c r="E128" s="689">
        <v>679000</v>
      </c>
      <c r="F128" s="689">
        <v>679000</v>
      </c>
      <c r="G128" s="689">
        <v>679000</v>
      </c>
      <c r="H128" s="689">
        <v>679000</v>
      </c>
      <c r="I128" s="689">
        <v>679000</v>
      </c>
      <c r="J128" s="689">
        <v>679000</v>
      </c>
      <c r="K128" s="689">
        <v>679000</v>
      </c>
      <c r="L128" s="689">
        <v>679000</v>
      </c>
      <c r="M128" s="689">
        <v>679000</v>
      </c>
      <c r="N128" s="689">
        <v>679000</v>
      </c>
      <c r="O128" s="689">
        <v>679000</v>
      </c>
      <c r="P128" s="689">
        <v>679000</v>
      </c>
      <c r="Q128" s="689">
        <v>679000</v>
      </c>
      <c r="R128" s="689">
        <v>679000</v>
      </c>
      <c r="S128" s="689">
        <v>679000</v>
      </c>
    </row>
    <row r="129" spans="1:19">
      <c r="A129" s="4" t="s">
        <v>261</v>
      </c>
      <c r="B129" s="15"/>
      <c r="C129" s="689">
        <v>200000</v>
      </c>
      <c r="D129" s="689">
        <v>200000</v>
      </c>
      <c r="E129" s="689">
        <v>200000</v>
      </c>
      <c r="F129" s="689">
        <v>200000</v>
      </c>
      <c r="G129" s="689">
        <v>200000</v>
      </c>
      <c r="H129" s="689">
        <v>200000</v>
      </c>
      <c r="I129" s="689">
        <v>200000</v>
      </c>
      <c r="J129" s="689">
        <v>200000</v>
      </c>
      <c r="K129" s="689">
        <v>200000</v>
      </c>
      <c r="L129" s="689">
        <v>200000</v>
      </c>
      <c r="M129" s="689">
        <v>200000</v>
      </c>
      <c r="N129" s="689">
        <v>200000</v>
      </c>
      <c r="O129" s="689">
        <v>200000</v>
      </c>
      <c r="P129" s="689">
        <v>200000</v>
      </c>
      <c r="Q129" s="689">
        <v>200000</v>
      </c>
      <c r="R129" s="689">
        <v>200000</v>
      </c>
      <c r="S129" s="689">
        <v>200000</v>
      </c>
    </row>
    <row r="130" spans="1:19">
      <c r="A130" s="4" t="s">
        <v>629</v>
      </c>
      <c r="B130" s="15"/>
      <c r="C130" s="689">
        <v>0</v>
      </c>
      <c r="D130" s="689">
        <v>0</v>
      </c>
      <c r="E130" s="689">
        <v>0</v>
      </c>
      <c r="F130" s="689">
        <v>0</v>
      </c>
      <c r="G130" s="693">
        <v>0</v>
      </c>
      <c r="H130" s="689">
        <v>55000</v>
      </c>
      <c r="I130" s="689">
        <v>55000</v>
      </c>
      <c r="J130" s="689">
        <v>55000</v>
      </c>
      <c r="K130" s="689">
        <v>55000</v>
      </c>
      <c r="L130" s="689">
        <v>55000</v>
      </c>
      <c r="M130" s="689">
        <v>55000</v>
      </c>
      <c r="N130" s="689">
        <v>55000</v>
      </c>
      <c r="O130" s="689">
        <v>55000</v>
      </c>
      <c r="P130" s="689">
        <v>55000</v>
      </c>
      <c r="Q130" s="689">
        <v>55000</v>
      </c>
      <c r="R130" s="689">
        <v>55000</v>
      </c>
      <c r="S130" s="693">
        <v>55000</v>
      </c>
    </row>
    <row r="131" spans="1:19">
      <c r="A131" s="4" t="s">
        <v>634</v>
      </c>
      <c r="B131" s="15"/>
      <c r="C131" s="689">
        <v>0</v>
      </c>
      <c r="D131" s="689">
        <v>0</v>
      </c>
      <c r="E131" s="689">
        <v>0</v>
      </c>
      <c r="F131" s="689">
        <v>0</v>
      </c>
      <c r="G131" s="693">
        <v>0</v>
      </c>
      <c r="H131" s="693">
        <v>0</v>
      </c>
      <c r="I131" s="693">
        <v>0</v>
      </c>
      <c r="J131" s="693">
        <v>0</v>
      </c>
      <c r="K131" s="693">
        <v>0</v>
      </c>
      <c r="L131" s="693">
        <v>55000</v>
      </c>
      <c r="M131" s="693">
        <v>55000</v>
      </c>
      <c r="N131" s="693">
        <v>55000</v>
      </c>
      <c r="O131" s="693">
        <v>55000</v>
      </c>
      <c r="P131" s="693">
        <v>55000</v>
      </c>
      <c r="Q131" s="693">
        <v>55000</v>
      </c>
      <c r="R131" s="693">
        <v>55000</v>
      </c>
      <c r="S131" s="689"/>
    </row>
    <row r="132" spans="1:19">
      <c r="A132" s="4" t="s">
        <v>638</v>
      </c>
      <c r="B132" s="15"/>
      <c r="C132" s="689">
        <v>0</v>
      </c>
      <c r="D132" s="689">
        <v>0</v>
      </c>
      <c r="E132" s="689">
        <v>0</v>
      </c>
      <c r="F132" s="689">
        <v>0</v>
      </c>
      <c r="G132" s="693">
        <v>0</v>
      </c>
      <c r="H132" s="693">
        <v>0</v>
      </c>
      <c r="I132" s="693">
        <v>0</v>
      </c>
      <c r="J132" s="693">
        <v>0</v>
      </c>
      <c r="K132" s="693">
        <v>0</v>
      </c>
      <c r="L132" s="693">
        <v>110000</v>
      </c>
      <c r="M132" s="693">
        <v>110000</v>
      </c>
      <c r="N132" s="689"/>
      <c r="O132" s="689"/>
      <c r="P132" s="689"/>
      <c r="Q132" s="689"/>
      <c r="R132" s="689"/>
      <c r="S132" s="689"/>
    </row>
    <row r="133" spans="1:19">
      <c r="A133" s="1" t="s">
        <v>26</v>
      </c>
      <c r="B133" s="736"/>
      <c r="C133" s="641">
        <v>50000</v>
      </c>
      <c r="D133" s="641">
        <v>50000</v>
      </c>
      <c r="E133" s="641">
        <v>50000</v>
      </c>
      <c r="F133" s="641">
        <v>50000</v>
      </c>
      <c r="G133" s="641">
        <v>50000</v>
      </c>
      <c r="H133" s="641">
        <v>50000</v>
      </c>
      <c r="I133" s="641">
        <v>50000</v>
      </c>
      <c r="J133" s="641">
        <v>50000</v>
      </c>
      <c r="K133" s="641">
        <v>50000</v>
      </c>
      <c r="L133" s="641">
        <v>50000</v>
      </c>
      <c r="M133" s="641">
        <v>50000</v>
      </c>
      <c r="N133" s="641">
        <v>50000</v>
      </c>
      <c r="O133" s="641">
        <v>50000</v>
      </c>
      <c r="P133" s="641">
        <v>50000</v>
      </c>
      <c r="Q133" s="641">
        <v>50000</v>
      </c>
      <c r="R133" s="641">
        <v>50000</v>
      </c>
      <c r="S133" s="641">
        <v>50000</v>
      </c>
    </row>
    <row r="134" spans="1:19">
      <c r="A134" s="1" t="s">
        <v>570</v>
      </c>
      <c r="B134" s="736"/>
      <c r="C134" s="641">
        <v>2250000</v>
      </c>
      <c r="D134" s="641">
        <v>2250000</v>
      </c>
      <c r="E134" s="641">
        <v>2250000</v>
      </c>
      <c r="F134" s="641">
        <v>2250000</v>
      </c>
      <c r="G134" s="641">
        <v>2250000</v>
      </c>
      <c r="H134" s="641">
        <v>2250000</v>
      </c>
      <c r="I134" s="641">
        <v>2250000</v>
      </c>
      <c r="J134" s="641">
        <v>2250000</v>
      </c>
      <c r="K134" s="641">
        <v>2250000</v>
      </c>
      <c r="L134" s="641">
        <v>2250000</v>
      </c>
      <c r="M134" s="641">
        <v>2250000</v>
      </c>
      <c r="N134" s="641">
        <v>2250000</v>
      </c>
      <c r="O134" s="641">
        <v>2250000</v>
      </c>
      <c r="P134" s="641">
        <v>2250000</v>
      </c>
      <c r="Q134" s="641">
        <v>2250000</v>
      </c>
      <c r="R134" s="641">
        <v>2250000</v>
      </c>
      <c r="S134" s="641">
        <v>2250000</v>
      </c>
    </row>
    <row r="135" spans="1:19">
      <c r="A135" s="1" t="s">
        <v>363</v>
      </c>
      <c r="B135" s="736"/>
      <c r="C135" s="641">
        <v>0</v>
      </c>
      <c r="D135" s="684">
        <v>0</v>
      </c>
      <c r="E135" s="684">
        <v>25000</v>
      </c>
      <c r="F135" s="641"/>
      <c r="G135" s="641"/>
      <c r="H135" s="641"/>
      <c r="I135" s="641"/>
      <c r="J135" s="641"/>
      <c r="K135" s="641"/>
      <c r="L135" s="641"/>
      <c r="M135" s="641"/>
      <c r="N135" s="641"/>
      <c r="O135" s="641"/>
      <c r="P135" s="641"/>
      <c r="Q135" s="641"/>
      <c r="R135" s="641"/>
      <c r="S135" s="641"/>
    </row>
    <row r="136" spans="1:19">
      <c r="A136" s="1" t="s">
        <v>198</v>
      </c>
      <c r="B136" s="736"/>
      <c r="C136" s="641">
        <v>0</v>
      </c>
      <c r="D136" s="641">
        <v>0</v>
      </c>
      <c r="E136" s="641">
        <v>0</v>
      </c>
      <c r="F136" s="641">
        <v>0</v>
      </c>
      <c r="G136" s="641">
        <v>0</v>
      </c>
      <c r="H136" s="641">
        <v>0</v>
      </c>
      <c r="I136" s="641">
        <v>0</v>
      </c>
      <c r="J136" s="641">
        <v>0</v>
      </c>
      <c r="K136" s="641">
        <v>0</v>
      </c>
      <c r="L136" s="641">
        <v>0</v>
      </c>
      <c r="M136" s="641">
        <v>0</v>
      </c>
      <c r="N136" s="641">
        <v>0</v>
      </c>
      <c r="O136" s="641">
        <v>0</v>
      </c>
      <c r="P136" s="641">
        <v>0</v>
      </c>
      <c r="Q136" s="641">
        <v>0</v>
      </c>
      <c r="R136" s="641">
        <v>0</v>
      </c>
      <c r="S136" s="684">
        <v>0</v>
      </c>
    </row>
    <row r="137" spans="1:19">
      <c r="A137" s="1" t="s">
        <v>192</v>
      </c>
      <c r="B137" s="736"/>
      <c r="C137" s="641">
        <v>0</v>
      </c>
      <c r="D137" s="684">
        <v>0</v>
      </c>
      <c r="E137" s="641">
        <v>100000</v>
      </c>
      <c r="F137" s="641">
        <v>100000</v>
      </c>
      <c r="G137" s="641">
        <v>100000</v>
      </c>
      <c r="H137" s="641">
        <v>100000</v>
      </c>
      <c r="I137" s="641">
        <v>100000</v>
      </c>
      <c r="J137" s="641">
        <v>100000</v>
      </c>
      <c r="K137" s="641">
        <v>100000</v>
      </c>
      <c r="L137" s="641">
        <v>100000</v>
      </c>
      <c r="M137" s="641">
        <v>100000</v>
      </c>
      <c r="N137" s="641">
        <v>100000</v>
      </c>
      <c r="O137" s="641">
        <v>100000</v>
      </c>
      <c r="P137" s="641">
        <v>100000</v>
      </c>
      <c r="Q137" s="641">
        <v>100000</v>
      </c>
      <c r="R137" s="641">
        <v>100000</v>
      </c>
      <c r="S137" s="684">
        <v>100000</v>
      </c>
    </row>
    <row r="138" spans="1:19">
      <c r="A138" s="1" t="s">
        <v>627</v>
      </c>
      <c r="B138" s="736"/>
      <c r="C138" s="684">
        <v>100000</v>
      </c>
      <c r="D138" s="641">
        <v>200000</v>
      </c>
      <c r="E138" s="641">
        <v>200000</v>
      </c>
      <c r="F138" s="641">
        <v>200000</v>
      </c>
      <c r="G138" s="641">
        <v>200000</v>
      </c>
      <c r="H138" s="641">
        <v>200000</v>
      </c>
      <c r="I138" s="641">
        <v>200000</v>
      </c>
      <c r="J138" s="641">
        <v>200000</v>
      </c>
      <c r="K138" s="641">
        <v>200000</v>
      </c>
      <c r="L138" s="641">
        <v>200000</v>
      </c>
      <c r="M138" s="641">
        <v>200000</v>
      </c>
      <c r="N138" s="641">
        <v>200000</v>
      </c>
      <c r="O138" s="641">
        <v>200000</v>
      </c>
      <c r="P138" s="641">
        <v>200000</v>
      </c>
      <c r="Q138" s="641">
        <v>200000</v>
      </c>
      <c r="R138" s="641">
        <v>200000</v>
      </c>
      <c r="S138" s="641">
        <v>200000</v>
      </c>
    </row>
    <row r="139" spans="1:19">
      <c r="A139" s="1"/>
      <c r="B139" s="736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1"/>
      <c r="P139" s="641"/>
      <c r="Q139" s="641"/>
      <c r="R139" s="641"/>
      <c r="S139" s="641"/>
    </row>
    <row r="140" spans="1:19">
      <c r="A140" s="4"/>
      <c r="B140" s="15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9"/>
      <c r="Q140" s="689"/>
      <c r="R140" s="689"/>
      <c r="S140" s="689"/>
    </row>
    <row r="141" spans="1:19">
      <c r="A141" s="4" t="s">
        <v>191</v>
      </c>
      <c r="B141" s="15"/>
      <c r="C141" s="693">
        <v>100000</v>
      </c>
      <c r="D141" s="689">
        <v>200000</v>
      </c>
      <c r="E141" s="689">
        <v>200000</v>
      </c>
      <c r="F141" s="689">
        <v>200000</v>
      </c>
      <c r="G141" s="689">
        <v>200000</v>
      </c>
      <c r="H141" s="689">
        <v>200000</v>
      </c>
      <c r="I141" s="689">
        <v>200000</v>
      </c>
      <c r="J141" s="689">
        <v>200000</v>
      </c>
      <c r="K141" s="689">
        <v>200000</v>
      </c>
      <c r="L141" s="689">
        <v>200000</v>
      </c>
      <c r="M141" s="689">
        <v>200000</v>
      </c>
      <c r="N141" s="689">
        <v>200000</v>
      </c>
      <c r="O141" s="689">
        <v>200000</v>
      </c>
      <c r="P141" s="689">
        <v>200000</v>
      </c>
      <c r="Q141" s="689">
        <v>200000</v>
      </c>
      <c r="R141" s="689">
        <v>200000</v>
      </c>
      <c r="S141" s="693">
        <v>200000</v>
      </c>
    </row>
    <row r="142" spans="1:19">
      <c r="A142" s="4"/>
      <c r="B142" s="15"/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</row>
    <row r="143" spans="1:19">
      <c r="A143" s="4"/>
      <c r="B143" s="15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  <c r="N143" s="689"/>
      <c r="O143" s="689"/>
      <c r="P143" s="689"/>
      <c r="Q143" s="689"/>
      <c r="R143" s="689"/>
      <c r="S143" s="689"/>
    </row>
    <row r="144" spans="1:19" ht="16.2" thickBot="1">
      <c r="A144" s="737"/>
      <c r="B144" s="738"/>
      <c r="C144" s="848">
        <v>3379000</v>
      </c>
      <c r="D144" s="848">
        <v>3579000</v>
      </c>
      <c r="E144" s="848">
        <v>3704000</v>
      </c>
      <c r="F144" s="848">
        <v>3679000</v>
      </c>
      <c r="G144" s="848">
        <v>3679000</v>
      </c>
      <c r="H144" s="848">
        <v>3734000</v>
      </c>
      <c r="I144" s="848">
        <v>3734000</v>
      </c>
      <c r="J144" s="848">
        <v>3734000</v>
      </c>
      <c r="K144" s="848">
        <v>3734000</v>
      </c>
      <c r="L144" s="848">
        <v>3899000</v>
      </c>
      <c r="M144" s="848">
        <v>3899000</v>
      </c>
      <c r="N144" s="848">
        <v>3789000</v>
      </c>
      <c r="O144" s="848">
        <v>3789000</v>
      </c>
      <c r="P144" s="848">
        <v>3789000</v>
      </c>
      <c r="Q144" s="848">
        <v>3789000</v>
      </c>
      <c r="R144" s="848">
        <v>3789000</v>
      </c>
      <c r="S144" s="848">
        <v>3734000</v>
      </c>
    </row>
    <row r="145" spans="1:19" ht="16.2" thickBot="1">
      <c r="A145" s="5"/>
      <c r="B145"/>
      <c r="C145" s="853"/>
      <c r="D145" s="853"/>
      <c r="E145" s="853"/>
      <c r="F145" s="853"/>
      <c r="G145" s="853"/>
      <c r="H145" s="853"/>
      <c r="I145" s="853"/>
      <c r="J145" s="853"/>
      <c r="K145" s="853"/>
      <c r="L145" s="853"/>
      <c r="M145" s="853"/>
      <c r="N145" s="853"/>
      <c r="O145" s="853"/>
      <c r="P145" s="853"/>
      <c r="Q145" s="853"/>
      <c r="R145" s="853"/>
      <c r="S145" s="853"/>
    </row>
    <row r="146" spans="1:19">
      <c r="A146" s="760" t="s">
        <v>12</v>
      </c>
      <c r="B146" s="761"/>
      <c r="C146" s="694"/>
      <c r="D146" s="694"/>
      <c r="E146" s="694"/>
      <c r="F146" s="694"/>
      <c r="G146" s="694"/>
      <c r="H146" s="694"/>
      <c r="I146" s="694"/>
      <c r="J146" s="694"/>
      <c r="K146" s="694"/>
      <c r="L146" s="694"/>
      <c r="M146" s="694"/>
      <c r="N146" s="694"/>
      <c r="O146" s="694"/>
      <c r="P146" s="694"/>
      <c r="Q146" s="694"/>
      <c r="R146" s="694"/>
      <c r="S146" s="694"/>
    </row>
    <row r="147" spans="1:19">
      <c r="A147" s="762"/>
      <c r="B147" s="763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5"/>
      <c r="P147" s="695"/>
      <c r="Q147" s="695"/>
      <c r="R147" s="695"/>
      <c r="S147" s="695"/>
    </row>
    <row r="148" spans="1:19">
      <c r="A148" s="1" t="s">
        <v>22</v>
      </c>
      <c r="B148" s="736"/>
      <c r="C148" s="641">
        <v>192000</v>
      </c>
      <c r="D148" s="641">
        <v>192000</v>
      </c>
      <c r="E148" s="641">
        <v>192000</v>
      </c>
      <c r="F148" s="641">
        <v>192000</v>
      </c>
      <c r="G148" s="641">
        <v>192000</v>
      </c>
      <c r="H148" s="641">
        <v>192000</v>
      </c>
      <c r="I148" s="641">
        <v>192000</v>
      </c>
      <c r="J148" s="641">
        <v>192000</v>
      </c>
      <c r="K148" s="641">
        <v>192000</v>
      </c>
      <c r="L148" s="641">
        <v>192000</v>
      </c>
      <c r="M148" s="641">
        <v>192000</v>
      </c>
      <c r="N148" s="641">
        <v>192000</v>
      </c>
      <c r="O148" s="641">
        <v>192000</v>
      </c>
      <c r="P148" s="641">
        <v>192000</v>
      </c>
      <c r="Q148" s="641">
        <v>192000</v>
      </c>
      <c r="R148" s="641">
        <v>192000</v>
      </c>
      <c r="S148" s="641">
        <v>192000</v>
      </c>
    </row>
    <row r="149" spans="1:19">
      <c r="A149" s="1"/>
      <c r="B149" s="736"/>
      <c r="C149" s="641"/>
      <c r="D149" s="641"/>
      <c r="E149" s="641"/>
      <c r="F149" s="641"/>
      <c r="G149" s="641"/>
      <c r="H149" s="641"/>
      <c r="I149" s="641"/>
      <c r="J149" s="641"/>
      <c r="K149" s="641"/>
      <c r="L149" s="641"/>
      <c r="M149" s="641"/>
      <c r="N149" s="641"/>
      <c r="O149" s="641"/>
      <c r="P149" s="641"/>
      <c r="Q149" s="641"/>
      <c r="R149" s="641"/>
      <c r="S149" s="641"/>
    </row>
    <row r="150" spans="1:19">
      <c r="A150" s="1"/>
      <c r="B150" s="736"/>
      <c r="C150" s="641"/>
      <c r="D150" s="641"/>
      <c r="E150" s="641"/>
      <c r="F150" s="641"/>
      <c r="G150" s="641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</row>
    <row r="151" spans="1:19">
      <c r="A151" s="1"/>
      <c r="B151" s="736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</row>
    <row r="152" spans="1:19">
      <c r="A152" s="1" t="s">
        <v>26</v>
      </c>
      <c r="B152" s="736"/>
      <c r="C152" s="641">
        <v>108000</v>
      </c>
      <c r="D152" s="641">
        <v>108000</v>
      </c>
      <c r="E152" s="641">
        <v>108000</v>
      </c>
      <c r="F152" s="641">
        <v>108000</v>
      </c>
      <c r="G152" s="641">
        <v>108000</v>
      </c>
      <c r="H152" s="641">
        <v>108000</v>
      </c>
      <c r="I152" s="641">
        <v>108000</v>
      </c>
      <c r="J152" s="641">
        <v>108000</v>
      </c>
      <c r="K152" s="641">
        <v>108000</v>
      </c>
      <c r="L152" s="641">
        <v>108000</v>
      </c>
      <c r="M152" s="641">
        <v>108000</v>
      </c>
      <c r="N152" s="641">
        <v>108000</v>
      </c>
      <c r="O152" s="641">
        <v>108000</v>
      </c>
      <c r="P152" s="641">
        <v>108000</v>
      </c>
      <c r="Q152" s="641">
        <v>108000</v>
      </c>
      <c r="R152" s="641">
        <v>108000</v>
      </c>
      <c r="S152" s="641">
        <v>108000</v>
      </c>
    </row>
    <row r="153" spans="1:19">
      <c r="A153" s="1"/>
      <c r="B153" s="736"/>
      <c r="C153" s="641"/>
      <c r="D153" s="641"/>
      <c r="E153" s="641"/>
      <c r="F153" s="641"/>
      <c r="G153" s="641"/>
      <c r="H153" s="641"/>
      <c r="I153" s="641"/>
      <c r="J153" s="641"/>
      <c r="K153" s="641"/>
      <c r="L153" s="641"/>
      <c r="M153" s="641"/>
      <c r="N153" s="641"/>
      <c r="O153" s="641"/>
      <c r="P153" s="641"/>
      <c r="Q153" s="641"/>
      <c r="R153" s="641"/>
      <c r="S153" s="641"/>
    </row>
    <row r="154" spans="1:19">
      <c r="A154" s="1"/>
      <c r="B154" s="736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</row>
    <row r="155" spans="1:19">
      <c r="A155" s="1" t="s">
        <v>571</v>
      </c>
      <c r="B155" s="736"/>
      <c r="C155" s="641">
        <v>100000</v>
      </c>
      <c r="D155" s="641">
        <v>100000</v>
      </c>
      <c r="E155" s="641">
        <v>100000</v>
      </c>
      <c r="F155" s="641">
        <v>100000</v>
      </c>
      <c r="G155" s="641">
        <v>100000</v>
      </c>
      <c r="H155" s="641">
        <v>100000</v>
      </c>
      <c r="I155" s="641">
        <v>100000</v>
      </c>
      <c r="J155" s="641">
        <v>100000</v>
      </c>
      <c r="K155" s="641">
        <v>100000</v>
      </c>
      <c r="L155" s="641">
        <v>100000</v>
      </c>
      <c r="M155" s="641">
        <v>100000</v>
      </c>
      <c r="N155" s="641">
        <v>100000</v>
      </c>
      <c r="O155" s="641">
        <v>100000</v>
      </c>
      <c r="P155" s="641">
        <v>100000</v>
      </c>
      <c r="Q155" s="641">
        <v>100000</v>
      </c>
      <c r="R155" s="641">
        <v>100000</v>
      </c>
      <c r="S155" s="641">
        <v>100000</v>
      </c>
    </row>
    <row r="156" spans="1:19">
      <c r="A156" s="1"/>
      <c r="B156" s="736"/>
      <c r="C156" s="641"/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  <c r="N156" s="641"/>
      <c r="O156" s="641"/>
      <c r="P156" s="641"/>
      <c r="Q156" s="641"/>
      <c r="R156" s="641"/>
      <c r="S156" s="641"/>
    </row>
    <row r="157" spans="1:19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</row>
    <row r="158" spans="1:19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</row>
    <row r="159" spans="1:19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</row>
    <row r="160" spans="1:19">
      <c r="A160" s="1"/>
      <c r="B160" s="736"/>
      <c r="C160" s="641"/>
      <c r="D160" s="641"/>
      <c r="E160" s="641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</row>
    <row r="161" spans="1:19">
      <c r="A161" s="4"/>
      <c r="B161" s="15"/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  <c r="N161" s="689"/>
      <c r="O161" s="689"/>
      <c r="P161" s="689"/>
      <c r="Q161" s="689"/>
      <c r="R161" s="689"/>
      <c r="S161" s="689"/>
    </row>
    <row r="162" spans="1:19">
      <c r="A162" s="4"/>
      <c r="B162" s="15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</row>
    <row r="163" spans="1:19">
      <c r="A163" s="4"/>
      <c r="B163" s="15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</row>
    <row r="164" spans="1:19" ht="16.2" thickBot="1">
      <c r="A164" s="737"/>
      <c r="B164" s="738"/>
      <c r="C164" s="848">
        <v>400000</v>
      </c>
      <c r="D164" s="848">
        <v>400000</v>
      </c>
      <c r="E164" s="848">
        <v>400000</v>
      </c>
      <c r="F164" s="848">
        <v>400000</v>
      </c>
      <c r="G164" s="848">
        <v>400000</v>
      </c>
      <c r="H164" s="848">
        <v>400000</v>
      </c>
      <c r="I164" s="848">
        <v>400000</v>
      </c>
      <c r="J164" s="848">
        <v>400000</v>
      </c>
      <c r="K164" s="848">
        <v>400000</v>
      </c>
      <c r="L164" s="848">
        <v>400000</v>
      </c>
      <c r="M164" s="848">
        <v>400000</v>
      </c>
      <c r="N164" s="848">
        <v>400000</v>
      </c>
      <c r="O164" s="848">
        <v>400000</v>
      </c>
      <c r="P164" s="848">
        <v>400000</v>
      </c>
      <c r="Q164" s="848">
        <v>400000</v>
      </c>
      <c r="R164" s="848">
        <v>400000</v>
      </c>
      <c r="S164" s="848">
        <v>400000</v>
      </c>
    </row>
    <row r="165" spans="1:19" s="697" customFormat="1">
      <c r="A165" s="764" t="s">
        <v>23</v>
      </c>
      <c r="B165" s="765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</row>
    <row r="166" spans="1:19" s="697" customFormat="1">
      <c r="A166" s="766"/>
      <c r="B166" s="767"/>
      <c r="C166" s="698"/>
      <c r="D166" s="698"/>
      <c r="E166" s="698"/>
      <c r="F166" s="698"/>
      <c r="G166" s="698"/>
      <c r="H166" s="698"/>
      <c r="I166" s="698"/>
      <c r="J166" s="698"/>
      <c r="K166" s="698"/>
      <c r="L166" s="698"/>
      <c r="M166" s="698"/>
      <c r="N166" s="698"/>
      <c r="O166" s="698"/>
      <c r="P166" s="698"/>
      <c r="Q166" s="698"/>
      <c r="R166" s="698"/>
      <c r="S166" s="698"/>
    </row>
    <row r="167" spans="1:19">
      <c r="A167" s="14" t="s">
        <v>152</v>
      </c>
      <c r="B167" s="15"/>
      <c r="C167" s="693">
        <v>500000</v>
      </c>
      <c r="D167" s="693">
        <v>500000</v>
      </c>
      <c r="E167" s="693">
        <v>500000</v>
      </c>
      <c r="F167" s="693">
        <v>500000</v>
      </c>
      <c r="G167" s="693">
        <v>1000000</v>
      </c>
      <c r="H167" s="693">
        <v>1700000</v>
      </c>
      <c r="I167" s="693">
        <v>1700000</v>
      </c>
      <c r="J167" s="693">
        <v>1700000</v>
      </c>
      <c r="K167" s="693">
        <v>1700000</v>
      </c>
      <c r="L167" s="693">
        <v>3200000</v>
      </c>
      <c r="M167" s="689">
        <v>2500000</v>
      </c>
      <c r="N167" s="689">
        <v>2500000</v>
      </c>
      <c r="O167" s="689">
        <v>2500000</v>
      </c>
      <c r="P167" s="689">
        <v>2500000</v>
      </c>
      <c r="Q167" s="693">
        <v>2500000</v>
      </c>
      <c r="R167" s="693">
        <v>2500000</v>
      </c>
      <c r="S167" s="693">
        <v>2500000</v>
      </c>
    </row>
    <row r="168" spans="1:19">
      <c r="A168" s="14" t="s">
        <v>646</v>
      </c>
      <c r="B168" s="15"/>
      <c r="C168" s="693">
        <v>620000</v>
      </c>
      <c r="D168" s="693">
        <v>620000</v>
      </c>
      <c r="E168" s="693">
        <v>620000</v>
      </c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689"/>
      <c r="R168" s="689"/>
      <c r="S168" s="689"/>
    </row>
    <row r="169" spans="1:19">
      <c r="A169" s="14"/>
      <c r="B169" s="15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  <c r="R169" s="689"/>
      <c r="S169" s="689"/>
    </row>
    <row r="170" spans="1:19">
      <c r="A170" s="14"/>
      <c r="B170" s="15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  <c r="R170" s="689"/>
      <c r="S170" s="689"/>
    </row>
    <row r="171" spans="1:19">
      <c r="A171" s="1017" t="s">
        <v>625</v>
      </c>
      <c r="B171" s="15"/>
      <c r="C171" s="1019">
        <v>450000</v>
      </c>
      <c r="D171" s="1019">
        <v>450000</v>
      </c>
      <c r="E171" s="1019">
        <v>450000</v>
      </c>
      <c r="F171" s="1019">
        <v>420000</v>
      </c>
      <c r="G171" s="1019">
        <v>400000</v>
      </c>
      <c r="H171" s="1019">
        <v>400000</v>
      </c>
      <c r="I171" s="1019">
        <v>400000</v>
      </c>
      <c r="J171" s="1019">
        <v>400000</v>
      </c>
      <c r="K171" s="1019">
        <v>400000</v>
      </c>
      <c r="L171" s="1019">
        <v>380000</v>
      </c>
      <c r="M171" s="1019">
        <v>380000</v>
      </c>
      <c r="N171" s="1019">
        <v>380000</v>
      </c>
      <c r="O171" s="1019">
        <v>380000</v>
      </c>
      <c r="P171" s="1019">
        <v>380000</v>
      </c>
      <c r="Q171" s="1019">
        <v>380000</v>
      </c>
      <c r="R171" s="1019">
        <v>370000</v>
      </c>
      <c r="S171" s="1019">
        <v>300000</v>
      </c>
    </row>
    <row r="172" spans="1:19">
      <c r="A172" s="1018" t="s">
        <v>626</v>
      </c>
      <c r="B172" s="736"/>
      <c r="C172" s="1020">
        <v>350000</v>
      </c>
      <c r="D172" s="1020">
        <v>350000</v>
      </c>
      <c r="E172" s="1020">
        <v>350000</v>
      </c>
      <c r="F172" s="1020">
        <v>320000</v>
      </c>
      <c r="G172" s="1020">
        <v>300000</v>
      </c>
      <c r="H172" s="1020">
        <v>300000</v>
      </c>
      <c r="I172" s="1020">
        <v>300000</v>
      </c>
      <c r="J172" s="1020">
        <v>300000</v>
      </c>
      <c r="K172" s="1020">
        <v>300000</v>
      </c>
      <c r="L172" s="1020">
        <v>280000</v>
      </c>
      <c r="M172" s="1020">
        <v>280000</v>
      </c>
      <c r="N172" s="1020">
        <v>280000</v>
      </c>
      <c r="O172" s="1020">
        <v>280000</v>
      </c>
      <c r="P172" s="1020">
        <v>280000</v>
      </c>
      <c r="Q172" s="1020">
        <v>280000</v>
      </c>
      <c r="R172" s="1020">
        <v>270000</v>
      </c>
      <c r="S172" s="1020">
        <v>250000</v>
      </c>
    </row>
    <row r="173" spans="1:19">
      <c r="A173" s="6"/>
      <c r="B173" s="736"/>
      <c r="C173" s="641">
        <v>0</v>
      </c>
      <c r="D173" s="641">
        <v>0</v>
      </c>
      <c r="E173" s="641">
        <v>0</v>
      </c>
      <c r="F173" s="641">
        <v>0</v>
      </c>
      <c r="G173" s="641">
        <v>0</v>
      </c>
      <c r="H173" s="641">
        <v>0</v>
      </c>
      <c r="I173" s="641">
        <v>0</v>
      </c>
      <c r="J173" s="641">
        <v>0</v>
      </c>
      <c r="K173" s="641">
        <v>0</v>
      </c>
      <c r="L173" s="641">
        <v>0</v>
      </c>
      <c r="M173" s="641">
        <v>0</v>
      </c>
      <c r="N173" s="641">
        <v>0</v>
      </c>
      <c r="O173" s="641">
        <v>0</v>
      </c>
      <c r="P173" s="641">
        <v>0</v>
      </c>
      <c r="Q173" s="641">
        <v>0</v>
      </c>
      <c r="R173" s="641">
        <v>0</v>
      </c>
      <c r="S173" s="641">
        <v>0</v>
      </c>
    </row>
    <row r="174" spans="1:19">
      <c r="A174" s="6"/>
      <c r="B174" s="736"/>
      <c r="C174" s="641"/>
      <c r="D174" s="641"/>
      <c r="E174" s="641"/>
      <c r="F174" s="641"/>
      <c r="G174" s="641"/>
      <c r="H174" s="641"/>
      <c r="I174" s="641"/>
      <c r="J174" s="641"/>
      <c r="K174" s="641"/>
      <c r="L174" s="641"/>
      <c r="M174" s="641"/>
      <c r="N174" s="641"/>
      <c r="O174" s="641"/>
      <c r="P174" s="641"/>
      <c r="Q174" s="641"/>
      <c r="R174" s="641"/>
      <c r="S174" s="641"/>
    </row>
    <row r="175" spans="1:19">
      <c r="A175" s="6" t="s">
        <v>628</v>
      </c>
      <c r="B175" s="736"/>
      <c r="C175" s="641">
        <v>0</v>
      </c>
      <c r="D175" s="641">
        <v>0</v>
      </c>
      <c r="E175" s="641">
        <v>0</v>
      </c>
      <c r="F175" s="641">
        <v>0</v>
      </c>
      <c r="G175" s="641">
        <v>0</v>
      </c>
      <c r="H175" s="684">
        <v>0</v>
      </c>
      <c r="I175" s="641">
        <v>200000</v>
      </c>
      <c r="J175" s="641">
        <v>200000</v>
      </c>
      <c r="K175" s="641">
        <v>200000</v>
      </c>
      <c r="L175" s="641">
        <v>200000</v>
      </c>
      <c r="M175" s="641">
        <v>200000</v>
      </c>
      <c r="N175" s="641">
        <v>200000</v>
      </c>
      <c r="O175" s="641">
        <v>200000</v>
      </c>
      <c r="P175" s="641">
        <v>200000</v>
      </c>
      <c r="Q175" s="684">
        <v>200000</v>
      </c>
      <c r="R175" s="684">
        <v>200000</v>
      </c>
      <c r="S175" s="641">
        <v>0</v>
      </c>
    </row>
    <row r="176" spans="1:19">
      <c r="A176" s="6"/>
      <c r="B176" s="736"/>
      <c r="C176" s="641"/>
      <c r="D176" s="641"/>
      <c r="E176" s="641"/>
      <c r="F176" s="641"/>
      <c r="G176" s="641"/>
      <c r="H176" s="641"/>
      <c r="I176" s="641"/>
      <c r="J176" s="641"/>
      <c r="K176" s="641"/>
      <c r="L176" s="641"/>
      <c r="M176" s="641"/>
      <c r="N176" s="641"/>
      <c r="O176" s="641"/>
      <c r="P176" s="641"/>
      <c r="Q176" s="641"/>
      <c r="R176" s="641"/>
      <c r="S176" s="641"/>
    </row>
    <row r="177" spans="1:19">
      <c r="A177" s="6"/>
      <c r="B177" s="736"/>
      <c r="C177" s="641"/>
      <c r="D177" s="641"/>
      <c r="E177" s="641"/>
      <c r="F177" s="641"/>
      <c r="G177" s="641"/>
      <c r="H177" s="641"/>
      <c r="I177" s="641"/>
      <c r="J177" s="641"/>
      <c r="K177" s="641"/>
      <c r="L177" s="641"/>
      <c r="M177" s="641"/>
      <c r="N177" s="641"/>
      <c r="O177" s="641"/>
      <c r="P177" s="641"/>
      <c r="Q177" s="641"/>
      <c r="R177" s="641"/>
      <c r="S177" s="641"/>
    </row>
    <row r="178" spans="1:19">
      <c r="A178" s="6" t="s">
        <v>624</v>
      </c>
      <c r="B178" s="736"/>
      <c r="C178" s="641">
        <v>4000000</v>
      </c>
      <c r="D178" s="641">
        <v>4000000</v>
      </c>
      <c r="E178" s="641">
        <v>4000000</v>
      </c>
      <c r="F178" s="641">
        <v>4000000</v>
      </c>
      <c r="G178" s="641">
        <v>4000000</v>
      </c>
      <c r="H178" s="641">
        <v>4000000</v>
      </c>
      <c r="I178" s="641">
        <v>4000000</v>
      </c>
      <c r="J178" s="641">
        <v>4000000</v>
      </c>
      <c r="K178" s="641">
        <v>4000000</v>
      </c>
      <c r="L178" s="641">
        <v>4000000</v>
      </c>
      <c r="M178" s="641">
        <v>4000000</v>
      </c>
      <c r="N178" s="641">
        <v>4000000</v>
      </c>
      <c r="O178" s="641">
        <v>4000000</v>
      </c>
      <c r="P178" s="641">
        <v>4000000</v>
      </c>
      <c r="Q178" s="641">
        <v>4000000</v>
      </c>
      <c r="R178" s="641">
        <v>4000000</v>
      </c>
      <c r="S178" s="641">
        <v>4000000</v>
      </c>
    </row>
    <row r="179" spans="1:19">
      <c r="A179" s="6" t="s">
        <v>119</v>
      </c>
      <c r="B179" s="736"/>
      <c r="C179" s="641">
        <v>15500000</v>
      </c>
      <c r="D179" s="641">
        <v>15500000</v>
      </c>
      <c r="E179" s="641">
        <v>15500000</v>
      </c>
      <c r="F179" s="641">
        <v>15500000</v>
      </c>
      <c r="G179" s="641">
        <v>15500000</v>
      </c>
      <c r="H179" s="641">
        <v>15500000</v>
      </c>
      <c r="I179" s="641">
        <v>15500000</v>
      </c>
      <c r="J179" s="641">
        <v>15500000</v>
      </c>
      <c r="K179" s="641">
        <v>15500000</v>
      </c>
      <c r="L179" s="641">
        <v>15500000</v>
      </c>
      <c r="M179" s="641">
        <v>15500000</v>
      </c>
      <c r="N179" s="641">
        <v>15500000</v>
      </c>
      <c r="O179" s="641">
        <v>15500000</v>
      </c>
      <c r="P179" s="641">
        <v>15500000</v>
      </c>
      <c r="Q179" s="641">
        <v>15500000</v>
      </c>
      <c r="R179" s="641">
        <v>15500000</v>
      </c>
      <c r="S179" s="641">
        <v>15500000</v>
      </c>
    </row>
    <row r="180" spans="1:19">
      <c r="A180" s="6" t="s">
        <v>179</v>
      </c>
      <c r="B180" s="736"/>
      <c r="C180" s="641">
        <v>5500000</v>
      </c>
      <c r="D180" s="641">
        <v>5500000</v>
      </c>
      <c r="E180" s="641">
        <v>5500000</v>
      </c>
      <c r="F180" s="641">
        <v>5500000</v>
      </c>
      <c r="G180" s="641">
        <v>5500000</v>
      </c>
      <c r="H180" s="641">
        <v>5500000</v>
      </c>
      <c r="I180" s="641">
        <v>5500000</v>
      </c>
      <c r="J180" s="641">
        <v>5500000</v>
      </c>
      <c r="K180" s="641">
        <v>5500000</v>
      </c>
      <c r="L180" s="641">
        <v>5500000</v>
      </c>
      <c r="M180" s="641">
        <v>5500000</v>
      </c>
      <c r="N180" s="641">
        <v>5500000</v>
      </c>
      <c r="O180" s="641">
        <v>5500000</v>
      </c>
      <c r="P180" s="641">
        <v>5500000</v>
      </c>
      <c r="Q180" s="641">
        <v>5500000</v>
      </c>
      <c r="R180" s="641">
        <v>5500000</v>
      </c>
      <c r="S180" s="641">
        <v>5500000</v>
      </c>
    </row>
    <row r="181" spans="1:19">
      <c r="A181" s="6" t="s">
        <v>161</v>
      </c>
      <c r="B181" s="736"/>
      <c r="C181" s="641">
        <v>7000000</v>
      </c>
      <c r="D181" s="641">
        <v>7000000</v>
      </c>
      <c r="E181" s="641">
        <v>7000000</v>
      </c>
      <c r="F181" s="641">
        <v>7000000</v>
      </c>
      <c r="G181" s="641">
        <v>7000000</v>
      </c>
      <c r="H181" s="641">
        <v>7000000</v>
      </c>
      <c r="I181" s="641">
        <v>7000000</v>
      </c>
      <c r="J181" s="641">
        <v>7000000</v>
      </c>
      <c r="K181" s="641">
        <v>7000000</v>
      </c>
      <c r="L181" s="641">
        <v>7000000</v>
      </c>
      <c r="M181" s="641">
        <v>7000000</v>
      </c>
      <c r="N181" s="641">
        <v>7000000</v>
      </c>
      <c r="O181" s="641">
        <v>7000000</v>
      </c>
      <c r="P181" s="641">
        <v>7000000</v>
      </c>
      <c r="Q181" s="641">
        <v>7000000</v>
      </c>
      <c r="R181" s="641">
        <v>7000000</v>
      </c>
      <c r="S181" s="641">
        <v>7000000</v>
      </c>
    </row>
    <row r="182" spans="1:19" ht="16.2" thickBot="1">
      <c r="A182" s="7"/>
      <c r="B182" s="738"/>
      <c r="C182" s="848">
        <v>33920000</v>
      </c>
      <c r="D182" s="848">
        <v>33920000</v>
      </c>
      <c r="E182" s="848">
        <v>33920000</v>
      </c>
      <c r="F182" s="848">
        <v>33240000</v>
      </c>
      <c r="G182" s="848">
        <v>33700000</v>
      </c>
      <c r="H182" s="848">
        <v>34400000</v>
      </c>
      <c r="I182" s="848">
        <v>34600000</v>
      </c>
      <c r="J182" s="848">
        <v>34600000</v>
      </c>
      <c r="K182" s="848">
        <v>34600000</v>
      </c>
      <c r="L182" s="848">
        <v>35360000</v>
      </c>
      <c r="M182" s="848">
        <v>35360000</v>
      </c>
      <c r="N182" s="848">
        <v>35360000</v>
      </c>
      <c r="O182" s="848">
        <v>35360000</v>
      </c>
      <c r="P182" s="848">
        <v>35360000</v>
      </c>
      <c r="Q182" s="848">
        <v>35360000</v>
      </c>
      <c r="R182" s="848">
        <v>35340000</v>
      </c>
      <c r="S182" s="848">
        <v>44102000</v>
      </c>
    </row>
    <row r="183" spans="1:19" ht="16.2" thickBot="1">
      <c r="A183" s="9"/>
      <c r="B183" s="10"/>
      <c r="C183" s="869"/>
      <c r="D183" s="869"/>
      <c r="E183" s="869"/>
      <c r="F183" s="869"/>
      <c r="G183" s="869"/>
      <c r="H183" s="869"/>
      <c r="I183" s="869"/>
      <c r="J183" s="869"/>
      <c r="K183" s="869"/>
      <c r="L183" s="869"/>
      <c r="M183" s="869"/>
      <c r="N183" s="869"/>
      <c r="O183" s="869"/>
      <c r="P183" s="869"/>
      <c r="Q183" s="869"/>
      <c r="R183" s="869"/>
      <c r="S183" s="869"/>
    </row>
    <row r="184" spans="1:19" ht="16.2" thickBot="1">
      <c r="A184" s="768"/>
      <c r="B184" s="769"/>
      <c r="C184" s="868"/>
      <c r="D184" s="868"/>
      <c r="E184" s="868"/>
      <c r="F184" s="868"/>
      <c r="G184" s="868"/>
      <c r="H184" s="868"/>
      <c r="I184" s="868"/>
      <c r="J184" s="868"/>
      <c r="K184" s="868"/>
      <c r="L184" s="868"/>
      <c r="M184" s="868"/>
      <c r="N184" s="868"/>
      <c r="O184" s="868"/>
      <c r="P184" s="868"/>
      <c r="Q184" s="868"/>
      <c r="R184" s="868"/>
      <c r="S184" s="868"/>
    </row>
    <row r="185" spans="1:19" s="699" customFormat="1" ht="18.600000000000001" thickBot="1">
      <c r="A185" s="770" t="s">
        <v>35</v>
      </c>
      <c r="B185" s="771"/>
      <c r="C185" s="870">
        <v>186136168</v>
      </c>
      <c r="D185" s="870">
        <v>187819383</v>
      </c>
      <c r="E185" s="870">
        <v>191948040</v>
      </c>
      <c r="F185" s="870">
        <v>197131212</v>
      </c>
      <c r="G185" s="870">
        <v>194010153</v>
      </c>
      <c r="H185" s="870">
        <v>201612195</v>
      </c>
      <c r="I185" s="870">
        <v>200362397</v>
      </c>
      <c r="J185" s="870">
        <v>208323146</v>
      </c>
      <c r="K185" s="870">
        <v>212104043</v>
      </c>
      <c r="L185" s="870">
        <v>215085764</v>
      </c>
      <c r="M185" s="870">
        <v>216396703</v>
      </c>
      <c r="N185" s="870">
        <v>215911810</v>
      </c>
      <c r="O185" s="870">
        <v>214960346</v>
      </c>
      <c r="P185" s="870">
        <v>213825515</v>
      </c>
      <c r="Q185" s="870">
        <v>213884790</v>
      </c>
      <c r="R185" s="870">
        <v>213904790</v>
      </c>
      <c r="S185" s="870">
        <v>204318588</v>
      </c>
    </row>
    <row r="186" spans="1:19" s="699" customFormat="1" ht="18">
      <c r="A186" s="772"/>
      <c r="B186" s="773"/>
      <c r="C186" s="871"/>
      <c r="D186" s="871"/>
      <c r="E186" s="871"/>
      <c r="F186" s="871"/>
      <c r="G186" s="871"/>
      <c r="H186" s="871"/>
      <c r="I186" s="871"/>
      <c r="J186" s="871"/>
      <c r="K186" s="871"/>
      <c r="L186" s="871"/>
      <c r="M186" s="871"/>
      <c r="N186" s="871"/>
      <c r="O186" s="871"/>
      <c r="P186" s="871"/>
      <c r="Q186" s="871"/>
      <c r="R186" s="871"/>
      <c r="S186" s="871"/>
    </row>
    <row r="187" spans="1:19">
      <c r="A187" s="5"/>
      <c r="B187"/>
      <c r="C187" s="852"/>
      <c r="D187" s="852"/>
      <c r="E187" s="852"/>
      <c r="F187" s="852"/>
      <c r="G187" s="852"/>
      <c r="H187" s="852"/>
      <c r="I187" s="852"/>
      <c r="J187" s="852"/>
      <c r="K187" s="852"/>
      <c r="L187" s="852"/>
      <c r="M187" s="852"/>
      <c r="N187" s="852"/>
      <c r="O187" s="852"/>
      <c r="P187" s="852"/>
      <c r="Q187" s="852"/>
      <c r="R187" s="852"/>
      <c r="S187" s="852"/>
    </row>
    <row r="188" spans="1:19">
      <c r="A188" s="5" t="s">
        <v>25</v>
      </c>
      <c r="B188"/>
      <c r="C188" s="8">
        <v>216277168</v>
      </c>
      <c r="D188" s="8">
        <v>217760383</v>
      </c>
      <c r="E188" s="8">
        <v>221764040</v>
      </c>
      <c r="F188" s="8">
        <v>226292212</v>
      </c>
      <c r="G188" s="8">
        <v>223631153</v>
      </c>
      <c r="H188" s="8">
        <v>231878195</v>
      </c>
      <c r="I188" s="8">
        <v>230828397</v>
      </c>
      <c r="J188" s="8">
        <v>238789146</v>
      </c>
      <c r="K188" s="8">
        <v>242570043</v>
      </c>
      <c r="L188" s="8">
        <v>246146764</v>
      </c>
      <c r="M188" s="8">
        <v>247457703</v>
      </c>
      <c r="N188" s="8">
        <v>247082810</v>
      </c>
      <c r="O188" s="8">
        <v>246131346</v>
      </c>
      <c r="P188" s="8">
        <v>244996515</v>
      </c>
      <c r="Q188" s="8">
        <v>245055790</v>
      </c>
      <c r="R188" s="8">
        <v>245055790</v>
      </c>
      <c r="S188" s="8">
        <v>244286588</v>
      </c>
    </row>
    <row r="189" spans="1:19" ht="18">
      <c r="A189" s="774" t="s">
        <v>13</v>
      </c>
      <c r="B189" s="2"/>
      <c r="C189" s="24">
        <v>186136168</v>
      </c>
      <c r="D189" s="24">
        <v>187819383</v>
      </c>
      <c r="E189" s="24">
        <v>191948040</v>
      </c>
      <c r="F189" s="24">
        <v>197131212</v>
      </c>
      <c r="G189" s="24">
        <v>194010153</v>
      </c>
      <c r="H189" s="24">
        <v>201612195</v>
      </c>
      <c r="I189" s="24">
        <v>200362397</v>
      </c>
      <c r="J189" s="24">
        <v>208323146</v>
      </c>
      <c r="K189" s="24">
        <v>212104043</v>
      </c>
      <c r="L189" s="24">
        <v>215085764</v>
      </c>
      <c r="M189" s="24">
        <v>216396703</v>
      </c>
      <c r="N189" s="24">
        <v>215911810</v>
      </c>
      <c r="O189" s="24">
        <v>214960346</v>
      </c>
      <c r="P189" s="24">
        <v>213825515</v>
      </c>
      <c r="Q189" s="24">
        <v>213884790</v>
      </c>
      <c r="R189" s="24">
        <v>213904790</v>
      </c>
      <c r="S189" s="24">
        <v>204318588</v>
      </c>
    </row>
    <row r="190" spans="1:19" ht="18">
      <c r="A190" s="774"/>
      <c r="B190" s="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 spans="1:19" ht="15" thickBot="1">
      <c r="A191" s="5"/>
      <c r="B191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>
      <c r="A192" s="775" t="s">
        <v>18</v>
      </c>
      <c r="B192" s="726"/>
      <c r="C192" s="700">
        <v>-1483215</v>
      </c>
      <c r="D192" s="700">
        <v>-4003657</v>
      </c>
      <c r="E192" s="700">
        <v>-4528172</v>
      </c>
      <c r="F192" s="700">
        <v>2661059</v>
      </c>
      <c r="G192" s="700">
        <v>-8247042</v>
      </c>
      <c r="H192" s="700">
        <v>1049798</v>
      </c>
      <c r="I192" s="700">
        <v>-7960749</v>
      </c>
      <c r="J192" s="700">
        <v>-3780897</v>
      </c>
      <c r="K192" s="700">
        <v>-3576721</v>
      </c>
      <c r="L192" s="700">
        <v>-1310939</v>
      </c>
      <c r="M192" s="700">
        <v>374893</v>
      </c>
      <c r="N192" s="700">
        <v>951464</v>
      </c>
      <c r="O192" s="700">
        <v>1134831</v>
      </c>
      <c r="P192" s="700">
        <v>-59275</v>
      </c>
      <c r="Q192" s="700">
        <v>0</v>
      </c>
      <c r="R192" s="700">
        <v>769202</v>
      </c>
      <c r="S192" s="700">
        <v>0</v>
      </c>
    </row>
    <row r="193" spans="1:22" ht="15" thickBot="1">
      <c r="A193" s="5"/>
      <c r="B19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22">
      <c r="A194" s="776"/>
      <c r="B194" s="777"/>
      <c r="C194" s="872"/>
      <c r="D194" s="872"/>
      <c r="E194" s="872"/>
      <c r="F194" s="872"/>
      <c r="G194" s="872"/>
      <c r="H194" s="872"/>
      <c r="I194" s="872"/>
      <c r="J194" s="872"/>
      <c r="K194" s="872"/>
      <c r="L194" s="872"/>
      <c r="M194" s="872"/>
      <c r="N194" s="872"/>
      <c r="O194" s="872"/>
      <c r="P194" s="872"/>
      <c r="Q194" s="872"/>
      <c r="R194" s="872"/>
      <c r="S194" s="872"/>
    </row>
    <row r="195" spans="1:22">
      <c r="A195" s="20" t="s">
        <v>183</v>
      </c>
      <c r="B195" s="778"/>
      <c r="C195" s="873">
        <v>1341597</v>
      </c>
      <c r="D195" s="873">
        <v>2483967</v>
      </c>
      <c r="E195" s="873">
        <v>1483055</v>
      </c>
      <c r="F195" s="873">
        <v>757581</v>
      </c>
      <c r="G195" s="873">
        <v>1654470</v>
      </c>
      <c r="H195" s="873">
        <v>388601</v>
      </c>
      <c r="I195" s="873">
        <v>367954</v>
      </c>
      <c r="J195" s="873">
        <v>980546</v>
      </c>
      <c r="K195" s="873">
        <v>477453</v>
      </c>
      <c r="L195" s="873">
        <v>666396</v>
      </c>
      <c r="M195" s="873">
        <v>1021755</v>
      </c>
      <c r="N195" s="873">
        <v>890000</v>
      </c>
      <c r="O195" s="873">
        <v>468000</v>
      </c>
      <c r="P195" s="873">
        <v>1179076</v>
      </c>
      <c r="Q195" s="873">
        <v>775570</v>
      </c>
      <c r="R195" s="873">
        <v>1155520</v>
      </c>
      <c r="S195" s="873">
        <v>0</v>
      </c>
    </row>
    <row r="196" spans="1:22">
      <c r="A196" s="20" t="s">
        <v>24</v>
      </c>
      <c r="B196" s="778"/>
      <c r="C196" s="873">
        <v>1241597</v>
      </c>
      <c r="D196" s="873">
        <v>2233967</v>
      </c>
      <c r="E196" s="873">
        <v>933055</v>
      </c>
      <c r="F196" s="873">
        <v>707581</v>
      </c>
      <c r="G196" s="873">
        <v>1554470</v>
      </c>
      <c r="H196" s="873">
        <v>240101</v>
      </c>
      <c r="I196" s="873">
        <v>267954</v>
      </c>
      <c r="J196" s="873">
        <v>812546</v>
      </c>
      <c r="K196" s="873">
        <v>387453</v>
      </c>
      <c r="L196" s="873">
        <v>466396</v>
      </c>
      <c r="M196" s="873">
        <v>866755</v>
      </c>
      <c r="N196" s="873">
        <v>844000</v>
      </c>
      <c r="O196" s="873">
        <v>338000</v>
      </c>
      <c r="P196" s="873">
        <v>1179076</v>
      </c>
      <c r="Q196" s="873">
        <v>675570</v>
      </c>
      <c r="R196" s="873">
        <v>930520</v>
      </c>
      <c r="S196" s="873">
        <v>0</v>
      </c>
    </row>
    <row r="197" spans="1:22">
      <c r="A197" s="28" t="s">
        <v>19</v>
      </c>
      <c r="B197" s="746" t="s">
        <v>283</v>
      </c>
      <c r="C197" s="874">
        <v>198000</v>
      </c>
      <c r="D197" s="874">
        <v>2380000</v>
      </c>
      <c r="E197" s="874">
        <v>1912000</v>
      </c>
      <c r="F197" s="874">
        <v>130000</v>
      </c>
      <c r="G197" s="874">
        <v>2585000</v>
      </c>
      <c r="H197" s="874">
        <v>0</v>
      </c>
      <c r="I197" s="874">
        <v>1410000</v>
      </c>
      <c r="J197" s="874">
        <v>475000</v>
      </c>
      <c r="K197" s="874">
        <v>504000</v>
      </c>
      <c r="L197" s="874">
        <v>1341000</v>
      </c>
      <c r="M197" s="874">
        <v>810000</v>
      </c>
      <c r="N197" s="874">
        <v>570000</v>
      </c>
      <c r="O197" s="874">
        <v>0</v>
      </c>
      <c r="P197" s="874">
        <v>1178000</v>
      </c>
      <c r="Q197" s="874">
        <v>1578000</v>
      </c>
      <c r="R197" s="874">
        <v>510000</v>
      </c>
      <c r="S197" s="874">
        <v>0</v>
      </c>
    </row>
    <row r="198" spans="1:22" s="265" customFormat="1">
      <c r="A198" s="779" t="s">
        <v>189</v>
      </c>
      <c r="B198" s="780"/>
      <c r="C198" s="701">
        <v>15581000</v>
      </c>
      <c r="D198" s="701">
        <v>15383000</v>
      </c>
      <c r="E198" s="701">
        <v>13003000</v>
      </c>
      <c r="F198" s="701">
        <v>11091000</v>
      </c>
      <c r="G198" s="701">
        <v>10961000</v>
      </c>
      <c r="H198" s="701">
        <v>8376000</v>
      </c>
      <c r="I198" s="701">
        <v>8376000</v>
      </c>
      <c r="J198" s="701">
        <v>6966000</v>
      </c>
      <c r="K198" s="701">
        <v>6491000</v>
      </c>
      <c r="L198" s="701">
        <v>5987000</v>
      </c>
      <c r="M198" s="701">
        <v>4646000</v>
      </c>
      <c r="N198" s="701">
        <v>3836000</v>
      </c>
      <c r="O198" s="701">
        <v>3266000</v>
      </c>
      <c r="P198" s="701">
        <v>3266000</v>
      </c>
      <c r="Q198" s="701">
        <v>2088000</v>
      </c>
      <c r="R198" s="701">
        <v>510000</v>
      </c>
      <c r="S198" s="701">
        <v>0</v>
      </c>
    </row>
    <row r="199" spans="1:22">
      <c r="A199" s="28" t="s">
        <v>180</v>
      </c>
      <c r="B199" s="746" t="s">
        <v>284</v>
      </c>
      <c r="C199" s="874">
        <v>100000</v>
      </c>
      <c r="D199" s="874">
        <v>250000</v>
      </c>
      <c r="E199" s="874">
        <v>550000</v>
      </c>
      <c r="F199" s="874">
        <v>50000</v>
      </c>
      <c r="G199" s="874">
        <v>100000</v>
      </c>
      <c r="H199" s="874">
        <v>148500</v>
      </c>
      <c r="I199" s="874">
        <v>100000</v>
      </c>
      <c r="J199" s="874">
        <v>168000</v>
      </c>
      <c r="K199" s="874">
        <v>90000</v>
      </c>
      <c r="L199" s="874">
        <v>200000</v>
      </c>
      <c r="M199" s="874">
        <v>155000</v>
      </c>
      <c r="N199" s="874">
        <v>46000</v>
      </c>
      <c r="O199" s="874">
        <v>130000</v>
      </c>
      <c r="P199" s="874">
        <v>0</v>
      </c>
      <c r="Q199" s="874">
        <v>100000</v>
      </c>
      <c r="R199" s="874">
        <v>225000</v>
      </c>
      <c r="S199" s="874">
        <v>0</v>
      </c>
    </row>
    <row r="200" spans="1:22" s="265" customFormat="1">
      <c r="A200" s="779" t="s">
        <v>190</v>
      </c>
      <c r="B200" s="780"/>
      <c r="C200" s="702">
        <v>2412500</v>
      </c>
      <c r="D200" s="702">
        <v>2312500</v>
      </c>
      <c r="E200" s="702">
        <v>2062500</v>
      </c>
      <c r="F200" s="702">
        <v>1512500</v>
      </c>
      <c r="G200" s="702">
        <v>1462500</v>
      </c>
      <c r="H200" s="702">
        <v>1362500</v>
      </c>
      <c r="I200" s="702">
        <v>1214000</v>
      </c>
      <c r="J200" s="702">
        <v>1114000</v>
      </c>
      <c r="K200" s="702">
        <v>946000</v>
      </c>
      <c r="L200" s="702">
        <v>856000</v>
      </c>
      <c r="M200" s="702">
        <v>656000</v>
      </c>
      <c r="N200" s="702">
        <v>501000</v>
      </c>
      <c r="O200" s="702">
        <v>455000</v>
      </c>
      <c r="P200" s="702">
        <v>325000</v>
      </c>
      <c r="Q200" s="702">
        <v>325000</v>
      </c>
      <c r="R200" s="702">
        <v>225000</v>
      </c>
      <c r="S200" s="702">
        <v>0</v>
      </c>
    </row>
    <row r="201" spans="1:22">
      <c r="A201" s="20"/>
      <c r="B201" s="781"/>
      <c r="C201" s="873"/>
      <c r="D201" s="873"/>
      <c r="E201" s="873"/>
      <c r="F201" s="873"/>
      <c r="G201" s="873"/>
      <c r="H201" s="873"/>
      <c r="I201" s="873"/>
      <c r="J201" s="873"/>
      <c r="K201" s="873"/>
      <c r="L201" s="873"/>
      <c r="M201" s="873"/>
      <c r="N201" s="873"/>
      <c r="O201" s="873"/>
      <c r="P201" s="873"/>
      <c r="Q201" s="873"/>
      <c r="R201" s="873"/>
      <c r="S201" s="873"/>
    </row>
    <row r="202" spans="1:22">
      <c r="A202" s="28" t="s">
        <v>63</v>
      </c>
      <c r="B202" s="746" t="s">
        <v>285</v>
      </c>
      <c r="C202" s="875">
        <v>0</v>
      </c>
      <c r="D202" s="875">
        <v>0</v>
      </c>
      <c r="E202" s="875">
        <v>0</v>
      </c>
      <c r="F202" s="875">
        <v>0</v>
      </c>
      <c r="G202" s="875">
        <v>0</v>
      </c>
      <c r="H202" s="875">
        <v>0</v>
      </c>
      <c r="I202" s="875">
        <v>0</v>
      </c>
      <c r="J202" s="875">
        <v>0</v>
      </c>
      <c r="K202" s="875">
        <v>0</v>
      </c>
      <c r="L202" s="875">
        <v>0</v>
      </c>
      <c r="M202" s="875">
        <v>0</v>
      </c>
      <c r="N202" s="875">
        <v>0</v>
      </c>
      <c r="O202" s="875">
        <v>0</v>
      </c>
      <c r="P202" s="875">
        <v>0</v>
      </c>
      <c r="Q202" s="875">
        <v>0</v>
      </c>
      <c r="R202" s="875">
        <v>0</v>
      </c>
      <c r="S202" s="875">
        <v>0</v>
      </c>
      <c r="V202" s="703"/>
    </row>
    <row r="203" spans="1:22">
      <c r="A203" s="28" t="s">
        <v>12</v>
      </c>
      <c r="B203" s="746" t="s">
        <v>286</v>
      </c>
      <c r="C203" s="875">
        <v>0</v>
      </c>
      <c r="D203" s="875">
        <v>0</v>
      </c>
      <c r="E203" s="875">
        <v>0</v>
      </c>
      <c r="F203" s="875">
        <v>0</v>
      </c>
      <c r="G203" s="875">
        <v>0</v>
      </c>
      <c r="H203" s="875">
        <v>0</v>
      </c>
      <c r="I203" s="875">
        <v>0</v>
      </c>
      <c r="J203" s="875">
        <v>0</v>
      </c>
      <c r="K203" s="875">
        <v>0</v>
      </c>
      <c r="L203" s="875">
        <v>0</v>
      </c>
      <c r="M203" s="875">
        <v>0</v>
      </c>
      <c r="N203" s="875">
        <v>0</v>
      </c>
      <c r="O203" s="875">
        <v>0</v>
      </c>
      <c r="P203" s="875">
        <v>0</v>
      </c>
      <c r="Q203" s="875">
        <v>0</v>
      </c>
      <c r="R203" s="875">
        <v>0</v>
      </c>
      <c r="S203" s="875">
        <v>0</v>
      </c>
    </row>
    <row r="204" spans="1:22">
      <c r="A204" s="1"/>
      <c r="B204" s="748"/>
      <c r="C204" s="876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  <c r="O204" s="876"/>
      <c r="P204" s="876"/>
      <c r="Q204" s="876"/>
      <c r="R204" s="876"/>
      <c r="S204" s="876"/>
    </row>
    <row r="205" spans="1:22">
      <c r="A205" s="782" t="s">
        <v>47</v>
      </c>
      <c r="B205" s="781"/>
      <c r="C205" s="702">
        <v>1011541</v>
      </c>
      <c r="D205" s="702">
        <v>-132056</v>
      </c>
      <c r="E205" s="702">
        <v>-236023</v>
      </c>
      <c r="F205" s="702">
        <v>192922</v>
      </c>
      <c r="G205" s="702">
        <v>-434659</v>
      </c>
      <c r="H205" s="702">
        <v>495871</v>
      </c>
      <c r="I205" s="702">
        <v>107270</v>
      </c>
      <c r="J205" s="702">
        <v>1149316</v>
      </c>
      <c r="K205" s="702">
        <v>643770</v>
      </c>
      <c r="L205" s="702">
        <v>670317</v>
      </c>
      <c r="M205" s="702">
        <v>1344921</v>
      </c>
      <c r="N205" s="702">
        <v>1133166</v>
      </c>
      <c r="O205" s="702">
        <v>767166</v>
      </c>
      <c r="P205" s="702">
        <v>169166</v>
      </c>
      <c r="Q205" s="702">
        <v>168090</v>
      </c>
      <c r="R205" s="702">
        <v>870520</v>
      </c>
      <c r="S205" s="702">
        <v>0</v>
      </c>
    </row>
    <row r="206" spans="1:22">
      <c r="A206" s="1"/>
      <c r="B206" s="748"/>
      <c r="C206" s="876"/>
      <c r="D206" s="876"/>
      <c r="E206" s="876"/>
      <c r="F206" s="876"/>
      <c r="G206" s="876"/>
      <c r="H206" s="876"/>
      <c r="I206" s="876"/>
      <c r="J206" s="876"/>
      <c r="K206" s="876"/>
      <c r="L206" s="876"/>
      <c r="M206" s="876"/>
      <c r="N206" s="876"/>
      <c r="O206" s="876"/>
      <c r="P206" s="876"/>
      <c r="Q206" s="876"/>
      <c r="R206" s="876"/>
      <c r="S206" s="876"/>
    </row>
    <row r="207" spans="1:22">
      <c r="A207" s="28" t="s">
        <v>21</v>
      </c>
      <c r="B207" s="746" t="s">
        <v>287</v>
      </c>
      <c r="C207" s="875">
        <v>0</v>
      </c>
      <c r="D207" s="875">
        <v>0</v>
      </c>
      <c r="E207" s="875">
        <v>25000</v>
      </c>
      <c r="F207" s="875">
        <v>0</v>
      </c>
      <c r="G207" s="875">
        <v>2750000</v>
      </c>
      <c r="H207" s="875">
        <v>0</v>
      </c>
      <c r="I207" s="875">
        <v>0</v>
      </c>
      <c r="J207" s="875">
        <v>0</v>
      </c>
      <c r="K207" s="875">
        <v>0</v>
      </c>
      <c r="L207" s="875">
        <v>0</v>
      </c>
      <c r="M207" s="875">
        <v>110000</v>
      </c>
      <c r="N207" s="875">
        <v>0</v>
      </c>
      <c r="O207" s="875">
        <v>0</v>
      </c>
      <c r="P207" s="875">
        <v>0</v>
      </c>
      <c r="Q207" s="875">
        <v>0</v>
      </c>
      <c r="R207" s="875">
        <v>55000</v>
      </c>
      <c r="S207" s="875">
        <v>0</v>
      </c>
    </row>
    <row r="208" spans="1:22">
      <c r="A208" s="28" t="s">
        <v>64</v>
      </c>
      <c r="B208" s="746" t="s">
        <v>281</v>
      </c>
      <c r="C208" s="875">
        <v>0</v>
      </c>
      <c r="D208" s="875">
        <v>25000</v>
      </c>
      <c r="E208" s="875">
        <v>0</v>
      </c>
      <c r="F208" s="875">
        <v>2750000</v>
      </c>
      <c r="G208" s="875">
        <v>0</v>
      </c>
      <c r="H208" s="875">
        <v>0</v>
      </c>
      <c r="I208" s="875">
        <v>0</v>
      </c>
      <c r="J208" s="875">
        <v>0</v>
      </c>
      <c r="K208" s="875">
        <v>110000</v>
      </c>
      <c r="L208" s="875">
        <v>0</v>
      </c>
      <c r="M208" s="875">
        <v>0</v>
      </c>
      <c r="N208" s="875">
        <v>0</v>
      </c>
      <c r="O208" s="875">
        <v>0</v>
      </c>
      <c r="P208" s="875">
        <v>0</v>
      </c>
      <c r="Q208" s="875">
        <v>0</v>
      </c>
      <c r="R208" s="875">
        <v>0</v>
      </c>
      <c r="S208" s="875">
        <v>0</v>
      </c>
    </row>
    <row r="209" spans="1:19">
      <c r="A209" s="1"/>
      <c r="B209" s="748"/>
      <c r="C209" s="876"/>
      <c r="D209" s="876"/>
      <c r="E209" s="876"/>
      <c r="F209" s="876"/>
      <c r="G209" s="876"/>
      <c r="H209" s="876"/>
      <c r="I209" s="876"/>
      <c r="J209" s="876"/>
      <c r="K209" s="876"/>
      <c r="L209" s="876"/>
      <c r="M209" s="876"/>
      <c r="N209" s="876"/>
      <c r="O209" s="876"/>
      <c r="P209" s="876"/>
      <c r="Q209" s="876"/>
      <c r="R209" s="876"/>
      <c r="S209" s="876"/>
    </row>
    <row r="210" spans="1:19">
      <c r="A210" s="1444" t="s">
        <v>324</v>
      </c>
      <c r="B210" s="1445"/>
      <c r="C210" s="721">
        <v>0</v>
      </c>
      <c r="D210" s="721">
        <v>0</v>
      </c>
      <c r="E210" s="721">
        <v>0</v>
      </c>
      <c r="F210" s="721">
        <v>0</v>
      </c>
      <c r="G210" s="721">
        <v>0</v>
      </c>
      <c r="H210" s="721">
        <v>0</v>
      </c>
      <c r="I210" s="721">
        <v>0</v>
      </c>
      <c r="J210" s="721">
        <v>0</v>
      </c>
      <c r="K210" s="721">
        <v>0</v>
      </c>
      <c r="L210" s="721">
        <v>0</v>
      </c>
      <c r="M210" s="721">
        <v>0</v>
      </c>
      <c r="N210" s="721">
        <v>0</v>
      </c>
      <c r="O210" s="721">
        <v>0</v>
      </c>
      <c r="P210" s="721">
        <v>0</v>
      </c>
      <c r="Q210" s="721">
        <v>0</v>
      </c>
      <c r="R210" s="721">
        <v>0</v>
      </c>
      <c r="S210" s="721"/>
    </row>
    <row r="211" spans="1:19">
      <c r="A211" s="1444" t="s">
        <v>325</v>
      </c>
      <c r="B211" s="1445"/>
      <c r="C211" s="721">
        <v>15500</v>
      </c>
      <c r="D211" s="721">
        <v>15500</v>
      </c>
      <c r="E211" s="721">
        <v>15500</v>
      </c>
      <c r="F211" s="721">
        <v>15500</v>
      </c>
      <c r="G211" s="721">
        <v>15500</v>
      </c>
      <c r="H211" s="721">
        <v>15500</v>
      </c>
      <c r="I211" s="721">
        <v>15500</v>
      </c>
      <c r="J211" s="721">
        <v>15500</v>
      </c>
      <c r="K211" s="721">
        <v>15500</v>
      </c>
      <c r="L211" s="721">
        <v>15500</v>
      </c>
      <c r="M211" s="721">
        <v>15500</v>
      </c>
      <c r="N211" s="721">
        <v>15500</v>
      </c>
      <c r="O211" s="721">
        <v>15500</v>
      </c>
      <c r="P211" s="721">
        <v>15500</v>
      </c>
      <c r="Q211" s="721">
        <v>15500</v>
      </c>
      <c r="R211" s="721">
        <v>15500</v>
      </c>
      <c r="S211" s="721"/>
    </row>
    <row r="212" spans="1:19">
      <c r="A212" s="783" t="s">
        <v>339</v>
      </c>
      <c r="B212" s="784"/>
      <c r="C212" s="721">
        <v>22500</v>
      </c>
      <c r="D212" s="721">
        <v>22500</v>
      </c>
      <c r="E212" s="721">
        <v>22500</v>
      </c>
      <c r="F212" s="721">
        <v>22500</v>
      </c>
      <c r="G212" s="721">
        <v>22500</v>
      </c>
      <c r="H212" s="721">
        <v>22500</v>
      </c>
      <c r="I212" s="721">
        <v>22500</v>
      </c>
      <c r="J212" s="721">
        <v>22500</v>
      </c>
      <c r="K212" s="721">
        <v>22500</v>
      </c>
      <c r="L212" s="721">
        <v>22500</v>
      </c>
      <c r="M212" s="721">
        <v>22500</v>
      </c>
      <c r="N212" s="721">
        <v>22500</v>
      </c>
      <c r="O212" s="721">
        <v>22500</v>
      </c>
      <c r="P212" s="721">
        <v>22500</v>
      </c>
      <c r="Q212" s="721">
        <v>22500</v>
      </c>
      <c r="R212" s="721">
        <v>22500</v>
      </c>
      <c r="S212" s="721"/>
    </row>
    <row r="213" spans="1:19">
      <c r="A213" s="783" t="s">
        <v>561</v>
      </c>
      <c r="B213" s="784"/>
      <c r="C213" s="721">
        <v>0</v>
      </c>
      <c r="D213" s="721">
        <v>0</v>
      </c>
      <c r="E213" s="721">
        <v>0</v>
      </c>
      <c r="F213" s="721">
        <v>0</v>
      </c>
      <c r="G213" s="721">
        <v>0</v>
      </c>
      <c r="H213" s="721">
        <v>0</v>
      </c>
      <c r="I213" s="721">
        <v>0</v>
      </c>
      <c r="J213" s="721">
        <v>0</v>
      </c>
      <c r="K213" s="721">
        <v>0</v>
      </c>
      <c r="L213" s="721">
        <v>0</v>
      </c>
      <c r="M213" s="721">
        <v>0</v>
      </c>
      <c r="N213" s="721">
        <v>0</v>
      </c>
      <c r="O213" s="721">
        <v>0</v>
      </c>
      <c r="P213" s="721">
        <v>0</v>
      </c>
      <c r="Q213" s="721">
        <v>0</v>
      </c>
      <c r="R213" s="721">
        <v>0</v>
      </c>
      <c r="S213" s="721"/>
    </row>
    <row r="214" spans="1:19">
      <c r="A214" s="965"/>
      <c r="B214" s="966"/>
      <c r="C214" s="967">
        <v>38000</v>
      </c>
      <c r="D214" s="967">
        <v>38000</v>
      </c>
      <c r="E214" s="967">
        <v>38000</v>
      </c>
      <c r="F214" s="967">
        <v>38000</v>
      </c>
      <c r="G214" s="967">
        <v>38000</v>
      </c>
      <c r="H214" s="967">
        <v>38000</v>
      </c>
      <c r="I214" s="967">
        <v>38000</v>
      </c>
      <c r="J214" s="967">
        <v>38000</v>
      </c>
      <c r="K214" s="967">
        <v>38000</v>
      </c>
      <c r="L214" s="967">
        <v>38000</v>
      </c>
      <c r="M214" s="967">
        <v>38000</v>
      </c>
      <c r="N214" s="967">
        <v>38000</v>
      </c>
      <c r="O214" s="967">
        <v>38000</v>
      </c>
      <c r="P214" s="967">
        <v>38000</v>
      </c>
      <c r="Q214" s="967">
        <v>38000</v>
      </c>
      <c r="R214" s="967">
        <v>0</v>
      </c>
      <c r="S214" s="967">
        <v>0</v>
      </c>
    </row>
    <row r="215" spans="1:19">
      <c r="A215" s="1"/>
      <c r="B215" s="748"/>
      <c r="C215" s="876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  <c r="O215" s="876"/>
      <c r="P215" s="876"/>
      <c r="Q215" s="876"/>
      <c r="R215" s="876"/>
      <c r="S215" s="876"/>
    </row>
    <row r="216" spans="1:19">
      <c r="A216" s="1" t="s">
        <v>557</v>
      </c>
      <c r="B216" s="748"/>
      <c r="C216" s="893">
        <v>3000</v>
      </c>
      <c r="D216" s="893">
        <v>3000</v>
      </c>
      <c r="E216" s="893">
        <v>3000</v>
      </c>
      <c r="F216" s="893">
        <v>3000</v>
      </c>
      <c r="G216" s="893">
        <v>3000</v>
      </c>
      <c r="H216" s="893">
        <v>3000</v>
      </c>
      <c r="I216" s="893">
        <v>3000</v>
      </c>
      <c r="J216" s="893">
        <v>3000</v>
      </c>
      <c r="K216" s="893">
        <v>3000</v>
      </c>
      <c r="L216" s="893">
        <v>3000</v>
      </c>
      <c r="M216" s="893">
        <v>3000</v>
      </c>
      <c r="N216" s="893">
        <v>3000</v>
      </c>
      <c r="O216" s="893">
        <v>3000</v>
      </c>
      <c r="P216" s="893">
        <v>3000</v>
      </c>
      <c r="Q216" s="893">
        <v>3000</v>
      </c>
      <c r="R216" s="893">
        <v>3000</v>
      </c>
      <c r="S216" s="893"/>
    </row>
    <row r="217" spans="1:19">
      <c r="A217" s="1" t="s">
        <v>558</v>
      </c>
      <c r="B217" s="748"/>
      <c r="C217" s="893">
        <v>2500</v>
      </c>
      <c r="D217" s="893">
        <v>2500</v>
      </c>
      <c r="E217" s="893">
        <v>2500</v>
      </c>
      <c r="F217" s="893">
        <v>2500</v>
      </c>
      <c r="G217" s="893">
        <v>2500</v>
      </c>
      <c r="H217" s="893">
        <v>2500</v>
      </c>
      <c r="I217" s="893">
        <v>2500</v>
      </c>
      <c r="J217" s="893">
        <v>2500</v>
      </c>
      <c r="K217" s="893">
        <v>2500</v>
      </c>
      <c r="L217" s="893">
        <v>2500</v>
      </c>
      <c r="M217" s="893">
        <v>2500</v>
      </c>
      <c r="N217" s="893">
        <v>2500</v>
      </c>
      <c r="O217" s="893">
        <v>2500</v>
      </c>
      <c r="P217" s="893">
        <v>2500</v>
      </c>
      <c r="Q217" s="893">
        <v>2500</v>
      </c>
      <c r="R217" s="893">
        <v>2500</v>
      </c>
      <c r="S217" s="893"/>
    </row>
    <row r="218" spans="1:19">
      <c r="A218" s="1" t="s">
        <v>559</v>
      </c>
      <c r="B218" s="748"/>
      <c r="C218" s="893">
        <v>500</v>
      </c>
      <c r="D218" s="893">
        <v>500</v>
      </c>
      <c r="E218" s="893">
        <v>500</v>
      </c>
      <c r="F218" s="893">
        <v>500</v>
      </c>
      <c r="G218" s="893">
        <v>500</v>
      </c>
      <c r="H218" s="893">
        <v>500</v>
      </c>
      <c r="I218" s="893">
        <v>500</v>
      </c>
      <c r="J218" s="893">
        <v>500</v>
      </c>
      <c r="K218" s="893">
        <v>500</v>
      </c>
      <c r="L218" s="893">
        <v>500</v>
      </c>
      <c r="M218" s="893">
        <v>500</v>
      </c>
      <c r="N218" s="893">
        <v>500</v>
      </c>
      <c r="O218" s="893">
        <v>500</v>
      </c>
      <c r="P218" s="893">
        <v>500</v>
      </c>
      <c r="Q218" s="893">
        <v>500</v>
      </c>
      <c r="R218" s="893">
        <v>500</v>
      </c>
      <c r="S218" s="893"/>
    </row>
    <row r="219" spans="1:19">
      <c r="A219" s="1" t="s">
        <v>560</v>
      </c>
      <c r="B219" s="748"/>
      <c r="C219" s="893">
        <v>10500</v>
      </c>
      <c r="D219" s="893">
        <v>10500</v>
      </c>
      <c r="E219" s="893">
        <v>10500</v>
      </c>
      <c r="F219" s="893">
        <v>10500</v>
      </c>
      <c r="G219" s="893">
        <v>10500</v>
      </c>
      <c r="H219" s="893">
        <v>10500</v>
      </c>
      <c r="I219" s="893">
        <v>10500</v>
      </c>
      <c r="J219" s="893">
        <v>10500</v>
      </c>
      <c r="K219" s="893">
        <v>10500</v>
      </c>
      <c r="L219" s="893">
        <v>10500</v>
      </c>
      <c r="M219" s="893">
        <v>10500</v>
      </c>
      <c r="N219" s="893">
        <v>10500</v>
      </c>
      <c r="O219" s="893">
        <v>10500</v>
      </c>
      <c r="P219" s="893">
        <v>10500</v>
      </c>
      <c r="Q219" s="893">
        <v>10500</v>
      </c>
      <c r="R219" s="893">
        <v>10500</v>
      </c>
      <c r="S219" s="893"/>
    </row>
    <row r="220" spans="1:19">
      <c r="A220" s="1"/>
      <c r="B220" s="748"/>
      <c r="C220" s="892">
        <v>16500</v>
      </c>
      <c r="D220" s="892">
        <v>16500</v>
      </c>
      <c r="E220" s="892">
        <v>16500</v>
      </c>
      <c r="F220" s="892">
        <v>16500</v>
      </c>
      <c r="G220" s="892">
        <v>16500</v>
      </c>
      <c r="H220" s="892">
        <v>16500</v>
      </c>
      <c r="I220" s="892">
        <v>16500</v>
      </c>
      <c r="J220" s="892">
        <v>16500</v>
      </c>
      <c r="K220" s="892">
        <v>16500</v>
      </c>
      <c r="L220" s="892">
        <v>16500</v>
      </c>
      <c r="M220" s="892">
        <v>16500</v>
      </c>
      <c r="N220" s="892">
        <v>16500</v>
      </c>
      <c r="O220" s="892">
        <v>16500</v>
      </c>
      <c r="P220" s="892">
        <v>16500</v>
      </c>
      <c r="Q220" s="892">
        <v>16500</v>
      </c>
      <c r="R220" s="892">
        <v>0</v>
      </c>
      <c r="S220" s="892">
        <v>0</v>
      </c>
    </row>
    <row r="221" spans="1:19">
      <c r="A221" s="1"/>
      <c r="B221" s="748"/>
      <c r="C221" s="876"/>
      <c r="D221" s="876"/>
      <c r="E221" s="876"/>
      <c r="F221" s="876"/>
      <c r="G221" s="876"/>
      <c r="H221" s="876"/>
      <c r="I221" s="876"/>
      <c r="J221" s="876"/>
      <c r="K221" s="876"/>
      <c r="L221" s="876"/>
      <c r="M221" s="876"/>
      <c r="N221" s="876"/>
      <c r="O221" s="876"/>
      <c r="P221" s="876"/>
      <c r="Q221" s="876"/>
      <c r="R221" s="876"/>
      <c r="S221" s="876"/>
    </row>
    <row r="222" spans="1:19">
      <c r="A222" s="28" t="s">
        <v>11</v>
      </c>
      <c r="B222" s="746" t="s">
        <v>265</v>
      </c>
      <c r="C222" s="875">
        <v>0</v>
      </c>
      <c r="D222" s="875">
        <v>500000</v>
      </c>
      <c r="E222" s="875">
        <v>620000</v>
      </c>
      <c r="F222" s="875">
        <v>1040000</v>
      </c>
      <c r="G222" s="875">
        <v>300000</v>
      </c>
      <c r="H222" s="875">
        <v>0</v>
      </c>
      <c r="I222" s="875">
        <v>0</v>
      </c>
      <c r="J222" s="875">
        <v>135000</v>
      </c>
      <c r="K222" s="875">
        <v>40000</v>
      </c>
      <c r="L222" s="875">
        <v>700000</v>
      </c>
      <c r="M222" s="875">
        <v>0</v>
      </c>
      <c r="N222" s="875">
        <v>0</v>
      </c>
      <c r="O222" s="875">
        <v>0</v>
      </c>
      <c r="P222" s="875">
        <v>0</v>
      </c>
      <c r="Q222" s="875">
        <v>20000</v>
      </c>
      <c r="R222" s="875">
        <v>340000</v>
      </c>
      <c r="S222" s="875">
        <v>0</v>
      </c>
    </row>
    <row r="223" spans="1:19">
      <c r="A223" s="28" t="s">
        <v>65</v>
      </c>
      <c r="B223" s="746" t="s">
        <v>264</v>
      </c>
      <c r="C223" s="875">
        <v>0</v>
      </c>
      <c r="D223" s="875">
        <v>500000</v>
      </c>
      <c r="E223" s="875">
        <v>1000000</v>
      </c>
      <c r="F223" s="875">
        <v>500000</v>
      </c>
      <c r="G223" s="875">
        <v>1000000</v>
      </c>
      <c r="H223" s="875">
        <v>200000</v>
      </c>
      <c r="I223" s="875">
        <v>0</v>
      </c>
      <c r="J223" s="875">
        <v>0</v>
      </c>
      <c r="K223" s="875">
        <v>1500000</v>
      </c>
      <c r="L223" s="875">
        <v>0</v>
      </c>
      <c r="M223" s="875">
        <v>0</v>
      </c>
      <c r="N223" s="875">
        <v>0</v>
      </c>
      <c r="O223" s="875">
        <v>0</v>
      </c>
      <c r="P223" s="875">
        <v>0</v>
      </c>
      <c r="Q223" s="875">
        <v>0</v>
      </c>
      <c r="R223" s="875">
        <v>0</v>
      </c>
      <c r="S223" s="875">
        <v>0</v>
      </c>
    </row>
    <row r="224" spans="1:19">
      <c r="A224" s="1"/>
      <c r="B224" s="748"/>
      <c r="C224" s="876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  <c r="O224" s="876"/>
      <c r="P224" s="876"/>
      <c r="Q224" s="876"/>
      <c r="R224" s="876"/>
      <c r="S224" s="876"/>
    </row>
    <row r="225" spans="1:19" ht="15" thickBot="1">
      <c r="A225" s="4"/>
      <c r="B225" s="753"/>
      <c r="C225" s="877"/>
      <c r="D225" s="877"/>
      <c r="E225" s="877"/>
      <c r="F225" s="877"/>
      <c r="G225" s="877"/>
      <c r="H225" s="877"/>
      <c r="I225" s="877"/>
      <c r="J225" s="877"/>
      <c r="K225" s="877"/>
      <c r="L225" s="877"/>
      <c r="M225" s="877"/>
      <c r="N225" s="877"/>
      <c r="O225" s="877"/>
      <c r="P225" s="877"/>
      <c r="Q225" s="877"/>
      <c r="R225" s="877"/>
      <c r="S225" s="877"/>
    </row>
    <row r="226" spans="1:19" s="685" customFormat="1" ht="15" thickTop="1">
      <c r="A226" s="785" t="s">
        <v>173</v>
      </c>
      <c r="B226" s="786" t="s">
        <v>491</v>
      </c>
      <c r="C226" s="878">
        <v>1129400</v>
      </c>
      <c r="D226" s="878">
        <v>1853475</v>
      </c>
      <c r="E226" s="878">
        <v>2680406</v>
      </c>
      <c r="F226" s="878">
        <v>423746</v>
      </c>
      <c r="G226" s="878">
        <v>1589746</v>
      </c>
      <c r="H226" s="878">
        <v>465872</v>
      </c>
      <c r="I226" s="878">
        <v>514499</v>
      </c>
      <c r="J226" s="878">
        <v>768720</v>
      </c>
      <c r="K226" s="878">
        <v>739864</v>
      </c>
      <c r="L226" s="878">
        <v>1036198</v>
      </c>
      <c r="M226" s="878">
        <v>562643</v>
      </c>
      <c r="N226" s="878">
        <v>491264</v>
      </c>
      <c r="O226" s="878">
        <v>484984</v>
      </c>
      <c r="P226" s="878">
        <v>907164</v>
      </c>
      <c r="Q226" s="878">
        <v>630654</v>
      </c>
      <c r="R226" s="878">
        <v>814345</v>
      </c>
      <c r="S226" s="878">
        <v>0</v>
      </c>
    </row>
    <row r="227" spans="1:19" s="685" customFormat="1">
      <c r="A227" s="787"/>
      <c r="B227" s="788"/>
      <c r="C227" s="702">
        <v>15092980</v>
      </c>
      <c r="D227" s="702">
        <v>13963580</v>
      </c>
      <c r="E227" s="702">
        <v>12110105</v>
      </c>
      <c r="F227" s="702">
        <v>9429699</v>
      </c>
      <c r="G227" s="702">
        <v>9005953</v>
      </c>
      <c r="H227" s="702">
        <v>7416207</v>
      </c>
      <c r="I227" s="702">
        <v>6950335</v>
      </c>
      <c r="J227" s="702">
        <v>6435836</v>
      </c>
      <c r="K227" s="702">
        <v>5667116</v>
      </c>
      <c r="L227" s="702">
        <v>4927252</v>
      </c>
      <c r="M227" s="702">
        <v>3891054</v>
      </c>
      <c r="N227" s="702">
        <v>3328411</v>
      </c>
      <c r="O227" s="702">
        <v>2837147</v>
      </c>
      <c r="P227" s="702">
        <v>2352163</v>
      </c>
      <c r="Q227" s="702">
        <v>1444999</v>
      </c>
      <c r="R227" s="702">
        <v>814345</v>
      </c>
      <c r="S227" s="702">
        <v>0</v>
      </c>
    </row>
    <row r="228" spans="1:19" s="685" customFormat="1">
      <c r="A228" s="789" t="s">
        <v>100</v>
      </c>
      <c r="B228" s="790"/>
      <c r="C228" s="879"/>
      <c r="D228" s="879"/>
      <c r="E228" s="879"/>
      <c r="F228" s="879"/>
      <c r="G228" s="879"/>
      <c r="H228" s="879"/>
      <c r="I228" s="879"/>
      <c r="J228" s="879"/>
      <c r="K228" s="879"/>
      <c r="L228" s="879"/>
      <c r="M228" s="879"/>
      <c r="N228" s="879"/>
      <c r="O228" s="879"/>
      <c r="P228" s="879"/>
      <c r="Q228" s="879"/>
      <c r="R228" s="879"/>
      <c r="S228" s="879"/>
    </row>
    <row r="229" spans="1:19" s="685" customFormat="1">
      <c r="A229" s="791" t="s">
        <v>337</v>
      </c>
      <c r="B229" s="792" t="s">
        <v>492</v>
      </c>
      <c r="C229" s="880">
        <v>0</v>
      </c>
      <c r="D229" s="880">
        <v>0</v>
      </c>
      <c r="E229" s="880">
        <v>0</v>
      </c>
      <c r="F229" s="880">
        <v>0</v>
      </c>
      <c r="G229" s="880">
        <v>0</v>
      </c>
      <c r="H229" s="880">
        <v>0</v>
      </c>
      <c r="I229" s="880">
        <v>0</v>
      </c>
      <c r="J229" s="880">
        <v>0</v>
      </c>
      <c r="K229" s="880">
        <v>0</v>
      </c>
      <c r="L229" s="880">
        <v>0</v>
      </c>
      <c r="M229" s="880">
        <v>0</v>
      </c>
      <c r="N229" s="880">
        <v>0</v>
      </c>
      <c r="O229" s="880">
        <v>0</v>
      </c>
      <c r="P229" s="880">
        <v>0</v>
      </c>
      <c r="Q229" s="880">
        <v>0</v>
      </c>
      <c r="R229" s="880">
        <v>0</v>
      </c>
      <c r="S229" s="880">
        <v>0</v>
      </c>
    </row>
    <row r="230" spans="1:19" s="685" customFormat="1">
      <c r="A230" s="791"/>
      <c r="B230" s="792"/>
      <c r="C230" s="702">
        <v>0</v>
      </c>
      <c r="D230" s="702">
        <v>0</v>
      </c>
      <c r="E230" s="702">
        <v>0</v>
      </c>
      <c r="F230" s="702">
        <v>0</v>
      </c>
      <c r="G230" s="702">
        <v>0</v>
      </c>
      <c r="H230" s="702">
        <v>0</v>
      </c>
      <c r="I230" s="702">
        <v>0</v>
      </c>
      <c r="J230" s="702">
        <v>0</v>
      </c>
      <c r="K230" s="702">
        <v>0</v>
      </c>
      <c r="L230" s="702">
        <v>0</v>
      </c>
      <c r="M230" s="702">
        <v>0</v>
      </c>
      <c r="N230" s="702">
        <v>0</v>
      </c>
      <c r="O230" s="702">
        <v>0</v>
      </c>
      <c r="P230" s="702">
        <v>0</v>
      </c>
      <c r="Q230" s="702">
        <v>0</v>
      </c>
      <c r="R230" s="702">
        <v>0</v>
      </c>
      <c r="S230" s="702">
        <v>0</v>
      </c>
    </row>
    <row r="231" spans="1:19" s="685" customFormat="1">
      <c r="A231" s="791" t="s">
        <v>353</v>
      </c>
      <c r="B231" s="792" t="s">
        <v>493</v>
      </c>
      <c r="C231" s="880">
        <v>0</v>
      </c>
      <c r="D231" s="880">
        <v>0</v>
      </c>
      <c r="E231" s="880">
        <v>0</v>
      </c>
      <c r="F231" s="880">
        <v>0</v>
      </c>
      <c r="G231" s="880">
        <v>0</v>
      </c>
      <c r="H231" s="880">
        <v>0</v>
      </c>
      <c r="I231" s="880">
        <v>0</v>
      </c>
      <c r="J231" s="880">
        <v>0</v>
      </c>
      <c r="K231" s="880">
        <v>0</v>
      </c>
      <c r="L231" s="880">
        <v>0</v>
      </c>
      <c r="M231" s="880">
        <v>0</v>
      </c>
      <c r="N231" s="880">
        <v>0</v>
      </c>
      <c r="O231" s="880">
        <v>0</v>
      </c>
      <c r="P231" s="880">
        <v>0</v>
      </c>
      <c r="Q231" s="880">
        <v>0</v>
      </c>
      <c r="R231" s="880">
        <v>0</v>
      </c>
      <c r="S231" s="880">
        <v>0</v>
      </c>
    </row>
    <row r="232" spans="1:19" s="685" customFormat="1">
      <c r="A232" s="791"/>
      <c r="B232" s="792"/>
      <c r="C232" s="702">
        <v>0</v>
      </c>
      <c r="D232" s="702">
        <v>0</v>
      </c>
      <c r="E232" s="702">
        <v>0</v>
      </c>
      <c r="F232" s="702">
        <v>0</v>
      </c>
      <c r="G232" s="702">
        <v>0</v>
      </c>
      <c r="H232" s="702">
        <v>0</v>
      </c>
      <c r="I232" s="702">
        <v>0</v>
      </c>
      <c r="J232" s="702">
        <v>0</v>
      </c>
      <c r="K232" s="702">
        <v>0</v>
      </c>
      <c r="L232" s="702">
        <v>0</v>
      </c>
      <c r="M232" s="702">
        <v>0</v>
      </c>
      <c r="N232" s="702">
        <v>0</v>
      </c>
      <c r="O232" s="702">
        <v>0</v>
      </c>
      <c r="P232" s="702">
        <v>0</v>
      </c>
      <c r="Q232" s="702">
        <v>0</v>
      </c>
      <c r="R232" s="702">
        <v>0</v>
      </c>
      <c r="S232" s="702">
        <v>0</v>
      </c>
    </row>
    <row r="233" spans="1:19" s="685" customFormat="1">
      <c r="A233" s="791" t="s">
        <v>245</v>
      </c>
      <c r="B233" s="792" t="s">
        <v>494</v>
      </c>
      <c r="C233" s="880">
        <v>0</v>
      </c>
      <c r="D233" s="880">
        <v>137500</v>
      </c>
      <c r="E233" s="880">
        <v>103407</v>
      </c>
      <c r="F233" s="880">
        <v>0</v>
      </c>
      <c r="G233" s="880">
        <v>0</v>
      </c>
      <c r="H233" s="880">
        <v>0</v>
      </c>
      <c r="I233" s="880">
        <v>0</v>
      </c>
      <c r="J233" s="880">
        <v>0</v>
      </c>
      <c r="K233" s="880">
        <v>0</v>
      </c>
      <c r="L233" s="880">
        <v>0</v>
      </c>
      <c r="M233" s="880">
        <v>0</v>
      </c>
      <c r="N233" s="880">
        <v>0</v>
      </c>
      <c r="O233" s="880">
        <v>0</v>
      </c>
      <c r="P233" s="880">
        <v>0</v>
      </c>
      <c r="Q233" s="880">
        <v>0</v>
      </c>
      <c r="R233" s="880">
        <v>0</v>
      </c>
      <c r="S233" s="880">
        <v>0</v>
      </c>
    </row>
    <row r="234" spans="1:19" s="685" customFormat="1">
      <c r="A234" s="791"/>
      <c r="B234" s="792"/>
      <c r="C234" s="702">
        <v>240907</v>
      </c>
      <c r="D234" s="702">
        <v>240907</v>
      </c>
      <c r="E234" s="702">
        <v>103407</v>
      </c>
      <c r="F234" s="702">
        <v>0</v>
      </c>
      <c r="G234" s="702">
        <v>0</v>
      </c>
      <c r="H234" s="702">
        <v>0</v>
      </c>
      <c r="I234" s="702">
        <v>0</v>
      </c>
      <c r="J234" s="702">
        <v>0</v>
      </c>
      <c r="K234" s="702">
        <v>0</v>
      </c>
      <c r="L234" s="702">
        <v>0</v>
      </c>
      <c r="M234" s="702">
        <v>0</v>
      </c>
      <c r="N234" s="702">
        <v>0</v>
      </c>
      <c r="O234" s="702">
        <v>0</v>
      </c>
      <c r="P234" s="702">
        <v>0</v>
      </c>
      <c r="Q234" s="702">
        <v>0</v>
      </c>
      <c r="R234" s="702">
        <v>0</v>
      </c>
      <c r="S234" s="702">
        <v>0</v>
      </c>
    </row>
    <row r="235" spans="1:19" s="685" customFormat="1">
      <c r="A235" s="791" t="s">
        <v>349</v>
      </c>
      <c r="B235" s="792" t="s">
        <v>495</v>
      </c>
      <c r="C235" s="880">
        <v>0</v>
      </c>
      <c r="D235" s="880">
        <v>0</v>
      </c>
      <c r="E235" s="880">
        <v>0</v>
      </c>
      <c r="F235" s="880">
        <v>0</v>
      </c>
      <c r="G235" s="880">
        <v>0</v>
      </c>
      <c r="H235" s="880">
        <v>0</v>
      </c>
      <c r="I235" s="880">
        <v>0</v>
      </c>
      <c r="J235" s="880">
        <v>0</v>
      </c>
      <c r="K235" s="880">
        <v>0</v>
      </c>
      <c r="L235" s="880">
        <v>0</v>
      </c>
      <c r="M235" s="880">
        <v>0</v>
      </c>
      <c r="N235" s="880">
        <v>0</v>
      </c>
      <c r="O235" s="880">
        <v>0</v>
      </c>
      <c r="P235" s="880">
        <v>0</v>
      </c>
      <c r="Q235" s="880">
        <v>0</v>
      </c>
      <c r="R235" s="880">
        <v>0</v>
      </c>
      <c r="S235" s="880">
        <v>0</v>
      </c>
    </row>
    <row r="236" spans="1:19" s="685" customFormat="1">
      <c r="A236" s="791"/>
      <c r="B236" s="792"/>
      <c r="C236" s="702">
        <v>0</v>
      </c>
      <c r="D236" s="702">
        <v>0</v>
      </c>
      <c r="E236" s="702">
        <v>0</v>
      </c>
      <c r="F236" s="702">
        <v>0</v>
      </c>
      <c r="G236" s="702">
        <v>0</v>
      </c>
      <c r="H236" s="702">
        <v>0</v>
      </c>
      <c r="I236" s="702">
        <v>0</v>
      </c>
      <c r="J236" s="702">
        <v>0</v>
      </c>
      <c r="K236" s="702">
        <v>0</v>
      </c>
      <c r="L236" s="702">
        <v>0</v>
      </c>
      <c r="M236" s="702">
        <v>0</v>
      </c>
      <c r="N236" s="702">
        <v>0</v>
      </c>
      <c r="O236" s="702">
        <v>0</v>
      </c>
      <c r="P236" s="702">
        <v>0</v>
      </c>
      <c r="Q236" s="702">
        <v>0</v>
      </c>
      <c r="R236" s="702">
        <v>0</v>
      </c>
      <c r="S236" s="702">
        <v>0</v>
      </c>
    </row>
    <row r="237" spans="1:19" s="685" customFormat="1">
      <c r="A237" s="791" t="s">
        <v>247</v>
      </c>
      <c r="B237" s="792" t="s">
        <v>496</v>
      </c>
      <c r="C237" s="880">
        <v>0</v>
      </c>
      <c r="D237" s="880">
        <v>0</v>
      </c>
      <c r="E237" s="880">
        <v>0</v>
      </c>
      <c r="F237" s="880">
        <v>101400</v>
      </c>
      <c r="G237" s="880">
        <v>0</v>
      </c>
      <c r="H237" s="880">
        <v>0</v>
      </c>
      <c r="I237" s="880">
        <v>0</v>
      </c>
      <c r="J237" s="880">
        <v>0</v>
      </c>
      <c r="K237" s="880">
        <v>0</v>
      </c>
      <c r="L237" s="880">
        <v>0</v>
      </c>
      <c r="M237" s="880">
        <v>0</v>
      </c>
      <c r="N237" s="880">
        <v>0</v>
      </c>
      <c r="O237" s="880">
        <v>0</v>
      </c>
      <c r="P237" s="880">
        <v>0</v>
      </c>
      <c r="Q237" s="880">
        <v>0</v>
      </c>
      <c r="R237" s="880">
        <v>51400</v>
      </c>
      <c r="S237" s="880">
        <v>0</v>
      </c>
    </row>
    <row r="238" spans="1:19" s="685" customFormat="1">
      <c r="A238" s="791"/>
      <c r="B238" s="792"/>
      <c r="C238" s="702">
        <v>152800</v>
      </c>
      <c r="D238" s="702">
        <v>152800</v>
      </c>
      <c r="E238" s="702">
        <v>152800</v>
      </c>
      <c r="F238" s="702">
        <v>152800</v>
      </c>
      <c r="G238" s="702">
        <v>51400</v>
      </c>
      <c r="H238" s="702">
        <v>51400</v>
      </c>
      <c r="I238" s="702">
        <v>51400</v>
      </c>
      <c r="J238" s="702">
        <v>51400</v>
      </c>
      <c r="K238" s="702">
        <v>51400</v>
      </c>
      <c r="L238" s="702">
        <v>51400</v>
      </c>
      <c r="M238" s="702">
        <v>51400</v>
      </c>
      <c r="N238" s="702">
        <v>51400</v>
      </c>
      <c r="O238" s="702">
        <v>51400</v>
      </c>
      <c r="P238" s="702">
        <v>51400</v>
      </c>
      <c r="Q238" s="702">
        <v>51400</v>
      </c>
      <c r="R238" s="702">
        <v>51400</v>
      </c>
      <c r="S238" s="702">
        <v>0</v>
      </c>
    </row>
    <row r="239" spans="1:19" s="685" customFormat="1">
      <c r="A239" s="791" t="s">
        <v>187</v>
      </c>
      <c r="B239" s="792" t="s">
        <v>497</v>
      </c>
      <c r="C239" s="880">
        <v>824000</v>
      </c>
      <c r="D239" s="880">
        <v>1364000</v>
      </c>
      <c r="E239" s="880">
        <v>0</v>
      </c>
      <c r="F239" s="880">
        <v>0</v>
      </c>
      <c r="G239" s="880">
        <v>50000</v>
      </c>
      <c r="H239" s="880">
        <v>0</v>
      </c>
      <c r="I239" s="880">
        <v>0</v>
      </c>
      <c r="J239" s="880">
        <v>0</v>
      </c>
      <c r="K239" s="880">
        <v>0</v>
      </c>
      <c r="L239" s="880">
        <v>0</v>
      </c>
      <c r="M239" s="880">
        <v>0</v>
      </c>
      <c r="N239" s="880">
        <v>100000</v>
      </c>
      <c r="O239" s="880">
        <v>0</v>
      </c>
      <c r="P239" s="880">
        <v>0</v>
      </c>
      <c r="Q239" s="880">
        <v>0</v>
      </c>
      <c r="R239" s="880">
        <v>0</v>
      </c>
      <c r="S239" s="880">
        <v>0</v>
      </c>
    </row>
    <row r="240" spans="1:19" s="685" customFormat="1">
      <c r="A240" s="791"/>
      <c r="B240" s="792"/>
      <c r="C240" s="702">
        <v>2338000</v>
      </c>
      <c r="D240" s="702">
        <v>1514000</v>
      </c>
      <c r="E240" s="702">
        <v>150000</v>
      </c>
      <c r="F240" s="702">
        <v>150000</v>
      </c>
      <c r="G240" s="702">
        <v>150000</v>
      </c>
      <c r="H240" s="702">
        <v>100000</v>
      </c>
      <c r="I240" s="702">
        <v>100000</v>
      </c>
      <c r="J240" s="702">
        <v>100000</v>
      </c>
      <c r="K240" s="702">
        <v>100000</v>
      </c>
      <c r="L240" s="702">
        <v>100000</v>
      </c>
      <c r="M240" s="702">
        <v>100000</v>
      </c>
      <c r="N240" s="702">
        <v>100000</v>
      </c>
      <c r="O240" s="702">
        <v>0</v>
      </c>
      <c r="P240" s="702">
        <v>0</v>
      </c>
      <c r="Q240" s="702">
        <v>0</v>
      </c>
      <c r="R240" s="702">
        <v>0</v>
      </c>
      <c r="S240" s="702">
        <v>0</v>
      </c>
    </row>
    <row r="241" spans="1:19" s="685" customFormat="1">
      <c r="A241" s="791" t="s">
        <v>246</v>
      </c>
      <c r="B241" s="792" t="s">
        <v>498</v>
      </c>
      <c r="C241" s="880">
        <v>0</v>
      </c>
      <c r="D241" s="880">
        <v>0</v>
      </c>
      <c r="E241" s="880">
        <v>0</v>
      </c>
      <c r="F241" s="880">
        <v>423375</v>
      </c>
      <c r="G241" s="880">
        <v>0</v>
      </c>
      <c r="H241" s="880">
        <v>0</v>
      </c>
      <c r="I241" s="880">
        <v>0</v>
      </c>
      <c r="J241" s="880">
        <v>0</v>
      </c>
      <c r="K241" s="880">
        <v>0</v>
      </c>
      <c r="L241" s="880">
        <v>0</v>
      </c>
      <c r="M241" s="880">
        <v>0</v>
      </c>
      <c r="N241" s="880">
        <v>0</v>
      </c>
      <c r="O241" s="880">
        <v>0</v>
      </c>
      <c r="P241" s="880">
        <v>0</v>
      </c>
      <c r="Q241" s="880">
        <v>0</v>
      </c>
      <c r="R241" s="880">
        <v>0</v>
      </c>
      <c r="S241" s="880">
        <v>0</v>
      </c>
    </row>
    <row r="242" spans="1:19" s="685" customFormat="1">
      <c r="A242" s="791"/>
      <c r="B242" s="792"/>
      <c r="C242" s="702">
        <v>423375</v>
      </c>
      <c r="D242" s="702">
        <v>423375</v>
      </c>
      <c r="E242" s="702">
        <v>423375</v>
      </c>
      <c r="F242" s="702">
        <v>423375</v>
      </c>
      <c r="G242" s="702">
        <v>0</v>
      </c>
      <c r="H242" s="702">
        <v>0</v>
      </c>
      <c r="I242" s="702">
        <v>0</v>
      </c>
      <c r="J242" s="702">
        <v>0</v>
      </c>
      <c r="K242" s="702">
        <v>0</v>
      </c>
      <c r="L242" s="702">
        <v>0</v>
      </c>
      <c r="M242" s="702">
        <v>0</v>
      </c>
      <c r="N242" s="702">
        <v>0</v>
      </c>
      <c r="O242" s="702">
        <v>0</v>
      </c>
      <c r="P242" s="702">
        <v>0</v>
      </c>
      <c r="Q242" s="702">
        <v>0</v>
      </c>
      <c r="R242" s="702">
        <v>0</v>
      </c>
      <c r="S242" s="702">
        <v>0</v>
      </c>
    </row>
    <row r="243" spans="1:19" s="685" customFormat="1">
      <c r="A243" s="791" t="s">
        <v>334</v>
      </c>
      <c r="B243" s="792" t="s">
        <v>499</v>
      </c>
      <c r="C243" s="880">
        <v>0</v>
      </c>
      <c r="D243" s="880">
        <v>0</v>
      </c>
      <c r="E243" s="880">
        <v>0</v>
      </c>
      <c r="F243" s="880">
        <v>0</v>
      </c>
      <c r="G243" s="880">
        <v>0</v>
      </c>
      <c r="H243" s="880">
        <v>0</v>
      </c>
      <c r="I243" s="880">
        <v>0</v>
      </c>
      <c r="J243" s="880">
        <v>0</v>
      </c>
      <c r="K243" s="880">
        <v>0</v>
      </c>
      <c r="L243" s="880">
        <v>0</v>
      </c>
      <c r="M243" s="880">
        <v>0</v>
      </c>
      <c r="N243" s="880">
        <v>0</v>
      </c>
      <c r="O243" s="880">
        <v>0</v>
      </c>
      <c r="P243" s="880">
        <v>0</v>
      </c>
      <c r="Q243" s="880">
        <v>0</v>
      </c>
      <c r="R243" s="880">
        <v>0</v>
      </c>
      <c r="S243" s="880">
        <v>0</v>
      </c>
    </row>
    <row r="244" spans="1:19" s="685" customFormat="1">
      <c r="A244" s="791"/>
      <c r="B244" s="792"/>
      <c r="C244" s="702">
        <v>0</v>
      </c>
      <c r="D244" s="702">
        <v>0</v>
      </c>
      <c r="E244" s="702">
        <v>0</v>
      </c>
      <c r="F244" s="702">
        <v>0</v>
      </c>
      <c r="G244" s="702">
        <v>0</v>
      </c>
      <c r="H244" s="702">
        <v>0</v>
      </c>
      <c r="I244" s="702">
        <v>0</v>
      </c>
      <c r="J244" s="702">
        <v>0</v>
      </c>
      <c r="K244" s="702">
        <v>0</v>
      </c>
      <c r="L244" s="702">
        <v>0</v>
      </c>
      <c r="M244" s="702">
        <v>0</v>
      </c>
      <c r="N244" s="702">
        <v>0</v>
      </c>
      <c r="O244" s="702">
        <v>0</v>
      </c>
      <c r="P244" s="702">
        <v>0</v>
      </c>
      <c r="Q244" s="702">
        <v>0</v>
      </c>
      <c r="R244" s="702">
        <v>0</v>
      </c>
      <c r="S244" s="702">
        <v>0</v>
      </c>
    </row>
    <row r="245" spans="1:19" s="685" customFormat="1">
      <c r="A245" s="791" t="s">
        <v>27</v>
      </c>
      <c r="B245" s="792" t="s">
        <v>500</v>
      </c>
      <c r="C245" s="880">
        <v>75000</v>
      </c>
      <c r="D245" s="880">
        <v>0</v>
      </c>
      <c r="E245" s="880">
        <v>0</v>
      </c>
      <c r="F245" s="880">
        <v>0</v>
      </c>
      <c r="G245" s="880">
        <v>0</v>
      </c>
      <c r="H245" s="880">
        <v>82000</v>
      </c>
      <c r="I245" s="880">
        <v>0</v>
      </c>
      <c r="J245" s="880">
        <v>0</v>
      </c>
      <c r="K245" s="880">
        <v>0</v>
      </c>
      <c r="L245" s="880">
        <v>71000</v>
      </c>
      <c r="M245" s="880">
        <v>0</v>
      </c>
      <c r="N245" s="880">
        <v>23000</v>
      </c>
      <c r="O245" s="880">
        <v>58600</v>
      </c>
      <c r="P245" s="880">
        <v>15000</v>
      </c>
      <c r="Q245" s="880">
        <v>0</v>
      </c>
      <c r="R245" s="880">
        <v>884324</v>
      </c>
      <c r="S245" s="880">
        <v>0</v>
      </c>
    </row>
    <row r="246" spans="1:19" s="685" customFormat="1">
      <c r="A246" s="791"/>
      <c r="B246" s="792"/>
      <c r="C246" s="702">
        <v>1208924</v>
      </c>
      <c r="D246" s="702">
        <v>1133924</v>
      </c>
      <c r="E246" s="702">
        <v>1133924</v>
      </c>
      <c r="F246" s="702">
        <v>1133924</v>
      </c>
      <c r="G246" s="702">
        <v>1133924</v>
      </c>
      <c r="H246" s="702">
        <v>1133924</v>
      </c>
      <c r="I246" s="702">
        <v>1051924</v>
      </c>
      <c r="J246" s="702">
        <v>1051924</v>
      </c>
      <c r="K246" s="702">
        <v>1051924</v>
      </c>
      <c r="L246" s="702">
        <v>1051924</v>
      </c>
      <c r="M246" s="702">
        <v>980924</v>
      </c>
      <c r="N246" s="702">
        <v>980924</v>
      </c>
      <c r="O246" s="702">
        <v>957924</v>
      </c>
      <c r="P246" s="702">
        <v>899324</v>
      </c>
      <c r="Q246" s="702">
        <v>884324</v>
      </c>
      <c r="R246" s="702">
        <v>884324</v>
      </c>
      <c r="S246" s="702">
        <v>0</v>
      </c>
    </row>
    <row r="247" spans="1:19" s="1022" customFormat="1">
      <c r="A247" s="791" t="s">
        <v>180</v>
      </c>
      <c r="B247" s="792"/>
      <c r="C247" s="1021">
        <v>0</v>
      </c>
      <c r="D247" s="1021">
        <v>0</v>
      </c>
      <c r="E247" s="1021">
        <v>0</v>
      </c>
      <c r="F247" s="1021">
        <v>0</v>
      </c>
      <c r="G247" s="1021">
        <v>0</v>
      </c>
      <c r="H247" s="1021">
        <v>0</v>
      </c>
      <c r="I247" s="1021">
        <v>0</v>
      </c>
      <c r="J247" s="1021">
        <v>0</v>
      </c>
      <c r="K247" s="1021">
        <v>0</v>
      </c>
      <c r="L247" s="1021">
        <v>0</v>
      </c>
      <c r="M247" s="1021">
        <v>0</v>
      </c>
      <c r="N247" s="1021"/>
      <c r="O247" s="1021"/>
      <c r="P247" s="1021"/>
      <c r="Q247" s="1021"/>
      <c r="R247" s="1021"/>
      <c r="S247" s="1021"/>
    </row>
    <row r="248" spans="1:19" s="685" customFormat="1">
      <c r="A248" s="791"/>
      <c r="B248" s="792"/>
      <c r="C248" s="702">
        <v>0</v>
      </c>
      <c r="D248" s="702">
        <v>0</v>
      </c>
      <c r="E248" s="702">
        <v>0</v>
      </c>
      <c r="F248" s="702">
        <v>0</v>
      </c>
      <c r="G248" s="702">
        <v>0</v>
      </c>
      <c r="H248" s="702">
        <v>0</v>
      </c>
      <c r="I248" s="702">
        <v>0</v>
      </c>
      <c r="J248" s="702">
        <v>0</v>
      </c>
      <c r="K248" s="702">
        <v>0</v>
      </c>
      <c r="L248" s="702">
        <v>0</v>
      </c>
      <c r="M248" s="702">
        <v>0</v>
      </c>
      <c r="N248" s="702"/>
      <c r="O248" s="702"/>
      <c r="P248" s="702"/>
      <c r="Q248" s="702"/>
      <c r="R248" s="702"/>
      <c r="S248" s="702"/>
    </row>
    <row r="249" spans="1:19" s="685" customFormat="1">
      <c r="A249" s="791" t="s">
        <v>59</v>
      </c>
      <c r="B249" s="792"/>
      <c r="C249" s="881">
        <v>899000</v>
      </c>
      <c r="D249" s="881">
        <v>1501500</v>
      </c>
      <c r="E249" s="881">
        <v>103407</v>
      </c>
      <c r="F249" s="881">
        <v>524775</v>
      </c>
      <c r="G249" s="881">
        <v>50000</v>
      </c>
      <c r="H249" s="881">
        <v>82000</v>
      </c>
      <c r="I249" s="881">
        <v>0</v>
      </c>
      <c r="J249" s="881">
        <v>0</v>
      </c>
      <c r="K249" s="881">
        <v>0</v>
      </c>
      <c r="L249" s="881">
        <v>71000</v>
      </c>
      <c r="M249" s="881">
        <v>0</v>
      </c>
      <c r="N249" s="881">
        <v>123000</v>
      </c>
      <c r="O249" s="881">
        <v>58600</v>
      </c>
      <c r="P249" s="881">
        <v>15000</v>
      </c>
      <c r="Q249" s="881">
        <v>0</v>
      </c>
      <c r="R249" s="881">
        <v>935724</v>
      </c>
      <c r="S249" s="881">
        <v>0</v>
      </c>
    </row>
    <row r="250" spans="1:19" s="685" customFormat="1">
      <c r="A250" s="791"/>
      <c r="B250" s="792"/>
      <c r="C250" s="702">
        <v>4364006</v>
      </c>
      <c r="D250" s="702">
        <v>3465006</v>
      </c>
      <c r="E250" s="702">
        <v>1963506</v>
      </c>
      <c r="F250" s="702">
        <v>1860099</v>
      </c>
      <c r="G250" s="702">
        <v>1335324</v>
      </c>
      <c r="H250" s="702">
        <v>1285324</v>
      </c>
      <c r="I250" s="702">
        <v>1203324</v>
      </c>
      <c r="J250" s="702">
        <v>1203324</v>
      </c>
      <c r="K250" s="702">
        <v>1203324</v>
      </c>
      <c r="L250" s="702">
        <v>1203324</v>
      </c>
      <c r="M250" s="702">
        <v>1132324</v>
      </c>
      <c r="N250" s="702">
        <v>1132324</v>
      </c>
      <c r="O250" s="702">
        <v>1009324</v>
      </c>
      <c r="P250" s="702">
        <v>950724</v>
      </c>
      <c r="Q250" s="702">
        <v>935724</v>
      </c>
      <c r="R250" s="702">
        <v>935724</v>
      </c>
      <c r="S250" s="702">
        <v>0</v>
      </c>
    </row>
    <row r="251" spans="1:19" s="685" customFormat="1" ht="18" customHeight="1">
      <c r="A251" s="793" t="s">
        <v>350</v>
      </c>
      <c r="B251" s="794"/>
      <c r="C251" s="882">
        <v>230400</v>
      </c>
      <c r="D251" s="882">
        <v>351975</v>
      </c>
      <c r="E251" s="882">
        <v>2576999</v>
      </c>
      <c r="F251" s="882">
        <v>-101029</v>
      </c>
      <c r="G251" s="882">
        <v>1539746</v>
      </c>
      <c r="H251" s="882">
        <v>383872</v>
      </c>
      <c r="I251" s="882">
        <v>514499</v>
      </c>
      <c r="J251" s="882">
        <v>768720</v>
      </c>
      <c r="K251" s="882">
        <v>739864</v>
      </c>
      <c r="L251" s="882">
        <v>965198</v>
      </c>
      <c r="M251" s="882">
        <v>562643</v>
      </c>
      <c r="N251" s="882">
        <v>368264</v>
      </c>
      <c r="O251" s="882">
        <v>426384</v>
      </c>
      <c r="P251" s="882">
        <v>892164</v>
      </c>
      <c r="Q251" s="882">
        <v>630654</v>
      </c>
      <c r="R251" s="882">
        <v>-121379</v>
      </c>
      <c r="S251" s="882">
        <v>0</v>
      </c>
    </row>
    <row r="252" spans="1:19" s="685" customFormat="1" ht="18" customHeight="1">
      <c r="A252" s="793"/>
      <c r="B252" s="794"/>
      <c r="C252" s="702">
        <v>10728974</v>
      </c>
      <c r="D252" s="702">
        <v>10498574</v>
      </c>
      <c r="E252" s="702">
        <v>10146599</v>
      </c>
      <c r="F252" s="702">
        <v>7569600</v>
      </c>
      <c r="G252" s="702">
        <v>7670629</v>
      </c>
      <c r="H252" s="702">
        <v>6130883</v>
      </c>
      <c r="I252" s="702">
        <v>5747011</v>
      </c>
      <c r="J252" s="702">
        <v>5232512</v>
      </c>
      <c r="K252" s="702">
        <v>4463792</v>
      </c>
      <c r="L252" s="702">
        <v>3723928</v>
      </c>
      <c r="M252" s="702">
        <v>2758730</v>
      </c>
      <c r="N252" s="702">
        <v>2196087</v>
      </c>
      <c r="O252" s="702">
        <v>1827823</v>
      </c>
      <c r="P252" s="702">
        <v>1401439</v>
      </c>
      <c r="Q252" s="702">
        <v>509275</v>
      </c>
      <c r="R252" s="702">
        <v>-121379</v>
      </c>
      <c r="S252" s="702">
        <v>0</v>
      </c>
    </row>
    <row r="253" spans="1:19" s="685" customFormat="1">
      <c r="A253" s="795"/>
      <c r="B253" s="748"/>
      <c r="C253" s="704"/>
      <c r="D253" s="704"/>
      <c r="E253" s="704"/>
      <c r="F253" s="704"/>
      <c r="G253" s="704"/>
      <c r="H253" s="704"/>
      <c r="I253" s="704"/>
      <c r="J253" s="704"/>
      <c r="K253" s="704"/>
      <c r="L253" s="704"/>
      <c r="M253" s="704"/>
      <c r="N253" s="704"/>
      <c r="O253" s="704"/>
      <c r="P253" s="704"/>
      <c r="Q253" s="704"/>
      <c r="R253" s="704"/>
      <c r="S253" s="704"/>
    </row>
    <row r="254" spans="1:19" s="685" customFormat="1">
      <c r="A254" s="796" t="s">
        <v>174</v>
      </c>
      <c r="B254" s="788" t="s">
        <v>288</v>
      </c>
      <c r="C254" s="880">
        <v>738035</v>
      </c>
      <c r="D254" s="880">
        <v>1273676</v>
      </c>
      <c r="E254" s="880">
        <v>735037</v>
      </c>
      <c r="F254" s="880">
        <v>316015</v>
      </c>
      <c r="G254" s="880">
        <v>285387</v>
      </c>
      <c r="H254" s="880">
        <v>300479</v>
      </c>
      <c r="I254" s="880">
        <v>355314</v>
      </c>
      <c r="J254" s="880">
        <v>370462</v>
      </c>
      <c r="K254" s="880">
        <v>390458</v>
      </c>
      <c r="L254" s="880">
        <v>699576</v>
      </c>
      <c r="M254" s="880">
        <v>303689</v>
      </c>
      <c r="N254" s="880">
        <v>353197</v>
      </c>
      <c r="O254" s="880">
        <v>374008</v>
      </c>
      <c r="P254" s="880">
        <v>358755</v>
      </c>
      <c r="Q254" s="880">
        <v>211190</v>
      </c>
      <c r="R254" s="880">
        <v>0</v>
      </c>
      <c r="S254" s="880">
        <v>0</v>
      </c>
    </row>
    <row r="255" spans="1:19" s="685" customFormat="1">
      <c r="A255" s="787"/>
      <c r="B255" s="788"/>
      <c r="C255" s="702">
        <v>7065278</v>
      </c>
      <c r="D255" s="702">
        <v>6327243</v>
      </c>
      <c r="E255" s="702">
        <v>5053567</v>
      </c>
      <c r="F255" s="702">
        <v>4318530</v>
      </c>
      <c r="G255" s="702">
        <v>4002515</v>
      </c>
      <c r="H255" s="702">
        <v>3717128</v>
      </c>
      <c r="I255" s="702">
        <v>3416649</v>
      </c>
      <c r="J255" s="702">
        <v>3061335</v>
      </c>
      <c r="K255" s="702">
        <v>2690873</v>
      </c>
      <c r="L255" s="702">
        <v>2300415</v>
      </c>
      <c r="M255" s="702">
        <v>1600839</v>
      </c>
      <c r="N255" s="702">
        <v>1297150</v>
      </c>
      <c r="O255" s="702">
        <v>943953</v>
      </c>
      <c r="P255" s="702">
        <v>569945</v>
      </c>
      <c r="Q255" s="702">
        <v>211190</v>
      </c>
      <c r="R255" s="702">
        <v>0</v>
      </c>
      <c r="S255" s="702">
        <v>0</v>
      </c>
    </row>
    <row r="256" spans="1:19" s="685" customFormat="1">
      <c r="A256" s="789" t="s">
        <v>100</v>
      </c>
      <c r="B256" s="790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4"/>
      <c r="P256" s="704"/>
      <c r="Q256" s="704"/>
      <c r="R256" s="704"/>
      <c r="S256" s="704"/>
    </row>
    <row r="257" spans="1:19" s="685" customFormat="1">
      <c r="A257" s="791" t="s">
        <v>337</v>
      </c>
      <c r="B257" s="792" t="s">
        <v>501</v>
      </c>
      <c r="C257" s="880"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  <c r="J257" s="880">
        <v>0</v>
      </c>
      <c r="K257" s="880">
        <v>0</v>
      </c>
      <c r="L257" s="880">
        <v>0</v>
      </c>
      <c r="M257" s="880">
        <v>0</v>
      </c>
      <c r="N257" s="880">
        <v>0</v>
      </c>
      <c r="O257" s="880">
        <v>0</v>
      </c>
      <c r="P257" s="880">
        <v>0</v>
      </c>
      <c r="Q257" s="880">
        <v>0</v>
      </c>
      <c r="R257" s="880">
        <v>0</v>
      </c>
      <c r="S257" s="880">
        <v>0</v>
      </c>
    </row>
    <row r="258" spans="1:19" s="685" customFormat="1">
      <c r="A258" s="791"/>
      <c r="B258" s="792"/>
      <c r="C258" s="702"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  <c r="J258" s="702">
        <v>0</v>
      </c>
      <c r="K258" s="702">
        <v>0</v>
      </c>
      <c r="L258" s="702">
        <v>0</v>
      </c>
      <c r="M258" s="702">
        <v>0</v>
      </c>
      <c r="N258" s="702">
        <v>0</v>
      </c>
      <c r="O258" s="702">
        <v>0</v>
      </c>
      <c r="P258" s="702">
        <v>0</v>
      </c>
      <c r="Q258" s="702">
        <v>0</v>
      </c>
      <c r="R258" s="702">
        <v>0</v>
      </c>
      <c r="S258" s="702">
        <v>0</v>
      </c>
    </row>
    <row r="259" spans="1:19" s="685" customFormat="1">
      <c r="A259" s="791" t="s">
        <v>353</v>
      </c>
      <c r="B259" s="792" t="s">
        <v>502</v>
      </c>
      <c r="C259" s="880">
        <v>0</v>
      </c>
      <c r="D259" s="880">
        <v>0</v>
      </c>
      <c r="E259" s="880">
        <v>0</v>
      </c>
      <c r="F259" s="880">
        <v>0</v>
      </c>
      <c r="G259" s="880">
        <v>0</v>
      </c>
      <c r="H259" s="880">
        <v>0</v>
      </c>
      <c r="I259" s="880">
        <v>0</v>
      </c>
      <c r="J259" s="880">
        <v>0</v>
      </c>
      <c r="K259" s="880">
        <v>0</v>
      </c>
      <c r="L259" s="880">
        <v>0</v>
      </c>
      <c r="M259" s="880">
        <v>0</v>
      </c>
      <c r="N259" s="880">
        <v>0</v>
      </c>
      <c r="O259" s="880">
        <v>0</v>
      </c>
      <c r="P259" s="880">
        <v>0</v>
      </c>
      <c r="Q259" s="880">
        <v>0</v>
      </c>
      <c r="R259" s="880">
        <v>0</v>
      </c>
      <c r="S259" s="880">
        <v>0</v>
      </c>
    </row>
    <row r="260" spans="1:19" s="685" customFormat="1">
      <c r="A260" s="791"/>
      <c r="B260" s="792"/>
      <c r="C260" s="702">
        <v>0</v>
      </c>
      <c r="D260" s="702">
        <v>0</v>
      </c>
      <c r="E260" s="702">
        <v>0</v>
      </c>
      <c r="F260" s="702">
        <v>0</v>
      </c>
      <c r="G260" s="702">
        <v>0</v>
      </c>
      <c r="H260" s="702">
        <v>0</v>
      </c>
      <c r="I260" s="702">
        <v>0</v>
      </c>
      <c r="J260" s="702">
        <v>0</v>
      </c>
      <c r="K260" s="702">
        <v>0</v>
      </c>
      <c r="L260" s="702">
        <v>0</v>
      </c>
      <c r="M260" s="702">
        <v>0</v>
      </c>
      <c r="N260" s="702">
        <v>0</v>
      </c>
      <c r="O260" s="702">
        <v>0</v>
      </c>
      <c r="P260" s="702">
        <v>0</v>
      </c>
      <c r="Q260" s="702">
        <v>0</v>
      </c>
      <c r="R260" s="702">
        <v>0</v>
      </c>
      <c r="S260" s="702">
        <v>0</v>
      </c>
    </row>
    <row r="261" spans="1:19" s="685" customFormat="1">
      <c r="A261" s="791" t="s">
        <v>245</v>
      </c>
      <c r="B261" s="792" t="s">
        <v>503</v>
      </c>
      <c r="C261" s="880">
        <v>91000</v>
      </c>
      <c r="D261" s="880">
        <v>0</v>
      </c>
      <c r="E261" s="880">
        <v>0</v>
      </c>
      <c r="F261" s="880">
        <v>0</v>
      </c>
      <c r="G261" s="880">
        <v>91000</v>
      </c>
      <c r="H261" s="880">
        <v>0</v>
      </c>
      <c r="I261" s="880">
        <v>0</v>
      </c>
      <c r="J261" s="880">
        <v>0</v>
      </c>
      <c r="K261" s="880">
        <v>10999</v>
      </c>
      <c r="L261" s="880">
        <v>0</v>
      </c>
      <c r="M261" s="880">
        <v>0</v>
      </c>
      <c r="N261" s="880">
        <v>0</v>
      </c>
      <c r="O261" s="880">
        <v>0</v>
      </c>
      <c r="P261" s="880">
        <v>0</v>
      </c>
      <c r="Q261" s="880">
        <v>0</v>
      </c>
      <c r="R261" s="880">
        <v>0</v>
      </c>
      <c r="S261" s="880">
        <v>0</v>
      </c>
    </row>
    <row r="262" spans="1:19" s="685" customFormat="1">
      <c r="A262" s="791"/>
      <c r="B262" s="792"/>
      <c r="C262" s="702">
        <v>192999</v>
      </c>
      <c r="D262" s="702">
        <v>101999</v>
      </c>
      <c r="E262" s="702">
        <v>101999</v>
      </c>
      <c r="F262" s="702">
        <v>101999</v>
      </c>
      <c r="G262" s="702">
        <v>101999</v>
      </c>
      <c r="H262" s="702">
        <v>10999</v>
      </c>
      <c r="I262" s="702">
        <v>10999</v>
      </c>
      <c r="J262" s="702">
        <v>10999</v>
      </c>
      <c r="K262" s="702">
        <v>10999</v>
      </c>
      <c r="L262" s="702">
        <v>0</v>
      </c>
      <c r="M262" s="702">
        <v>0</v>
      </c>
      <c r="N262" s="702">
        <v>0</v>
      </c>
      <c r="O262" s="702">
        <v>0</v>
      </c>
      <c r="P262" s="702">
        <v>0</v>
      </c>
      <c r="Q262" s="702">
        <v>0</v>
      </c>
      <c r="R262" s="702">
        <v>0</v>
      </c>
      <c r="S262" s="702">
        <v>0</v>
      </c>
    </row>
    <row r="263" spans="1:19" s="685" customFormat="1">
      <c r="A263" s="791" t="s">
        <v>349</v>
      </c>
      <c r="B263" s="792" t="s">
        <v>504</v>
      </c>
      <c r="C263" s="880">
        <v>0</v>
      </c>
      <c r="D263" s="880">
        <v>5000</v>
      </c>
      <c r="E263" s="880">
        <v>0</v>
      </c>
      <c r="F263" s="880">
        <v>0</v>
      </c>
      <c r="G263" s="880">
        <v>0</v>
      </c>
      <c r="H263" s="880">
        <v>0</v>
      </c>
      <c r="I263" s="880">
        <v>0</v>
      </c>
      <c r="J263" s="880">
        <v>5000</v>
      </c>
      <c r="K263" s="880">
        <v>0</v>
      </c>
      <c r="L263" s="880">
        <v>0</v>
      </c>
      <c r="M263" s="880">
        <v>0</v>
      </c>
      <c r="N263" s="880">
        <v>0</v>
      </c>
      <c r="O263" s="880">
        <v>0</v>
      </c>
      <c r="P263" s="880">
        <v>0</v>
      </c>
      <c r="Q263" s="880">
        <v>0</v>
      </c>
      <c r="R263" s="880">
        <v>0</v>
      </c>
      <c r="S263" s="880">
        <v>0</v>
      </c>
    </row>
    <row r="264" spans="1:19" s="685" customFormat="1">
      <c r="A264" s="791"/>
      <c r="B264" s="792"/>
      <c r="C264" s="702">
        <v>10000</v>
      </c>
      <c r="D264" s="702">
        <v>10000</v>
      </c>
      <c r="E264" s="702">
        <v>5000</v>
      </c>
      <c r="F264" s="702">
        <v>5000</v>
      </c>
      <c r="G264" s="702">
        <v>5000</v>
      </c>
      <c r="H264" s="702">
        <v>5000</v>
      </c>
      <c r="I264" s="702">
        <v>5000</v>
      </c>
      <c r="J264" s="702">
        <v>5000</v>
      </c>
      <c r="K264" s="702">
        <v>0</v>
      </c>
      <c r="L264" s="702">
        <v>0</v>
      </c>
      <c r="M264" s="702">
        <v>0</v>
      </c>
      <c r="N264" s="702">
        <v>0</v>
      </c>
      <c r="O264" s="702">
        <v>0</v>
      </c>
      <c r="P264" s="702">
        <v>0</v>
      </c>
      <c r="Q264" s="702">
        <v>0</v>
      </c>
      <c r="R264" s="702">
        <v>0</v>
      </c>
      <c r="S264" s="702">
        <v>0</v>
      </c>
    </row>
    <row r="265" spans="1:19" s="685" customFormat="1">
      <c r="A265" s="791" t="s">
        <v>247</v>
      </c>
      <c r="B265" s="792" t="s">
        <v>505</v>
      </c>
      <c r="C265" s="880">
        <v>0</v>
      </c>
      <c r="D265" s="880">
        <v>0</v>
      </c>
      <c r="E265" s="880">
        <v>0</v>
      </c>
      <c r="F265" s="880">
        <v>0</v>
      </c>
      <c r="G265" s="880">
        <v>0</v>
      </c>
      <c r="H265" s="880">
        <v>0</v>
      </c>
      <c r="I265" s="880">
        <v>0</v>
      </c>
      <c r="J265" s="880">
        <v>0</v>
      </c>
      <c r="K265" s="880">
        <v>0</v>
      </c>
      <c r="L265" s="880">
        <v>0</v>
      </c>
      <c r="M265" s="880">
        <v>0</v>
      </c>
      <c r="N265" s="880">
        <v>0</v>
      </c>
      <c r="O265" s="880">
        <v>0</v>
      </c>
      <c r="P265" s="880">
        <v>101400</v>
      </c>
      <c r="Q265" s="880">
        <v>0</v>
      </c>
      <c r="R265" s="880">
        <v>0</v>
      </c>
      <c r="S265" s="880">
        <v>0</v>
      </c>
    </row>
    <row r="266" spans="1:19" s="685" customFormat="1">
      <c r="A266" s="791"/>
      <c r="B266" s="792"/>
      <c r="C266" s="702">
        <v>101400</v>
      </c>
      <c r="D266" s="702">
        <v>101400</v>
      </c>
      <c r="E266" s="702">
        <v>101400</v>
      </c>
      <c r="F266" s="702">
        <v>101400</v>
      </c>
      <c r="G266" s="702">
        <v>101400</v>
      </c>
      <c r="H266" s="702">
        <v>101400</v>
      </c>
      <c r="I266" s="702">
        <v>101400</v>
      </c>
      <c r="J266" s="702">
        <v>101400</v>
      </c>
      <c r="K266" s="702">
        <v>101400</v>
      </c>
      <c r="L266" s="702">
        <v>101400</v>
      </c>
      <c r="M266" s="702">
        <v>101400</v>
      </c>
      <c r="N266" s="702">
        <v>101400</v>
      </c>
      <c r="O266" s="702">
        <v>101400</v>
      </c>
      <c r="P266" s="702">
        <v>101400</v>
      </c>
      <c r="Q266" s="702">
        <v>0</v>
      </c>
      <c r="R266" s="702">
        <v>0</v>
      </c>
      <c r="S266" s="702">
        <v>0</v>
      </c>
    </row>
    <row r="267" spans="1:19" s="685" customFormat="1">
      <c r="A267" s="791" t="s">
        <v>187</v>
      </c>
      <c r="B267" s="792" t="s">
        <v>506</v>
      </c>
      <c r="C267" s="880">
        <v>730000</v>
      </c>
      <c r="D267" s="880">
        <v>0</v>
      </c>
      <c r="E267" s="880">
        <v>0</v>
      </c>
      <c r="F267" s="880">
        <v>0</v>
      </c>
      <c r="G267" s="880">
        <v>50000</v>
      </c>
      <c r="H267" s="880">
        <v>0</v>
      </c>
      <c r="I267" s="880">
        <v>0</v>
      </c>
      <c r="J267" s="880">
        <v>0</v>
      </c>
      <c r="K267" s="880">
        <v>0</v>
      </c>
      <c r="L267" s="880">
        <v>0</v>
      </c>
      <c r="M267" s="880">
        <v>0</v>
      </c>
      <c r="N267" s="880">
        <v>0</v>
      </c>
      <c r="O267" s="880">
        <v>0</v>
      </c>
      <c r="P267" s="880">
        <v>0</v>
      </c>
      <c r="Q267" s="880">
        <v>0</v>
      </c>
      <c r="R267" s="880">
        <v>0</v>
      </c>
      <c r="S267" s="880">
        <v>0</v>
      </c>
    </row>
    <row r="268" spans="1:19" s="685" customFormat="1">
      <c r="A268" s="791"/>
      <c r="B268" s="792"/>
      <c r="C268" s="702">
        <v>780000</v>
      </c>
      <c r="D268" s="702">
        <v>50000</v>
      </c>
      <c r="E268" s="702">
        <v>50000</v>
      </c>
      <c r="F268" s="702">
        <v>50000</v>
      </c>
      <c r="G268" s="702">
        <v>50000</v>
      </c>
      <c r="H268" s="702">
        <v>0</v>
      </c>
      <c r="I268" s="702">
        <v>0</v>
      </c>
      <c r="J268" s="702">
        <v>0</v>
      </c>
      <c r="K268" s="702">
        <v>0</v>
      </c>
      <c r="L268" s="702">
        <v>0</v>
      </c>
      <c r="M268" s="702">
        <v>0</v>
      </c>
      <c r="N268" s="702">
        <v>0</v>
      </c>
      <c r="O268" s="702">
        <v>0</v>
      </c>
      <c r="P268" s="702">
        <v>0</v>
      </c>
      <c r="Q268" s="702">
        <v>0</v>
      </c>
      <c r="R268" s="702">
        <v>0</v>
      </c>
      <c r="S268" s="702">
        <v>0</v>
      </c>
    </row>
    <row r="269" spans="1:19" s="685" customFormat="1">
      <c r="A269" s="791" t="s">
        <v>246</v>
      </c>
      <c r="B269" s="792" t="s">
        <v>507</v>
      </c>
      <c r="C269" s="880">
        <v>0</v>
      </c>
      <c r="D269" s="880">
        <v>0</v>
      </c>
      <c r="E269" s="880">
        <v>0</v>
      </c>
      <c r="F269" s="880">
        <v>423375</v>
      </c>
      <c r="G269" s="880">
        <v>0</v>
      </c>
      <c r="H269" s="880">
        <v>0</v>
      </c>
      <c r="I269" s="880">
        <v>0</v>
      </c>
      <c r="J269" s="880">
        <v>0</v>
      </c>
      <c r="K269" s="880">
        <v>0</v>
      </c>
      <c r="L269" s="880">
        <v>0</v>
      </c>
      <c r="M269" s="880">
        <v>0</v>
      </c>
      <c r="N269" s="880">
        <v>0</v>
      </c>
      <c r="O269" s="880">
        <v>0</v>
      </c>
      <c r="P269" s="880">
        <v>0</v>
      </c>
      <c r="Q269" s="880">
        <v>0</v>
      </c>
      <c r="R269" s="880">
        <v>0</v>
      </c>
      <c r="S269" s="880">
        <v>0</v>
      </c>
    </row>
    <row r="270" spans="1:19" s="685" customFormat="1">
      <c r="A270" s="791"/>
      <c r="B270" s="792"/>
      <c r="C270" s="702">
        <v>423375</v>
      </c>
      <c r="D270" s="702">
        <v>423375</v>
      </c>
      <c r="E270" s="702">
        <v>423375</v>
      </c>
      <c r="F270" s="702">
        <v>423375</v>
      </c>
      <c r="G270" s="702">
        <v>0</v>
      </c>
      <c r="H270" s="702">
        <v>0</v>
      </c>
      <c r="I270" s="702">
        <v>0</v>
      </c>
      <c r="J270" s="702">
        <v>0</v>
      </c>
      <c r="K270" s="702">
        <v>0</v>
      </c>
      <c r="L270" s="702">
        <v>0</v>
      </c>
      <c r="M270" s="702">
        <v>0</v>
      </c>
      <c r="N270" s="702">
        <v>0</v>
      </c>
      <c r="O270" s="702">
        <v>0</v>
      </c>
      <c r="P270" s="702">
        <v>0</v>
      </c>
      <c r="Q270" s="702">
        <v>0</v>
      </c>
      <c r="R270" s="702">
        <v>0</v>
      </c>
      <c r="S270" s="702">
        <v>0</v>
      </c>
    </row>
    <row r="271" spans="1:19" s="685" customFormat="1">
      <c r="A271" s="791" t="s">
        <v>334</v>
      </c>
      <c r="B271" s="792" t="s">
        <v>508</v>
      </c>
      <c r="C271" s="880">
        <v>0</v>
      </c>
      <c r="D271" s="880">
        <v>0</v>
      </c>
      <c r="E271" s="880">
        <v>0</v>
      </c>
      <c r="F271" s="880">
        <v>0</v>
      </c>
      <c r="G271" s="880">
        <v>0</v>
      </c>
      <c r="H271" s="880">
        <v>0</v>
      </c>
      <c r="I271" s="880">
        <v>0</v>
      </c>
      <c r="J271" s="880">
        <v>0</v>
      </c>
      <c r="K271" s="880">
        <v>0</v>
      </c>
      <c r="L271" s="880">
        <v>0</v>
      </c>
      <c r="M271" s="880">
        <v>0</v>
      </c>
      <c r="N271" s="880">
        <v>0</v>
      </c>
      <c r="O271" s="880">
        <v>0</v>
      </c>
      <c r="P271" s="880">
        <v>0</v>
      </c>
      <c r="Q271" s="880">
        <v>0</v>
      </c>
      <c r="R271" s="880">
        <v>0</v>
      </c>
      <c r="S271" s="880">
        <v>0</v>
      </c>
    </row>
    <row r="272" spans="1:19" s="685" customFormat="1">
      <c r="A272" s="791"/>
      <c r="B272" s="792"/>
      <c r="C272" s="702">
        <v>0</v>
      </c>
      <c r="D272" s="702">
        <v>0</v>
      </c>
      <c r="E272" s="702">
        <v>0</v>
      </c>
      <c r="F272" s="702">
        <v>0</v>
      </c>
      <c r="G272" s="702">
        <v>0</v>
      </c>
      <c r="H272" s="702">
        <v>0</v>
      </c>
      <c r="I272" s="702">
        <v>0</v>
      </c>
      <c r="J272" s="702">
        <v>0</v>
      </c>
      <c r="K272" s="702">
        <v>0</v>
      </c>
      <c r="L272" s="702">
        <v>0</v>
      </c>
      <c r="M272" s="702">
        <v>0</v>
      </c>
      <c r="N272" s="702">
        <v>0</v>
      </c>
      <c r="O272" s="702">
        <v>0</v>
      </c>
      <c r="P272" s="702">
        <v>0</v>
      </c>
      <c r="Q272" s="702">
        <v>0</v>
      </c>
      <c r="R272" s="702">
        <v>0</v>
      </c>
      <c r="S272" s="702">
        <v>0</v>
      </c>
    </row>
    <row r="273" spans="1:19" s="685" customFormat="1">
      <c r="A273" s="791" t="s">
        <v>27</v>
      </c>
      <c r="B273" s="792" t="s">
        <v>509</v>
      </c>
      <c r="C273" s="880">
        <v>18000</v>
      </c>
      <c r="D273" s="880">
        <v>0</v>
      </c>
      <c r="E273" s="880">
        <v>35000</v>
      </c>
      <c r="F273" s="880">
        <v>0</v>
      </c>
      <c r="G273" s="880">
        <v>80550</v>
      </c>
      <c r="H273" s="880">
        <v>0</v>
      </c>
      <c r="I273" s="880">
        <v>0</v>
      </c>
      <c r="J273" s="880">
        <v>18000</v>
      </c>
      <c r="K273" s="880">
        <v>0</v>
      </c>
      <c r="L273" s="880">
        <v>0</v>
      </c>
      <c r="M273" s="880">
        <v>2000</v>
      </c>
      <c r="N273" s="880">
        <v>0</v>
      </c>
      <c r="O273" s="880">
        <v>78600</v>
      </c>
      <c r="P273" s="880">
        <v>15000</v>
      </c>
      <c r="Q273" s="880">
        <v>18000</v>
      </c>
      <c r="R273" s="880">
        <v>0</v>
      </c>
      <c r="S273" s="880">
        <v>0</v>
      </c>
    </row>
    <row r="274" spans="1:19" s="685" customFormat="1">
      <c r="A274" s="791"/>
      <c r="B274" s="792"/>
      <c r="C274" s="968">
        <v>265150</v>
      </c>
      <c r="D274" s="968">
        <v>247150</v>
      </c>
      <c r="E274" s="968">
        <v>247150</v>
      </c>
      <c r="F274" s="968">
        <v>212150</v>
      </c>
      <c r="G274" s="968">
        <v>212150</v>
      </c>
      <c r="H274" s="968">
        <v>131600</v>
      </c>
      <c r="I274" s="968">
        <v>131600</v>
      </c>
      <c r="J274" s="968">
        <v>131600</v>
      </c>
      <c r="K274" s="968">
        <v>113600</v>
      </c>
      <c r="L274" s="968">
        <v>113600</v>
      </c>
      <c r="M274" s="968">
        <v>113600</v>
      </c>
      <c r="N274" s="968">
        <v>111600</v>
      </c>
      <c r="O274" s="968">
        <v>111600</v>
      </c>
      <c r="P274" s="968">
        <v>33000</v>
      </c>
      <c r="Q274" s="968">
        <v>18000</v>
      </c>
      <c r="R274" s="968">
        <v>0</v>
      </c>
      <c r="S274" s="968">
        <v>0</v>
      </c>
    </row>
    <row r="275" spans="1:19" s="1022" customFormat="1">
      <c r="A275" s="791" t="s">
        <v>180</v>
      </c>
      <c r="B275" s="792"/>
      <c r="C275" s="1023">
        <v>0</v>
      </c>
      <c r="D275" s="1023">
        <v>0</v>
      </c>
      <c r="E275" s="1023">
        <v>0</v>
      </c>
      <c r="F275" s="1023">
        <v>0</v>
      </c>
      <c r="G275" s="1023">
        <v>0</v>
      </c>
      <c r="H275" s="1023">
        <v>0</v>
      </c>
      <c r="I275" s="1023">
        <v>0</v>
      </c>
      <c r="J275" s="1023">
        <v>0</v>
      </c>
      <c r="K275" s="1023">
        <v>0</v>
      </c>
      <c r="L275" s="1023">
        <v>0</v>
      </c>
      <c r="M275" s="1023">
        <v>0</v>
      </c>
      <c r="N275" s="1023"/>
      <c r="O275" s="1023"/>
      <c r="P275" s="1023"/>
      <c r="Q275" s="1023"/>
      <c r="R275" s="1023"/>
      <c r="S275" s="1023"/>
    </row>
    <row r="276" spans="1:19" s="685" customFormat="1">
      <c r="A276" s="791"/>
      <c r="B276" s="792"/>
      <c r="C276" s="968">
        <v>0</v>
      </c>
      <c r="D276" s="968">
        <v>0</v>
      </c>
      <c r="E276" s="968">
        <v>0</v>
      </c>
      <c r="F276" s="968">
        <v>0</v>
      </c>
      <c r="G276" s="968">
        <v>0</v>
      </c>
      <c r="H276" s="968">
        <v>0</v>
      </c>
      <c r="I276" s="968">
        <v>0</v>
      </c>
      <c r="J276" s="968">
        <v>0</v>
      </c>
      <c r="K276" s="968">
        <v>0</v>
      </c>
      <c r="L276" s="968">
        <v>0</v>
      </c>
      <c r="M276" s="968">
        <v>0</v>
      </c>
      <c r="N276" s="968"/>
      <c r="O276" s="968"/>
      <c r="P276" s="968"/>
      <c r="Q276" s="968"/>
      <c r="R276" s="968"/>
      <c r="S276" s="968"/>
    </row>
    <row r="277" spans="1:19" s="685" customFormat="1">
      <c r="A277" s="791" t="s">
        <v>59</v>
      </c>
      <c r="B277" s="792"/>
      <c r="C277" s="880">
        <v>839000</v>
      </c>
      <c r="D277" s="880">
        <v>5000</v>
      </c>
      <c r="E277" s="880">
        <v>35000</v>
      </c>
      <c r="F277" s="880">
        <v>423375</v>
      </c>
      <c r="G277" s="880">
        <v>221550</v>
      </c>
      <c r="H277" s="880">
        <v>0</v>
      </c>
      <c r="I277" s="880">
        <v>0</v>
      </c>
      <c r="J277" s="880">
        <v>23000</v>
      </c>
      <c r="K277" s="880">
        <v>10999</v>
      </c>
      <c r="L277" s="880">
        <v>0</v>
      </c>
      <c r="M277" s="880">
        <v>2000</v>
      </c>
      <c r="N277" s="880">
        <v>0</v>
      </c>
      <c r="O277" s="880">
        <v>78600</v>
      </c>
      <c r="P277" s="880">
        <v>116400</v>
      </c>
      <c r="Q277" s="880">
        <v>18000</v>
      </c>
      <c r="R277" s="880">
        <v>0</v>
      </c>
      <c r="S277" s="880">
        <v>0</v>
      </c>
    </row>
    <row r="278" spans="1:19" s="685" customFormat="1">
      <c r="A278" s="791"/>
      <c r="B278" s="792"/>
      <c r="C278" s="702">
        <v>1772924</v>
      </c>
      <c r="D278" s="702">
        <v>933924</v>
      </c>
      <c r="E278" s="702">
        <v>928924</v>
      </c>
      <c r="F278" s="702">
        <v>893924</v>
      </c>
      <c r="G278" s="702">
        <v>470549</v>
      </c>
      <c r="H278" s="702">
        <v>248999</v>
      </c>
      <c r="I278" s="702">
        <v>248999</v>
      </c>
      <c r="J278" s="702">
        <v>248999</v>
      </c>
      <c r="K278" s="702">
        <v>225999</v>
      </c>
      <c r="L278" s="702">
        <v>215000</v>
      </c>
      <c r="M278" s="702">
        <v>215000</v>
      </c>
      <c r="N278" s="702">
        <v>213000</v>
      </c>
      <c r="O278" s="702">
        <v>213000</v>
      </c>
      <c r="P278" s="702">
        <v>134400</v>
      </c>
      <c r="Q278" s="702">
        <v>18000</v>
      </c>
      <c r="R278" s="702">
        <v>0</v>
      </c>
      <c r="S278" s="702">
        <v>0</v>
      </c>
    </row>
    <row r="279" spans="1:19" s="685" customFormat="1" ht="21.6" customHeight="1">
      <c r="A279" s="793" t="s">
        <v>350</v>
      </c>
      <c r="B279" s="794"/>
      <c r="C279" s="882">
        <v>-100965</v>
      </c>
      <c r="D279" s="882">
        <v>1268676</v>
      </c>
      <c r="E279" s="882">
        <v>700037</v>
      </c>
      <c r="F279" s="882">
        <v>-107360</v>
      </c>
      <c r="G279" s="882">
        <v>63837</v>
      </c>
      <c r="H279" s="882">
        <v>300479</v>
      </c>
      <c r="I279" s="882">
        <v>355314</v>
      </c>
      <c r="J279" s="882">
        <v>347462</v>
      </c>
      <c r="K279" s="882">
        <v>379459</v>
      </c>
      <c r="L279" s="882">
        <v>699576</v>
      </c>
      <c r="M279" s="882">
        <v>301689</v>
      </c>
      <c r="N279" s="882">
        <v>353197</v>
      </c>
      <c r="O279" s="882">
        <v>295408</v>
      </c>
      <c r="P279" s="882">
        <v>242355</v>
      </c>
      <c r="Q279" s="882">
        <v>193190</v>
      </c>
      <c r="R279" s="882">
        <v>0</v>
      </c>
      <c r="S279" s="882">
        <v>0</v>
      </c>
    </row>
    <row r="280" spans="1:19" s="685" customFormat="1" ht="19.95" customHeight="1">
      <c r="A280" s="793"/>
      <c r="B280" s="794"/>
      <c r="C280" s="702">
        <v>5292354</v>
      </c>
      <c r="D280" s="702">
        <v>5393319</v>
      </c>
      <c r="E280" s="702">
        <v>4124643</v>
      </c>
      <c r="F280" s="702">
        <v>3424606</v>
      </c>
      <c r="G280" s="702">
        <v>3531966</v>
      </c>
      <c r="H280" s="702">
        <v>3468129</v>
      </c>
      <c r="I280" s="702">
        <v>3167650</v>
      </c>
      <c r="J280" s="702">
        <v>2812336</v>
      </c>
      <c r="K280" s="702">
        <v>2464874</v>
      </c>
      <c r="L280" s="702">
        <v>2085415</v>
      </c>
      <c r="M280" s="702">
        <v>1385839</v>
      </c>
      <c r="N280" s="702">
        <v>1084150</v>
      </c>
      <c r="O280" s="702">
        <v>730953</v>
      </c>
      <c r="P280" s="702">
        <v>435545</v>
      </c>
      <c r="Q280" s="702">
        <v>193190</v>
      </c>
      <c r="R280" s="702">
        <v>0</v>
      </c>
      <c r="S280" s="702">
        <v>0</v>
      </c>
    </row>
    <row r="281" spans="1:19" s="685" customFormat="1">
      <c r="A281" s="795"/>
      <c r="B281" s="748"/>
      <c r="C281" s="704"/>
      <c r="D281" s="704"/>
      <c r="E281" s="704"/>
      <c r="F281" s="704"/>
      <c r="G281" s="704"/>
      <c r="H281" s="704"/>
      <c r="I281" s="704"/>
      <c r="J281" s="704"/>
      <c r="K281" s="704"/>
      <c r="L281" s="704"/>
      <c r="M281" s="704"/>
      <c r="N281" s="704"/>
      <c r="O281" s="704"/>
      <c r="P281" s="704"/>
      <c r="Q281" s="704"/>
      <c r="R281" s="704"/>
      <c r="S281" s="704"/>
    </row>
    <row r="282" spans="1:19" s="685" customFormat="1">
      <c r="A282" s="796" t="s">
        <v>228</v>
      </c>
      <c r="B282" s="788" t="s">
        <v>289</v>
      </c>
      <c r="C282" s="880">
        <v>816728</v>
      </c>
      <c r="D282" s="880">
        <v>650448</v>
      </c>
      <c r="E282" s="880">
        <v>607543</v>
      </c>
      <c r="F282" s="880">
        <v>209703</v>
      </c>
      <c r="G282" s="880">
        <v>261439</v>
      </c>
      <c r="H282" s="880">
        <v>298608</v>
      </c>
      <c r="I282" s="880">
        <v>408215</v>
      </c>
      <c r="J282" s="880">
        <v>299706</v>
      </c>
      <c r="K282" s="880">
        <v>66502</v>
      </c>
      <c r="L282" s="880">
        <v>379117</v>
      </c>
      <c r="M282" s="880">
        <v>260709</v>
      </c>
      <c r="N282" s="880">
        <v>268004</v>
      </c>
      <c r="O282" s="880">
        <v>239756</v>
      </c>
      <c r="P282" s="880">
        <v>301210</v>
      </c>
      <c r="Q282" s="880">
        <v>244306</v>
      </c>
      <c r="R282" s="880">
        <v>0</v>
      </c>
      <c r="S282" s="880">
        <v>0</v>
      </c>
    </row>
    <row r="283" spans="1:19" s="685" customFormat="1">
      <c r="A283" s="787"/>
      <c r="B283" s="788"/>
      <c r="C283" s="702">
        <v>5311994</v>
      </c>
      <c r="D283" s="702">
        <v>4495266</v>
      </c>
      <c r="E283" s="702">
        <v>3844818</v>
      </c>
      <c r="F283" s="702">
        <v>3237275</v>
      </c>
      <c r="G283" s="702">
        <v>3027572</v>
      </c>
      <c r="H283" s="702">
        <v>2766133</v>
      </c>
      <c r="I283" s="702">
        <v>2467525</v>
      </c>
      <c r="J283" s="702">
        <v>2059310</v>
      </c>
      <c r="K283" s="702">
        <v>1759604</v>
      </c>
      <c r="L283" s="702">
        <v>1693102</v>
      </c>
      <c r="M283" s="702">
        <v>1313985</v>
      </c>
      <c r="N283" s="702">
        <v>1053276</v>
      </c>
      <c r="O283" s="702">
        <v>785272</v>
      </c>
      <c r="P283" s="702">
        <v>545516</v>
      </c>
      <c r="Q283" s="702">
        <v>244306</v>
      </c>
      <c r="R283" s="702">
        <v>0</v>
      </c>
      <c r="S283" s="702">
        <v>0</v>
      </c>
    </row>
    <row r="284" spans="1:19" s="685" customFormat="1">
      <c r="A284" s="789" t="s">
        <v>100</v>
      </c>
      <c r="B284" s="790"/>
      <c r="C284" s="879"/>
      <c r="D284" s="879"/>
      <c r="E284" s="879"/>
      <c r="F284" s="879"/>
      <c r="G284" s="879"/>
      <c r="H284" s="879"/>
      <c r="I284" s="879"/>
      <c r="J284" s="879"/>
      <c r="K284" s="879"/>
      <c r="L284" s="879"/>
      <c r="M284" s="879"/>
      <c r="N284" s="879"/>
      <c r="O284" s="879"/>
      <c r="P284" s="879"/>
      <c r="Q284" s="879"/>
      <c r="R284" s="879"/>
      <c r="S284" s="879"/>
    </row>
    <row r="285" spans="1:19" s="685" customFormat="1">
      <c r="A285" s="791" t="s">
        <v>337</v>
      </c>
      <c r="B285" s="792" t="s">
        <v>510</v>
      </c>
      <c r="C285" s="880"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  <c r="J285" s="880">
        <v>0</v>
      </c>
      <c r="K285" s="880">
        <v>0</v>
      </c>
      <c r="L285" s="880">
        <v>0</v>
      </c>
      <c r="M285" s="880">
        <v>0</v>
      </c>
      <c r="N285" s="880">
        <v>0</v>
      </c>
      <c r="O285" s="880">
        <v>0</v>
      </c>
      <c r="P285" s="880">
        <v>0</v>
      </c>
      <c r="Q285" s="880">
        <v>0</v>
      </c>
      <c r="R285" s="880">
        <v>0</v>
      </c>
      <c r="S285" s="880">
        <v>0</v>
      </c>
    </row>
    <row r="286" spans="1:19" s="685" customFormat="1">
      <c r="A286" s="791"/>
      <c r="B286" s="792"/>
      <c r="C286" s="702">
        <v>0</v>
      </c>
      <c r="D286" s="702">
        <v>0</v>
      </c>
      <c r="E286" s="702">
        <v>0</v>
      </c>
      <c r="F286" s="702">
        <v>0</v>
      </c>
      <c r="G286" s="702">
        <v>0</v>
      </c>
      <c r="H286" s="702">
        <v>0</v>
      </c>
      <c r="I286" s="702">
        <v>0</v>
      </c>
      <c r="J286" s="702">
        <v>0</v>
      </c>
      <c r="K286" s="702">
        <v>0</v>
      </c>
      <c r="L286" s="702">
        <v>0</v>
      </c>
      <c r="M286" s="702">
        <v>0</v>
      </c>
      <c r="N286" s="702">
        <v>0</v>
      </c>
      <c r="O286" s="702">
        <v>0</v>
      </c>
      <c r="P286" s="702">
        <v>0</v>
      </c>
      <c r="Q286" s="702">
        <v>0</v>
      </c>
      <c r="R286" s="702">
        <v>0</v>
      </c>
      <c r="S286" s="702">
        <v>0</v>
      </c>
    </row>
    <row r="287" spans="1:19" s="685" customFormat="1">
      <c r="A287" s="791" t="s">
        <v>353</v>
      </c>
      <c r="B287" s="792" t="s">
        <v>511</v>
      </c>
      <c r="C287" s="880">
        <v>3000</v>
      </c>
      <c r="D287" s="880">
        <v>0</v>
      </c>
      <c r="E287" s="880">
        <v>0</v>
      </c>
      <c r="F287" s="880">
        <v>0</v>
      </c>
      <c r="G287" s="880">
        <v>9000</v>
      </c>
      <c r="H287" s="880">
        <v>0</v>
      </c>
      <c r="I287" s="880">
        <v>0</v>
      </c>
      <c r="J287" s="880">
        <v>0</v>
      </c>
      <c r="K287" s="880">
        <v>0</v>
      </c>
      <c r="L287" s="880">
        <v>0</v>
      </c>
      <c r="M287" s="880">
        <v>0</v>
      </c>
      <c r="N287" s="880">
        <v>0</v>
      </c>
      <c r="O287" s="880">
        <v>0</v>
      </c>
      <c r="P287" s="880">
        <v>0</v>
      </c>
      <c r="Q287" s="880">
        <v>3000</v>
      </c>
      <c r="R287" s="880">
        <v>0</v>
      </c>
      <c r="S287" s="880">
        <v>0</v>
      </c>
    </row>
    <row r="288" spans="1:19" s="685" customFormat="1">
      <c r="A288" s="791"/>
      <c r="B288" s="792"/>
      <c r="C288" s="702">
        <v>15000</v>
      </c>
      <c r="D288" s="702">
        <v>12000</v>
      </c>
      <c r="E288" s="702">
        <v>12000</v>
      </c>
      <c r="F288" s="702">
        <v>12000</v>
      </c>
      <c r="G288" s="702">
        <v>12000</v>
      </c>
      <c r="H288" s="702">
        <v>3000</v>
      </c>
      <c r="I288" s="702">
        <v>3000</v>
      </c>
      <c r="J288" s="702">
        <v>3000</v>
      </c>
      <c r="K288" s="702">
        <v>3000</v>
      </c>
      <c r="L288" s="702">
        <v>3000</v>
      </c>
      <c r="M288" s="702">
        <v>3000</v>
      </c>
      <c r="N288" s="702">
        <v>3000</v>
      </c>
      <c r="O288" s="702">
        <v>3000</v>
      </c>
      <c r="P288" s="702">
        <v>3000</v>
      </c>
      <c r="Q288" s="702">
        <v>3000</v>
      </c>
      <c r="R288" s="702">
        <v>0</v>
      </c>
      <c r="S288" s="702">
        <v>0</v>
      </c>
    </row>
    <row r="289" spans="1:19" s="685" customFormat="1">
      <c r="A289" s="791" t="s">
        <v>245</v>
      </c>
      <c r="B289" s="792" t="s">
        <v>512</v>
      </c>
      <c r="C289" s="880">
        <v>0</v>
      </c>
      <c r="D289" s="880">
        <v>75999</v>
      </c>
      <c r="E289" s="880">
        <v>0</v>
      </c>
      <c r="F289" s="880">
        <v>0</v>
      </c>
      <c r="G289" s="880">
        <v>0</v>
      </c>
      <c r="H289" s="880">
        <v>0</v>
      </c>
      <c r="I289" s="880">
        <v>0</v>
      </c>
      <c r="J289" s="880">
        <v>0</v>
      </c>
      <c r="K289" s="880">
        <v>0</v>
      </c>
      <c r="L289" s="880">
        <v>75999</v>
      </c>
      <c r="M289" s="880">
        <v>0</v>
      </c>
      <c r="N289" s="880">
        <v>0</v>
      </c>
      <c r="O289" s="880">
        <v>0</v>
      </c>
      <c r="P289" s="880">
        <v>0</v>
      </c>
      <c r="Q289" s="880">
        <v>0</v>
      </c>
      <c r="R289" s="880">
        <v>0</v>
      </c>
      <c r="S289" s="880">
        <v>0</v>
      </c>
    </row>
    <row r="290" spans="1:19" s="685" customFormat="1">
      <c r="A290" s="791"/>
      <c r="B290" s="792"/>
      <c r="C290" s="702">
        <v>151998</v>
      </c>
      <c r="D290" s="702">
        <v>151998</v>
      </c>
      <c r="E290" s="702">
        <v>75999</v>
      </c>
      <c r="F290" s="702">
        <v>75999</v>
      </c>
      <c r="G290" s="702">
        <v>75999</v>
      </c>
      <c r="H290" s="702">
        <v>75999</v>
      </c>
      <c r="I290" s="702">
        <v>75999</v>
      </c>
      <c r="J290" s="702">
        <v>75999</v>
      </c>
      <c r="K290" s="702">
        <v>75999</v>
      </c>
      <c r="L290" s="702">
        <v>75999</v>
      </c>
      <c r="M290" s="702">
        <v>0</v>
      </c>
      <c r="N290" s="702">
        <v>0</v>
      </c>
      <c r="O290" s="702">
        <v>0</v>
      </c>
      <c r="P290" s="702">
        <v>0</v>
      </c>
      <c r="Q290" s="702">
        <v>0</v>
      </c>
      <c r="R290" s="702">
        <v>0</v>
      </c>
      <c r="S290" s="702">
        <v>0</v>
      </c>
    </row>
    <row r="291" spans="1:19" s="685" customFormat="1">
      <c r="A291" s="791" t="s">
        <v>349</v>
      </c>
      <c r="B291" s="792" t="s">
        <v>513</v>
      </c>
      <c r="C291" s="880">
        <v>0</v>
      </c>
      <c r="D291" s="880">
        <v>0</v>
      </c>
      <c r="E291" s="880">
        <v>0</v>
      </c>
      <c r="F291" s="880">
        <v>0</v>
      </c>
      <c r="G291" s="880">
        <v>0</v>
      </c>
      <c r="H291" s="880">
        <v>0</v>
      </c>
      <c r="I291" s="880">
        <v>0</v>
      </c>
      <c r="J291" s="880">
        <v>0</v>
      </c>
      <c r="K291" s="880">
        <v>0</v>
      </c>
      <c r="L291" s="880">
        <v>0</v>
      </c>
      <c r="M291" s="880">
        <v>0</v>
      </c>
      <c r="N291" s="880">
        <v>0</v>
      </c>
      <c r="O291" s="880">
        <v>0</v>
      </c>
      <c r="P291" s="880">
        <v>0</v>
      </c>
      <c r="Q291" s="880">
        <v>0</v>
      </c>
      <c r="R291" s="880">
        <v>0</v>
      </c>
      <c r="S291" s="880">
        <v>0</v>
      </c>
    </row>
    <row r="292" spans="1:19" s="685" customFormat="1">
      <c r="A292" s="791"/>
      <c r="B292" s="792"/>
      <c r="C292" s="702">
        <v>0</v>
      </c>
      <c r="D292" s="702">
        <v>0</v>
      </c>
      <c r="E292" s="702">
        <v>0</v>
      </c>
      <c r="F292" s="702">
        <v>0</v>
      </c>
      <c r="G292" s="702">
        <v>0</v>
      </c>
      <c r="H292" s="702">
        <v>0</v>
      </c>
      <c r="I292" s="702">
        <v>0</v>
      </c>
      <c r="J292" s="702">
        <v>0</v>
      </c>
      <c r="K292" s="702">
        <v>0</v>
      </c>
      <c r="L292" s="702">
        <v>0</v>
      </c>
      <c r="M292" s="702">
        <v>0</v>
      </c>
      <c r="N292" s="702">
        <v>0</v>
      </c>
      <c r="O292" s="702">
        <v>0</v>
      </c>
      <c r="P292" s="702">
        <v>0</v>
      </c>
      <c r="Q292" s="702">
        <v>0</v>
      </c>
      <c r="R292" s="702">
        <v>0</v>
      </c>
      <c r="S292" s="702">
        <v>0</v>
      </c>
    </row>
    <row r="293" spans="1:19" s="685" customFormat="1">
      <c r="A293" s="791" t="s">
        <v>247</v>
      </c>
      <c r="B293" s="792" t="s">
        <v>514</v>
      </c>
      <c r="C293" s="880">
        <v>0</v>
      </c>
      <c r="D293" s="880">
        <v>0</v>
      </c>
      <c r="E293" s="880">
        <v>0</v>
      </c>
      <c r="F293" s="880">
        <v>0</v>
      </c>
      <c r="G293" s="880">
        <v>0</v>
      </c>
      <c r="H293" s="880">
        <v>0</v>
      </c>
      <c r="I293" s="880">
        <v>0</v>
      </c>
      <c r="J293" s="880">
        <v>0</v>
      </c>
      <c r="K293" s="880">
        <v>0</v>
      </c>
      <c r="L293" s="880">
        <v>0</v>
      </c>
      <c r="M293" s="880">
        <v>0</v>
      </c>
      <c r="N293" s="880">
        <v>0</v>
      </c>
      <c r="O293" s="880">
        <v>0</v>
      </c>
      <c r="P293" s="880">
        <v>0</v>
      </c>
      <c r="Q293" s="880">
        <v>0</v>
      </c>
      <c r="R293" s="880">
        <v>0</v>
      </c>
      <c r="S293" s="880">
        <v>0</v>
      </c>
    </row>
    <row r="294" spans="1:19" s="685" customFormat="1">
      <c r="A294" s="791"/>
      <c r="B294" s="792"/>
      <c r="C294" s="702">
        <v>0</v>
      </c>
      <c r="D294" s="702">
        <v>0</v>
      </c>
      <c r="E294" s="702">
        <v>0</v>
      </c>
      <c r="F294" s="702">
        <v>0</v>
      </c>
      <c r="G294" s="702">
        <v>0</v>
      </c>
      <c r="H294" s="702">
        <v>0</v>
      </c>
      <c r="I294" s="702">
        <v>0</v>
      </c>
      <c r="J294" s="702">
        <v>0</v>
      </c>
      <c r="K294" s="702">
        <v>0</v>
      </c>
      <c r="L294" s="702">
        <v>0</v>
      </c>
      <c r="M294" s="702">
        <v>0</v>
      </c>
      <c r="N294" s="702">
        <v>0</v>
      </c>
      <c r="O294" s="702">
        <v>0</v>
      </c>
      <c r="P294" s="702">
        <v>0</v>
      </c>
      <c r="Q294" s="702">
        <v>0</v>
      </c>
      <c r="R294" s="702">
        <v>0</v>
      </c>
      <c r="S294" s="702">
        <v>0</v>
      </c>
    </row>
    <row r="295" spans="1:19" s="685" customFormat="1">
      <c r="A295" s="791" t="s">
        <v>187</v>
      </c>
      <c r="B295" s="792" t="s">
        <v>515</v>
      </c>
      <c r="C295" s="880">
        <v>1978000</v>
      </c>
      <c r="D295" s="880">
        <v>0</v>
      </c>
      <c r="E295" s="880">
        <v>0</v>
      </c>
      <c r="F295" s="880">
        <v>0</v>
      </c>
      <c r="G295" s="880">
        <v>50000</v>
      </c>
      <c r="H295" s="880">
        <v>0</v>
      </c>
      <c r="I295" s="880">
        <v>0</v>
      </c>
      <c r="J295" s="880">
        <v>0</v>
      </c>
      <c r="K295" s="880">
        <v>0</v>
      </c>
      <c r="L295" s="880">
        <v>0</v>
      </c>
      <c r="M295" s="880">
        <v>0</v>
      </c>
      <c r="N295" s="880">
        <v>0</v>
      </c>
      <c r="O295" s="880">
        <v>0</v>
      </c>
      <c r="P295" s="880">
        <v>0</v>
      </c>
      <c r="Q295" s="880">
        <v>0</v>
      </c>
      <c r="R295" s="880">
        <v>0</v>
      </c>
      <c r="S295" s="880">
        <v>0</v>
      </c>
    </row>
    <row r="296" spans="1:19" s="685" customFormat="1">
      <c r="A296" s="791"/>
      <c r="B296" s="792"/>
      <c r="C296" s="702">
        <v>2028000</v>
      </c>
      <c r="D296" s="702">
        <v>50000</v>
      </c>
      <c r="E296" s="702">
        <v>50000</v>
      </c>
      <c r="F296" s="702">
        <v>50000</v>
      </c>
      <c r="G296" s="702">
        <v>50000</v>
      </c>
      <c r="H296" s="702">
        <v>0</v>
      </c>
      <c r="I296" s="702">
        <v>0</v>
      </c>
      <c r="J296" s="702">
        <v>0</v>
      </c>
      <c r="K296" s="702">
        <v>0</v>
      </c>
      <c r="L296" s="702">
        <v>0</v>
      </c>
      <c r="M296" s="702">
        <v>0</v>
      </c>
      <c r="N296" s="702">
        <v>0</v>
      </c>
      <c r="O296" s="702">
        <v>0</v>
      </c>
      <c r="P296" s="702">
        <v>0</v>
      </c>
      <c r="Q296" s="702">
        <v>0</v>
      </c>
      <c r="R296" s="702">
        <v>0</v>
      </c>
      <c r="S296" s="702">
        <v>0</v>
      </c>
    </row>
    <row r="297" spans="1:19" s="685" customFormat="1">
      <c r="A297" s="791" t="s">
        <v>246</v>
      </c>
      <c r="B297" s="792" t="s">
        <v>516</v>
      </c>
      <c r="C297" s="880">
        <v>0</v>
      </c>
      <c r="D297" s="880">
        <v>0</v>
      </c>
      <c r="E297" s="880">
        <v>0</v>
      </c>
      <c r="F297" s="880">
        <v>423375</v>
      </c>
      <c r="G297" s="880">
        <v>0</v>
      </c>
      <c r="H297" s="880">
        <v>0</v>
      </c>
      <c r="I297" s="880">
        <v>0</v>
      </c>
      <c r="J297" s="880">
        <v>0</v>
      </c>
      <c r="K297" s="880">
        <v>0</v>
      </c>
      <c r="L297" s="880">
        <v>0</v>
      </c>
      <c r="M297" s="880">
        <v>0</v>
      </c>
      <c r="N297" s="880">
        <v>0</v>
      </c>
      <c r="O297" s="880">
        <v>0</v>
      </c>
      <c r="P297" s="880">
        <v>0</v>
      </c>
      <c r="Q297" s="880">
        <v>0</v>
      </c>
      <c r="R297" s="880">
        <v>0</v>
      </c>
      <c r="S297" s="880">
        <v>0</v>
      </c>
    </row>
    <row r="298" spans="1:19" s="685" customFormat="1">
      <c r="A298" s="791"/>
      <c r="B298" s="792"/>
      <c r="C298" s="702">
        <v>423375</v>
      </c>
      <c r="D298" s="702">
        <v>423375</v>
      </c>
      <c r="E298" s="702">
        <v>423375</v>
      </c>
      <c r="F298" s="702">
        <v>423375</v>
      </c>
      <c r="G298" s="702">
        <v>0</v>
      </c>
      <c r="H298" s="702">
        <v>0</v>
      </c>
      <c r="I298" s="702">
        <v>0</v>
      </c>
      <c r="J298" s="702">
        <v>0</v>
      </c>
      <c r="K298" s="702">
        <v>0</v>
      </c>
      <c r="L298" s="702">
        <v>0</v>
      </c>
      <c r="M298" s="702">
        <v>0</v>
      </c>
      <c r="N298" s="702">
        <v>0</v>
      </c>
      <c r="O298" s="702">
        <v>0</v>
      </c>
      <c r="P298" s="702">
        <v>0</v>
      </c>
      <c r="Q298" s="702">
        <v>0</v>
      </c>
      <c r="R298" s="702">
        <v>0</v>
      </c>
      <c r="S298" s="702">
        <v>0</v>
      </c>
    </row>
    <row r="299" spans="1:19" s="685" customFormat="1">
      <c r="A299" s="791" t="s">
        <v>334</v>
      </c>
      <c r="B299" s="792" t="s">
        <v>517</v>
      </c>
      <c r="C299" s="880">
        <v>0</v>
      </c>
      <c r="D299" s="880">
        <v>0</v>
      </c>
      <c r="E299" s="880">
        <v>0</v>
      </c>
      <c r="F299" s="880">
        <v>0</v>
      </c>
      <c r="G299" s="880">
        <v>0</v>
      </c>
      <c r="H299" s="880">
        <v>0</v>
      </c>
      <c r="I299" s="880">
        <v>0</v>
      </c>
      <c r="J299" s="880">
        <v>0</v>
      </c>
      <c r="K299" s="880">
        <v>0</v>
      </c>
      <c r="L299" s="880">
        <v>0</v>
      </c>
      <c r="M299" s="880">
        <v>0</v>
      </c>
      <c r="N299" s="880">
        <v>0</v>
      </c>
      <c r="O299" s="880">
        <v>0</v>
      </c>
      <c r="P299" s="880">
        <v>0</v>
      </c>
      <c r="Q299" s="880">
        <v>0</v>
      </c>
      <c r="R299" s="880">
        <v>0</v>
      </c>
      <c r="S299" s="880">
        <v>0</v>
      </c>
    </row>
    <row r="300" spans="1:19" s="685" customFormat="1">
      <c r="A300" s="791"/>
      <c r="B300" s="792"/>
      <c r="C300" s="702">
        <v>0</v>
      </c>
      <c r="D300" s="702">
        <v>0</v>
      </c>
      <c r="E300" s="702">
        <v>0</v>
      </c>
      <c r="F300" s="702">
        <v>0</v>
      </c>
      <c r="G300" s="702">
        <v>0</v>
      </c>
      <c r="H300" s="702">
        <v>0</v>
      </c>
      <c r="I300" s="702">
        <v>0</v>
      </c>
      <c r="J300" s="702">
        <v>0</v>
      </c>
      <c r="K300" s="702">
        <v>0</v>
      </c>
      <c r="L300" s="702">
        <v>0</v>
      </c>
      <c r="M300" s="702">
        <v>0</v>
      </c>
      <c r="N300" s="702">
        <v>0</v>
      </c>
      <c r="O300" s="702">
        <v>0</v>
      </c>
      <c r="P300" s="702">
        <v>0</v>
      </c>
      <c r="Q300" s="702">
        <v>0</v>
      </c>
      <c r="R300" s="702">
        <v>0</v>
      </c>
      <c r="S300" s="702">
        <v>0</v>
      </c>
    </row>
    <row r="301" spans="1:19" s="685" customFormat="1">
      <c r="A301" s="791" t="s">
        <v>27</v>
      </c>
      <c r="B301" s="792" t="s">
        <v>303</v>
      </c>
      <c r="C301" s="880">
        <v>18000</v>
      </c>
      <c r="D301" s="880">
        <v>0</v>
      </c>
      <c r="E301" s="880">
        <v>20000</v>
      </c>
      <c r="F301" s="880">
        <v>0</v>
      </c>
      <c r="G301" s="880">
        <v>20000</v>
      </c>
      <c r="H301" s="880">
        <v>0</v>
      </c>
      <c r="I301" s="880">
        <v>0</v>
      </c>
      <c r="J301" s="880">
        <v>0</v>
      </c>
      <c r="K301" s="880">
        <v>0</v>
      </c>
      <c r="L301" s="880">
        <v>0</v>
      </c>
      <c r="M301" s="880">
        <v>10000</v>
      </c>
      <c r="N301" s="880">
        <v>0</v>
      </c>
      <c r="O301" s="880">
        <v>20000</v>
      </c>
      <c r="P301" s="880">
        <v>15000</v>
      </c>
      <c r="Q301" s="880">
        <v>0</v>
      </c>
      <c r="R301" s="880">
        <v>0</v>
      </c>
      <c r="S301" s="880">
        <v>0</v>
      </c>
    </row>
    <row r="302" spans="1:19" s="685" customFormat="1">
      <c r="A302" s="791"/>
      <c r="B302" s="792"/>
      <c r="C302" s="702">
        <v>103000</v>
      </c>
      <c r="D302" s="702">
        <v>85000</v>
      </c>
      <c r="E302" s="702">
        <v>85000</v>
      </c>
      <c r="F302" s="702">
        <v>65000</v>
      </c>
      <c r="G302" s="702">
        <v>65000</v>
      </c>
      <c r="H302" s="702">
        <v>45000</v>
      </c>
      <c r="I302" s="702">
        <v>45000</v>
      </c>
      <c r="J302" s="702">
        <v>45000</v>
      </c>
      <c r="K302" s="702">
        <v>45000</v>
      </c>
      <c r="L302" s="702">
        <v>45000</v>
      </c>
      <c r="M302" s="702">
        <v>45000</v>
      </c>
      <c r="N302" s="702">
        <v>35000</v>
      </c>
      <c r="O302" s="702">
        <v>35000</v>
      </c>
      <c r="P302" s="702">
        <v>15000</v>
      </c>
      <c r="Q302" s="702">
        <v>0</v>
      </c>
      <c r="R302" s="702">
        <v>0</v>
      </c>
      <c r="S302" s="702">
        <v>0</v>
      </c>
    </row>
    <row r="303" spans="1:19" s="685" customFormat="1">
      <c r="A303" s="791" t="s">
        <v>180</v>
      </c>
      <c r="B303" s="792"/>
      <c r="C303" s="1021">
        <v>0</v>
      </c>
      <c r="D303" s="1021">
        <v>0</v>
      </c>
      <c r="E303" s="1021">
        <v>0</v>
      </c>
      <c r="F303" s="1021">
        <v>0</v>
      </c>
      <c r="G303" s="1021">
        <v>0</v>
      </c>
      <c r="H303" s="1021">
        <v>0</v>
      </c>
      <c r="I303" s="1021">
        <v>0</v>
      </c>
      <c r="J303" s="1021">
        <v>18000</v>
      </c>
      <c r="K303" s="1021">
        <v>0</v>
      </c>
      <c r="L303" s="1021">
        <v>0</v>
      </c>
      <c r="M303" s="1021">
        <v>0</v>
      </c>
      <c r="N303" s="1021"/>
      <c r="O303" s="1021"/>
      <c r="P303" s="1021"/>
      <c r="Q303" s="1021"/>
      <c r="R303" s="1021"/>
      <c r="S303" s="1021"/>
    </row>
    <row r="304" spans="1:19" s="685" customFormat="1">
      <c r="A304" s="791"/>
      <c r="B304" s="792"/>
      <c r="C304" s="702">
        <v>18000</v>
      </c>
      <c r="D304" s="702">
        <v>18000</v>
      </c>
      <c r="E304" s="702">
        <v>18000</v>
      </c>
      <c r="F304" s="702">
        <v>18000</v>
      </c>
      <c r="G304" s="702">
        <v>18000</v>
      </c>
      <c r="H304" s="702">
        <v>18000</v>
      </c>
      <c r="I304" s="702">
        <v>18000</v>
      </c>
      <c r="J304" s="702">
        <v>18000</v>
      </c>
      <c r="K304" s="702">
        <v>0</v>
      </c>
      <c r="L304" s="702">
        <v>0</v>
      </c>
      <c r="M304" s="702">
        <v>0</v>
      </c>
      <c r="N304" s="702"/>
      <c r="O304" s="702"/>
      <c r="P304" s="702"/>
      <c r="Q304" s="702"/>
      <c r="R304" s="702"/>
      <c r="S304" s="702"/>
    </row>
    <row r="305" spans="1:19" s="685" customFormat="1">
      <c r="A305" s="791" t="s">
        <v>59</v>
      </c>
      <c r="B305" s="792"/>
      <c r="C305" s="880">
        <v>1999000</v>
      </c>
      <c r="D305" s="880">
        <v>75999</v>
      </c>
      <c r="E305" s="880">
        <v>20000</v>
      </c>
      <c r="F305" s="880">
        <v>423375</v>
      </c>
      <c r="G305" s="880">
        <v>79000</v>
      </c>
      <c r="H305" s="880">
        <v>0</v>
      </c>
      <c r="I305" s="880">
        <v>0</v>
      </c>
      <c r="J305" s="880">
        <v>18000</v>
      </c>
      <c r="K305" s="880">
        <v>0</v>
      </c>
      <c r="L305" s="880">
        <v>75999</v>
      </c>
      <c r="M305" s="880">
        <v>10000</v>
      </c>
      <c r="N305" s="880">
        <v>0</v>
      </c>
      <c r="O305" s="880">
        <v>20000</v>
      </c>
      <c r="P305" s="880">
        <v>15000</v>
      </c>
      <c r="Q305" s="880">
        <v>3000</v>
      </c>
      <c r="R305" s="880">
        <v>0</v>
      </c>
      <c r="S305" s="880">
        <v>0</v>
      </c>
    </row>
    <row r="306" spans="1:19" s="685" customFormat="1">
      <c r="A306" s="791"/>
      <c r="B306" s="792"/>
      <c r="C306" s="702">
        <v>2739373</v>
      </c>
      <c r="D306" s="702">
        <v>740373</v>
      </c>
      <c r="E306" s="702">
        <v>664374</v>
      </c>
      <c r="F306" s="702">
        <v>644374</v>
      </c>
      <c r="G306" s="702">
        <v>220999</v>
      </c>
      <c r="H306" s="702">
        <v>141999</v>
      </c>
      <c r="I306" s="702">
        <v>141999</v>
      </c>
      <c r="J306" s="702">
        <v>141999</v>
      </c>
      <c r="K306" s="702">
        <v>123999</v>
      </c>
      <c r="L306" s="702">
        <v>123999</v>
      </c>
      <c r="M306" s="702">
        <v>48000</v>
      </c>
      <c r="N306" s="702">
        <v>38000</v>
      </c>
      <c r="O306" s="702">
        <v>38000</v>
      </c>
      <c r="P306" s="702">
        <v>18000</v>
      </c>
      <c r="Q306" s="702">
        <v>3000</v>
      </c>
      <c r="R306" s="702">
        <v>0</v>
      </c>
      <c r="S306" s="702">
        <v>0</v>
      </c>
    </row>
    <row r="307" spans="1:19" s="685" customFormat="1" ht="20.399999999999999" customHeight="1">
      <c r="A307" s="793" t="s">
        <v>350</v>
      </c>
      <c r="B307" s="794"/>
      <c r="C307" s="882">
        <v>-1182272</v>
      </c>
      <c r="D307" s="882">
        <v>574449</v>
      </c>
      <c r="E307" s="882">
        <v>587543</v>
      </c>
      <c r="F307" s="882">
        <v>-213672</v>
      </c>
      <c r="G307" s="882">
        <v>182439</v>
      </c>
      <c r="H307" s="882">
        <v>298608</v>
      </c>
      <c r="I307" s="882">
        <v>408215</v>
      </c>
      <c r="J307" s="882">
        <v>281706</v>
      </c>
      <c r="K307" s="882">
        <v>66502</v>
      </c>
      <c r="L307" s="882">
        <v>303118</v>
      </c>
      <c r="M307" s="882">
        <v>250709</v>
      </c>
      <c r="N307" s="882">
        <v>268004</v>
      </c>
      <c r="O307" s="882">
        <v>219756</v>
      </c>
      <c r="P307" s="882">
        <v>286210</v>
      </c>
      <c r="Q307" s="882">
        <v>241306</v>
      </c>
      <c r="R307" s="882">
        <v>0</v>
      </c>
      <c r="S307" s="882">
        <v>0</v>
      </c>
    </row>
    <row r="308" spans="1:19" s="685" customFormat="1" ht="18.600000000000001" customHeight="1">
      <c r="A308" s="793"/>
      <c r="B308" s="794"/>
      <c r="C308" s="702">
        <v>2572621</v>
      </c>
      <c r="D308" s="702">
        <v>3754893</v>
      </c>
      <c r="E308" s="702">
        <v>3180444</v>
      </c>
      <c r="F308" s="702">
        <v>2592901</v>
      </c>
      <c r="G308" s="702">
        <v>2806573</v>
      </c>
      <c r="H308" s="702">
        <v>2624134</v>
      </c>
      <c r="I308" s="702">
        <v>2325526</v>
      </c>
      <c r="J308" s="702">
        <v>1917311</v>
      </c>
      <c r="K308" s="702">
        <v>1635605</v>
      </c>
      <c r="L308" s="702">
        <v>1569103</v>
      </c>
      <c r="M308" s="702">
        <v>1265985</v>
      </c>
      <c r="N308" s="702">
        <v>1015276</v>
      </c>
      <c r="O308" s="702">
        <v>747272</v>
      </c>
      <c r="P308" s="702">
        <v>527516</v>
      </c>
      <c r="Q308" s="702">
        <v>241306</v>
      </c>
      <c r="R308" s="702">
        <v>0</v>
      </c>
      <c r="S308" s="702">
        <v>0</v>
      </c>
    </row>
    <row r="309" spans="1:19" s="685" customFormat="1" ht="14.4" customHeight="1">
      <c r="A309" s="797"/>
      <c r="B309" s="748"/>
      <c r="C309" s="879"/>
      <c r="D309" s="879"/>
      <c r="E309" s="879"/>
      <c r="F309" s="879"/>
      <c r="G309" s="879"/>
      <c r="H309" s="879"/>
      <c r="I309" s="879"/>
      <c r="J309" s="879"/>
      <c r="K309" s="879"/>
      <c r="L309" s="879"/>
      <c r="M309" s="879"/>
      <c r="N309" s="879"/>
      <c r="O309" s="879"/>
      <c r="P309" s="879"/>
      <c r="Q309" s="879"/>
      <c r="R309" s="879"/>
      <c r="S309" s="879"/>
    </row>
    <row r="310" spans="1:19" s="685" customFormat="1">
      <c r="A310" s="796" t="s">
        <v>345</v>
      </c>
      <c r="B310" s="788" t="s">
        <v>518</v>
      </c>
      <c r="C310" s="880">
        <v>631871</v>
      </c>
      <c r="D310" s="880">
        <v>1226276</v>
      </c>
      <c r="E310" s="880">
        <v>1190093</v>
      </c>
      <c r="F310" s="880">
        <v>297914</v>
      </c>
      <c r="G310" s="880">
        <v>656466</v>
      </c>
      <c r="H310" s="880">
        <v>368738</v>
      </c>
      <c r="I310" s="880">
        <v>262268</v>
      </c>
      <c r="J310" s="880">
        <v>344820</v>
      </c>
      <c r="K310" s="880">
        <v>429274</v>
      </c>
      <c r="L310" s="880">
        <v>553073</v>
      </c>
      <c r="M310" s="880">
        <v>273095</v>
      </c>
      <c r="N310" s="880">
        <v>441999</v>
      </c>
      <c r="O310" s="880">
        <v>292883</v>
      </c>
      <c r="P310" s="880">
        <v>359868</v>
      </c>
      <c r="Q310" s="880">
        <v>225680</v>
      </c>
      <c r="R310" s="880">
        <v>195061</v>
      </c>
      <c r="S310" s="880">
        <v>0</v>
      </c>
    </row>
    <row r="311" spans="1:19" s="685" customFormat="1">
      <c r="A311" s="787"/>
      <c r="B311" s="788"/>
      <c r="C311" s="702">
        <v>7749379</v>
      </c>
      <c r="D311" s="702">
        <v>7117508</v>
      </c>
      <c r="E311" s="702">
        <v>5891232</v>
      </c>
      <c r="F311" s="702">
        <v>4701139</v>
      </c>
      <c r="G311" s="702">
        <v>4403225</v>
      </c>
      <c r="H311" s="702">
        <v>3746759</v>
      </c>
      <c r="I311" s="702">
        <v>3378021</v>
      </c>
      <c r="J311" s="702">
        <v>3115753</v>
      </c>
      <c r="K311" s="702">
        <v>2770933</v>
      </c>
      <c r="L311" s="702">
        <v>2341659</v>
      </c>
      <c r="M311" s="702">
        <v>1788586</v>
      </c>
      <c r="N311" s="702">
        <v>1515491</v>
      </c>
      <c r="O311" s="702">
        <v>1073492</v>
      </c>
      <c r="P311" s="702">
        <v>780609</v>
      </c>
      <c r="Q311" s="702">
        <v>420741</v>
      </c>
      <c r="R311" s="702">
        <v>195061</v>
      </c>
      <c r="S311" s="702">
        <v>0</v>
      </c>
    </row>
    <row r="312" spans="1:19" s="685" customFormat="1">
      <c r="A312" s="789" t="s">
        <v>100</v>
      </c>
      <c r="B312" s="790"/>
      <c r="C312" s="879"/>
      <c r="D312" s="879"/>
      <c r="E312" s="879"/>
      <c r="F312" s="879"/>
      <c r="G312" s="879"/>
      <c r="H312" s="879"/>
      <c r="I312" s="879"/>
      <c r="J312" s="879"/>
      <c r="K312" s="879"/>
      <c r="L312" s="879"/>
      <c r="M312" s="879"/>
      <c r="N312" s="879"/>
      <c r="O312" s="879"/>
      <c r="P312" s="879"/>
      <c r="Q312" s="879"/>
      <c r="R312" s="879"/>
      <c r="S312" s="879"/>
    </row>
    <row r="313" spans="1:19" s="685" customFormat="1">
      <c r="A313" s="791" t="s">
        <v>337</v>
      </c>
      <c r="B313" s="792" t="s">
        <v>519</v>
      </c>
      <c r="C313" s="880">
        <v>0</v>
      </c>
      <c r="D313" s="880">
        <v>0</v>
      </c>
      <c r="E313" s="880">
        <v>0</v>
      </c>
      <c r="F313" s="880">
        <v>0</v>
      </c>
      <c r="G313" s="880">
        <v>0</v>
      </c>
      <c r="H313" s="880">
        <v>0</v>
      </c>
      <c r="I313" s="880">
        <v>0</v>
      </c>
      <c r="J313" s="880">
        <v>0</v>
      </c>
      <c r="K313" s="880">
        <v>0</v>
      </c>
      <c r="L313" s="880">
        <v>0</v>
      </c>
      <c r="M313" s="880">
        <v>0</v>
      </c>
      <c r="N313" s="880">
        <v>0</v>
      </c>
      <c r="O313" s="880">
        <v>0</v>
      </c>
      <c r="P313" s="880">
        <v>0</v>
      </c>
      <c r="Q313" s="880">
        <v>0</v>
      </c>
      <c r="R313" s="880">
        <v>0</v>
      </c>
      <c r="S313" s="880">
        <v>0</v>
      </c>
    </row>
    <row r="314" spans="1:19" s="685" customFormat="1">
      <c r="A314" s="791"/>
      <c r="B314" s="792"/>
      <c r="C314" s="702">
        <v>0</v>
      </c>
      <c r="D314" s="702">
        <v>0</v>
      </c>
      <c r="E314" s="702">
        <v>0</v>
      </c>
      <c r="F314" s="702">
        <v>0</v>
      </c>
      <c r="G314" s="702">
        <v>0</v>
      </c>
      <c r="H314" s="702">
        <v>0</v>
      </c>
      <c r="I314" s="702">
        <v>0</v>
      </c>
      <c r="J314" s="702">
        <v>0</v>
      </c>
      <c r="K314" s="702">
        <v>0</v>
      </c>
      <c r="L314" s="702">
        <v>0</v>
      </c>
      <c r="M314" s="702">
        <v>0</v>
      </c>
      <c r="N314" s="702">
        <v>0</v>
      </c>
      <c r="O314" s="702">
        <v>0</v>
      </c>
      <c r="P314" s="702">
        <v>0</v>
      </c>
      <c r="Q314" s="702">
        <v>0</v>
      </c>
      <c r="R314" s="702">
        <v>0</v>
      </c>
      <c r="S314" s="702">
        <v>0</v>
      </c>
    </row>
    <row r="315" spans="1:19" s="685" customFormat="1">
      <c r="A315" s="791" t="s">
        <v>353</v>
      </c>
      <c r="B315" s="792" t="s">
        <v>520</v>
      </c>
      <c r="C315" s="880">
        <v>0</v>
      </c>
      <c r="D315" s="880">
        <v>0</v>
      </c>
      <c r="E315" s="880">
        <v>15500</v>
      </c>
      <c r="F315" s="880">
        <v>0</v>
      </c>
      <c r="G315" s="880">
        <v>0</v>
      </c>
      <c r="H315" s="880">
        <v>0</v>
      </c>
      <c r="I315" s="880">
        <v>0</v>
      </c>
      <c r="J315" s="880">
        <v>0</v>
      </c>
      <c r="K315" s="880">
        <v>0</v>
      </c>
      <c r="L315" s="880">
        <v>0</v>
      </c>
      <c r="M315" s="880">
        <v>0</v>
      </c>
      <c r="N315" s="880">
        <v>0</v>
      </c>
      <c r="O315" s="880">
        <v>0</v>
      </c>
      <c r="P315" s="880">
        <v>0</v>
      </c>
      <c r="Q315" s="880">
        <v>0</v>
      </c>
      <c r="R315" s="880">
        <v>0</v>
      </c>
      <c r="S315" s="880">
        <v>0</v>
      </c>
    </row>
    <row r="316" spans="1:19" s="685" customFormat="1">
      <c r="A316" s="791"/>
      <c r="B316" s="792"/>
      <c r="C316" s="702">
        <v>15500</v>
      </c>
      <c r="D316" s="702">
        <v>15500</v>
      </c>
      <c r="E316" s="702">
        <v>15500</v>
      </c>
      <c r="F316" s="702">
        <v>0</v>
      </c>
      <c r="G316" s="702">
        <v>0</v>
      </c>
      <c r="H316" s="702">
        <v>0</v>
      </c>
      <c r="I316" s="702">
        <v>0</v>
      </c>
      <c r="J316" s="702">
        <v>0</v>
      </c>
      <c r="K316" s="702">
        <v>0</v>
      </c>
      <c r="L316" s="702">
        <v>0</v>
      </c>
      <c r="M316" s="702">
        <v>0</v>
      </c>
      <c r="N316" s="702">
        <v>0</v>
      </c>
      <c r="O316" s="702">
        <v>0</v>
      </c>
      <c r="P316" s="702">
        <v>0</v>
      </c>
      <c r="Q316" s="702">
        <v>0</v>
      </c>
      <c r="R316" s="702">
        <v>0</v>
      </c>
      <c r="S316" s="702">
        <v>0</v>
      </c>
    </row>
    <row r="317" spans="1:19" s="685" customFormat="1">
      <c r="A317" s="791" t="s">
        <v>245</v>
      </c>
      <c r="B317" s="792" t="s">
        <v>521</v>
      </c>
      <c r="C317" s="880">
        <v>0</v>
      </c>
      <c r="D317" s="880">
        <v>91000</v>
      </c>
      <c r="E317" s="880">
        <v>0</v>
      </c>
      <c r="F317" s="880">
        <v>91000</v>
      </c>
      <c r="G317" s="880">
        <v>0</v>
      </c>
      <c r="H317" s="880">
        <v>0</v>
      </c>
      <c r="I317" s="880">
        <v>0</v>
      </c>
      <c r="J317" s="880">
        <v>0</v>
      </c>
      <c r="K317" s="880">
        <v>0</v>
      </c>
      <c r="L317" s="880">
        <v>0</v>
      </c>
      <c r="M317" s="880">
        <v>9998</v>
      </c>
      <c r="N317" s="880">
        <v>0</v>
      </c>
      <c r="O317" s="880">
        <v>0</v>
      </c>
      <c r="P317" s="880">
        <v>0</v>
      </c>
      <c r="Q317" s="880">
        <v>0</v>
      </c>
      <c r="R317" s="880">
        <v>0</v>
      </c>
      <c r="S317" s="880">
        <v>0</v>
      </c>
    </row>
    <row r="318" spans="1:19" s="685" customFormat="1">
      <c r="A318" s="791"/>
      <c r="B318" s="792"/>
      <c r="C318" s="702">
        <v>191998</v>
      </c>
      <c r="D318" s="702">
        <v>191998</v>
      </c>
      <c r="E318" s="702">
        <v>100998</v>
      </c>
      <c r="F318" s="702">
        <v>100998</v>
      </c>
      <c r="G318" s="702">
        <v>9998</v>
      </c>
      <c r="H318" s="702">
        <v>9998</v>
      </c>
      <c r="I318" s="702">
        <v>9998</v>
      </c>
      <c r="J318" s="702">
        <v>9998</v>
      </c>
      <c r="K318" s="702">
        <v>9998</v>
      </c>
      <c r="L318" s="702">
        <v>9998</v>
      </c>
      <c r="M318" s="702">
        <v>9998</v>
      </c>
      <c r="N318" s="702">
        <v>0</v>
      </c>
      <c r="O318" s="702">
        <v>0</v>
      </c>
      <c r="P318" s="702">
        <v>0</v>
      </c>
      <c r="Q318" s="702">
        <v>0</v>
      </c>
      <c r="R318" s="702">
        <v>0</v>
      </c>
      <c r="S318" s="702">
        <v>0</v>
      </c>
    </row>
    <row r="319" spans="1:19" s="685" customFormat="1">
      <c r="A319" s="791" t="s">
        <v>349</v>
      </c>
      <c r="B319" s="792" t="s">
        <v>522</v>
      </c>
      <c r="C319" s="880">
        <v>0</v>
      </c>
      <c r="D319" s="880">
        <v>0</v>
      </c>
      <c r="E319" s="880">
        <v>0</v>
      </c>
      <c r="F319" s="880">
        <v>0</v>
      </c>
      <c r="G319" s="880">
        <v>0</v>
      </c>
      <c r="H319" s="880">
        <v>0</v>
      </c>
      <c r="I319" s="880">
        <v>0</v>
      </c>
      <c r="J319" s="880">
        <v>5000</v>
      </c>
      <c r="K319" s="880">
        <v>0</v>
      </c>
      <c r="L319" s="880">
        <v>0</v>
      </c>
      <c r="M319" s="880">
        <v>0</v>
      </c>
      <c r="N319" s="880">
        <v>0</v>
      </c>
      <c r="O319" s="880">
        <v>0</v>
      </c>
      <c r="P319" s="880">
        <v>0</v>
      </c>
      <c r="Q319" s="880">
        <v>0</v>
      </c>
      <c r="R319" s="880">
        <v>0</v>
      </c>
      <c r="S319" s="880">
        <v>0</v>
      </c>
    </row>
    <row r="320" spans="1:19" s="685" customFormat="1">
      <c r="A320" s="791"/>
      <c r="B320" s="792"/>
      <c r="C320" s="702">
        <v>5000</v>
      </c>
      <c r="D320" s="702">
        <v>5000</v>
      </c>
      <c r="E320" s="702">
        <v>5000</v>
      </c>
      <c r="F320" s="702">
        <v>5000</v>
      </c>
      <c r="G320" s="702">
        <v>5000</v>
      </c>
      <c r="H320" s="702">
        <v>5000</v>
      </c>
      <c r="I320" s="702">
        <v>5000</v>
      </c>
      <c r="J320" s="702">
        <v>5000</v>
      </c>
      <c r="K320" s="702">
        <v>0</v>
      </c>
      <c r="L320" s="702">
        <v>0</v>
      </c>
      <c r="M320" s="702">
        <v>0</v>
      </c>
      <c r="N320" s="702">
        <v>0</v>
      </c>
      <c r="O320" s="702">
        <v>0</v>
      </c>
      <c r="P320" s="702">
        <v>0</v>
      </c>
      <c r="Q320" s="702">
        <v>0</v>
      </c>
      <c r="R320" s="702">
        <v>0</v>
      </c>
      <c r="S320" s="702">
        <v>0</v>
      </c>
    </row>
    <row r="321" spans="1:19" s="685" customFormat="1">
      <c r="A321" s="791" t="s">
        <v>247</v>
      </c>
      <c r="B321" s="792" t="s">
        <v>523</v>
      </c>
      <c r="C321" s="880">
        <v>0</v>
      </c>
      <c r="D321" s="880">
        <v>0</v>
      </c>
      <c r="E321" s="880">
        <v>0</v>
      </c>
      <c r="F321" s="880">
        <v>0</v>
      </c>
      <c r="G321" s="880">
        <v>0</v>
      </c>
      <c r="H321" s="880">
        <v>0</v>
      </c>
      <c r="I321" s="880">
        <v>0</v>
      </c>
      <c r="J321" s="880">
        <v>0</v>
      </c>
      <c r="K321" s="880">
        <v>0</v>
      </c>
      <c r="L321" s="880">
        <v>0</v>
      </c>
      <c r="M321" s="880">
        <v>0</v>
      </c>
      <c r="N321" s="880">
        <v>0</v>
      </c>
      <c r="O321" s="880">
        <v>0</v>
      </c>
      <c r="P321" s="880">
        <v>0</v>
      </c>
      <c r="Q321" s="880">
        <v>0</v>
      </c>
      <c r="R321" s="880">
        <v>0</v>
      </c>
      <c r="S321" s="880">
        <v>0</v>
      </c>
    </row>
    <row r="322" spans="1:19" s="685" customFormat="1">
      <c r="A322" s="791"/>
      <c r="B322" s="792"/>
      <c r="C322" s="702">
        <v>0</v>
      </c>
      <c r="D322" s="702">
        <v>0</v>
      </c>
      <c r="E322" s="702">
        <v>0</v>
      </c>
      <c r="F322" s="702">
        <v>0</v>
      </c>
      <c r="G322" s="702">
        <v>0</v>
      </c>
      <c r="H322" s="702">
        <v>0</v>
      </c>
      <c r="I322" s="702">
        <v>0</v>
      </c>
      <c r="J322" s="702">
        <v>0</v>
      </c>
      <c r="K322" s="702">
        <v>0</v>
      </c>
      <c r="L322" s="702">
        <v>0</v>
      </c>
      <c r="M322" s="702">
        <v>0</v>
      </c>
      <c r="N322" s="702">
        <v>0</v>
      </c>
      <c r="O322" s="702">
        <v>0</v>
      </c>
      <c r="P322" s="702">
        <v>0</v>
      </c>
      <c r="Q322" s="702">
        <v>0</v>
      </c>
      <c r="R322" s="702">
        <v>0</v>
      </c>
      <c r="S322" s="702">
        <v>0</v>
      </c>
    </row>
    <row r="323" spans="1:19" s="685" customFormat="1">
      <c r="A323" s="791" t="s">
        <v>187</v>
      </c>
      <c r="B323" s="792" t="s">
        <v>524</v>
      </c>
      <c r="C323" s="880">
        <v>838000</v>
      </c>
      <c r="D323" s="880">
        <v>0</v>
      </c>
      <c r="E323" s="880">
        <v>0</v>
      </c>
      <c r="F323" s="880">
        <v>0</v>
      </c>
      <c r="G323" s="880">
        <v>50000</v>
      </c>
      <c r="H323" s="880">
        <v>0</v>
      </c>
      <c r="I323" s="880">
        <v>0</v>
      </c>
      <c r="J323" s="880">
        <v>0</v>
      </c>
      <c r="K323" s="880">
        <v>0</v>
      </c>
      <c r="L323" s="880">
        <v>0</v>
      </c>
      <c r="M323" s="880">
        <v>0</v>
      </c>
      <c r="N323" s="880">
        <v>0</v>
      </c>
      <c r="O323" s="880">
        <v>0</v>
      </c>
      <c r="P323" s="880">
        <v>0</v>
      </c>
      <c r="Q323" s="880">
        <v>0</v>
      </c>
      <c r="R323" s="880">
        <v>0</v>
      </c>
      <c r="S323" s="880">
        <v>0</v>
      </c>
    </row>
    <row r="324" spans="1:19" s="685" customFormat="1">
      <c r="A324" s="791"/>
      <c r="B324" s="792"/>
      <c r="C324" s="702">
        <v>888000</v>
      </c>
      <c r="D324" s="702">
        <v>50000</v>
      </c>
      <c r="E324" s="702">
        <v>50000</v>
      </c>
      <c r="F324" s="702">
        <v>50000</v>
      </c>
      <c r="G324" s="702">
        <v>50000</v>
      </c>
      <c r="H324" s="702">
        <v>0</v>
      </c>
      <c r="I324" s="702">
        <v>0</v>
      </c>
      <c r="J324" s="702">
        <v>0</v>
      </c>
      <c r="K324" s="702">
        <v>0</v>
      </c>
      <c r="L324" s="702">
        <v>0</v>
      </c>
      <c r="M324" s="702">
        <v>0</v>
      </c>
      <c r="N324" s="702">
        <v>0</v>
      </c>
      <c r="O324" s="702">
        <v>0</v>
      </c>
      <c r="P324" s="702">
        <v>0</v>
      </c>
      <c r="Q324" s="702">
        <v>0</v>
      </c>
      <c r="R324" s="702">
        <v>0</v>
      </c>
      <c r="S324" s="702">
        <v>0</v>
      </c>
    </row>
    <row r="325" spans="1:19" s="685" customFormat="1">
      <c r="A325" s="791" t="s">
        <v>246</v>
      </c>
      <c r="B325" s="792" t="s">
        <v>525</v>
      </c>
      <c r="C325" s="880">
        <v>0</v>
      </c>
      <c r="D325" s="880">
        <v>0</v>
      </c>
      <c r="E325" s="880">
        <v>0</v>
      </c>
      <c r="F325" s="880">
        <v>423375</v>
      </c>
      <c r="G325" s="880">
        <v>0</v>
      </c>
      <c r="H325" s="880">
        <v>0</v>
      </c>
      <c r="I325" s="880">
        <v>0</v>
      </c>
      <c r="J325" s="880">
        <v>0</v>
      </c>
      <c r="K325" s="880">
        <v>0</v>
      </c>
      <c r="L325" s="880">
        <v>0</v>
      </c>
      <c r="M325" s="880">
        <v>0</v>
      </c>
      <c r="N325" s="880">
        <v>0</v>
      </c>
      <c r="O325" s="880">
        <v>0</v>
      </c>
      <c r="P325" s="880">
        <v>0</v>
      </c>
      <c r="Q325" s="880">
        <v>0</v>
      </c>
      <c r="R325" s="880">
        <v>0</v>
      </c>
      <c r="S325" s="880">
        <v>0</v>
      </c>
    </row>
    <row r="326" spans="1:19" s="685" customFormat="1">
      <c r="A326" s="791"/>
      <c r="B326" s="792"/>
      <c r="C326" s="702">
        <v>423375</v>
      </c>
      <c r="D326" s="702">
        <v>423375</v>
      </c>
      <c r="E326" s="702">
        <v>423375</v>
      </c>
      <c r="F326" s="702">
        <v>423375</v>
      </c>
      <c r="G326" s="702">
        <v>0</v>
      </c>
      <c r="H326" s="702">
        <v>0</v>
      </c>
      <c r="I326" s="702">
        <v>0</v>
      </c>
      <c r="J326" s="702">
        <v>0</v>
      </c>
      <c r="K326" s="702">
        <v>0</v>
      </c>
      <c r="L326" s="702">
        <v>0</v>
      </c>
      <c r="M326" s="702">
        <v>0</v>
      </c>
      <c r="N326" s="702">
        <v>0</v>
      </c>
      <c r="O326" s="702">
        <v>0</v>
      </c>
      <c r="P326" s="702">
        <v>0</v>
      </c>
      <c r="Q326" s="702">
        <v>0</v>
      </c>
      <c r="R326" s="702">
        <v>0</v>
      </c>
      <c r="S326" s="702">
        <v>0</v>
      </c>
    </row>
    <row r="327" spans="1:19" s="685" customFormat="1">
      <c r="A327" s="791" t="s">
        <v>334</v>
      </c>
      <c r="B327" s="792" t="s">
        <v>526</v>
      </c>
      <c r="C327" s="880">
        <v>0</v>
      </c>
      <c r="D327" s="880">
        <v>0</v>
      </c>
      <c r="E327" s="880">
        <v>0</v>
      </c>
      <c r="F327" s="880">
        <v>0</v>
      </c>
      <c r="G327" s="880">
        <v>0</v>
      </c>
      <c r="H327" s="880">
        <v>0</v>
      </c>
      <c r="I327" s="880">
        <v>0</v>
      </c>
      <c r="J327" s="880">
        <v>0</v>
      </c>
      <c r="K327" s="880">
        <v>0</v>
      </c>
      <c r="L327" s="880">
        <v>0</v>
      </c>
      <c r="M327" s="880">
        <v>0</v>
      </c>
      <c r="N327" s="880">
        <v>0</v>
      </c>
      <c r="O327" s="880">
        <v>0</v>
      </c>
      <c r="P327" s="880">
        <v>0</v>
      </c>
      <c r="Q327" s="880">
        <v>0</v>
      </c>
      <c r="R327" s="880">
        <v>0</v>
      </c>
      <c r="S327" s="880">
        <v>0</v>
      </c>
    </row>
    <row r="328" spans="1:19" s="685" customFormat="1">
      <c r="A328" s="791"/>
      <c r="B328" s="792"/>
      <c r="C328" s="702">
        <v>0</v>
      </c>
      <c r="D328" s="702">
        <v>0</v>
      </c>
      <c r="E328" s="702">
        <v>0</v>
      </c>
      <c r="F328" s="702">
        <v>0</v>
      </c>
      <c r="G328" s="702">
        <v>0</v>
      </c>
      <c r="H328" s="702">
        <v>0</v>
      </c>
      <c r="I328" s="702">
        <v>0</v>
      </c>
      <c r="J328" s="702">
        <v>0</v>
      </c>
      <c r="K328" s="702">
        <v>0</v>
      </c>
      <c r="L328" s="702">
        <v>0</v>
      </c>
      <c r="M328" s="702">
        <v>0</v>
      </c>
      <c r="N328" s="702">
        <v>0</v>
      </c>
      <c r="O328" s="702">
        <v>0</v>
      </c>
      <c r="P328" s="702">
        <v>0</v>
      </c>
      <c r="Q328" s="702">
        <v>0</v>
      </c>
      <c r="R328" s="702">
        <v>0</v>
      </c>
      <c r="S328" s="702">
        <v>0</v>
      </c>
    </row>
    <row r="329" spans="1:19" s="685" customFormat="1">
      <c r="A329" s="791" t="s">
        <v>27</v>
      </c>
      <c r="B329" s="792" t="s">
        <v>527</v>
      </c>
      <c r="C329" s="880">
        <v>18000</v>
      </c>
      <c r="D329" s="880">
        <v>0</v>
      </c>
      <c r="E329" s="880">
        <v>0</v>
      </c>
      <c r="F329" s="880">
        <v>0</v>
      </c>
      <c r="G329" s="880">
        <v>0</v>
      </c>
      <c r="H329" s="880">
        <v>0</v>
      </c>
      <c r="I329" s="880">
        <v>0</v>
      </c>
      <c r="J329" s="880">
        <v>18000</v>
      </c>
      <c r="K329" s="880">
        <v>0</v>
      </c>
      <c r="L329" s="880">
        <v>0</v>
      </c>
      <c r="M329" s="880">
        <v>0</v>
      </c>
      <c r="N329" s="880">
        <v>0</v>
      </c>
      <c r="O329" s="880">
        <v>58600</v>
      </c>
      <c r="P329" s="880">
        <v>15000</v>
      </c>
      <c r="Q329" s="880">
        <v>18000</v>
      </c>
      <c r="R329" s="880">
        <v>0</v>
      </c>
      <c r="S329" s="880">
        <v>0</v>
      </c>
    </row>
    <row r="330" spans="1:19" s="685" customFormat="1">
      <c r="A330" s="791"/>
      <c r="B330" s="792"/>
      <c r="C330" s="702">
        <v>127600</v>
      </c>
      <c r="D330" s="702">
        <v>109600</v>
      </c>
      <c r="E330" s="702">
        <v>109600</v>
      </c>
      <c r="F330" s="702">
        <v>109600</v>
      </c>
      <c r="G330" s="702">
        <v>109600</v>
      </c>
      <c r="H330" s="702">
        <v>109600</v>
      </c>
      <c r="I330" s="702">
        <v>109600</v>
      </c>
      <c r="J330" s="702">
        <v>109600</v>
      </c>
      <c r="K330" s="702">
        <v>91600</v>
      </c>
      <c r="L330" s="702">
        <v>91600</v>
      </c>
      <c r="M330" s="702">
        <v>91600</v>
      </c>
      <c r="N330" s="702">
        <v>91600</v>
      </c>
      <c r="O330" s="702">
        <v>91600</v>
      </c>
      <c r="P330" s="702">
        <v>33000</v>
      </c>
      <c r="Q330" s="702">
        <v>18000</v>
      </c>
      <c r="R330" s="702">
        <v>0</v>
      </c>
      <c r="S330" s="702">
        <v>0</v>
      </c>
    </row>
    <row r="331" spans="1:19" s="685" customFormat="1">
      <c r="A331" s="791" t="s">
        <v>180</v>
      </c>
      <c r="B331" s="792"/>
      <c r="C331" s="1021">
        <v>0</v>
      </c>
      <c r="D331" s="1021">
        <v>0</v>
      </c>
      <c r="E331" s="1021">
        <v>0</v>
      </c>
      <c r="F331" s="1021">
        <v>0</v>
      </c>
      <c r="G331" s="1021">
        <v>0</v>
      </c>
      <c r="H331" s="1021">
        <v>0</v>
      </c>
      <c r="I331" s="1021">
        <v>0</v>
      </c>
      <c r="J331" s="1021">
        <v>0</v>
      </c>
      <c r="K331" s="1021">
        <v>0</v>
      </c>
      <c r="L331" s="1021">
        <v>0</v>
      </c>
      <c r="M331" s="1021">
        <v>0</v>
      </c>
      <c r="N331" s="1021"/>
      <c r="O331" s="1021"/>
      <c r="P331" s="1021"/>
      <c r="Q331" s="1021"/>
      <c r="R331" s="1021"/>
      <c r="S331" s="1021"/>
    </row>
    <row r="332" spans="1:19" s="685" customFormat="1">
      <c r="A332" s="791"/>
      <c r="B332" s="792"/>
      <c r="C332" s="702">
        <v>0</v>
      </c>
      <c r="D332" s="702">
        <v>0</v>
      </c>
      <c r="E332" s="702">
        <v>0</v>
      </c>
      <c r="F332" s="702">
        <v>0</v>
      </c>
      <c r="G332" s="702">
        <v>0</v>
      </c>
      <c r="H332" s="702">
        <v>0</v>
      </c>
      <c r="I332" s="702">
        <v>0</v>
      </c>
      <c r="J332" s="702">
        <v>0</v>
      </c>
      <c r="K332" s="702">
        <v>0</v>
      </c>
      <c r="L332" s="702">
        <v>0</v>
      </c>
      <c r="M332" s="702">
        <v>0</v>
      </c>
      <c r="N332" s="702"/>
      <c r="O332" s="702"/>
      <c r="P332" s="702"/>
      <c r="Q332" s="702"/>
      <c r="R332" s="702"/>
      <c r="S332" s="702"/>
    </row>
    <row r="333" spans="1:19" s="685" customFormat="1">
      <c r="A333" s="791" t="s">
        <v>59</v>
      </c>
      <c r="B333" s="792"/>
      <c r="C333" s="880">
        <v>856000</v>
      </c>
      <c r="D333" s="880">
        <v>91000</v>
      </c>
      <c r="E333" s="880">
        <v>15500</v>
      </c>
      <c r="F333" s="880">
        <v>514375</v>
      </c>
      <c r="G333" s="880">
        <v>50000</v>
      </c>
      <c r="H333" s="880">
        <v>0</v>
      </c>
      <c r="I333" s="880">
        <v>0</v>
      </c>
      <c r="J333" s="880">
        <v>23000</v>
      </c>
      <c r="K333" s="880">
        <v>0</v>
      </c>
      <c r="L333" s="880">
        <v>0</v>
      </c>
      <c r="M333" s="880">
        <v>9998</v>
      </c>
      <c r="N333" s="880">
        <v>0</v>
      </c>
      <c r="O333" s="880">
        <v>58600</v>
      </c>
      <c r="P333" s="880">
        <v>15000</v>
      </c>
      <c r="Q333" s="880">
        <v>18000</v>
      </c>
      <c r="R333" s="880">
        <v>0</v>
      </c>
      <c r="S333" s="880">
        <v>0</v>
      </c>
    </row>
    <row r="334" spans="1:19" s="685" customFormat="1">
      <c r="A334" s="791"/>
      <c r="B334" s="792"/>
      <c r="C334" s="702">
        <v>1651473</v>
      </c>
      <c r="D334" s="702">
        <v>795473</v>
      </c>
      <c r="E334" s="702">
        <v>704473</v>
      </c>
      <c r="F334" s="702">
        <v>688973</v>
      </c>
      <c r="G334" s="702">
        <v>174598</v>
      </c>
      <c r="H334" s="702">
        <v>124598</v>
      </c>
      <c r="I334" s="702">
        <v>124598</v>
      </c>
      <c r="J334" s="702">
        <v>124598</v>
      </c>
      <c r="K334" s="702">
        <v>101598</v>
      </c>
      <c r="L334" s="702">
        <v>101598</v>
      </c>
      <c r="M334" s="702">
        <v>101598</v>
      </c>
      <c r="N334" s="702">
        <v>91600</v>
      </c>
      <c r="O334" s="702">
        <v>91600</v>
      </c>
      <c r="P334" s="702">
        <v>33000</v>
      </c>
      <c r="Q334" s="702">
        <v>18000</v>
      </c>
      <c r="R334" s="702">
        <v>0</v>
      </c>
      <c r="S334" s="702">
        <v>0</v>
      </c>
    </row>
    <row r="335" spans="1:19" s="685" customFormat="1" ht="19.95" customHeight="1">
      <c r="A335" s="793" t="s">
        <v>350</v>
      </c>
      <c r="B335" s="794"/>
      <c r="C335" s="882">
        <v>-224129</v>
      </c>
      <c r="D335" s="882">
        <v>1135276</v>
      </c>
      <c r="E335" s="882">
        <v>1174593</v>
      </c>
      <c r="F335" s="882">
        <v>-216461</v>
      </c>
      <c r="G335" s="882">
        <v>606466</v>
      </c>
      <c r="H335" s="882">
        <v>368738</v>
      </c>
      <c r="I335" s="882">
        <v>262268</v>
      </c>
      <c r="J335" s="882">
        <v>321820</v>
      </c>
      <c r="K335" s="882">
        <v>429274</v>
      </c>
      <c r="L335" s="882">
        <v>553073</v>
      </c>
      <c r="M335" s="882">
        <v>263097</v>
      </c>
      <c r="N335" s="882">
        <v>441999</v>
      </c>
      <c r="O335" s="882">
        <v>234283</v>
      </c>
      <c r="P335" s="882">
        <v>344868</v>
      </c>
      <c r="Q335" s="882">
        <v>207680</v>
      </c>
      <c r="R335" s="882">
        <v>195061</v>
      </c>
      <c r="S335" s="882">
        <v>0</v>
      </c>
    </row>
    <row r="336" spans="1:19" s="685" customFormat="1" ht="17.399999999999999" customHeight="1">
      <c r="A336" s="793"/>
      <c r="B336" s="794"/>
      <c r="C336" s="702">
        <v>6097906</v>
      </c>
      <c r="D336" s="702">
        <v>6322035</v>
      </c>
      <c r="E336" s="702">
        <v>5186759</v>
      </c>
      <c r="F336" s="702">
        <v>4012166</v>
      </c>
      <c r="G336" s="702">
        <v>4228627</v>
      </c>
      <c r="H336" s="702">
        <v>3622161</v>
      </c>
      <c r="I336" s="702">
        <v>3253423</v>
      </c>
      <c r="J336" s="702">
        <v>2991155</v>
      </c>
      <c r="K336" s="702">
        <v>2669335</v>
      </c>
      <c r="L336" s="702">
        <v>2240061</v>
      </c>
      <c r="M336" s="702">
        <v>1686988</v>
      </c>
      <c r="N336" s="702">
        <v>1423891</v>
      </c>
      <c r="O336" s="702">
        <v>981892</v>
      </c>
      <c r="P336" s="702">
        <v>747609</v>
      </c>
      <c r="Q336" s="702">
        <v>402741</v>
      </c>
      <c r="R336" s="702">
        <v>195061</v>
      </c>
      <c r="S336" s="702">
        <v>0</v>
      </c>
    </row>
    <row r="337" spans="1:19" s="685" customFormat="1" ht="14.4" customHeight="1">
      <c r="A337" s="797"/>
      <c r="B337" s="748"/>
      <c r="C337" s="879"/>
      <c r="D337" s="879"/>
      <c r="E337" s="879"/>
      <c r="F337" s="879"/>
      <c r="G337" s="879"/>
      <c r="H337" s="879"/>
      <c r="I337" s="879"/>
      <c r="J337" s="879"/>
      <c r="K337" s="879"/>
      <c r="L337" s="879"/>
      <c r="M337" s="879"/>
      <c r="N337" s="879"/>
      <c r="O337" s="879"/>
      <c r="P337" s="879"/>
      <c r="Q337" s="879"/>
      <c r="R337" s="879"/>
      <c r="S337" s="879"/>
    </row>
    <row r="338" spans="1:19" s="685" customFormat="1" ht="18">
      <c r="A338" s="787" t="s">
        <v>151</v>
      </c>
      <c r="B338" s="788"/>
      <c r="C338" s="883">
        <v>3316034</v>
      </c>
      <c r="D338" s="883">
        <v>5003875</v>
      </c>
      <c r="E338" s="883">
        <v>5213079</v>
      </c>
      <c r="F338" s="883">
        <v>1247378</v>
      </c>
      <c r="G338" s="883">
        <v>2793038</v>
      </c>
      <c r="H338" s="883">
        <v>1433697</v>
      </c>
      <c r="I338" s="883">
        <v>1540296</v>
      </c>
      <c r="J338" s="883">
        <v>1783708</v>
      </c>
      <c r="K338" s="883">
        <v>1626098</v>
      </c>
      <c r="L338" s="883">
        <v>2667964</v>
      </c>
      <c r="M338" s="883">
        <v>1400136</v>
      </c>
      <c r="N338" s="883">
        <v>1554464</v>
      </c>
      <c r="O338" s="883">
        <v>1391631</v>
      </c>
      <c r="P338" s="883">
        <v>1926997</v>
      </c>
      <c r="Q338" s="883">
        <v>1311830</v>
      </c>
      <c r="R338" s="883">
        <v>1009406</v>
      </c>
      <c r="S338" s="883">
        <v>0</v>
      </c>
    </row>
    <row r="339" spans="1:19" s="707" customFormat="1" ht="21.6" thickBot="1">
      <c r="A339" s="798" t="s">
        <v>48</v>
      </c>
      <c r="B339" s="799"/>
      <c r="C339" s="706">
        <v>35219631</v>
      </c>
      <c r="D339" s="706">
        <v>31903597</v>
      </c>
      <c r="E339" s="706">
        <v>26899722</v>
      </c>
      <c r="F339" s="706">
        <v>21686643</v>
      </c>
      <c r="G339" s="706">
        <v>20439265</v>
      </c>
      <c r="H339" s="706">
        <v>17646227</v>
      </c>
      <c r="I339" s="706">
        <v>16212530</v>
      </c>
      <c r="J339" s="706">
        <v>14672234</v>
      </c>
      <c r="K339" s="706">
        <v>12888526</v>
      </c>
      <c r="L339" s="706">
        <v>11262428</v>
      </c>
      <c r="M339" s="706">
        <v>8594464</v>
      </c>
      <c r="N339" s="706">
        <v>7194328</v>
      </c>
      <c r="O339" s="706">
        <v>5639864</v>
      </c>
      <c r="P339" s="706">
        <v>4248233</v>
      </c>
      <c r="Q339" s="706">
        <v>2321236</v>
      </c>
      <c r="R339" s="706">
        <v>1009406</v>
      </c>
      <c r="S339" s="706">
        <v>0</v>
      </c>
    </row>
    <row r="340" spans="1:19" ht="15" thickTop="1">
      <c r="A340" s="25"/>
      <c r="B340" s="735"/>
      <c r="C340" s="884"/>
      <c r="D340" s="884"/>
      <c r="E340" s="884"/>
      <c r="F340" s="884"/>
      <c r="G340" s="884"/>
      <c r="H340" s="884"/>
      <c r="I340" s="884"/>
      <c r="J340" s="884"/>
      <c r="K340" s="884"/>
      <c r="L340" s="884"/>
      <c r="M340" s="884"/>
      <c r="N340" s="884"/>
      <c r="O340" s="884"/>
      <c r="P340" s="884"/>
      <c r="Q340" s="884"/>
      <c r="R340" s="884"/>
      <c r="S340" s="884"/>
    </row>
    <row r="341" spans="1:19">
      <c r="A341" s="800" t="s">
        <v>351</v>
      </c>
      <c r="B341" s="801"/>
      <c r="C341" s="885">
        <v>4593000</v>
      </c>
      <c r="D341" s="885">
        <v>1673499</v>
      </c>
      <c r="E341" s="885">
        <v>173907</v>
      </c>
      <c r="F341" s="885">
        <v>1885900</v>
      </c>
      <c r="G341" s="885">
        <v>400550</v>
      </c>
      <c r="H341" s="885">
        <v>82000</v>
      </c>
      <c r="I341" s="885">
        <v>0</v>
      </c>
      <c r="J341" s="885">
        <v>64000</v>
      </c>
      <c r="K341" s="885">
        <v>10999</v>
      </c>
      <c r="L341" s="885">
        <v>146999</v>
      </c>
      <c r="M341" s="885">
        <v>21998</v>
      </c>
      <c r="N341" s="885">
        <v>123000</v>
      </c>
      <c r="O341" s="885">
        <v>215800</v>
      </c>
      <c r="P341" s="885">
        <v>161400</v>
      </c>
      <c r="Q341" s="885">
        <v>39000</v>
      </c>
      <c r="R341" s="885">
        <v>935724</v>
      </c>
      <c r="S341" s="885">
        <v>0</v>
      </c>
    </row>
    <row r="342" spans="1:19">
      <c r="A342" s="800"/>
      <c r="B342" s="801"/>
      <c r="C342" s="708">
        <v>10527776</v>
      </c>
      <c r="D342" s="708">
        <v>5934776</v>
      </c>
      <c r="E342" s="708">
        <v>4261277</v>
      </c>
      <c r="F342" s="708">
        <v>4087370</v>
      </c>
      <c r="G342" s="708">
        <v>2201470</v>
      </c>
      <c r="H342" s="708">
        <v>1800920</v>
      </c>
      <c r="I342" s="708">
        <v>1718920</v>
      </c>
      <c r="J342" s="708">
        <v>1718920</v>
      </c>
      <c r="K342" s="708">
        <v>1654920</v>
      </c>
      <c r="L342" s="708">
        <v>1643921</v>
      </c>
      <c r="M342" s="708">
        <v>1496922</v>
      </c>
      <c r="N342" s="708">
        <v>1474924</v>
      </c>
      <c r="O342" s="708">
        <v>1351924</v>
      </c>
      <c r="P342" s="708">
        <v>1136124</v>
      </c>
      <c r="Q342" s="708">
        <v>974724</v>
      </c>
      <c r="R342" s="708">
        <v>935724</v>
      </c>
      <c r="S342" s="708">
        <v>0</v>
      </c>
    </row>
    <row r="343" spans="1:19" ht="8.4" customHeight="1">
      <c r="A343" s="25"/>
      <c r="B343" s="735"/>
      <c r="C343" s="884"/>
      <c r="D343" s="884"/>
      <c r="E343" s="884"/>
      <c r="F343" s="884"/>
      <c r="G343" s="884"/>
      <c r="H343" s="884"/>
      <c r="I343" s="884"/>
      <c r="J343" s="884"/>
      <c r="K343" s="884"/>
      <c r="L343" s="884"/>
      <c r="M343" s="884"/>
      <c r="N343" s="884"/>
      <c r="O343" s="884"/>
      <c r="P343" s="884"/>
      <c r="Q343" s="884"/>
      <c r="R343" s="884"/>
      <c r="S343" s="884"/>
    </row>
    <row r="344" spans="1:19" ht="25.2" customHeight="1">
      <c r="A344" s="802" t="s">
        <v>352</v>
      </c>
      <c r="B344" s="803"/>
      <c r="C344" s="886">
        <v>-1276966</v>
      </c>
      <c r="D344" s="886">
        <v>3330376</v>
      </c>
      <c r="E344" s="886">
        <v>5039172</v>
      </c>
      <c r="F344" s="886">
        <v>-638522</v>
      </c>
      <c r="G344" s="886">
        <v>2392488</v>
      </c>
      <c r="H344" s="886">
        <v>1351697</v>
      </c>
      <c r="I344" s="886">
        <v>1540296</v>
      </c>
      <c r="J344" s="886">
        <v>1719708</v>
      </c>
      <c r="K344" s="886">
        <v>1615099</v>
      </c>
      <c r="L344" s="886">
        <v>2520965</v>
      </c>
      <c r="M344" s="886">
        <v>1378138</v>
      </c>
      <c r="N344" s="886">
        <v>1431464</v>
      </c>
      <c r="O344" s="886">
        <v>1175831</v>
      </c>
      <c r="P344" s="886">
        <v>1765597</v>
      </c>
      <c r="Q344" s="886">
        <v>1272830</v>
      </c>
      <c r="R344" s="886">
        <v>73682</v>
      </c>
      <c r="S344" s="886">
        <v>0</v>
      </c>
    </row>
    <row r="345" spans="1:19" ht="25.2" customHeight="1">
      <c r="A345" s="804"/>
      <c r="B345" s="803"/>
      <c r="C345" s="709">
        <v>24691855</v>
      </c>
      <c r="D345" s="709">
        <v>25968821</v>
      </c>
      <c r="E345" s="709">
        <v>22638445</v>
      </c>
      <c r="F345" s="709">
        <v>17599273</v>
      </c>
      <c r="G345" s="709">
        <v>18237795</v>
      </c>
      <c r="H345" s="709">
        <v>15845307</v>
      </c>
      <c r="I345" s="709">
        <v>14493610</v>
      </c>
      <c r="J345" s="709">
        <v>12953314</v>
      </c>
      <c r="K345" s="709">
        <v>11233606</v>
      </c>
      <c r="L345" s="709">
        <v>9618507</v>
      </c>
      <c r="M345" s="709">
        <v>7097542</v>
      </c>
      <c r="N345" s="709">
        <v>5719404</v>
      </c>
      <c r="O345" s="709">
        <v>4287940</v>
      </c>
      <c r="P345" s="709">
        <v>3112109</v>
      </c>
      <c r="Q345" s="709">
        <v>1346512</v>
      </c>
      <c r="R345" s="709">
        <v>73682</v>
      </c>
      <c r="S345" s="709">
        <v>0</v>
      </c>
    </row>
    <row r="346" spans="1:19" ht="15" thickBot="1">
      <c r="A346" s="5"/>
      <c r="B346" s="16"/>
      <c r="C346" s="710"/>
      <c r="D346" s="710"/>
      <c r="E346" s="710"/>
      <c r="F346" s="710"/>
      <c r="G346" s="710"/>
      <c r="H346" s="710"/>
      <c r="I346" s="710"/>
      <c r="J346" s="710"/>
      <c r="K346" s="710"/>
      <c r="L346" s="710"/>
      <c r="M346" s="710"/>
      <c r="N346" s="710"/>
      <c r="O346" s="710"/>
      <c r="P346" s="710"/>
      <c r="Q346" s="710"/>
      <c r="R346" s="710"/>
      <c r="S346" s="710"/>
    </row>
    <row r="347" spans="1:19" s="685" customFormat="1">
      <c r="A347" s="805" t="s">
        <v>194</v>
      </c>
      <c r="B347" s="806" t="s">
        <v>290</v>
      </c>
      <c r="C347" s="887">
        <v>0</v>
      </c>
      <c r="D347" s="887">
        <v>0</v>
      </c>
      <c r="E347" s="887">
        <v>0</v>
      </c>
      <c r="F347" s="887">
        <v>0</v>
      </c>
      <c r="G347" s="887">
        <v>0</v>
      </c>
      <c r="H347" s="887">
        <v>0</v>
      </c>
      <c r="I347" s="887">
        <v>0</v>
      </c>
      <c r="J347" s="887">
        <v>0</v>
      </c>
      <c r="K347" s="887">
        <v>0</v>
      </c>
      <c r="L347" s="887">
        <v>0</v>
      </c>
      <c r="M347" s="887">
        <v>0</v>
      </c>
      <c r="N347" s="887">
        <v>0</v>
      </c>
      <c r="O347" s="887">
        <v>0</v>
      </c>
      <c r="P347" s="887">
        <v>0</v>
      </c>
      <c r="Q347" s="887">
        <v>0</v>
      </c>
      <c r="R347" s="887">
        <v>0</v>
      </c>
      <c r="S347" s="887">
        <v>0</v>
      </c>
    </row>
    <row r="348" spans="1:19" s="685" customFormat="1">
      <c r="A348" s="807" t="s">
        <v>196</v>
      </c>
      <c r="B348" s="808"/>
      <c r="C348" s="705">
        <v>0</v>
      </c>
      <c r="D348" s="705">
        <v>0</v>
      </c>
      <c r="E348" s="705">
        <v>0</v>
      </c>
      <c r="F348" s="705">
        <v>0</v>
      </c>
      <c r="G348" s="705">
        <v>0</v>
      </c>
      <c r="H348" s="705">
        <v>0</v>
      </c>
      <c r="I348" s="705">
        <v>0</v>
      </c>
      <c r="J348" s="705">
        <v>0</v>
      </c>
      <c r="K348" s="705">
        <v>0</v>
      </c>
      <c r="L348" s="705">
        <v>0</v>
      </c>
      <c r="M348" s="705">
        <v>0</v>
      </c>
      <c r="N348" s="705">
        <v>0</v>
      </c>
      <c r="O348" s="705">
        <v>0</v>
      </c>
      <c r="P348" s="705">
        <v>0</v>
      </c>
      <c r="Q348" s="705">
        <v>0</v>
      </c>
      <c r="R348" s="705">
        <v>0</v>
      </c>
      <c r="S348" s="705">
        <v>0</v>
      </c>
    </row>
    <row r="349" spans="1:19" s="712" customFormat="1" ht="15" thickBot="1">
      <c r="A349" s="809"/>
      <c r="B349" s="810"/>
      <c r="C349" s="711">
        <v>0</v>
      </c>
      <c r="D349" s="711">
        <v>0</v>
      </c>
      <c r="E349" s="711">
        <v>0</v>
      </c>
      <c r="F349" s="711">
        <v>0</v>
      </c>
      <c r="G349" s="711">
        <v>0</v>
      </c>
      <c r="H349" s="711">
        <v>0</v>
      </c>
      <c r="I349" s="711">
        <v>0</v>
      </c>
      <c r="J349" s="711">
        <v>0</v>
      </c>
      <c r="K349" s="711">
        <v>0</v>
      </c>
      <c r="L349" s="711">
        <v>0</v>
      </c>
      <c r="M349" s="711">
        <v>0</v>
      </c>
      <c r="N349" s="711">
        <v>0</v>
      </c>
      <c r="O349" s="711">
        <v>0</v>
      </c>
      <c r="P349" s="711">
        <v>0</v>
      </c>
      <c r="Q349" s="711">
        <v>0</v>
      </c>
      <c r="R349" s="711">
        <v>0</v>
      </c>
      <c r="S349" s="711">
        <v>0</v>
      </c>
    </row>
    <row r="350" spans="1:19" s="685" customFormat="1">
      <c r="A350" s="805" t="s">
        <v>195</v>
      </c>
      <c r="B350" s="806" t="s">
        <v>277</v>
      </c>
      <c r="C350" s="887">
        <v>0</v>
      </c>
      <c r="D350" s="887">
        <v>0</v>
      </c>
      <c r="E350" s="887">
        <v>0</v>
      </c>
      <c r="F350" s="887">
        <v>0</v>
      </c>
      <c r="G350" s="887">
        <v>0</v>
      </c>
      <c r="H350" s="887">
        <v>0</v>
      </c>
      <c r="I350" s="887">
        <v>0</v>
      </c>
      <c r="J350" s="887">
        <v>0</v>
      </c>
      <c r="K350" s="887">
        <v>0</v>
      </c>
      <c r="L350" s="887">
        <v>0</v>
      </c>
      <c r="M350" s="887">
        <v>0</v>
      </c>
      <c r="N350" s="887">
        <v>0</v>
      </c>
      <c r="O350" s="887">
        <v>0</v>
      </c>
      <c r="P350" s="887">
        <v>0</v>
      </c>
      <c r="Q350" s="887">
        <v>0</v>
      </c>
      <c r="R350" s="887">
        <v>0</v>
      </c>
      <c r="S350" s="887">
        <v>0</v>
      </c>
    </row>
    <row r="351" spans="1:19" s="685" customFormat="1">
      <c r="A351" s="807" t="s">
        <v>196</v>
      </c>
      <c r="B351" s="808"/>
      <c r="C351" s="705">
        <v>0</v>
      </c>
      <c r="D351" s="705">
        <v>0</v>
      </c>
      <c r="E351" s="705">
        <v>0</v>
      </c>
      <c r="F351" s="705">
        <v>0</v>
      </c>
      <c r="G351" s="705">
        <v>0</v>
      </c>
      <c r="H351" s="705">
        <v>0</v>
      </c>
      <c r="I351" s="705">
        <v>0</v>
      </c>
      <c r="J351" s="705">
        <v>0</v>
      </c>
      <c r="K351" s="705">
        <v>0</v>
      </c>
      <c r="L351" s="705">
        <v>0</v>
      </c>
      <c r="M351" s="705">
        <v>0</v>
      </c>
      <c r="N351" s="705">
        <v>0</v>
      </c>
      <c r="O351" s="705">
        <v>0</v>
      </c>
      <c r="P351" s="705">
        <v>0</v>
      </c>
      <c r="Q351" s="705">
        <v>0</v>
      </c>
      <c r="R351" s="705">
        <v>0</v>
      </c>
      <c r="S351" s="705">
        <v>0</v>
      </c>
    </row>
    <row r="352" spans="1:19" s="712" customFormat="1" ht="15" thickBot="1">
      <c r="A352" s="809"/>
      <c r="B352" s="810"/>
      <c r="C352" s="711">
        <v>0</v>
      </c>
      <c r="D352" s="711">
        <v>0</v>
      </c>
      <c r="E352" s="711">
        <v>0</v>
      </c>
      <c r="F352" s="711">
        <v>0</v>
      </c>
      <c r="G352" s="711">
        <v>0</v>
      </c>
      <c r="H352" s="711">
        <v>0</v>
      </c>
      <c r="I352" s="711">
        <v>0</v>
      </c>
      <c r="J352" s="711">
        <v>0</v>
      </c>
      <c r="K352" s="711">
        <v>0</v>
      </c>
      <c r="L352" s="711">
        <v>0</v>
      </c>
      <c r="M352" s="711">
        <v>0</v>
      </c>
      <c r="N352" s="711">
        <v>0</v>
      </c>
      <c r="O352" s="711">
        <v>0</v>
      </c>
      <c r="P352" s="711">
        <v>0</v>
      </c>
      <c r="Q352" s="711">
        <v>0</v>
      </c>
      <c r="R352" s="711">
        <v>0</v>
      </c>
      <c r="S352" s="711">
        <v>0</v>
      </c>
    </row>
    <row r="353" spans="1:19" s="685" customFormat="1">
      <c r="A353" s="811" t="s">
        <v>341</v>
      </c>
      <c r="B353" s="806" t="s">
        <v>342</v>
      </c>
      <c r="C353" s="887">
        <v>0</v>
      </c>
      <c r="D353" s="887">
        <v>0</v>
      </c>
      <c r="E353" s="887">
        <v>0</v>
      </c>
      <c r="F353" s="887">
        <v>0</v>
      </c>
      <c r="G353" s="887">
        <v>0</v>
      </c>
      <c r="H353" s="887">
        <v>0</v>
      </c>
      <c r="I353" s="887">
        <v>0</v>
      </c>
      <c r="J353" s="887">
        <v>0</v>
      </c>
      <c r="K353" s="887">
        <v>0</v>
      </c>
      <c r="L353" s="887">
        <v>0</v>
      </c>
      <c r="M353" s="887">
        <v>0</v>
      </c>
      <c r="N353" s="887">
        <v>0</v>
      </c>
      <c r="O353" s="887">
        <v>0</v>
      </c>
      <c r="P353" s="887">
        <v>0</v>
      </c>
      <c r="Q353" s="887">
        <v>0</v>
      </c>
      <c r="R353" s="887">
        <v>0</v>
      </c>
      <c r="S353" s="887">
        <v>0</v>
      </c>
    </row>
    <row r="354" spans="1:19" s="685" customFormat="1">
      <c r="A354" s="807" t="s">
        <v>196</v>
      </c>
      <c r="B354" s="808"/>
      <c r="C354" s="705">
        <v>0</v>
      </c>
      <c r="D354" s="705">
        <v>0</v>
      </c>
      <c r="E354" s="705">
        <v>0</v>
      </c>
      <c r="F354" s="705">
        <v>0</v>
      </c>
      <c r="G354" s="705">
        <v>0</v>
      </c>
      <c r="H354" s="705">
        <v>0</v>
      </c>
      <c r="I354" s="705">
        <v>0</v>
      </c>
      <c r="J354" s="705">
        <v>0</v>
      </c>
      <c r="K354" s="705">
        <v>0</v>
      </c>
      <c r="L354" s="705">
        <v>0</v>
      </c>
      <c r="M354" s="705">
        <v>0</v>
      </c>
      <c r="N354" s="705">
        <v>0</v>
      </c>
      <c r="O354" s="705">
        <v>0</v>
      </c>
      <c r="P354" s="705">
        <v>0</v>
      </c>
      <c r="Q354" s="705">
        <v>0</v>
      </c>
      <c r="R354" s="705">
        <v>0</v>
      </c>
      <c r="S354" s="705">
        <v>0</v>
      </c>
    </row>
    <row r="355" spans="1:19" s="712" customFormat="1" ht="15" thickBot="1">
      <c r="A355" s="809"/>
      <c r="B355" s="810"/>
      <c r="C355" s="711">
        <v>0</v>
      </c>
      <c r="D355" s="711">
        <v>0</v>
      </c>
      <c r="E355" s="711">
        <v>0</v>
      </c>
      <c r="F355" s="711">
        <v>0</v>
      </c>
      <c r="G355" s="711">
        <v>0</v>
      </c>
      <c r="H355" s="711">
        <v>0</v>
      </c>
      <c r="I355" s="711">
        <v>0</v>
      </c>
      <c r="J355" s="711">
        <v>0</v>
      </c>
      <c r="K355" s="711">
        <v>0</v>
      </c>
      <c r="L355" s="711">
        <v>0</v>
      </c>
      <c r="M355" s="711">
        <v>0</v>
      </c>
      <c r="N355" s="711">
        <v>0</v>
      </c>
      <c r="O355" s="711">
        <v>0</v>
      </c>
      <c r="P355" s="711">
        <v>0</v>
      </c>
      <c r="Q355" s="711">
        <v>0</v>
      </c>
      <c r="R355" s="711">
        <v>0</v>
      </c>
      <c r="S355" s="711">
        <v>0</v>
      </c>
    </row>
    <row r="356" spans="1:19" s="713" customFormat="1" ht="22.2" customHeight="1">
      <c r="A356" s="812" t="s">
        <v>362</v>
      </c>
      <c r="B356" s="813"/>
      <c r="C356" s="958">
        <v>0</v>
      </c>
      <c r="D356" s="958">
        <v>0</v>
      </c>
      <c r="E356" s="958">
        <v>0</v>
      </c>
      <c r="F356" s="958">
        <v>0</v>
      </c>
      <c r="G356" s="958">
        <v>0</v>
      </c>
      <c r="H356" s="958">
        <v>0</v>
      </c>
      <c r="I356" s="958">
        <v>0</v>
      </c>
      <c r="J356" s="958">
        <v>0</v>
      </c>
      <c r="K356" s="958">
        <v>0</v>
      </c>
      <c r="L356" s="958">
        <v>0</v>
      </c>
      <c r="M356" s="958">
        <v>0</v>
      </c>
      <c r="N356" s="958">
        <v>0</v>
      </c>
      <c r="O356" s="958">
        <v>0</v>
      </c>
      <c r="P356" s="958">
        <v>0</v>
      </c>
      <c r="Q356" s="958">
        <v>0</v>
      </c>
      <c r="R356" s="958">
        <v>0</v>
      </c>
      <c r="S356" s="958">
        <v>0</v>
      </c>
    </row>
    <row r="357" spans="1:19" s="715" customFormat="1" ht="24.6" customHeight="1">
      <c r="A357" s="814" t="s">
        <v>85</v>
      </c>
      <c r="B357" s="815"/>
      <c r="C357" s="714">
        <v>0</v>
      </c>
      <c r="D357" s="714">
        <v>0</v>
      </c>
      <c r="E357" s="714">
        <v>0</v>
      </c>
      <c r="F357" s="714">
        <v>0</v>
      </c>
      <c r="G357" s="714">
        <v>0</v>
      </c>
      <c r="H357" s="714">
        <v>0</v>
      </c>
      <c r="I357" s="714">
        <v>0</v>
      </c>
      <c r="J357" s="714">
        <v>0</v>
      </c>
      <c r="K357" s="714">
        <v>0</v>
      </c>
      <c r="L357" s="714">
        <v>0</v>
      </c>
      <c r="M357" s="714">
        <v>0</v>
      </c>
      <c r="N357" s="714">
        <v>0</v>
      </c>
      <c r="O357" s="714">
        <v>0</v>
      </c>
      <c r="P357" s="714">
        <v>0</v>
      </c>
      <c r="Q357" s="714">
        <v>0</v>
      </c>
      <c r="R357" s="714">
        <v>0</v>
      </c>
      <c r="S357" s="714">
        <v>0</v>
      </c>
    </row>
    <row r="358" spans="1:19" s="426" customFormat="1" ht="15" thickBot="1">
      <c r="A358" s="65"/>
      <c r="B358" s="753"/>
      <c r="C358" s="971"/>
      <c r="D358" s="971"/>
      <c r="E358" s="971"/>
      <c r="F358" s="971"/>
      <c r="G358" s="971"/>
      <c r="H358" s="971"/>
      <c r="I358" s="971"/>
      <c r="J358" s="971"/>
      <c r="K358" s="971"/>
      <c r="L358" s="971"/>
      <c r="M358" s="971"/>
      <c r="N358" s="971"/>
      <c r="O358" s="971"/>
      <c r="P358" s="971"/>
      <c r="Q358" s="971"/>
      <c r="R358" s="971"/>
      <c r="S358" s="971"/>
    </row>
    <row r="359" spans="1:19" s="426" customFormat="1">
      <c r="A359" s="3" t="s">
        <v>576</v>
      </c>
      <c r="B359" s="734"/>
      <c r="C359" s="974"/>
      <c r="D359" s="974"/>
      <c r="E359" s="974"/>
      <c r="F359" s="974"/>
      <c r="G359" s="974"/>
      <c r="H359" s="974"/>
      <c r="I359" s="974"/>
      <c r="J359" s="974"/>
      <c r="K359" s="974"/>
      <c r="L359" s="974"/>
      <c r="M359" s="974"/>
      <c r="N359" s="974"/>
      <c r="O359" s="974"/>
      <c r="P359" s="974"/>
      <c r="Q359" s="974"/>
      <c r="R359" s="974"/>
      <c r="S359" s="974"/>
    </row>
    <row r="360" spans="1:19">
      <c r="A360" s="1" t="s">
        <v>573</v>
      </c>
      <c r="B360" s="736"/>
      <c r="C360" s="876">
        <v>0</v>
      </c>
      <c r="D360" s="876">
        <v>0</v>
      </c>
      <c r="E360" s="876">
        <v>0</v>
      </c>
      <c r="F360" s="876">
        <v>0</v>
      </c>
      <c r="G360" s="876">
        <v>285000</v>
      </c>
      <c r="H360" s="876">
        <v>0</v>
      </c>
      <c r="I360" s="876">
        <v>7664000</v>
      </c>
      <c r="J360" s="876">
        <v>0</v>
      </c>
      <c r="K360" s="876">
        <v>2935500</v>
      </c>
      <c r="L360" s="876">
        <v>515000</v>
      </c>
      <c r="M360" s="876">
        <v>0</v>
      </c>
      <c r="N360" s="876">
        <v>569000</v>
      </c>
      <c r="O360" s="876">
        <v>50000</v>
      </c>
      <c r="P360" s="876">
        <v>206000</v>
      </c>
      <c r="Q360" s="876">
        <v>114000</v>
      </c>
      <c r="R360" s="876">
        <v>0</v>
      </c>
      <c r="S360" s="876">
        <v>0</v>
      </c>
    </row>
    <row r="361" spans="1:19" s="426" customFormat="1">
      <c r="A361" s="969" t="s">
        <v>13</v>
      </c>
      <c r="B361" s="748"/>
      <c r="C361" s="970">
        <v>12338500</v>
      </c>
      <c r="D361" s="970">
        <v>12338500</v>
      </c>
      <c r="E361" s="970">
        <v>12338500</v>
      </c>
      <c r="F361" s="970">
        <v>12338500</v>
      </c>
      <c r="G361" s="970">
        <v>12338500</v>
      </c>
      <c r="H361" s="970">
        <v>12053500</v>
      </c>
      <c r="I361" s="970">
        <v>12053500</v>
      </c>
      <c r="J361" s="970">
        <v>4389500</v>
      </c>
      <c r="K361" s="970">
        <v>4389500</v>
      </c>
      <c r="L361" s="970">
        <v>1454000</v>
      </c>
      <c r="M361" s="970">
        <v>939000</v>
      </c>
      <c r="N361" s="970">
        <v>939000</v>
      </c>
      <c r="O361" s="970">
        <v>370000</v>
      </c>
      <c r="P361" s="970">
        <v>320000</v>
      </c>
      <c r="Q361" s="970">
        <v>114000</v>
      </c>
      <c r="R361" s="970">
        <v>0</v>
      </c>
      <c r="S361" s="970">
        <v>0</v>
      </c>
    </row>
    <row r="362" spans="1:19">
      <c r="A362" s="1" t="s">
        <v>574</v>
      </c>
      <c r="B362" s="736"/>
      <c r="C362" s="876">
        <v>100000</v>
      </c>
      <c r="D362" s="876">
        <v>200000</v>
      </c>
      <c r="E362" s="876">
        <v>0</v>
      </c>
      <c r="F362" s="876">
        <v>0</v>
      </c>
      <c r="G362" s="876">
        <v>120000</v>
      </c>
      <c r="H362" s="876">
        <v>0</v>
      </c>
      <c r="I362" s="876">
        <v>0</v>
      </c>
      <c r="J362" s="876">
        <v>0</v>
      </c>
      <c r="K362" s="876">
        <v>80000</v>
      </c>
      <c r="L362" s="876">
        <v>0</v>
      </c>
      <c r="M362" s="876">
        <v>0</v>
      </c>
      <c r="N362" s="876">
        <v>0</v>
      </c>
      <c r="O362" s="876">
        <v>100000</v>
      </c>
      <c r="P362" s="876">
        <v>0</v>
      </c>
      <c r="Q362" s="876">
        <v>100000</v>
      </c>
      <c r="R362" s="876">
        <v>0</v>
      </c>
      <c r="S362" s="876">
        <v>0</v>
      </c>
    </row>
    <row r="363" spans="1:19" s="426" customFormat="1">
      <c r="A363" s="969" t="s">
        <v>13</v>
      </c>
      <c r="B363" s="748"/>
      <c r="C363" s="970">
        <v>700000</v>
      </c>
      <c r="D363" s="970">
        <v>600000</v>
      </c>
      <c r="E363" s="970">
        <v>400000</v>
      </c>
      <c r="F363" s="970">
        <v>400000</v>
      </c>
      <c r="G363" s="970">
        <v>400000</v>
      </c>
      <c r="H363" s="970">
        <v>280000</v>
      </c>
      <c r="I363" s="970">
        <v>280000</v>
      </c>
      <c r="J363" s="970">
        <v>280000</v>
      </c>
      <c r="K363" s="970">
        <v>280000</v>
      </c>
      <c r="L363" s="970">
        <v>200000</v>
      </c>
      <c r="M363" s="970">
        <v>200000</v>
      </c>
      <c r="N363" s="970">
        <v>200000</v>
      </c>
      <c r="O363" s="970">
        <v>200000</v>
      </c>
      <c r="P363" s="970">
        <v>100000</v>
      </c>
      <c r="Q363" s="970">
        <v>100000</v>
      </c>
      <c r="R363" s="970">
        <v>0</v>
      </c>
      <c r="S363" s="970">
        <v>0</v>
      </c>
    </row>
    <row r="364" spans="1:19">
      <c r="A364" s="1" t="s">
        <v>575</v>
      </c>
      <c r="B364" s="736"/>
      <c r="C364" s="876">
        <v>0</v>
      </c>
      <c r="D364" s="876">
        <v>100000</v>
      </c>
      <c r="E364" s="876">
        <v>0</v>
      </c>
      <c r="F364" s="876">
        <v>0</v>
      </c>
      <c r="G364" s="876">
        <v>0</v>
      </c>
      <c r="H364" s="876">
        <v>0</v>
      </c>
      <c r="I364" s="876">
        <v>0</v>
      </c>
      <c r="J364" s="876">
        <v>0</v>
      </c>
      <c r="K364" s="876">
        <v>0</v>
      </c>
      <c r="L364" s="876">
        <v>0</v>
      </c>
      <c r="M364" s="876">
        <v>0</v>
      </c>
      <c r="N364" s="876">
        <v>0</v>
      </c>
      <c r="O364" s="876">
        <v>0</v>
      </c>
      <c r="P364" s="876">
        <v>0</v>
      </c>
      <c r="Q364" s="876">
        <v>0</v>
      </c>
      <c r="R364" s="876">
        <v>0</v>
      </c>
      <c r="S364" s="876">
        <v>0</v>
      </c>
    </row>
    <row r="365" spans="1:19" s="426" customFormat="1">
      <c r="A365" s="969" t="s">
        <v>13</v>
      </c>
      <c r="B365" s="748"/>
      <c r="C365" s="970">
        <v>100000</v>
      </c>
      <c r="D365" s="970">
        <v>100000</v>
      </c>
      <c r="E365" s="970">
        <v>0</v>
      </c>
      <c r="F365" s="970">
        <v>0</v>
      </c>
      <c r="G365" s="970">
        <v>0</v>
      </c>
      <c r="H365" s="970">
        <v>0</v>
      </c>
      <c r="I365" s="970">
        <v>0</v>
      </c>
      <c r="J365" s="970">
        <v>0</v>
      </c>
      <c r="K365" s="970">
        <v>0</v>
      </c>
      <c r="L365" s="970">
        <v>0</v>
      </c>
      <c r="M365" s="970">
        <v>0</v>
      </c>
      <c r="N365" s="970">
        <v>0</v>
      </c>
      <c r="O365" s="970">
        <v>0</v>
      </c>
      <c r="P365" s="970">
        <v>0</v>
      </c>
      <c r="Q365" s="970">
        <v>0</v>
      </c>
      <c r="R365" s="970">
        <v>0</v>
      </c>
      <c r="S365" s="970">
        <v>0</v>
      </c>
    </row>
    <row r="366" spans="1:19">
      <c r="A366" s="965" t="s">
        <v>27</v>
      </c>
      <c r="B366" s="736"/>
      <c r="C366" s="876">
        <v>849846</v>
      </c>
      <c r="D366" s="876">
        <v>3958500</v>
      </c>
      <c r="E366" s="876">
        <v>6991500</v>
      </c>
      <c r="F366" s="876">
        <v>529000</v>
      </c>
      <c r="G366" s="876">
        <v>5015000</v>
      </c>
      <c r="H366" s="876">
        <v>16000</v>
      </c>
      <c r="I366" s="876">
        <v>80000</v>
      </c>
      <c r="J366" s="876">
        <v>2045151</v>
      </c>
      <c r="K366" s="876">
        <v>300000</v>
      </c>
      <c r="L366" s="876">
        <v>22000</v>
      </c>
      <c r="M366" s="876">
        <v>150000</v>
      </c>
      <c r="N366" s="876">
        <v>30000</v>
      </c>
      <c r="O366" s="876">
        <v>25000</v>
      </c>
      <c r="P366" s="876">
        <v>0</v>
      </c>
      <c r="Q366" s="876">
        <v>0</v>
      </c>
      <c r="R366" s="876">
        <v>0</v>
      </c>
      <c r="S366" s="876">
        <v>0</v>
      </c>
    </row>
    <row r="367" spans="1:19" s="426" customFormat="1">
      <c r="A367" s="969" t="s">
        <v>13</v>
      </c>
      <c r="B367" s="748"/>
      <c r="C367" s="970">
        <v>20011997</v>
      </c>
      <c r="D367" s="970">
        <v>19162151</v>
      </c>
      <c r="E367" s="970">
        <v>15203651</v>
      </c>
      <c r="F367" s="970">
        <v>8212151</v>
      </c>
      <c r="G367" s="970">
        <v>7683151</v>
      </c>
      <c r="H367" s="970">
        <v>2668151</v>
      </c>
      <c r="I367" s="970">
        <v>2652151</v>
      </c>
      <c r="J367" s="970">
        <v>2572151</v>
      </c>
      <c r="K367" s="970">
        <v>527000</v>
      </c>
      <c r="L367" s="970">
        <v>227000</v>
      </c>
      <c r="M367" s="970">
        <v>205000</v>
      </c>
      <c r="N367" s="970">
        <v>55000</v>
      </c>
      <c r="O367" s="970">
        <v>25000</v>
      </c>
      <c r="P367" s="970">
        <v>0</v>
      </c>
      <c r="Q367" s="970">
        <v>0</v>
      </c>
      <c r="R367" s="970">
        <v>0</v>
      </c>
      <c r="S367" s="970">
        <v>0</v>
      </c>
    </row>
    <row r="368" spans="1:19" s="426" customFormat="1">
      <c r="A368" s="965" t="s">
        <v>180</v>
      </c>
      <c r="B368" s="748"/>
      <c r="C368" s="892">
        <v>0</v>
      </c>
      <c r="D368" s="892">
        <v>0</v>
      </c>
      <c r="E368" s="892">
        <v>300000</v>
      </c>
      <c r="F368" s="892">
        <v>0</v>
      </c>
      <c r="G368" s="892">
        <v>0</v>
      </c>
      <c r="H368" s="892">
        <v>98500</v>
      </c>
      <c r="I368" s="892">
        <v>100000</v>
      </c>
      <c r="J368" s="892">
        <v>80000</v>
      </c>
      <c r="K368" s="892">
        <v>0</v>
      </c>
      <c r="L368" s="892">
        <v>60000</v>
      </c>
      <c r="M368" s="892">
        <v>105000</v>
      </c>
      <c r="N368" s="892"/>
      <c r="O368" s="892"/>
      <c r="P368" s="892"/>
      <c r="Q368" s="892"/>
      <c r="R368" s="892"/>
      <c r="S368" s="892"/>
    </row>
    <row r="369" spans="1:19" s="426" customFormat="1">
      <c r="A369" s="969" t="s">
        <v>13</v>
      </c>
      <c r="B369" s="748"/>
      <c r="C369" s="970">
        <v>743500</v>
      </c>
      <c r="D369" s="970">
        <v>743500</v>
      </c>
      <c r="E369" s="970">
        <v>743500</v>
      </c>
      <c r="F369" s="970">
        <v>443500</v>
      </c>
      <c r="G369" s="970">
        <v>443500</v>
      </c>
      <c r="H369" s="970">
        <v>443500</v>
      </c>
      <c r="I369" s="970">
        <v>345000</v>
      </c>
      <c r="J369" s="970">
        <v>245000</v>
      </c>
      <c r="K369" s="970">
        <v>165000</v>
      </c>
      <c r="L369" s="970">
        <v>165000</v>
      </c>
      <c r="M369" s="970">
        <v>105000</v>
      </c>
      <c r="N369" s="970"/>
      <c r="O369" s="970"/>
      <c r="P369" s="970"/>
      <c r="Q369" s="970"/>
      <c r="R369" s="970"/>
      <c r="S369" s="970"/>
    </row>
    <row r="370" spans="1:19" s="426" customFormat="1">
      <c r="A370" s="29" t="s">
        <v>151</v>
      </c>
      <c r="B370" s="748"/>
      <c r="C370" s="892">
        <v>949846</v>
      </c>
      <c r="D370" s="892">
        <v>4258500</v>
      </c>
      <c r="E370" s="892">
        <v>7291500</v>
      </c>
      <c r="F370" s="892">
        <v>529000</v>
      </c>
      <c r="G370" s="892">
        <v>5420000</v>
      </c>
      <c r="H370" s="892">
        <v>114500</v>
      </c>
      <c r="I370" s="892">
        <v>7844000</v>
      </c>
      <c r="J370" s="892">
        <v>2125151</v>
      </c>
      <c r="K370" s="892">
        <v>3315500</v>
      </c>
      <c r="L370" s="892">
        <v>597000</v>
      </c>
      <c r="M370" s="892">
        <v>255000</v>
      </c>
      <c r="N370" s="892">
        <v>599000</v>
      </c>
      <c r="O370" s="892">
        <v>175000</v>
      </c>
      <c r="P370" s="892">
        <v>206000</v>
      </c>
      <c r="Q370" s="892">
        <v>214000</v>
      </c>
      <c r="R370" s="892">
        <v>0</v>
      </c>
      <c r="S370" s="892">
        <v>0</v>
      </c>
    </row>
    <row r="371" spans="1:19" s="426" customFormat="1" ht="15" thickBot="1">
      <c r="A371" s="975" t="s">
        <v>13</v>
      </c>
      <c r="B371" s="976"/>
      <c r="C371" s="977">
        <v>33893997</v>
      </c>
      <c r="D371" s="977">
        <v>32944151</v>
      </c>
      <c r="E371" s="977">
        <v>28685651</v>
      </c>
      <c r="F371" s="977">
        <v>21394151</v>
      </c>
      <c r="G371" s="977">
        <v>20865151</v>
      </c>
      <c r="H371" s="977">
        <v>15445151</v>
      </c>
      <c r="I371" s="977">
        <v>15330651</v>
      </c>
      <c r="J371" s="977">
        <v>7486651</v>
      </c>
      <c r="K371" s="977">
        <v>5361500</v>
      </c>
      <c r="L371" s="977">
        <v>2046000</v>
      </c>
      <c r="M371" s="977">
        <v>1449000</v>
      </c>
      <c r="N371" s="977">
        <v>1194000</v>
      </c>
      <c r="O371" s="977">
        <v>595000</v>
      </c>
      <c r="P371" s="977">
        <v>420000</v>
      </c>
      <c r="Q371" s="977">
        <v>214000</v>
      </c>
      <c r="R371" s="977">
        <v>0</v>
      </c>
      <c r="S371" s="977">
        <v>0</v>
      </c>
    </row>
    <row r="372" spans="1:19" s="426" customFormat="1">
      <c r="A372" s="972"/>
      <c r="B372" s="735"/>
      <c r="C372" s="973"/>
      <c r="D372" s="973"/>
      <c r="E372" s="973"/>
      <c r="F372" s="973"/>
      <c r="G372" s="973"/>
      <c r="H372" s="973"/>
      <c r="I372" s="973"/>
      <c r="J372" s="973"/>
      <c r="K372" s="973"/>
      <c r="L372" s="973"/>
      <c r="M372" s="973"/>
      <c r="N372" s="973"/>
      <c r="O372" s="973"/>
      <c r="P372" s="973"/>
      <c r="Q372" s="973"/>
      <c r="R372" s="973"/>
      <c r="S372" s="973"/>
    </row>
    <row r="373" spans="1:19" s="685" customFormat="1">
      <c r="A373" s="73" t="s">
        <v>49</v>
      </c>
      <c r="B373" s="808" t="s">
        <v>291</v>
      </c>
      <c r="C373" s="875">
        <v>259000</v>
      </c>
      <c r="D373" s="875">
        <v>1408000</v>
      </c>
      <c r="E373" s="875">
        <v>824000</v>
      </c>
      <c r="F373" s="875">
        <v>39000</v>
      </c>
      <c r="G373" s="875">
        <v>720000</v>
      </c>
      <c r="H373" s="875">
        <v>45000</v>
      </c>
      <c r="I373" s="875">
        <v>253000</v>
      </c>
      <c r="J373" s="875">
        <v>54000</v>
      </c>
      <c r="K373" s="875">
        <v>308373</v>
      </c>
      <c r="L373" s="875">
        <v>2336000</v>
      </c>
      <c r="M373" s="875">
        <v>800000</v>
      </c>
      <c r="N373" s="875">
        <v>150000</v>
      </c>
      <c r="O373" s="875">
        <v>204000</v>
      </c>
      <c r="P373" s="875">
        <v>1562549</v>
      </c>
      <c r="Q373" s="875">
        <v>125000</v>
      </c>
      <c r="R373" s="875">
        <v>10000</v>
      </c>
      <c r="S373" s="875">
        <v>0</v>
      </c>
    </row>
    <row r="374" spans="1:19" s="426" customFormat="1">
      <c r="A374" s="816" t="s">
        <v>109</v>
      </c>
      <c r="B374" s="746"/>
      <c r="C374" s="702">
        <v>9097922</v>
      </c>
      <c r="D374" s="702">
        <v>8838922</v>
      </c>
      <c r="E374" s="702">
        <v>7430922</v>
      </c>
      <c r="F374" s="702">
        <v>6606922</v>
      </c>
      <c r="G374" s="702">
        <v>6567922</v>
      </c>
      <c r="H374" s="702">
        <v>5847922</v>
      </c>
      <c r="I374" s="702">
        <v>5802922</v>
      </c>
      <c r="J374" s="702">
        <v>5549922</v>
      </c>
      <c r="K374" s="702">
        <v>5495922</v>
      </c>
      <c r="L374" s="702">
        <v>5187549</v>
      </c>
      <c r="M374" s="702">
        <v>2851549</v>
      </c>
      <c r="N374" s="702">
        <v>2051549</v>
      </c>
      <c r="O374" s="702">
        <v>1901549</v>
      </c>
      <c r="P374" s="702">
        <v>1697549</v>
      </c>
      <c r="Q374" s="702">
        <v>135000</v>
      </c>
      <c r="R374" s="702">
        <v>10000</v>
      </c>
      <c r="S374" s="702">
        <v>0</v>
      </c>
    </row>
    <row r="375" spans="1:19" s="426" customFormat="1">
      <c r="A375" s="817"/>
      <c r="B375" s="748"/>
      <c r="C375" s="879"/>
      <c r="D375" s="879"/>
      <c r="E375" s="879"/>
      <c r="F375" s="879"/>
      <c r="G375" s="879"/>
      <c r="H375" s="879"/>
      <c r="I375" s="879"/>
      <c r="J375" s="879"/>
      <c r="K375" s="879"/>
      <c r="L375" s="879"/>
      <c r="M375" s="879"/>
      <c r="N375" s="879"/>
      <c r="O375" s="879"/>
      <c r="P375" s="879"/>
      <c r="Q375" s="879"/>
      <c r="R375" s="879"/>
      <c r="S375" s="879"/>
    </row>
    <row r="376" spans="1:19" s="426" customFormat="1">
      <c r="A376" s="817" t="s">
        <v>154</v>
      </c>
      <c r="B376" s="748"/>
      <c r="C376" s="879"/>
      <c r="D376" s="879"/>
      <c r="E376" s="879"/>
      <c r="F376" s="879"/>
      <c r="G376" s="879"/>
      <c r="H376" s="879"/>
      <c r="I376" s="879"/>
      <c r="J376" s="879"/>
      <c r="K376" s="879"/>
      <c r="L376" s="879"/>
      <c r="M376" s="879"/>
      <c r="N376" s="879"/>
      <c r="O376" s="879"/>
      <c r="P376" s="879"/>
      <c r="Q376" s="879"/>
      <c r="R376" s="879"/>
      <c r="S376" s="879"/>
    </row>
    <row r="377" spans="1:19" s="426" customFormat="1">
      <c r="A377" s="818" t="s">
        <v>138</v>
      </c>
      <c r="B377" s="746" t="s">
        <v>292</v>
      </c>
      <c r="C377" s="888">
        <v>0</v>
      </c>
      <c r="D377" s="888">
        <v>0</v>
      </c>
      <c r="E377" s="888">
        <v>0</v>
      </c>
      <c r="F377" s="888">
        <v>0</v>
      </c>
      <c r="G377" s="888">
        <v>0</v>
      </c>
      <c r="H377" s="888">
        <v>0</v>
      </c>
      <c r="I377" s="888">
        <v>0</v>
      </c>
      <c r="J377" s="888">
        <v>0</v>
      </c>
      <c r="K377" s="888">
        <v>0</v>
      </c>
      <c r="L377" s="888">
        <v>0</v>
      </c>
      <c r="M377" s="888">
        <v>0</v>
      </c>
      <c r="N377" s="888">
        <v>0</v>
      </c>
      <c r="O377" s="888">
        <v>0</v>
      </c>
      <c r="P377" s="888">
        <v>0</v>
      </c>
      <c r="Q377" s="888">
        <v>0</v>
      </c>
      <c r="R377" s="888">
        <v>0</v>
      </c>
      <c r="S377" s="888">
        <v>0</v>
      </c>
    </row>
    <row r="378" spans="1:19" s="426" customFormat="1">
      <c r="A378" s="819" t="s">
        <v>13</v>
      </c>
      <c r="B378" s="746"/>
      <c r="C378" s="702">
        <v>0</v>
      </c>
      <c r="D378" s="702">
        <v>0</v>
      </c>
      <c r="E378" s="702">
        <v>0</v>
      </c>
      <c r="F378" s="702">
        <v>0</v>
      </c>
      <c r="G378" s="702">
        <v>0</v>
      </c>
      <c r="H378" s="702">
        <v>0</v>
      </c>
      <c r="I378" s="702">
        <v>0</v>
      </c>
      <c r="J378" s="702">
        <v>0</v>
      </c>
      <c r="K378" s="702">
        <v>0</v>
      </c>
      <c r="L378" s="702">
        <v>0</v>
      </c>
      <c r="M378" s="702">
        <v>0</v>
      </c>
      <c r="N378" s="702">
        <v>0</v>
      </c>
      <c r="O378" s="702">
        <v>0</v>
      </c>
      <c r="P378" s="702">
        <v>0</v>
      </c>
      <c r="Q378" s="702">
        <v>0</v>
      </c>
      <c r="R378" s="702">
        <v>0</v>
      </c>
      <c r="S378" s="702">
        <v>0</v>
      </c>
    </row>
    <row r="379" spans="1:19" s="426" customFormat="1">
      <c r="A379" s="818" t="s">
        <v>139</v>
      </c>
      <c r="B379" s="746" t="s">
        <v>293</v>
      </c>
      <c r="C379" s="889">
        <v>0</v>
      </c>
      <c r="D379" s="889">
        <v>1500000</v>
      </c>
      <c r="E379" s="889">
        <v>0</v>
      </c>
      <c r="F379" s="889">
        <v>0</v>
      </c>
      <c r="G379" s="889">
        <v>0</v>
      </c>
      <c r="H379" s="889">
        <v>0</v>
      </c>
      <c r="I379" s="889">
        <v>0</v>
      </c>
      <c r="J379" s="889">
        <v>0</v>
      </c>
      <c r="K379" s="889">
        <v>0</v>
      </c>
      <c r="L379" s="889">
        <v>0</v>
      </c>
      <c r="M379" s="889">
        <v>0</v>
      </c>
      <c r="N379" s="889">
        <v>0</v>
      </c>
      <c r="O379" s="889">
        <v>0</v>
      </c>
      <c r="P379" s="889">
        <v>0</v>
      </c>
      <c r="Q379" s="889">
        <v>0</v>
      </c>
      <c r="R379" s="889">
        <v>0</v>
      </c>
      <c r="S379" s="889">
        <v>0</v>
      </c>
    </row>
    <row r="380" spans="1:19" s="426" customFormat="1">
      <c r="A380" s="819" t="s">
        <v>13</v>
      </c>
      <c r="B380" s="746"/>
      <c r="C380" s="702">
        <v>1500000</v>
      </c>
      <c r="D380" s="702">
        <v>1500000</v>
      </c>
      <c r="E380" s="702">
        <v>0</v>
      </c>
      <c r="F380" s="702">
        <v>0</v>
      </c>
      <c r="G380" s="702">
        <v>0</v>
      </c>
      <c r="H380" s="702">
        <v>0</v>
      </c>
      <c r="I380" s="702">
        <v>0</v>
      </c>
      <c r="J380" s="702">
        <v>0</v>
      </c>
      <c r="K380" s="702">
        <v>0</v>
      </c>
      <c r="L380" s="702">
        <v>0</v>
      </c>
      <c r="M380" s="702">
        <v>0</v>
      </c>
      <c r="N380" s="702">
        <v>0</v>
      </c>
      <c r="O380" s="702">
        <v>0</v>
      </c>
      <c r="P380" s="702">
        <v>0</v>
      </c>
      <c r="Q380" s="702">
        <v>0</v>
      </c>
      <c r="R380" s="702">
        <v>0</v>
      </c>
      <c r="S380" s="702">
        <v>0</v>
      </c>
    </row>
    <row r="381" spans="1:19" s="426" customFormat="1">
      <c r="A381" s="818" t="s">
        <v>27</v>
      </c>
      <c r="B381" s="746" t="s">
        <v>294</v>
      </c>
      <c r="C381" s="889">
        <v>0</v>
      </c>
      <c r="D381" s="889">
        <v>0</v>
      </c>
      <c r="E381" s="889">
        <v>0</v>
      </c>
      <c r="F381" s="889">
        <v>0</v>
      </c>
      <c r="G381" s="889">
        <v>0</v>
      </c>
      <c r="H381" s="889">
        <v>0</v>
      </c>
      <c r="I381" s="889">
        <v>0</v>
      </c>
      <c r="J381" s="889">
        <v>0</v>
      </c>
      <c r="K381" s="889">
        <v>0</v>
      </c>
      <c r="L381" s="889">
        <v>0</v>
      </c>
      <c r="M381" s="889">
        <v>0</v>
      </c>
      <c r="N381" s="889">
        <v>0</v>
      </c>
      <c r="O381" s="889">
        <v>0</v>
      </c>
      <c r="P381" s="889">
        <v>0</v>
      </c>
      <c r="Q381" s="889">
        <v>0</v>
      </c>
      <c r="R381" s="889">
        <v>0</v>
      </c>
      <c r="S381" s="889">
        <v>0</v>
      </c>
    </row>
    <row r="382" spans="1:19" s="426" customFormat="1">
      <c r="A382" s="819" t="s">
        <v>13</v>
      </c>
      <c r="B382" s="746"/>
      <c r="C382" s="702">
        <v>0</v>
      </c>
      <c r="D382" s="702">
        <v>0</v>
      </c>
      <c r="E382" s="702">
        <v>0</v>
      </c>
      <c r="F382" s="702">
        <v>0</v>
      </c>
      <c r="G382" s="702">
        <v>0</v>
      </c>
      <c r="H382" s="702">
        <v>0</v>
      </c>
      <c r="I382" s="702">
        <v>0</v>
      </c>
      <c r="J382" s="702">
        <v>0</v>
      </c>
      <c r="K382" s="702">
        <v>0</v>
      </c>
      <c r="L382" s="702">
        <v>0</v>
      </c>
      <c r="M382" s="702">
        <v>0</v>
      </c>
      <c r="N382" s="702">
        <v>0</v>
      </c>
      <c r="O382" s="702">
        <v>0</v>
      </c>
      <c r="P382" s="702">
        <v>0</v>
      </c>
      <c r="Q382" s="702">
        <v>0</v>
      </c>
      <c r="R382" s="702">
        <v>0</v>
      </c>
      <c r="S382" s="702">
        <v>0</v>
      </c>
    </row>
    <row r="383" spans="1:19" s="426" customFormat="1">
      <c r="A383" s="820" t="s">
        <v>151</v>
      </c>
      <c r="B383" s="746"/>
      <c r="C383" s="889">
        <v>0</v>
      </c>
      <c r="D383" s="889">
        <v>1500000</v>
      </c>
      <c r="E383" s="889">
        <v>0</v>
      </c>
      <c r="F383" s="889">
        <v>0</v>
      </c>
      <c r="G383" s="889">
        <v>0</v>
      </c>
      <c r="H383" s="889">
        <v>0</v>
      </c>
      <c r="I383" s="889">
        <v>0</v>
      </c>
      <c r="J383" s="889">
        <v>0</v>
      </c>
      <c r="K383" s="889">
        <v>0</v>
      </c>
      <c r="L383" s="889">
        <v>0</v>
      </c>
      <c r="M383" s="889">
        <v>0</v>
      </c>
      <c r="N383" s="889">
        <v>0</v>
      </c>
      <c r="O383" s="889">
        <v>0</v>
      </c>
      <c r="P383" s="889">
        <v>0</v>
      </c>
      <c r="Q383" s="889">
        <v>0</v>
      </c>
      <c r="R383" s="889">
        <v>0</v>
      </c>
      <c r="S383" s="889">
        <v>0</v>
      </c>
    </row>
    <row r="384" spans="1:19" s="426" customFormat="1">
      <c r="A384" s="821" t="s">
        <v>13</v>
      </c>
      <c r="B384" s="792"/>
      <c r="C384" s="702">
        <v>1500000</v>
      </c>
      <c r="D384" s="702">
        <v>1500000</v>
      </c>
      <c r="E384" s="702">
        <v>0</v>
      </c>
      <c r="F384" s="702">
        <v>0</v>
      </c>
      <c r="G384" s="702">
        <v>0</v>
      </c>
      <c r="H384" s="702">
        <v>0</v>
      </c>
      <c r="I384" s="702">
        <v>0</v>
      </c>
      <c r="J384" s="702">
        <v>0</v>
      </c>
      <c r="K384" s="702">
        <v>0</v>
      </c>
      <c r="L384" s="702">
        <v>0</v>
      </c>
      <c r="M384" s="702">
        <v>0</v>
      </c>
      <c r="N384" s="702">
        <v>0</v>
      </c>
      <c r="O384" s="702">
        <v>0</v>
      </c>
      <c r="P384" s="702">
        <v>0</v>
      </c>
      <c r="Q384" s="702">
        <v>0</v>
      </c>
      <c r="R384" s="702">
        <v>0</v>
      </c>
      <c r="S384" s="702">
        <v>0</v>
      </c>
    </row>
    <row r="385" spans="1:19">
      <c r="A385" s="1"/>
      <c r="B385" s="748"/>
      <c r="C385" s="890"/>
      <c r="D385" s="890"/>
      <c r="E385" s="890"/>
      <c r="F385" s="890"/>
      <c r="G385" s="890"/>
      <c r="H385" s="890"/>
      <c r="I385" s="890"/>
      <c r="J385" s="890"/>
      <c r="K385" s="890"/>
      <c r="L385" s="890"/>
      <c r="M385" s="890"/>
      <c r="N385" s="890"/>
      <c r="O385" s="890"/>
      <c r="P385" s="890"/>
      <c r="Q385" s="890"/>
      <c r="R385" s="890"/>
      <c r="S385" s="890"/>
    </row>
    <row r="386" spans="1:19">
      <c r="A386" s="822" t="s">
        <v>61</v>
      </c>
      <c r="B386" s="748"/>
      <c r="C386" s="890"/>
      <c r="D386" s="890"/>
      <c r="E386" s="890"/>
      <c r="F386" s="890"/>
      <c r="G386" s="890"/>
      <c r="H386" s="890"/>
      <c r="I386" s="890"/>
      <c r="J386" s="890"/>
      <c r="K386" s="890"/>
      <c r="L386" s="890"/>
      <c r="M386" s="890"/>
      <c r="N386" s="890"/>
      <c r="O386" s="890"/>
      <c r="P386" s="890"/>
      <c r="Q386" s="890"/>
      <c r="R386" s="890"/>
      <c r="S386" s="890"/>
    </row>
    <row r="387" spans="1:19">
      <c r="A387" s="28" t="s">
        <v>135</v>
      </c>
      <c r="B387" s="746" t="s">
        <v>295</v>
      </c>
      <c r="C387" s="875">
        <v>0</v>
      </c>
      <c r="D387" s="875">
        <v>0</v>
      </c>
      <c r="E387" s="875">
        <v>0</v>
      </c>
      <c r="F387" s="875">
        <v>0</v>
      </c>
      <c r="G387" s="875">
        <v>0</v>
      </c>
      <c r="H387" s="875">
        <v>0</v>
      </c>
      <c r="I387" s="875">
        <v>0</v>
      </c>
      <c r="J387" s="875">
        <v>0</v>
      </c>
      <c r="K387" s="875">
        <v>0</v>
      </c>
      <c r="L387" s="875">
        <v>34300</v>
      </c>
      <c r="M387" s="875">
        <v>0</v>
      </c>
      <c r="N387" s="875">
        <v>0</v>
      </c>
      <c r="O387" s="875">
        <v>0</v>
      </c>
      <c r="P387" s="875">
        <v>5999</v>
      </c>
      <c r="Q387" s="875">
        <v>0</v>
      </c>
      <c r="R387" s="875">
        <v>0</v>
      </c>
      <c r="S387" s="875">
        <v>0</v>
      </c>
    </row>
    <row r="388" spans="1:19" s="717" customFormat="1" ht="15.6">
      <c r="A388" s="823" t="s">
        <v>13</v>
      </c>
      <c r="B388" s="824"/>
      <c r="C388" s="716">
        <v>40299</v>
      </c>
      <c r="D388" s="716">
        <v>40299</v>
      </c>
      <c r="E388" s="716">
        <v>40299</v>
      </c>
      <c r="F388" s="716">
        <v>40299</v>
      </c>
      <c r="G388" s="716">
        <v>40299</v>
      </c>
      <c r="H388" s="716">
        <v>40299</v>
      </c>
      <c r="I388" s="716">
        <v>40299</v>
      </c>
      <c r="J388" s="716">
        <v>40299</v>
      </c>
      <c r="K388" s="716">
        <v>40299</v>
      </c>
      <c r="L388" s="716">
        <v>40299</v>
      </c>
      <c r="M388" s="716">
        <v>5999</v>
      </c>
      <c r="N388" s="716">
        <v>5999</v>
      </c>
      <c r="O388" s="716">
        <v>5999</v>
      </c>
      <c r="P388" s="716">
        <v>5999</v>
      </c>
      <c r="Q388" s="716">
        <v>0</v>
      </c>
      <c r="R388" s="716">
        <v>0</v>
      </c>
      <c r="S388" s="716">
        <v>0</v>
      </c>
    </row>
    <row r="389" spans="1:19">
      <c r="A389" s="28" t="s">
        <v>4</v>
      </c>
      <c r="B389" s="746" t="s">
        <v>296</v>
      </c>
      <c r="C389" s="875">
        <v>0</v>
      </c>
      <c r="D389" s="875">
        <v>46500</v>
      </c>
      <c r="E389" s="875">
        <v>0</v>
      </c>
      <c r="F389" s="875">
        <v>0</v>
      </c>
      <c r="G389" s="875">
        <v>0</v>
      </c>
      <c r="H389" s="875">
        <v>0</v>
      </c>
      <c r="I389" s="875">
        <v>136999</v>
      </c>
      <c r="J389" s="875">
        <v>0</v>
      </c>
      <c r="K389" s="875">
        <v>0</v>
      </c>
      <c r="L389" s="875">
        <v>0</v>
      </c>
      <c r="M389" s="875">
        <v>0</v>
      </c>
      <c r="N389" s="875">
        <v>0</v>
      </c>
      <c r="O389" s="875">
        <v>0</v>
      </c>
      <c r="P389" s="875">
        <v>0</v>
      </c>
      <c r="Q389" s="875">
        <v>0</v>
      </c>
      <c r="R389" s="875">
        <v>0</v>
      </c>
      <c r="S389" s="875">
        <v>0</v>
      </c>
    </row>
    <row r="390" spans="1:19" s="717" customFormat="1" ht="15.6">
      <c r="A390" s="823" t="s">
        <v>13</v>
      </c>
      <c r="B390" s="824"/>
      <c r="C390" s="716">
        <v>183499</v>
      </c>
      <c r="D390" s="716">
        <v>183499</v>
      </c>
      <c r="E390" s="716">
        <v>136999</v>
      </c>
      <c r="F390" s="716">
        <v>136999</v>
      </c>
      <c r="G390" s="716">
        <v>136999</v>
      </c>
      <c r="H390" s="716">
        <v>136999</v>
      </c>
      <c r="I390" s="716">
        <v>136999</v>
      </c>
      <c r="J390" s="716">
        <v>0</v>
      </c>
      <c r="K390" s="716">
        <v>0</v>
      </c>
      <c r="L390" s="716">
        <v>0</v>
      </c>
      <c r="M390" s="716">
        <v>0</v>
      </c>
      <c r="N390" s="716">
        <v>0</v>
      </c>
      <c r="O390" s="716">
        <v>0</v>
      </c>
      <c r="P390" s="716">
        <v>0</v>
      </c>
      <c r="Q390" s="716">
        <v>0</v>
      </c>
      <c r="R390" s="716">
        <v>0</v>
      </c>
      <c r="S390" s="716">
        <v>0</v>
      </c>
    </row>
    <row r="391" spans="1:19">
      <c r="A391" s="28" t="s">
        <v>136</v>
      </c>
      <c r="B391" s="746" t="s">
        <v>297</v>
      </c>
      <c r="C391" s="875">
        <v>0</v>
      </c>
      <c r="D391" s="875">
        <v>0</v>
      </c>
      <c r="E391" s="875">
        <v>0</v>
      </c>
      <c r="F391" s="875">
        <v>0</v>
      </c>
      <c r="G391" s="875">
        <v>0</v>
      </c>
      <c r="H391" s="875">
        <v>0</v>
      </c>
      <c r="I391" s="875">
        <v>0</v>
      </c>
      <c r="J391" s="875">
        <v>0</v>
      </c>
      <c r="K391" s="875">
        <v>0</v>
      </c>
      <c r="L391" s="875">
        <v>0</v>
      </c>
      <c r="M391" s="875">
        <v>0</v>
      </c>
      <c r="N391" s="875">
        <v>0</v>
      </c>
      <c r="O391" s="875">
        <v>0</v>
      </c>
      <c r="P391" s="875">
        <v>0</v>
      </c>
      <c r="Q391" s="875">
        <v>0</v>
      </c>
      <c r="R391" s="875">
        <v>0</v>
      </c>
      <c r="S391" s="875">
        <v>0</v>
      </c>
    </row>
    <row r="392" spans="1:19" s="717" customFormat="1" ht="15.6">
      <c r="A392" s="823" t="s">
        <v>13</v>
      </c>
      <c r="B392" s="824"/>
      <c r="C392" s="716">
        <v>0</v>
      </c>
      <c r="D392" s="716">
        <v>0</v>
      </c>
      <c r="E392" s="716">
        <v>0</v>
      </c>
      <c r="F392" s="716">
        <v>0</v>
      </c>
      <c r="G392" s="716">
        <v>0</v>
      </c>
      <c r="H392" s="716">
        <v>0</v>
      </c>
      <c r="I392" s="716">
        <v>0</v>
      </c>
      <c r="J392" s="716">
        <v>0</v>
      </c>
      <c r="K392" s="716">
        <v>0</v>
      </c>
      <c r="L392" s="716">
        <v>0</v>
      </c>
      <c r="M392" s="716">
        <v>0</v>
      </c>
      <c r="N392" s="716">
        <v>0</v>
      </c>
      <c r="O392" s="716">
        <v>0</v>
      </c>
      <c r="P392" s="716">
        <v>0</v>
      </c>
      <c r="Q392" s="716">
        <v>0</v>
      </c>
      <c r="R392" s="716">
        <v>0</v>
      </c>
      <c r="S392" s="716">
        <v>0</v>
      </c>
    </row>
    <row r="393" spans="1:19">
      <c r="A393" s="28" t="s">
        <v>137</v>
      </c>
      <c r="B393" s="746" t="s">
        <v>298</v>
      </c>
      <c r="C393" s="875">
        <v>0</v>
      </c>
      <c r="D393" s="875">
        <v>0</v>
      </c>
      <c r="E393" s="875">
        <v>0</v>
      </c>
      <c r="F393" s="875">
        <v>0</v>
      </c>
      <c r="G393" s="875">
        <v>0</v>
      </c>
      <c r="H393" s="875">
        <v>0</v>
      </c>
      <c r="I393" s="875">
        <v>0</v>
      </c>
      <c r="J393" s="875">
        <v>0</v>
      </c>
      <c r="K393" s="875">
        <v>0</v>
      </c>
      <c r="L393" s="875">
        <v>0</v>
      </c>
      <c r="M393" s="875">
        <v>0</v>
      </c>
      <c r="N393" s="875">
        <v>0</v>
      </c>
      <c r="O393" s="875">
        <v>0</v>
      </c>
      <c r="P393" s="875">
        <v>0</v>
      </c>
      <c r="Q393" s="875">
        <v>0</v>
      </c>
      <c r="R393" s="875">
        <v>0</v>
      </c>
      <c r="S393" s="875">
        <v>0</v>
      </c>
    </row>
    <row r="394" spans="1:19" s="717" customFormat="1" ht="15.6">
      <c r="A394" s="823" t="s">
        <v>13</v>
      </c>
      <c r="B394" s="824"/>
      <c r="C394" s="716">
        <v>0</v>
      </c>
      <c r="D394" s="716">
        <v>0</v>
      </c>
      <c r="E394" s="716">
        <v>0</v>
      </c>
      <c r="F394" s="716">
        <v>0</v>
      </c>
      <c r="G394" s="716">
        <v>0</v>
      </c>
      <c r="H394" s="716">
        <v>0</v>
      </c>
      <c r="I394" s="716">
        <v>0</v>
      </c>
      <c r="J394" s="716">
        <v>0</v>
      </c>
      <c r="K394" s="716">
        <v>0</v>
      </c>
      <c r="L394" s="716">
        <v>0</v>
      </c>
      <c r="M394" s="716">
        <v>0</v>
      </c>
      <c r="N394" s="716">
        <v>0</v>
      </c>
      <c r="O394" s="716">
        <v>0</v>
      </c>
      <c r="P394" s="716">
        <v>0</v>
      </c>
      <c r="Q394" s="716">
        <v>0</v>
      </c>
      <c r="R394" s="716">
        <v>0</v>
      </c>
      <c r="S394" s="716">
        <v>0</v>
      </c>
    </row>
    <row r="395" spans="1:19">
      <c r="A395" s="28" t="s">
        <v>27</v>
      </c>
      <c r="B395" s="746" t="s">
        <v>299</v>
      </c>
      <c r="C395" s="875">
        <v>0</v>
      </c>
      <c r="D395" s="875">
        <v>0</v>
      </c>
      <c r="E395" s="875">
        <v>66499</v>
      </c>
      <c r="F395" s="875">
        <v>0</v>
      </c>
      <c r="G395" s="875">
        <v>0</v>
      </c>
      <c r="H395" s="875">
        <v>0</v>
      </c>
      <c r="I395" s="875">
        <v>0</v>
      </c>
      <c r="J395" s="875">
        <v>0</v>
      </c>
      <c r="K395" s="875">
        <v>0</v>
      </c>
      <c r="L395" s="875">
        <v>0</v>
      </c>
      <c r="M395" s="875">
        <v>0</v>
      </c>
      <c r="N395" s="875">
        <v>0</v>
      </c>
      <c r="O395" s="875">
        <v>0</v>
      </c>
      <c r="P395" s="875">
        <v>0</v>
      </c>
      <c r="Q395" s="875">
        <v>0</v>
      </c>
      <c r="R395" s="875">
        <v>0</v>
      </c>
      <c r="S395" s="875">
        <v>0</v>
      </c>
    </row>
    <row r="396" spans="1:19" s="717" customFormat="1" ht="15.6">
      <c r="A396" s="823" t="s">
        <v>13</v>
      </c>
      <c r="B396" s="824"/>
      <c r="C396" s="716">
        <v>66499</v>
      </c>
      <c r="D396" s="716">
        <v>66499</v>
      </c>
      <c r="E396" s="716">
        <v>66499</v>
      </c>
      <c r="F396" s="716">
        <v>0</v>
      </c>
      <c r="G396" s="716">
        <v>0</v>
      </c>
      <c r="H396" s="716">
        <v>0</v>
      </c>
      <c r="I396" s="716">
        <v>0</v>
      </c>
      <c r="J396" s="716">
        <v>0</v>
      </c>
      <c r="K396" s="716">
        <v>0</v>
      </c>
      <c r="L396" s="716">
        <v>0</v>
      </c>
      <c r="M396" s="716">
        <v>0</v>
      </c>
      <c r="N396" s="716">
        <v>0</v>
      </c>
      <c r="O396" s="716">
        <v>0</v>
      </c>
      <c r="P396" s="716">
        <v>0</v>
      </c>
      <c r="Q396" s="716">
        <v>0</v>
      </c>
      <c r="R396" s="716">
        <v>0</v>
      </c>
      <c r="S396" s="716">
        <v>0</v>
      </c>
    </row>
    <row r="397" spans="1:19">
      <c r="A397" s="825" t="s">
        <v>151</v>
      </c>
      <c r="B397" s="746"/>
      <c r="C397" s="875">
        <v>0</v>
      </c>
      <c r="D397" s="875">
        <v>46500</v>
      </c>
      <c r="E397" s="875">
        <v>66499</v>
      </c>
      <c r="F397" s="875">
        <v>0</v>
      </c>
      <c r="G397" s="875">
        <v>0</v>
      </c>
      <c r="H397" s="875">
        <v>0</v>
      </c>
      <c r="I397" s="875">
        <v>136999</v>
      </c>
      <c r="J397" s="875">
        <v>0</v>
      </c>
      <c r="K397" s="875">
        <v>0</v>
      </c>
      <c r="L397" s="875">
        <v>34300</v>
      </c>
      <c r="M397" s="875">
        <v>0</v>
      </c>
      <c r="N397" s="875">
        <v>0</v>
      </c>
      <c r="O397" s="875">
        <v>0</v>
      </c>
      <c r="P397" s="875">
        <v>5999</v>
      </c>
      <c r="Q397" s="875">
        <v>0</v>
      </c>
      <c r="R397" s="875">
        <v>0</v>
      </c>
      <c r="S397" s="875">
        <v>0</v>
      </c>
    </row>
    <row r="398" spans="1:19" s="718" customFormat="1" ht="15.6">
      <c r="A398" s="826" t="s">
        <v>13</v>
      </c>
      <c r="B398" s="827"/>
      <c r="C398" s="716">
        <v>290297</v>
      </c>
      <c r="D398" s="716">
        <v>290297</v>
      </c>
      <c r="E398" s="716">
        <v>243797</v>
      </c>
      <c r="F398" s="716">
        <v>177298</v>
      </c>
      <c r="G398" s="716">
        <v>177298</v>
      </c>
      <c r="H398" s="716">
        <v>177298</v>
      </c>
      <c r="I398" s="716">
        <v>177298</v>
      </c>
      <c r="J398" s="716">
        <v>40299</v>
      </c>
      <c r="K398" s="716">
        <v>40299</v>
      </c>
      <c r="L398" s="716">
        <v>40299</v>
      </c>
      <c r="M398" s="716">
        <v>5999</v>
      </c>
      <c r="N398" s="716">
        <v>5999</v>
      </c>
      <c r="O398" s="716">
        <v>5999</v>
      </c>
      <c r="P398" s="716">
        <v>5999</v>
      </c>
      <c r="Q398" s="716">
        <v>0</v>
      </c>
      <c r="R398" s="716">
        <v>0</v>
      </c>
      <c r="S398" s="716">
        <v>0</v>
      </c>
    </row>
    <row r="399" spans="1:19" s="426" customFormat="1">
      <c r="A399" s="29"/>
      <c r="B399" s="748"/>
      <c r="C399" s="719"/>
      <c r="D399" s="719"/>
      <c r="E399" s="719"/>
      <c r="F399" s="719"/>
      <c r="G399" s="719"/>
      <c r="H399" s="719"/>
      <c r="I399" s="719"/>
      <c r="J399" s="719"/>
      <c r="K399" s="719"/>
      <c r="L399" s="719"/>
      <c r="M399" s="719"/>
      <c r="N399" s="719"/>
      <c r="O399" s="719"/>
      <c r="P399" s="719"/>
      <c r="Q399" s="719"/>
      <c r="R399" s="719"/>
      <c r="S399" s="719"/>
    </row>
    <row r="400" spans="1:19">
      <c r="A400" s="28" t="s">
        <v>107</v>
      </c>
      <c r="B400" s="746" t="s">
        <v>300</v>
      </c>
      <c r="C400" s="875">
        <v>0</v>
      </c>
      <c r="D400" s="875">
        <v>0</v>
      </c>
      <c r="E400" s="875">
        <v>0</v>
      </c>
      <c r="F400" s="875">
        <v>0</v>
      </c>
      <c r="G400" s="875">
        <v>0</v>
      </c>
      <c r="H400" s="875">
        <v>0</v>
      </c>
      <c r="I400" s="875">
        <v>225000</v>
      </c>
      <c r="J400" s="875">
        <v>0</v>
      </c>
      <c r="K400" s="875">
        <v>0</v>
      </c>
      <c r="L400" s="875">
        <v>450000</v>
      </c>
      <c r="M400" s="875">
        <v>0</v>
      </c>
      <c r="N400" s="875">
        <v>0</v>
      </c>
      <c r="O400" s="875">
        <v>0</v>
      </c>
      <c r="P400" s="875">
        <v>0</v>
      </c>
      <c r="Q400" s="875">
        <v>0</v>
      </c>
      <c r="R400" s="875">
        <v>0</v>
      </c>
      <c r="S400" s="875">
        <v>0</v>
      </c>
    </row>
    <row r="401" spans="1:19" s="426" customFormat="1">
      <c r="A401" s="828" t="s">
        <v>108</v>
      </c>
      <c r="B401" s="792"/>
      <c r="C401" s="702">
        <v>675000</v>
      </c>
      <c r="D401" s="702">
        <v>675000</v>
      </c>
      <c r="E401" s="702">
        <v>675000</v>
      </c>
      <c r="F401" s="702">
        <v>675000</v>
      </c>
      <c r="G401" s="702">
        <v>675000</v>
      </c>
      <c r="H401" s="702">
        <v>675000</v>
      </c>
      <c r="I401" s="702">
        <v>675000</v>
      </c>
      <c r="J401" s="702">
        <v>450000</v>
      </c>
      <c r="K401" s="702">
        <v>450000</v>
      </c>
      <c r="L401" s="702">
        <v>450000</v>
      </c>
      <c r="M401" s="702">
        <v>0</v>
      </c>
      <c r="N401" s="702">
        <v>0</v>
      </c>
      <c r="O401" s="702">
        <v>0</v>
      </c>
      <c r="P401" s="702">
        <v>0</v>
      </c>
      <c r="Q401" s="702">
        <v>0</v>
      </c>
      <c r="R401" s="702">
        <v>0</v>
      </c>
      <c r="S401" s="702">
        <v>0</v>
      </c>
    </row>
    <row r="402" spans="1:19" s="426" customFormat="1">
      <c r="A402" s="29"/>
      <c r="B402" s="748"/>
      <c r="C402" s="891"/>
      <c r="D402" s="891"/>
      <c r="E402" s="891"/>
      <c r="F402" s="891"/>
      <c r="G402" s="891"/>
      <c r="H402" s="891"/>
      <c r="I402" s="891"/>
      <c r="J402" s="891"/>
      <c r="K402" s="891"/>
      <c r="L402" s="891"/>
      <c r="M402" s="891"/>
      <c r="N402" s="891"/>
      <c r="O402" s="891"/>
      <c r="P402" s="891"/>
      <c r="Q402" s="891"/>
      <c r="R402" s="891"/>
      <c r="S402" s="891"/>
    </row>
    <row r="403" spans="1:19" s="426" customFormat="1">
      <c r="A403" s="29" t="s">
        <v>97</v>
      </c>
      <c r="B403" s="748"/>
      <c r="C403" s="891"/>
      <c r="D403" s="891"/>
      <c r="E403" s="891"/>
      <c r="F403" s="891"/>
      <c r="G403" s="891"/>
      <c r="H403" s="891"/>
      <c r="I403" s="891"/>
      <c r="J403" s="891"/>
      <c r="K403" s="891"/>
      <c r="L403" s="891"/>
      <c r="M403" s="891"/>
      <c r="N403" s="891"/>
      <c r="O403" s="891"/>
      <c r="P403" s="891"/>
      <c r="Q403" s="891"/>
      <c r="R403" s="891"/>
      <c r="S403" s="891"/>
    </row>
    <row r="404" spans="1:19">
      <c r="A404" s="28" t="s">
        <v>24</v>
      </c>
      <c r="B404" s="746" t="s">
        <v>301</v>
      </c>
      <c r="C404" s="875">
        <v>0</v>
      </c>
      <c r="D404" s="875">
        <v>0</v>
      </c>
      <c r="E404" s="875">
        <v>0</v>
      </c>
      <c r="F404" s="875">
        <v>0</v>
      </c>
      <c r="G404" s="875">
        <v>0</v>
      </c>
      <c r="H404" s="875">
        <v>0</v>
      </c>
      <c r="I404" s="875">
        <v>0</v>
      </c>
      <c r="J404" s="875">
        <v>0</v>
      </c>
      <c r="K404" s="875">
        <v>0</v>
      </c>
      <c r="L404" s="875">
        <v>0</v>
      </c>
      <c r="M404" s="875">
        <v>0</v>
      </c>
      <c r="N404" s="875">
        <v>0</v>
      </c>
      <c r="O404" s="875">
        <v>0</v>
      </c>
      <c r="P404" s="875">
        <v>0</v>
      </c>
      <c r="Q404" s="875">
        <v>0</v>
      </c>
      <c r="R404" s="875">
        <v>0</v>
      </c>
      <c r="S404" s="875">
        <v>0</v>
      </c>
    </row>
    <row r="405" spans="1:19" s="712" customFormat="1">
      <c r="A405" s="819" t="s">
        <v>13</v>
      </c>
      <c r="B405" s="780"/>
      <c r="C405" s="702">
        <v>0</v>
      </c>
      <c r="D405" s="702">
        <v>0</v>
      </c>
      <c r="E405" s="702">
        <v>0</v>
      </c>
      <c r="F405" s="702">
        <v>0</v>
      </c>
      <c r="G405" s="702">
        <v>0</v>
      </c>
      <c r="H405" s="702">
        <v>0</v>
      </c>
      <c r="I405" s="702">
        <v>0</v>
      </c>
      <c r="J405" s="702">
        <v>0</v>
      </c>
      <c r="K405" s="702">
        <v>0</v>
      </c>
      <c r="L405" s="702">
        <v>0</v>
      </c>
      <c r="M405" s="702">
        <v>0</v>
      </c>
      <c r="N405" s="702">
        <v>0</v>
      </c>
      <c r="O405" s="702">
        <v>0</v>
      </c>
      <c r="P405" s="702">
        <v>0</v>
      </c>
      <c r="Q405" s="702">
        <v>0</v>
      </c>
      <c r="R405" s="702">
        <v>0</v>
      </c>
      <c r="S405" s="702">
        <v>0</v>
      </c>
    </row>
    <row r="406" spans="1:19">
      <c r="A406" s="28" t="s">
        <v>138</v>
      </c>
      <c r="B406" s="746" t="s">
        <v>302</v>
      </c>
      <c r="C406" s="875">
        <v>0</v>
      </c>
      <c r="D406" s="875">
        <v>0</v>
      </c>
      <c r="E406" s="875">
        <v>101400</v>
      </c>
      <c r="F406" s="875">
        <v>0</v>
      </c>
      <c r="G406" s="875">
        <v>0</v>
      </c>
      <c r="H406" s="875">
        <v>0</v>
      </c>
      <c r="I406" s="875">
        <v>0</v>
      </c>
      <c r="J406" s="875">
        <v>0</v>
      </c>
      <c r="K406" s="875">
        <v>101400</v>
      </c>
      <c r="L406" s="875">
        <v>0</v>
      </c>
      <c r="M406" s="875">
        <v>0</v>
      </c>
      <c r="N406" s="875">
        <v>0</v>
      </c>
      <c r="O406" s="875">
        <v>0</v>
      </c>
      <c r="P406" s="875">
        <v>51400</v>
      </c>
      <c r="Q406" s="875">
        <v>0</v>
      </c>
      <c r="R406" s="875">
        <v>0</v>
      </c>
      <c r="S406" s="875">
        <v>0</v>
      </c>
    </row>
    <row r="407" spans="1:19" s="712" customFormat="1">
      <c r="A407" s="819" t="s">
        <v>13</v>
      </c>
      <c r="B407" s="780"/>
      <c r="C407" s="702">
        <v>254200</v>
      </c>
      <c r="D407" s="702">
        <v>254200</v>
      </c>
      <c r="E407" s="702">
        <v>254200</v>
      </c>
      <c r="F407" s="702">
        <v>152800</v>
      </c>
      <c r="G407" s="702">
        <v>152800</v>
      </c>
      <c r="H407" s="702">
        <v>152800</v>
      </c>
      <c r="I407" s="702">
        <v>152800</v>
      </c>
      <c r="J407" s="702">
        <v>152800</v>
      </c>
      <c r="K407" s="702">
        <v>152800</v>
      </c>
      <c r="L407" s="702">
        <v>51400</v>
      </c>
      <c r="M407" s="702">
        <v>51400</v>
      </c>
      <c r="N407" s="702">
        <v>51400</v>
      </c>
      <c r="O407" s="702">
        <v>51400</v>
      </c>
      <c r="P407" s="702">
        <v>51400</v>
      </c>
      <c r="Q407" s="702">
        <v>0</v>
      </c>
      <c r="R407" s="702">
        <v>0</v>
      </c>
      <c r="S407" s="702">
        <v>0</v>
      </c>
    </row>
    <row r="408" spans="1:19">
      <c r="A408" s="28" t="s">
        <v>139</v>
      </c>
      <c r="B408" s="746" t="s">
        <v>303</v>
      </c>
      <c r="C408" s="875">
        <v>0</v>
      </c>
      <c r="D408" s="875">
        <v>0</v>
      </c>
      <c r="E408" s="875">
        <v>0</v>
      </c>
      <c r="F408" s="875">
        <v>0</v>
      </c>
      <c r="G408" s="875">
        <v>0</v>
      </c>
      <c r="H408" s="875">
        <v>0</v>
      </c>
      <c r="I408" s="875">
        <v>0</v>
      </c>
      <c r="J408" s="875">
        <v>0</v>
      </c>
      <c r="K408" s="875">
        <v>0</v>
      </c>
      <c r="L408" s="875">
        <v>0</v>
      </c>
      <c r="M408" s="875">
        <v>0</v>
      </c>
      <c r="N408" s="875">
        <v>0</v>
      </c>
      <c r="O408" s="875">
        <v>0</v>
      </c>
      <c r="P408" s="875">
        <v>0</v>
      </c>
      <c r="Q408" s="875">
        <v>51400</v>
      </c>
      <c r="R408" s="875">
        <v>0</v>
      </c>
      <c r="S408" s="875">
        <v>0</v>
      </c>
    </row>
    <row r="409" spans="1:19" s="712" customFormat="1">
      <c r="A409" s="819" t="s">
        <v>13</v>
      </c>
      <c r="B409" s="780"/>
      <c r="C409" s="702">
        <v>51400</v>
      </c>
      <c r="D409" s="702">
        <v>51400</v>
      </c>
      <c r="E409" s="702">
        <v>51400</v>
      </c>
      <c r="F409" s="702">
        <v>51400</v>
      </c>
      <c r="G409" s="702">
        <v>51400</v>
      </c>
      <c r="H409" s="702">
        <v>51400</v>
      </c>
      <c r="I409" s="702">
        <v>51400</v>
      </c>
      <c r="J409" s="702">
        <v>51400</v>
      </c>
      <c r="K409" s="702">
        <v>51400</v>
      </c>
      <c r="L409" s="702">
        <v>51400</v>
      </c>
      <c r="M409" s="702">
        <v>51400</v>
      </c>
      <c r="N409" s="702">
        <v>51400</v>
      </c>
      <c r="O409" s="702">
        <v>51400</v>
      </c>
      <c r="P409" s="702">
        <v>51400</v>
      </c>
      <c r="Q409" s="702">
        <v>51400</v>
      </c>
      <c r="R409" s="702">
        <v>0</v>
      </c>
      <c r="S409" s="702">
        <v>0</v>
      </c>
    </row>
    <row r="410" spans="1:19" s="712" customFormat="1">
      <c r="A410" s="820" t="s">
        <v>172</v>
      </c>
      <c r="B410" s="780" t="s">
        <v>304</v>
      </c>
      <c r="C410" s="889">
        <v>0</v>
      </c>
      <c r="D410" s="889">
        <v>0</v>
      </c>
      <c r="E410" s="889">
        <v>0</v>
      </c>
      <c r="F410" s="889">
        <v>0</v>
      </c>
      <c r="G410" s="889">
        <v>0</v>
      </c>
      <c r="H410" s="889">
        <v>0</v>
      </c>
      <c r="I410" s="889">
        <v>0</v>
      </c>
      <c r="J410" s="889">
        <v>0</v>
      </c>
      <c r="K410" s="889">
        <v>0</v>
      </c>
      <c r="L410" s="889">
        <v>0</v>
      </c>
      <c r="M410" s="889">
        <v>0</v>
      </c>
      <c r="N410" s="889">
        <v>0</v>
      </c>
      <c r="O410" s="889">
        <v>0</v>
      </c>
      <c r="P410" s="889">
        <v>0</v>
      </c>
      <c r="Q410" s="889">
        <v>0</v>
      </c>
      <c r="R410" s="889">
        <v>0</v>
      </c>
      <c r="S410" s="889">
        <v>0</v>
      </c>
    </row>
    <row r="411" spans="1:19" s="712" customFormat="1">
      <c r="A411" s="819" t="s">
        <v>13</v>
      </c>
      <c r="B411" s="780"/>
      <c r="C411" s="702">
        <v>0</v>
      </c>
      <c r="D411" s="702">
        <v>0</v>
      </c>
      <c r="E411" s="702">
        <v>0</v>
      </c>
      <c r="F411" s="702">
        <v>0</v>
      </c>
      <c r="G411" s="702">
        <v>0</v>
      </c>
      <c r="H411" s="702">
        <v>0</v>
      </c>
      <c r="I411" s="702">
        <v>0</v>
      </c>
      <c r="J411" s="702">
        <v>0</v>
      </c>
      <c r="K411" s="702">
        <v>0</v>
      </c>
      <c r="L411" s="702">
        <v>0</v>
      </c>
      <c r="M411" s="702">
        <v>0</v>
      </c>
      <c r="N411" s="702">
        <v>0</v>
      </c>
      <c r="O411" s="702">
        <v>0</v>
      </c>
      <c r="P411" s="702">
        <v>0</v>
      </c>
      <c r="Q411" s="702">
        <v>0</v>
      </c>
      <c r="R411" s="702">
        <v>0</v>
      </c>
      <c r="S411" s="702">
        <v>0</v>
      </c>
    </row>
    <row r="412" spans="1:19" s="712" customFormat="1">
      <c r="A412" s="820" t="s">
        <v>193</v>
      </c>
      <c r="B412" s="780" t="s">
        <v>305</v>
      </c>
      <c r="C412" s="889">
        <v>0</v>
      </c>
      <c r="D412" s="889">
        <v>0</v>
      </c>
      <c r="E412" s="889">
        <v>0</v>
      </c>
      <c r="F412" s="889">
        <v>0</v>
      </c>
      <c r="G412" s="889">
        <v>0</v>
      </c>
      <c r="H412" s="889">
        <v>0</v>
      </c>
      <c r="I412" s="889">
        <v>0</v>
      </c>
      <c r="J412" s="889">
        <v>0</v>
      </c>
      <c r="K412" s="889">
        <v>0</v>
      </c>
      <c r="L412" s="889">
        <v>0</v>
      </c>
      <c r="M412" s="889">
        <v>0</v>
      </c>
      <c r="N412" s="889">
        <v>0</v>
      </c>
      <c r="O412" s="889">
        <v>0</v>
      </c>
      <c r="P412" s="889">
        <v>0</v>
      </c>
      <c r="Q412" s="889">
        <v>0</v>
      </c>
      <c r="R412" s="889">
        <v>0</v>
      </c>
      <c r="S412" s="889">
        <v>0</v>
      </c>
    </row>
    <row r="413" spans="1:19" s="712" customFormat="1">
      <c r="A413" s="819" t="s">
        <v>13</v>
      </c>
      <c r="B413" s="780"/>
      <c r="C413" s="702">
        <v>0</v>
      </c>
      <c r="D413" s="702">
        <v>0</v>
      </c>
      <c r="E413" s="702">
        <v>0</v>
      </c>
      <c r="F413" s="702">
        <v>0</v>
      </c>
      <c r="G413" s="702">
        <v>0</v>
      </c>
      <c r="H413" s="702">
        <v>0</v>
      </c>
      <c r="I413" s="702">
        <v>0</v>
      </c>
      <c r="J413" s="702">
        <v>0</v>
      </c>
      <c r="K413" s="702">
        <v>0</v>
      </c>
      <c r="L413" s="702">
        <v>0</v>
      </c>
      <c r="M413" s="702">
        <v>0</v>
      </c>
      <c r="N413" s="702">
        <v>0</v>
      </c>
      <c r="O413" s="702">
        <v>0</v>
      </c>
      <c r="P413" s="702">
        <v>0</v>
      </c>
      <c r="Q413" s="702">
        <v>0</v>
      </c>
      <c r="R413" s="702">
        <v>0</v>
      </c>
      <c r="S413" s="702">
        <v>0</v>
      </c>
    </row>
    <row r="414" spans="1:19">
      <c r="A414" s="825" t="s">
        <v>151</v>
      </c>
      <c r="B414" s="746"/>
      <c r="C414" s="875">
        <v>0</v>
      </c>
      <c r="D414" s="875">
        <v>0</v>
      </c>
      <c r="E414" s="875">
        <v>101400</v>
      </c>
      <c r="F414" s="875">
        <v>0</v>
      </c>
      <c r="G414" s="875">
        <v>0</v>
      </c>
      <c r="H414" s="875">
        <v>0</v>
      </c>
      <c r="I414" s="875">
        <v>0</v>
      </c>
      <c r="J414" s="875">
        <v>0</v>
      </c>
      <c r="K414" s="875">
        <v>101400</v>
      </c>
      <c r="L414" s="875">
        <v>0</v>
      </c>
      <c r="M414" s="875">
        <v>0</v>
      </c>
      <c r="N414" s="875">
        <v>0</v>
      </c>
      <c r="O414" s="875">
        <v>0</v>
      </c>
      <c r="P414" s="875">
        <v>51400</v>
      </c>
      <c r="Q414" s="875">
        <v>51400</v>
      </c>
      <c r="R414" s="875">
        <v>0</v>
      </c>
      <c r="S414" s="875">
        <v>0</v>
      </c>
    </row>
    <row r="415" spans="1:19" s="426" customFormat="1">
      <c r="A415" s="821" t="s">
        <v>13</v>
      </c>
      <c r="B415" s="792"/>
      <c r="C415" s="702">
        <v>305600</v>
      </c>
      <c r="D415" s="702">
        <v>305600</v>
      </c>
      <c r="E415" s="702">
        <v>305600</v>
      </c>
      <c r="F415" s="702">
        <v>204200</v>
      </c>
      <c r="G415" s="702">
        <v>204200</v>
      </c>
      <c r="H415" s="702">
        <v>204200</v>
      </c>
      <c r="I415" s="702">
        <v>204200</v>
      </c>
      <c r="J415" s="702">
        <v>204200</v>
      </c>
      <c r="K415" s="702">
        <v>204200</v>
      </c>
      <c r="L415" s="702">
        <v>102800</v>
      </c>
      <c r="M415" s="702">
        <v>102800</v>
      </c>
      <c r="N415" s="702">
        <v>102800</v>
      </c>
      <c r="O415" s="702">
        <v>102800</v>
      </c>
      <c r="P415" s="702">
        <v>102800</v>
      </c>
      <c r="Q415" s="702">
        <v>51400</v>
      </c>
      <c r="R415" s="702">
        <v>0</v>
      </c>
      <c r="S415" s="702">
        <v>0</v>
      </c>
    </row>
    <row r="416" spans="1:19" s="426" customFormat="1">
      <c r="A416" s="817"/>
      <c r="B416" s="748"/>
      <c r="C416" s="879"/>
      <c r="D416" s="879"/>
      <c r="E416" s="879"/>
      <c r="F416" s="879"/>
      <c r="G416" s="879"/>
      <c r="H416" s="879"/>
      <c r="I416" s="879"/>
      <c r="J416" s="879"/>
      <c r="K416" s="879"/>
      <c r="L416" s="879"/>
      <c r="M416" s="879"/>
      <c r="N416" s="879"/>
      <c r="O416" s="879"/>
      <c r="P416" s="879"/>
      <c r="Q416" s="879"/>
      <c r="R416" s="879"/>
      <c r="S416" s="879"/>
    </row>
    <row r="417" spans="1:19" s="426" customFormat="1">
      <c r="A417" s="817" t="s">
        <v>140</v>
      </c>
      <c r="B417" s="748"/>
      <c r="C417" s="879"/>
      <c r="D417" s="879"/>
      <c r="E417" s="879"/>
      <c r="F417" s="879"/>
      <c r="G417" s="879"/>
      <c r="H417" s="879"/>
      <c r="I417" s="879"/>
      <c r="J417" s="879"/>
      <c r="K417" s="879"/>
      <c r="L417" s="879"/>
      <c r="M417" s="879"/>
      <c r="N417" s="879"/>
      <c r="O417" s="879"/>
      <c r="P417" s="879"/>
      <c r="Q417" s="879"/>
      <c r="R417" s="879"/>
      <c r="S417" s="879"/>
    </row>
    <row r="418" spans="1:19" s="426" customFormat="1">
      <c r="A418" s="818" t="s">
        <v>141</v>
      </c>
      <c r="B418" s="746" t="s">
        <v>306</v>
      </c>
      <c r="C418" s="888">
        <v>0</v>
      </c>
      <c r="D418" s="888">
        <v>0</v>
      </c>
      <c r="E418" s="888">
        <v>0</v>
      </c>
      <c r="F418" s="888">
        <v>0</v>
      </c>
      <c r="G418" s="888">
        <v>0</v>
      </c>
      <c r="H418" s="888">
        <v>0</v>
      </c>
      <c r="I418" s="888">
        <v>0</v>
      </c>
      <c r="J418" s="888">
        <v>0</v>
      </c>
      <c r="K418" s="888">
        <v>0</v>
      </c>
      <c r="L418" s="888">
        <v>0</v>
      </c>
      <c r="M418" s="888">
        <v>0</v>
      </c>
      <c r="N418" s="888">
        <v>0</v>
      </c>
      <c r="O418" s="888">
        <v>0</v>
      </c>
      <c r="P418" s="888">
        <v>0</v>
      </c>
      <c r="Q418" s="888">
        <v>0</v>
      </c>
      <c r="R418" s="888">
        <v>0</v>
      </c>
      <c r="S418" s="888">
        <v>0</v>
      </c>
    </row>
    <row r="419" spans="1:19" s="426" customFormat="1">
      <c r="A419" s="829" t="s">
        <v>13</v>
      </c>
      <c r="B419" s="746"/>
      <c r="C419" s="702">
        <v>0</v>
      </c>
      <c r="D419" s="702">
        <v>0</v>
      </c>
      <c r="E419" s="702">
        <v>0</v>
      </c>
      <c r="F419" s="702">
        <v>0</v>
      </c>
      <c r="G419" s="702">
        <v>0</v>
      </c>
      <c r="H419" s="702">
        <v>0</v>
      </c>
      <c r="I419" s="702">
        <v>0</v>
      </c>
      <c r="J419" s="702">
        <v>0</v>
      </c>
      <c r="K419" s="702">
        <v>0</v>
      </c>
      <c r="L419" s="702">
        <v>0</v>
      </c>
      <c r="M419" s="702">
        <v>0</v>
      </c>
      <c r="N419" s="702">
        <v>0</v>
      </c>
      <c r="O419" s="702">
        <v>0</v>
      </c>
      <c r="P419" s="702">
        <v>0</v>
      </c>
      <c r="Q419" s="702">
        <v>0</v>
      </c>
      <c r="R419" s="702">
        <v>0</v>
      </c>
      <c r="S419" s="702">
        <v>0</v>
      </c>
    </row>
    <row r="420" spans="1:19" s="426" customFormat="1">
      <c r="A420" s="818" t="s">
        <v>142</v>
      </c>
      <c r="B420" s="746" t="s">
        <v>307</v>
      </c>
      <c r="C420" s="888">
        <v>0</v>
      </c>
      <c r="D420" s="888">
        <v>0</v>
      </c>
      <c r="E420" s="888">
        <v>0</v>
      </c>
      <c r="F420" s="888">
        <v>0</v>
      </c>
      <c r="G420" s="888">
        <v>0</v>
      </c>
      <c r="H420" s="888">
        <v>0</v>
      </c>
      <c r="I420" s="888">
        <v>0</v>
      </c>
      <c r="J420" s="888">
        <v>0</v>
      </c>
      <c r="K420" s="888">
        <v>0</v>
      </c>
      <c r="L420" s="888">
        <v>0</v>
      </c>
      <c r="M420" s="888">
        <v>0</v>
      </c>
      <c r="N420" s="888">
        <v>0</v>
      </c>
      <c r="O420" s="888">
        <v>0</v>
      </c>
      <c r="P420" s="888">
        <v>0</v>
      </c>
      <c r="Q420" s="888">
        <v>0</v>
      </c>
      <c r="R420" s="888">
        <v>0</v>
      </c>
      <c r="S420" s="888">
        <v>0</v>
      </c>
    </row>
    <row r="421" spans="1:19" s="426" customFormat="1">
      <c r="A421" s="829" t="s">
        <v>13</v>
      </c>
      <c r="B421" s="746"/>
      <c r="C421" s="702">
        <v>0</v>
      </c>
      <c r="D421" s="702">
        <v>0</v>
      </c>
      <c r="E421" s="702">
        <v>0</v>
      </c>
      <c r="F421" s="702">
        <v>0</v>
      </c>
      <c r="G421" s="702">
        <v>0</v>
      </c>
      <c r="H421" s="702">
        <v>0</v>
      </c>
      <c r="I421" s="702">
        <v>0</v>
      </c>
      <c r="J421" s="702">
        <v>0</v>
      </c>
      <c r="K421" s="702">
        <v>0</v>
      </c>
      <c r="L421" s="702">
        <v>0</v>
      </c>
      <c r="M421" s="702">
        <v>0</v>
      </c>
      <c r="N421" s="702">
        <v>0</v>
      </c>
      <c r="O421" s="702">
        <v>0</v>
      </c>
      <c r="P421" s="702">
        <v>0</v>
      </c>
      <c r="Q421" s="702">
        <v>0</v>
      </c>
      <c r="R421" s="702">
        <v>0</v>
      </c>
      <c r="S421" s="702">
        <v>0</v>
      </c>
    </row>
    <row r="422" spans="1:19" s="426" customFormat="1">
      <c r="A422" s="818" t="s">
        <v>143</v>
      </c>
      <c r="B422" s="746" t="s">
        <v>308</v>
      </c>
      <c r="C422" s="888">
        <v>0</v>
      </c>
      <c r="D422" s="888">
        <v>0</v>
      </c>
      <c r="E422" s="888">
        <v>0</v>
      </c>
      <c r="F422" s="888">
        <v>0</v>
      </c>
      <c r="G422" s="888">
        <v>0</v>
      </c>
      <c r="H422" s="888">
        <v>0</v>
      </c>
      <c r="I422" s="888">
        <v>0</v>
      </c>
      <c r="J422" s="888">
        <v>0</v>
      </c>
      <c r="K422" s="888">
        <v>0</v>
      </c>
      <c r="L422" s="888">
        <v>0</v>
      </c>
      <c r="M422" s="888">
        <v>0</v>
      </c>
      <c r="N422" s="888">
        <v>0</v>
      </c>
      <c r="O422" s="888">
        <v>0</v>
      </c>
      <c r="P422" s="888">
        <v>0</v>
      </c>
      <c r="Q422" s="888">
        <v>0</v>
      </c>
      <c r="R422" s="888">
        <v>0</v>
      </c>
      <c r="S422" s="888">
        <v>0</v>
      </c>
    </row>
    <row r="423" spans="1:19" s="426" customFormat="1">
      <c r="A423" s="829" t="s">
        <v>13</v>
      </c>
      <c r="B423" s="746"/>
      <c r="C423" s="702">
        <v>0</v>
      </c>
      <c r="D423" s="702">
        <v>0</v>
      </c>
      <c r="E423" s="702">
        <v>0</v>
      </c>
      <c r="F423" s="702">
        <v>0</v>
      </c>
      <c r="G423" s="702">
        <v>0</v>
      </c>
      <c r="H423" s="702">
        <v>0</v>
      </c>
      <c r="I423" s="702">
        <v>0</v>
      </c>
      <c r="J423" s="702">
        <v>0</v>
      </c>
      <c r="K423" s="702">
        <v>0</v>
      </c>
      <c r="L423" s="702">
        <v>0</v>
      </c>
      <c r="M423" s="702">
        <v>0</v>
      </c>
      <c r="N423" s="702">
        <v>0</v>
      </c>
      <c r="O423" s="702">
        <v>0</v>
      </c>
      <c r="P423" s="702">
        <v>0</v>
      </c>
      <c r="Q423" s="702">
        <v>0</v>
      </c>
      <c r="R423" s="702">
        <v>0</v>
      </c>
      <c r="S423" s="702">
        <v>0</v>
      </c>
    </row>
    <row r="424" spans="1:19" s="426" customFormat="1">
      <c r="A424" s="820" t="s">
        <v>242</v>
      </c>
      <c r="B424" s="746" t="s">
        <v>309</v>
      </c>
      <c r="C424" s="889">
        <v>0</v>
      </c>
      <c r="D424" s="889">
        <v>0</v>
      </c>
      <c r="E424" s="889">
        <v>0</v>
      </c>
      <c r="F424" s="889">
        <v>0</v>
      </c>
      <c r="G424" s="889">
        <v>0</v>
      </c>
      <c r="H424" s="889">
        <v>0</v>
      </c>
      <c r="I424" s="889">
        <v>0</v>
      </c>
      <c r="J424" s="889">
        <v>0</v>
      </c>
      <c r="K424" s="889">
        <v>0</v>
      </c>
      <c r="L424" s="889">
        <v>0</v>
      </c>
      <c r="M424" s="889">
        <v>0</v>
      </c>
      <c r="N424" s="889">
        <v>0</v>
      </c>
      <c r="O424" s="889">
        <v>0</v>
      </c>
      <c r="P424" s="889">
        <v>0</v>
      </c>
      <c r="Q424" s="889">
        <v>0</v>
      </c>
      <c r="R424" s="889">
        <v>0</v>
      </c>
      <c r="S424" s="889">
        <v>0</v>
      </c>
    </row>
    <row r="425" spans="1:19" s="426" customFormat="1">
      <c r="A425" s="829" t="s">
        <v>13</v>
      </c>
      <c r="B425" s="746"/>
      <c r="C425" s="702">
        <v>0</v>
      </c>
      <c r="D425" s="702">
        <v>0</v>
      </c>
      <c r="E425" s="702">
        <v>0</v>
      </c>
      <c r="F425" s="702">
        <v>0</v>
      </c>
      <c r="G425" s="702">
        <v>0</v>
      </c>
      <c r="H425" s="702">
        <v>0</v>
      </c>
      <c r="I425" s="702">
        <v>0</v>
      </c>
      <c r="J425" s="702">
        <v>0</v>
      </c>
      <c r="K425" s="702">
        <v>0</v>
      </c>
      <c r="L425" s="702">
        <v>0</v>
      </c>
      <c r="M425" s="702">
        <v>0</v>
      </c>
      <c r="N425" s="702">
        <v>0</v>
      </c>
      <c r="O425" s="702">
        <v>0</v>
      </c>
      <c r="P425" s="702">
        <v>0</v>
      </c>
      <c r="Q425" s="702">
        <v>0</v>
      </c>
      <c r="R425" s="702">
        <v>0</v>
      </c>
      <c r="S425" s="702">
        <v>0</v>
      </c>
    </row>
    <row r="426" spans="1:19" s="426" customFormat="1">
      <c r="A426" s="820" t="s">
        <v>241</v>
      </c>
      <c r="B426" s="746" t="s">
        <v>310</v>
      </c>
      <c r="C426" s="889">
        <v>0</v>
      </c>
      <c r="D426" s="889">
        <v>0</v>
      </c>
      <c r="E426" s="889">
        <v>0</v>
      </c>
      <c r="F426" s="889">
        <v>0</v>
      </c>
      <c r="G426" s="889">
        <v>0</v>
      </c>
      <c r="H426" s="889">
        <v>0</v>
      </c>
      <c r="I426" s="889">
        <v>0</v>
      </c>
      <c r="J426" s="889">
        <v>0</v>
      </c>
      <c r="K426" s="889">
        <v>0</v>
      </c>
      <c r="L426" s="889">
        <v>0</v>
      </c>
      <c r="M426" s="889">
        <v>0</v>
      </c>
      <c r="N426" s="889">
        <v>0</v>
      </c>
      <c r="O426" s="889">
        <v>0</v>
      </c>
      <c r="P426" s="889">
        <v>0</v>
      </c>
      <c r="Q426" s="889">
        <v>0</v>
      </c>
      <c r="R426" s="889">
        <v>0</v>
      </c>
      <c r="S426" s="889">
        <v>0</v>
      </c>
    </row>
    <row r="427" spans="1:19" s="426" customFormat="1">
      <c r="A427" s="829" t="s">
        <v>13</v>
      </c>
      <c r="B427" s="746"/>
      <c r="C427" s="702">
        <v>0</v>
      </c>
      <c r="D427" s="702">
        <v>0</v>
      </c>
      <c r="E427" s="702">
        <v>0</v>
      </c>
      <c r="F427" s="702">
        <v>0</v>
      </c>
      <c r="G427" s="702">
        <v>0</v>
      </c>
      <c r="H427" s="702">
        <v>0</v>
      </c>
      <c r="I427" s="702">
        <v>0</v>
      </c>
      <c r="J427" s="702">
        <v>0</v>
      </c>
      <c r="K427" s="702">
        <v>0</v>
      </c>
      <c r="L427" s="702">
        <v>0</v>
      </c>
      <c r="M427" s="702">
        <v>0</v>
      </c>
      <c r="N427" s="702">
        <v>0</v>
      </c>
      <c r="O427" s="702">
        <v>0</v>
      </c>
      <c r="P427" s="702">
        <v>0</v>
      </c>
      <c r="Q427" s="702">
        <v>0</v>
      </c>
      <c r="R427" s="702">
        <v>0</v>
      </c>
      <c r="S427" s="702">
        <v>0</v>
      </c>
    </row>
    <row r="428" spans="1:19" s="426" customFormat="1">
      <c r="A428" s="818" t="s">
        <v>144</v>
      </c>
      <c r="B428" s="746" t="s">
        <v>311</v>
      </c>
      <c r="C428" s="875">
        <v>0</v>
      </c>
      <c r="D428" s="875">
        <v>0</v>
      </c>
      <c r="E428" s="875">
        <v>0</v>
      </c>
      <c r="F428" s="875">
        <v>0</v>
      </c>
      <c r="G428" s="875">
        <v>0</v>
      </c>
      <c r="H428" s="875">
        <v>0</v>
      </c>
      <c r="I428" s="875">
        <v>0</v>
      </c>
      <c r="J428" s="875">
        <v>0</v>
      </c>
      <c r="K428" s="875">
        <v>0</v>
      </c>
      <c r="L428" s="875">
        <v>0</v>
      </c>
      <c r="M428" s="875">
        <v>0</v>
      </c>
      <c r="N428" s="875">
        <v>0</v>
      </c>
      <c r="O428" s="875">
        <v>0</v>
      </c>
      <c r="P428" s="875">
        <v>0</v>
      </c>
      <c r="Q428" s="875">
        <v>0</v>
      </c>
      <c r="R428" s="875">
        <v>0</v>
      </c>
      <c r="S428" s="875">
        <v>0</v>
      </c>
    </row>
    <row r="429" spans="1:19" s="426" customFormat="1">
      <c r="A429" s="829" t="s">
        <v>13</v>
      </c>
      <c r="B429" s="746"/>
      <c r="C429" s="702">
        <v>0</v>
      </c>
      <c r="D429" s="702">
        <v>0</v>
      </c>
      <c r="E429" s="702">
        <v>0</v>
      </c>
      <c r="F429" s="702">
        <v>0</v>
      </c>
      <c r="G429" s="702">
        <v>0</v>
      </c>
      <c r="H429" s="702">
        <v>0</v>
      </c>
      <c r="I429" s="702">
        <v>0</v>
      </c>
      <c r="J429" s="702">
        <v>0</v>
      </c>
      <c r="K429" s="702">
        <v>0</v>
      </c>
      <c r="L429" s="702">
        <v>0</v>
      </c>
      <c r="M429" s="702">
        <v>0</v>
      </c>
      <c r="N429" s="702">
        <v>0</v>
      </c>
      <c r="O429" s="702">
        <v>0</v>
      </c>
      <c r="P429" s="702">
        <v>0</v>
      </c>
      <c r="Q429" s="702">
        <v>0</v>
      </c>
      <c r="R429" s="702">
        <v>0</v>
      </c>
      <c r="S429" s="702">
        <v>0</v>
      </c>
    </row>
    <row r="430" spans="1:19" s="426" customFormat="1">
      <c r="A430" s="818" t="s">
        <v>145</v>
      </c>
      <c r="B430" s="746" t="s">
        <v>312</v>
      </c>
      <c r="C430" s="875">
        <v>11000</v>
      </c>
      <c r="D430" s="875">
        <v>0</v>
      </c>
      <c r="E430" s="875">
        <v>0</v>
      </c>
      <c r="F430" s="875">
        <v>0</v>
      </c>
      <c r="G430" s="875">
        <v>0</v>
      </c>
      <c r="H430" s="875">
        <v>0</v>
      </c>
      <c r="I430" s="875">
        <v>0</v>
      </c>
      <c r="J430" s="875">
        <v>0</v>
      </c>
      <c r="K430" s="875">
        <v>0</v>
      </c>
      <c r="L430" s="875">
        <v>0</v>
      </c>
      <c r="M430" s="875">
        <v>0</v>
      </c>
      <c r="N430" s="875">
        <v>0</v>
      </c>
      <c r="O430" s="875">
        <v>0</v>
      </c>
      <c r="P430" s="875">
        <v>0</v>
      </c>
      <c r="Q430" s="875">
        <v>0</v>
      </c>
      <c r="R430" s="875">
        <v>0</v>
      </c>
      <c r="S430" s="875">
        <v>0</v>
      </c>
    </row>
    <row r="431" spans="1:19" s="426" customFormat="1">
      <c r="A431" s="829" t="s">
        <v>13</v>
      </c>
      <c r="B431" s="746"/>
      <c r="C431" s="702">
        <v>11000</v>
      </c>
      <c r="D431" s="702">
        <v>0</v>
      </c>
      <c r="E431" s="702">
        <v>0</v>
      </c>
      <c r="F431" s="702">
        <v>0</v>
      </c>
      <c r="G431" s="702">
        <v>0</v>
      </c>
      <c r="H431" s="702">
        <v>0</v>
      </c>
      <c r="I431" s="702">
        <v>0</v>
      </c>
      <c r="J431" s="702">
        <v>0</v>
      </c>
      <c r="K431" s="702">
        <v>0</v>
      </c>
      <c r="L431" s="702">
        <v>0</v>
      </c>
      <c r="M431" s="702">
        <v>0</v>
      </c>
      <c r="N431" s="702">
        <v>0</v>
      </c>
      <c r="O431" s="702">
        <v>0</v>
      </c>
      <c r="P431" s="702">
        <v>0</v>
      </c>
      <c r="Q431" s="702">
        <v>0</v>
      </c>
      <c r="R431" s="702">
        <v>0</v>
      </c>
      <c r="S431" s="702">
        <v>0</v>
      </c>
    </row>
    <row r="432" spans="1:19" s="426" customFormat="1">
      <c r="A432" s="820" t="s">
        <v>346</v>
      </c>
      <c r="B432" s="746" t="s">
        <v>528</v>
      </c>
      <c r="C432" s="875">
        <v>0</v>
      </c>
      <c r="D432" s="875">
        <v>0</v>
      </c>
      <c r="E432" s="875">
        <v>0</v>
      </c>
      <c r="F432" s="875">
        <v>0</v>
      </c>
      <c r="G432" s="875">
        <v>0</v>
      </c>
      <c r="H432" s="875">
        <v>0</v>
      </c>
      <c r="I432" s="875">
        <v>0</v>
      </c>
      <c r="J432" s="875">
        <v>0</v>
      </c>
      <c r="K432" s="875">
        <v>0</v>
      </c>
      <c r="L432" s="875">
        <v>0</v>
      </c>
      <c r="M432" s="875">
        <v>0</v>
      </c>
      <c r="N432" s="875">
        <v>0</v>
      </c>
      <c r="O432" s="875">
        <v>0</v>
      </c>
      <c r="P432" s="875">
        <v>0</v>
      </c>
      <c r="Q432" s="875">
        <v>0</v>
      </c>
      <c r="R432" s="875">
        <v>0</v>
      </c>
      <c r="S432" s="875">
        <v>0</v>
      </c>
    </row>
    <row r="433" spans="1:19" s="426" customFormat="1">
      <c r="A433" s="829" t="s">
        <v>13</v>
      </c>
      <c r="B433" s="746"/>
      <c r="C433" s="702">
        <v>0</v>
      </c>
      <c r="D433" s="702">
        <v>0</v>
      </c>
      <c r="E433" s="702">
        <v>0</v>
      </c>
      <c r="F433" s="702">
        <v>0</v>
      </c>
      <c r="G433" s="702">
        <v>0</v>
      </c>
      <c r="H433" s="702">
        <v>0</v>
      </c>
      <c r="I433" s="702">
        <v>0</v>
      </c>
      <c r="J433" s="702">
        <v>0</v>
      </c>
      <c r="K433" s="702">
        <v>0</v>
      </c>
      <c r="L433" s="702">
        <v>0</v>
      </c>
      <c r="M433" s="702">
        <v>0</v>
      </c>
      <c r="N433" s="702">
        <v>0</v>
      </c>
      <c r="O433" s="702">
        <v>0</v>
      </c>
      <c r="P433" s="702">
        <v>0</v>
      </c>
      <c r="Q433" s="702">
        <v>0</v>
      </c>
      <c r="R433" s="702">
        <v>0</v>
      </c>
      <c r="S433" s="702">
        <v>0</v>
      </c>
    </row>
    <row r="434" spans="1:19" s="426" customFormat="1">
      <c r="A434" s="818" t="s">
        <v>146</v>
      </c>
      <c r="B434" s="746" t="s">
        <v>313</v>
      </c>
      <c r="C434" s="875">
        <v>20000</v>
      </c>
      <c r="D434" s="875">
        <v>0</v>
      </c>
      <c r="E434" s="875">
        <v>0</v>
      </c>
      <c r="F434" s="875">
        <v>0</v>
      </c>
      <c r="G434" s="875">
        <v>0</v>
      </c>
      <c r="H434" s="875">
        <v>0</v>
      </c>
      <c r="I434" s="875">
        <v>0</v>
      </c>
      <c r="J434" s="875">
        <v>0</v>
      </c>
      <c r="K434" s="875">
        <v>0</v>
      </c>
      <c r="L434" s="875">
        <v>0</v>
      </c>
      <c r="M434" s="875">
        <v>0</v>
      </c>
      <c r="N434" s="875">
        <v>0</v>
      </c>
      <c r="O434" s="875">
        <v>0</v>
      </c>
      <c r="P434" s="875">
        <v>0</v>
      </c>
      <c r="Q434" s="875">
        <v>0</v>
      </c>
      <c r="R434" s="875">
        <v>0</v>
      </c>
      <c r="S434" s="875">
        <v>0</v>
      </c>
    </row>
    <row r="435" spans="1:19" s="426" customFormat="1">
      <c r="A435" s="830" t="s">
        <v>13</v>
      </c>
      <c r="B435" s="746"/>
      <c r="C435" s="720">
        <v>20000</v>
      </c>
      <c r="D435" s="720">
        <v>0</v>
      </c>
      <c r="E435" s="720">
        <v>0</v>
      </c>
      <c r="F435" s="720">
        <v>0</v>
      </c>
      <c r="G435" s="720">
        <v>0</v>
      </c>
      <c r="H435" s="720">
        <v>0</v>
      </c>
      <c r="I435" s="720">
        <v>0</v>
      </c>
      <c r="J435" s="720">
        <v>0</v>
      </c>
      <c r="K435" s="720">
        <v>0</v>
      </c>
      <c r="L435" s="720">
        <v>0</v>
      </c>
      <c r="M435" s="720">
        <v>0</v>
      </c>
      <c r="N435" s="720">
        <v>0</v>
      </c>
      <c r="O435" s="720">
        <v>0</v>
      </c>
      <c r="P435" s="720">
        <v>0</v>
      </c>
      <c r="Q435" s="720">
        <v>0</v>
      </c>
      <c r="R435" s="720">
        <v>0</v>
      </c>
      <c r="S435" s="720">
        <v>0</v>
      </c>
    </row>
    <row r="436" spans="1:19">
      <c r="A436" s="28" t="s">
        <v>147</v>
      </c>
      <c r="B436" s="746" t="s">
        <v>314</v>
      </c>
      <c r="C436" s="875">
        <v>0</v>
      </c>
      <c r="D436" s="875">
        <v>0</v>
      </c>
      <c r="E436" s="875">
        <v>0</v>
      </c>
      <c r="F436" s="875">
        <v>0</v>
      </c>
      <c r="G436" s="875">
        <v>0</v>
      </c>
      <c r="H436" s="875">
        <v>0</v>
      </c>
      <c r="I436" s="875">
        <v>0</v>
      </c>
      <c r="J436" s="875">
        <v>0</v>
      </c>
      <c r="K436" s="875">
        <v>0</v>
      </c>
      <c r="L436" s="875">
        <v>0</v>
      </c>
      <c r="M436" s="875">
        <v>0</v>
      </c>
      <c r="N436" s="875">
        <v>0</v>
      </c>
      <c r="O436" s="875">
        <v>0</v>
      </c>
      <c r="P436" s="875">
        <v>0</v>
      </c>
      <c r="Q436" s="875">
        <v>0</v>
      </c>
      <c r="R436" s="875">
        <v>0</v>
      </c>
      <c r="S436" s="875">
        <v>0</v>
      </c>
    </row>
    <row r="437" spans="1:19" s="426" customFormat="1">
      <c r="A437" s="830" t="s">
        <v>13</v>
      </c>
      <c r="B437" s="746"/>
      <c r="C437" s="702">
        <v>0</v>
      </c>
      <c r="D437" s="702">
        <v>0</v>
      </c>
      <c r="E437" s="702">
        <v>0</v>
      </c>
      <c r="F437" s="702">
        <v>0</v>
      </c>
      <c r="G437" s="702">
        <v>0</v>
      </c>
      <c r="H437" s="702">
        <v>0</v>
      </c>
      <c r="I437" s="702">
        <v>0</v>
      </c>
      <c r="J437" s="702">
        <v>0</v>
      </c>
      <c r="K437" s="702">
        <v>0</v>
      </c>
      <c r="L437" s="702">
        <v>0</v>
      </c>
      <c r="M437" s="702">
        <v>0</v>
      </c>
      <c r="N437" s="702">
        <v>0</v>
      </c>
      <c r="O437" s="702">
        <v>0</v>
      </c>
      <c r="P437" s="702">
        <v>0</v>
      </c>
      <c r="Q437" s="702">
        <v>0</v>
      </c>
      <c r="R437" s="702">
        <v>0</v>
      </c>
      <c r="S437" s="702">
        <v>0</v>
      </c>
    </row>
    <row r="438" spans="1:19" s="426" customFormat="1">
      <c r="A438" s="825" t="s">
        <v>230</v>
      </c>
      <c r="B438" s="746" t="s">
        <v>315</v>
      </c>
      <c r="C438" s="875">
        <v>0</v>
      </c>
      <c r="D438" s="875">
        <v>0</v>
      </c>
      <c r="E438" s="875">
        <v>0</v>
      </c>
      <c r="F438" s="875">
        <v>0</v>
      </c>
      <c r="G438" s="875">
        <v>19000</v>
      </c>
      <c r="H438" s="875">
        <v>0</v>
      </c>
      <c r="I438" s="875">
        <v>0</v>
      </c>
      <c r="J438" s="875">
        <v>0</v>
      </c>
      <c r="K438" s="875">
        <v>0</v>
      </c>
      <c r="L438" s="875">
        <v>0</v>
      </c>
      <c r="M438" s="875">
        <v>0</v>
      </c>
      <c r="N438" s="875">
        <v>0</v>
      </c>
      <c r="O438" s="875">
        <v>0</v>
      </c>
      <c r="P438" s="875">
        <v>0</v>
      </c>
      <c r="Q438" s="875">
        <v>0</v>
      </c>
      <c r="R438" s="875">
        <v>0</v>
      </c>
      <c r="S438" s="875">
        <v>0</v>
      </c>
    </row>
    <row r="439" spans="1:19" s="426" customFormat="1">
      <c r="A439" s="830" t="s">
        <v>13</v>
      </c>
      <c r="B439" s="746"/>
      <c r="C439" s="702">
        <v>19000</v>
      </c>
      <c r="D439" s="702">
        <v>19000</v>
      </c>
      <c r="E439" s="702">
        <v>19000</v>
      </c>
      <c r="F439" s="702">
        <v>19000</v>
      </c>
      <c r="G439" s="702">
        <v>19000</v>
      </c>
      <c r="H439" s="702">
        <v>0</v>
      </c>
      <c r="I439" s="702">
        <v>0</v>
      </c>
      <c r="J439" s="702">
        <v>0</v>
      </c>
      <c r="K439" s="702">
        <v>0</v>
      </c>
      <c r="L439" s="702">
        <v>0</v>
      </c>
      <c r="M439" s="702">
        <v>0</v>
      </c>
      <c r="N439" s="702">
        <v>0</v>
      </c>
      <c r="O439" s="702">
        <v>0</v>
      </c>
      <c r="P439" s="702">
        <v>0</v>
      </c>
      <c r="Q439" s="702">
        <v>0</v>
      </c>
      <c r="R439" s="702">
        <v>0</v>
      </c>
      <c r="S439" s="702">
        <v>0</v>
      </c>
    </row>
    <row r="440" spans="1:19" s="426" customFormat="1">
      <c r="A440" s="825" t="s">
        <v>231</v>
      </c>
      <c r="B440" s="746" t="s">
        <v>316</v>
      </c>
      <c r="C440" s="875">
        <v>0</v>
      </c>
      <c r="D440" s="875">
        <v>0</v>
      </c>
      <c r="E440" s="875">
        <v>0</v>
      </c>
      <c r="F440" s="875">
        <v>0</v>
      </c>
      <c r="G440" s="875">
        <v>0</v>
      </c>
      <c r="H440" s="875">
        <v>0</v>
      </c>
      <c r="I440" s="875">
        <v>0</v>
      </c>
      <c r="J440" s="875">
        <v>0</v>
      </c>
      <c r="K440" s="875">
        <v>0</v>
      </c>
      <c r="L440" s="875">
        <v>0</v>
      </c>
      <c r="M440" s="875">
        <v>0</v>
      </c>
      <c r="N440" s="875">
        <v>0</v>
      </c>
      <c r="O440" s="875">
        <v>0</v>
      </c>
      <c r="P440" s="875">
        <v>0</v>
      </c>
      <c r="Q440" s="875">
        <v>0</v>
      </c>
      <c r="R440" s="875">
        <v>0</v>
      </c>
      <c r="S440" s="875">
        <v>0</v>
      </c>
    </row>
    <row r="441" spans="1:19" s="426" customFormat="1">
      <c r="A441" s="830" t="s">
        <v>13</v>
      </c>
      <c r="B441" s="746"/>
      <c r="C441" s="702">
        <v>0</v>
      </c>
      <c r="D441" s="702">
        <v>0</v>
      </c>
      <c r="E441" s="702">
        <v>0</v>
      </c>
      <c r="F441" s="702">
        <v>0</v>
      </c>
      <c r="G441" s="702">
        <v>0</v>
      </c>
      <c r="H441" s="702">
        <v>0</v>
      </c>
      <c r="I441" s="702">
        <v>0</v>
      </c>
      <c r="J441" s="702">
        <v>0</v>
      </c>
      <c r="K441" s="702">
        <v>0</v>
      </c>
      <c r="L441" s="702">
        <v>0</v>
      </c>
      <c r="M441" s="702">
        <v>0</v>
      </c>
      <c r="N441" s="702">
        <v>0</v>
      </c>
      <c r="O441" s="702">
        <v>0</v>
      </c>
      <c r="P441" s="702">
        <v>0</v>
      </c>
      <c r="Q441" s="702">
        <v>0</v>
      </c>
      <c r="R441" s="702">
        <v>0</v>
      </c>
      <c r="S441" s="702">
        <v>0</v>
      </c>
    </row>
    <row r="442" spans="1:19" s="426" customFormat="1">
      <c r="A442" s="825" t="s">
        <v>232</v>
      </c>
      <c r="B442" s="746" t="s">
        <v>317</v>
      </c>
      <c r="C442" s="875">
        <v>10000</v>
      </c>
      <c r="D442" s="875">
        <v>0</v>
      </c>
      <c r="E442" s="875">
        <v>0</v>
      </c>
      <c r="F442" s="875">
        <v>0</v>
      </c>
      <c r="G442" s="875">
        <v>0</v>
      </c>
      <c r="H442" s="875">
        <v>6000</v>
      </c>
      <c r="I442" s="875">
        <v>0</v>
      </c>
      <c r="J442" s="875">
        <v>0</v>
      </c>
      <c r="K442" s="875">
        <v>0</v>
      </c>
      <c r="L442" s="875">
        <v>0</v>
      </c>
      <c r="M442" s="875">
        <v>0</v>
      </c>
      <c r="N442" s="875">
        <v>5000</v>
      </c>
      <c r="O442" s="875">
        <v>0</v>
      </c>
      <c r="P442" s="875">
        <v>0</v>
      </c>
      <c r="Q442" s="875">
        <v>0</v>
      </c>
      <c r="R442" s="875">
        <v>0</v>
      </c>
      <c r="S442" s="875">
        <v>0</v>
      </c>
    </row>
    <row r="443" spans="1:19" s="426" customFormat="1">
      <c r="A443" s="830" t="s">
        <v>13</v>
      </c>
      <c r="B443" s="746"/>
      <c r="C443" s="702">
        <v>21000</v>
      </c>
      <c r="D443" s="702">
        <v>11000</v>
      </c>
      <c r="E443" s="702">
        <v>11000</v>
      </c>
      <c r="F443" s="702">
        <v>11000</v>
      </c>
      <c r="G443" s="702">
        <v>11000</v>
      </c>
      <c r="H443" s="702">
        <v>11000</v>
      </c>
      <c r="I443" s="702">
        <v>5000</v>
      </c>
      <c r="J443" s="702">
        <v>5000</v>
      </c>
      <c r="K443" s="702">
        <v>5000</v>
      </c>
      <c r="L443" s="702">
        <v>5000</v>
      </c>
      <c r="M443" s="702">
        <v>5000</v>
      </c>
      <c r="N443" s="702">
        <v>5000</v>
      </c>
      <c r="O443" s="702">
        <v>0</v>
      </c>
      <c r="P443" s="702">
        <v>0</v>
      </c>
      <c r="Q443" s="702">
        <v>0</v>
      </c>
      <c r="R443" s="702">
        <v>0</v>
      </c>
      <c r="S443" s="702">
        <v>0</v>
      </c>
    </row>
    <row r="444" spans="1:19" s="426" customFormat="1">
      <c r="A444" s="825" t="s">
        <v>233</v>
      </c>
      <c r="B444" s="746" t="s">
        <v>318</v>
      </c>
      <c r="C444" s="875">
        <v>0</v>
      </c>
      <c r="D444" s="875">
        <v>0</v>
      </c>
      <c r="E444" s="875">
        <v>0</v>
      </c>
      <c r="F444" s="875">
        <v>0</v>
      </c>
      <c r="G444" s="875">
        <v>0</v>
      </c>
      <c r="H444" s="875">
        <v>0</v>
      </c>
      <c r="I444" s="875">
        <v>0</v>
      </c>
      <c r="J444" s="875">
        <v>0</v>
      </c>
      <c r="K444" s="875">
        <v>0</v>
      </c>
      <c r="L444" s="875">
        <v>0</v>
      </c>
      <c r="M444" s="875">
        <v>0</v>
      </c>
      <c r="N444" s="875">
        <v>0</v>
      </c>
      <c r="O444" s="875">
        <v>0</v>
      </c>
      <c r="P444" s="875">
        <v>0</v>
      </c>
      <c r="Q444" s="875">
        <v>0</v>
      </c>
      <c r="R444" s="875">
        <v>0</v>
      </c>
      <c r="S444" s="875">
        <v>0</v>
      </c>
    </row>
    <row r="445" spans="1:19" s="426" customFormat="1">
      <c r="A445" s="830" t="s">
        <v>13</v>
      </c>
      <c r="B445" s="746"/>
      <c r="C445" s="702">
        <v>0</v>
      </c>
      <c r="D445" s="702">
        <v>0</v>
      </c>
      <c r="E445" s="702">
        <v>0</v>
      </c>
      <c r="F445" s="702">
        <v>0</v>
      </c>
      <c r="G445" s="702">
        <v>0</v>
      </c>
      <c r="H445" s="702">
        <v>0</v>
      </c>
      <c r="I445" s="702">
        <v>0</v>
      </c>
      <c r="J445" s="702">
        <v>0</v>
      </c>
      <c r="K445" s="702">
        <v>0</v>
      </c>
      <c r="L445" s="702">
        <v>0</v>
      </c>
      <c r="M445" s="702">
        <v>0</v>
      </c>
      <c r="N445" s="702">
        <v>0</v>
      </c>
      <c r="O445" s="702">
        <v>0</v>
      </c>
      <c r="P445" s="702">
        <v>0</v>
      </c>
      <c r="Q445" s="702">
        <v>0</v>
      </c>
      <c r="R445" s="702">
        <v>0</v>
      </c>
      <c r="S445" s="702">
        <v>0</v>
      </c>
    </row>
    <row r="446" spans="1:19" s="426" customFormat="1">
      <c r="A446" s="825" t="s">
        <v>234</v>
      </c>
      <c r="B446" s="746" t="s">
        <v>319</v>
      </c>
      <c r="C446" s="875">
        <v>0</v>
      </c>
      <c r="D446" s="875">
        <v>0</v>
      </c>
      <c r="E446" s="875">
        <v>0</v>
      </c>
      <c r="F446" s="875">
        <v>0</v>
      </c>
      <c r="G446" s="875">
        <v>0</v>
      </c>
      <c r="H446" s="875">
        <v>0</v>
      </c>
      <c r="I446" s="875">
        <v>0</v>
      </c>
      <c r="J446" s="875">
        <v>0</v>
      </c>
      <c r="K446" s="875">
        <v>0</v>
      </c>
      <c r="L446" s="875">
        <v>0</v>
      </c>
      <c r="M446" s="875">
        <v>0</v>
      </c>
      <c r="N446" s="875">
        <v>0</v>
      </c>
      <c r="O446" s="875">
        <v>0</v>
      </c>
      <c r="P446" s="875">
        <v>0</v>
      </c>
      <c r="Q446" s="875">
        <v>0</v>
      </c>
      <c r="R446" s="875">
        <v>0</v>
      </c>
      <c r="S446" s="875">
        <v>0</v>
      </c>
    </row>
    <row r="447" spans="1:19" s="426" customFormat="1">
      <c r="A447" s="830" t="s">
        <v>13</v>
      </c>
      <c r="B447" s="746"/>
      <c r="C447" s="702">
        <v>0</v>
      </c>
      <c r="D447" s="702">
        <v>0</v>
      </c>
      <c r="E447" s="702">
        <v>0</v>
      </c>
      <c r="F447" s="702">
        <v>0</v>
      </c>
      <c r="G447" s="702">
        <v>0</v>
      </c>
      <c r="H447" s="702">
        <v>0</v>
      </c>
      <c r="I447" s="702">
        <v>0</v>
      </c>
      <c r="J447" s="702">
        <v>0</v>
      </c>
      <c r="K447" s="702">
        <v>0</v>
      </c>
      <c r="L447" s="702">
        <v>0</v>
      </c>
      <c r="M447" s="702">
        <v>0</v>
      </c>
      <c r="N447" s="702">
        <v>0</v>
      </c>
      <c r="O447" s="702">
        <v>0</v>
      </c>
      <c r="P447" s="702">
        <v>0</v>
      </c>
      <c r="Q447" s="702">
        <v>0</v>
      </c>
      <c r="R447" s="702">
        <v>0</v>
      </c>
      <c r="S447" s="702">
        <v>0</v>
      </c>
    </row>
    <row r="448" spans="1:19" s="426" customFormat="1">
      <c r="A448" s="825" t="s">
        <v>235</v>
      </c>
      <c r="B448" s="746" t="s">
        <v>320</v>
      </c>
      <c r="C448" s="875">
        <v>0</v>
      </c>
      <c r="D448" s="875">
        <v>0</v>
      </c>
      <c r="E448" s="875">
        <v>0</v>
      </c>
      <c r="F448" s="875">
        <v>0</v>
      </c>
      <c r="G448" s="875">
        <v>0</v>
      </c>
      <c r="H448" s="875">
        <v>0</v>
      </c>
      <c r="I448" s="875">
        <v>0</v>
      </c>
      <c r="J448" s="875">
        <v>0</v>
      </c>
      <c r="K448" s="875">
        <v>0</v>
      </c>
      <c r="L448" s="875">
        <v>0</v>
      </c>
      <c r="M448" s="875">
        <v>0</v>
      </c>
      <c r="N448" s="875">
        <v>0</v>
      </c>
      <c r="O448" s="875">
        <v>0</v>
      </c>
      <c r="P448" s="875">
        <v>0</v>
      </c>
      <c r="Q448" s="875">
        <v>0</v>
      </c>
      <c r="R448" s="875">
        <v>0</v>
      </c>
      <c r="S448" s="875">
        <v>0</v>
      </c>
    </row>
    <row r="449" spans="1:19" s="426" customFormat="1">
      <c r="A449" s="830" t="s">
        <v>13</v>
      </c>
      <c r="B449" s="746"/>
      <c r="C449" s="702">
        <v>0</v>
      </c>
      <c r="D449" s="702">
        <v>0</v>
      </c>
      <c r="E449" s="702">
        <v>0</v>
      </c>
      <c r="F449" s="702">
        <v>0</v>
      </c>
      <c r="G449" s="702">
        <v>0</v>
      </c>
      <c r="H449" s="702">
        <v>0</v>
      </c>
      <c r="I449" s="702">
        <v>0</v>
      </c>
      <c r="J449" s="702">
        <v>0</v>
      </c>
      <c r="K449" s="702">
        <v>0</v>
      </c>
      <c r="L449" s="702">
        <v>0</v>
      </c>
      <c r="M449" s="702">
        <v>0</v>
      </c>
      <c r="N449" s="702">
        <v>0</v>
      </c>
      <c r="O449" s="702">
        <v>0</v>
      </c>
      <c r="P449" s="702">
        <v>0</v>
      </c>
      <c r="Q449" s="702">
        <v>0</v>
      </c>
      <c r="R449" s="702">
        <v>0</v>
      </c>
      <c r="S449" s="702">
        <v>0</v>
      </c>
    </row>
    <row r="450" spans="1:19" s="426" customFormat="1">
      <c r="A450" s="825" t="s">
        <v>236</v>
      </c>
      <c r="B450" s="746" t="s">
        <v>321</v>
      </c>
      <c r="C450" s="875">
        <v>0</v>
      </c>
      <c r="D450" s="875">
        <v>0</v>
      </c>
      <c r="E450" s="875">
        <v>0</v>
      </c>
      <c r="F450" s="875">
        <v>0</v>
      </c>
      <c r="G450" s="875">
        <v>0</v>
      </c>
      <c r="H450" s="875">
        <v>0</v>
      </c>
      <c r="I450" s="875">
        <v>0</v>
      </c>
      <c r="J450" s="875">
        <v>0</v>
      </c>
      <c r="K450" s="875">
        <v>0</v>
      </c>
      <c r="L450" s="875">
        <v>0</v>
      </c>
      <c r="M450" s="875">
        <v>0</v>
      </c>
      <c r="N450" s="875">
        <v>0</v>
      </c>
      <c r="O450" s="875">
        <v>0</v>
      </c>
      <c r="P450" s="875">
        <v>0</v>
      </c>
      <c r="Q450" s="875">
        <v>0</v>
      </c>
      <c r="R450" s="875">
        <v>0</v>
      </c>
      <c r="S450" s="875">
        <v>0</v>
      </c>
    </row>
    <row r="451" spans="1:19" s="426" customFormat="1">
      <c r="A451" s="830" t="s">
        <v>13</v>
      </c>
      <c r="B451" s="746"/>
      <c r="C451" s="702">
        <v>0</v>
      </c>
      <c r="D451" s="702">
        <v>0</v>
      </c>
      <c r="E451" s="702">
        <v>0</v>
      </c>
      <c r="F451" s="702">
        <v>0</v>
      </c>
      <c r="G451" s="702">
        <v>0</v>
      </c>
      <c r="H451" s="702">
        <v>0</v>
      </c>
      <c r="I451" s="702">
        <v>0</v>
      </c>
      <c r="J451" s="702">
        <v>0</v>
      </c>
      <c r="K451" s="702">
        <v>0</v>
      </c>
      <c r="L451" s="702">
        <v>0</v>
      </c>
      <c r="M451" s="702">
        <v>0</v>
      </c>
      <c r="N451" s="702">
        <v>0</v>
      </c>
      <c r="O451" s="702">
        <v>0</v>
      </c>
      <c r="P451" s="702">
        <v>0</v>
      </c>
      <c r="Q451" s="702">
        <v>0</v>
      </c>
      <c r="R451" s="702">
        <v>0</v>
      </c>
      <c r="S451" s="702">
        <v>0</v>
      </c>
    </row>
    <row r="452" spans="1:19">
      <c r="A452" s="825" t="s">
        <v>151</v>
      </c>
      <c r="B452" s="746"/>
      <c r="C452" s="875">
        <v>41000</v>
      </c>
      <c r="D452" s="875">
        <v>0</v>
      </c>
      <c r="E452" s="875">
        <v>0</v>
      </c>
      <c r="F452" s="875">
        <v>0</v>
      </c>
      <c r="G452" s="875">
        <v>19000</v>
      </c>
      <c r="H452" s="875">
        <v>6000</v>
      </c>
      <c r="I452" s="875">
        <v>0</v>
      </c>
      <c r="J452" s="875">
        <v>0</v>
      </c>
      <c r="K452" s="875">
        <v>0</v>
      </c>
      <c r="L452" s="875">
        <v>0</v>
      </c>
      <c r="M452" s="875">
        <v>0</v>
      </c>
      <c r="N452" s="875">
        <v>5000</v>
      </c>
      <c r="O452" s="875">
        <v>0</v>
      </c>
      <c r="P452" s="875">
        <v>0</v>
      </c>
      <c r="Q452" s="875">
        <v>0</v>
      </c>
      <c r="R452" s="875">
        <v>0</v>
      </c>
      <c r="S452" s="875">
        <v>0</v>
      </c>
    </row>
    <row r="453" spans="1:19" s="426" customFormat="1">
      <c r="A453" s="831" t="s">
        <v>13</v>
      </c>
      <c r="B453" s="792"/>
      <c r="C453" s="702">
        <v>71000</v>
      </c>
      <c r="D453" s="702">
        <v>30000</v>
      </c>
      <c r="E453" s="702">
        <v>30000</v>
      </c>
      <c r="F453" s="702">
        <v>30000</v>
      </c>
      <c r="G453" s="702">
        <v>30000</v>
      </c>
      <c r="H453" s="702">
        <v>11000</v>
      </c>
      <c r="I453" s="702">
        <v>5000</v>
      </c>
      <c r="J453" s="702">
        <v>5000</v>
      </c>
      <c r="K453" s="702">
        <v>5000</v>
      </c>
      <c r="L453" s="702">
        <v>5000</v>
      </c>
      <c r="M453" s="702">
        <v>5000</v>
      </c>
      <c r="N453" s="702">
        <v>5000</v>
      </c>
      <c r="O453" s="702">
        <v>0</v>
      </c>
      <c r="P453" s="702">
        <v>0</v>
      </c>
      <c r="Q453" s="702">
        <v>0</v>
      </c>
      <c r="R453" s="702">
        <v>0</v>
      </c>
      <c r="S453" s="702">
        <v>0</v>
      </c>
    </row>
    <row r="454" spans="1:19">
      <c r="A454" s="1"/>
      <c r="B454" s="748"/>
      <c r="C454" s="890"/>
      <c r="D454" s="890"/>
      <c r="E454" s="890"/>
      <c r="F454" s="890"/>
      <c r="G454" s="890"/>
      <c r="H454" s="890"/>
      <c r="I454" s="890"/>
      <c r="J454" s="890"/>
      <c r="K454" s="890"/>
      <c r="L454" s="890"/>
      <c r="M454" s="890"/>
      <c r="N454" s="890"/>
      <c r="O454" s="890"/>
      <c r="P454" s="890"/>
      <c r="Q454" s="890"/>
      <c r="R454" s="890"/>
      <c r="S454" s="890"/>
    </row>
    <row r="455" spans="1:19" s="426" customFormat="1">
      <c r="A455" s="29" t="s">
        <v>156</v>
      </c>
      <c r="B455" s="748"/>
      <c r="C455" s="891"/>
      <c r="D455" s="891"/>
      <c r="E455" s="891"/>
      <c r="F455" s="891"/>
      <c r="G455" s="891"/>
      <c r="H455" s="891"/>
      <c r="I455" s="891"/>
      <c r="J455" s="891"/>
      <c r="K455" s="891"/>
      <c r="L455" s="891"/>
      <c r="M455" s="891"/>
      <c r="N455" s="891"/>
      <c r="O455" s="891"/>
      <c r="P455" s="891"/>
      <c r="Q455" s="891"/>
      <c r="R455" s="891"/>
      <c r="S455" s="891"/>
    </row>
    <row r="456" spans="1:19">
      <c r="A456" s="28" t="s">
        <v>157</v>
      </c>
      <c r="B456" s="746"/>
      <c r="C456" s="875"/>
      <c r="D456" s="875"/>
      <c r="E456" s="875"/>
      <c r="F456" s="875"/>
      <c r="G456" s="875"/>
      <c r="H456" s="875"/>
      <c r="I456" s="875"/>
      <c r="J456" s="875"/>
      <c r="K456" s="875"/>
      <c r="L456" s="875"/>
      <c r="M456" s="875"/>
      <c r="N456" s="875"/>
      <c r="O456" s="875"/>
      <c r="P456" s="875"/>
      <c r="Q456" s="875"/>
      <c r="R456" s="875"/>
      <c r="S456" s="875"/>
    </row>
    <row r="457" spans="1:19">
      <c r="A457" s="28" t="s">
        <v>158</v>
      </c>
      <c r="B457" s="746" t="s">
        <v>322</v>
      </c>
      <c r="C457" s="875">
        <v>0</v>
      </c>
      <c r="D457" s="875">
        <v>0</v>
      </c>
      <c r="E457" s="875">
        <v>0</v>
      </c>
      <c r="F457" s="875">
        <v>0</v>
      </c>
      <c r="G457" s="875">
        <v>0</v>
      </c>
      <c r="H457" s="875">
        <v>0</v>
      </c>
      <c r="I457" s="875">
        <v>0</v>
      </c>
      <c r="J457" s="875">
        <v>3892000</v>
      </c>
      <c r="K457" s="875">
        <v>0</v>
      </c>
      <c r="L457" s="875">
        <v>0</v>
      </c>
      <c r="M457" s="875">
        <v>0</v>
      </c>
      <c r="N457" s="875">
        <v>0</v>
      </c>
      <c r="O457" s="875">
        <v>0</v>
      </c>
      <c r="P457" s="875">
        <v>0</v>
      </c>
      <c r="Q457" s="875">
        <v>0</v>
      </c>
      <c r="R457" s="875">
        <v>0</v>
      </c>
      <c r="S457" s="875">
        <v>0</v>
      </c>
    </row>
    <row r="458" spans="1:19" s="712" customFormat="1">
      <c r="A458" s="829" t="s">
        <v>13</v>
      </c>
      <c r="B458" s="780"/>
      <c r="C458" s="702">
        <v>3892000</v>
      </c>
      <c r="D458" s="702">
        <v>3892000</v>
      </c>
      <c r="E458" s="702">
        <v>3892000</v>
      </c>
      <c r="F458" s="702">
        <v>3892000</v>
      </c>
      <c r="G458" s="702">
        <v>3892000</v>
      </c>
      <c r="H458" s="702">
        <v>3892000</v>
      </c>
      <c r="I458" s="702">
        <v>3892000</v>
      </c>
      <c r="J458" s="702">
        <v>3892000</v>
      </c>
      <c r="K458" s="702">
        <v>0</v>
      </c>
      <c r="L458" s="702">
        <v>0</v>
      </c>
      <c r="M458" s="702">
        <v>0</v>
      </c>
      <c r="N458" s="702">
        <v>0</v>
      </c>
      <c r="O458" s="702">
        <v>0</v>
      </c>
      <c r="P458" s="702">
        <v>0</v>
      </c>
      <c r="Q458" s="702">
        <v>0</v>
      </c>
      <c r="R458" s="702">
        <v>0</v>
      </c>
      <c r="S458" s="702">
        <v>0</v>
      </c>
    </row>
    <row r="459" spans="1:19">
      <c r="A459" s="28" t="s">
        <v>159</v>
      </c>
      <c r="B459" s="746" t="s">
        <v>323</v>
      </c>
      <c r="C459" s="875">
        <v>0</v>
      </c>
      <c r="D459" s="875">
        <v>0</v>
      </c>
      <c r="E459" s="875">
        <v>0</v>
      </c>
      <c r="F459" s="875">
        <v>0</v>
      </c>
      <c r="G459" s="875">
        <v>0</v>
      </c>
      <c r="H459" s="875">
        <v>0</v>
      </c>
      <c r="I459" s="875">
        <v>0</v>
      </c>
      <c r="J459" s="875">
        <v>0</v>
      </c>
      <c r="K459" s="875">
        <v>0</v>
      </c>
      <c r="L459" s="875">
        <v>0</v>
      </c>
      <c r="M459" s="875">
        <v>0</v>
      </c>
      <c r="N459" s="875">
        <v>0</v>
      </c>
      <c r="O459" s="875">
        <v>0</v>
      </c>
      <c r="P459" s="875">
        <v>0</v>
      </c>
      <c r="Q459" s="875">
        <v>0</v>
      </c>
      <c r="R459" s="875">
        <v>0</v>
      </c>
      <c r="S459" s="875">
        <v>0</v>
      </c>
    </row>
    <row r="460" spans="1:19" s="712" customFormat="1">
      <c r="A460" s="829" t="s">
        <v>13</v>
      </c>
      <c r="B460" s="780"/>
      <c r="C460" s="702">
        <v>0</v>
      </c>
      <c r="D460" s="702">
        <v>0</v>
      </c>
      <c r="E460" s="702">
        <v>0</v>
      </c>
      <c r="F460" s="702">
        <v>0</v>
      </c>
      <c r="G460" s="702">
        <v>0</v>
      </c>
      <c r="H460" s="702">
        <v>0</v>
      </c>
      <c r="I460" s="702">
        <v>0</v>
      </c>
      <c r="J460" s="702">
        <v>0</v>
      </c>
      <c r="K460" s="702">
        <v>0</v>
      </c>
      <c r="L460" s="702">
        <v>0</v>
      </c>
      <c r="M460" s="702">
        <v>0</v>
      </c>
      <c r="N460" s="702">
        <v>0</v>
      </c>
      <c r="O460" s="702">
        <v>0</v>
      </c>
      <c r="P460" s="702">
        <v>0</v>
      </c>
      <c r="Q460" s="702">
        <v>0</v>
      </c>
      <c r="R460" s="702">
        <v>0</v>
      </c>
      <c r="S460" s="702">
        <v>0</v>
      </c>
    </row>
    <row r="461" spans="1:19" s="265" customFormat="1">
      <c r="A461" s="820" t="s">
        <v>151</v>
      </c>
      <c r="B461" s="832"/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3892000</v>
      </c>
      <c r="K461" s="875">
        <v>0</v>
      </c>
      <c r="L461" s="875">
        <v>0</v>
      </c>
      <c r="M461" s="875">
        <v>0</v>
      </c>
      <c r="N461" s="875">
        <v>0</v>
      </c>
      <c r="O461" s="875">
        <v>0</v>
      </c>
      <c r="P461" s="875">
        <v>0</v>
      </c>
      <c r="Q461" s="875">
        <v>0</v>
      </c>
      <c r="R461" s="875">
        <v>0</v>
      </c>
      <c r="S461" s="875">
        <v>0</v>
      </c>
    </row>
    <row r="462" spans="1:19">
      <c r="A462" s="830" t="s">
        <v>13</v>
      </c>
      <c r="B462" s="746"/>
      <c r="C462" s="720">
        <v>3892000</v>
      </c>
      <c r="D462" s="720">
        <v>3892000</v>
      </c>
      <c r="E462" s="720">
        <v>3892000</v>
      </c>
      <c r="F462" s="720">
        <v>3892000</v>
      </c>
      <c r="G462" s="720">
        <v>3892000</v>
      </c>
      <c r="H462" s="720">
        <v>3892000</v>
      </c>
      <c r="I462" s="720">
        <v>3892000</v>
      </c>
      <c r="J462" s="720">
        <v>3892000</v>
      </c>
      <c r="K462" s="720">
        <v>0</v>
      </c>
      <c r="L462" s="720">
        <v>0</v>
      </c>
      <c r="M462" s="720">
        <v>0</v>
      </c>
      <c r="N462" s="720">
        <v>0</v>
      </c>
      <c r="O462" s="720">
        <v>0</v>
      </c>
      <c r="P462" s="720">
        <v>0</v>
      </c>
      <c r="Q462" s="720">
        <v>0</v>
      </c>
      <c r="R462" s="720">
        <v>0</v>
      </c>
      <c r="S462" s="720">
        <v>0</v>
      </c>
    </row>
    <row r="463" spans="1:19">
      <c r="A463" s="833" t="s">
        <v>167</v>
      </c>
      <c r="B463" s="746"/>
      <c r="C463" s="720">
        <v>-3892000</v>
      </c>
      <c r="D463" s="720">
        <v>-3892000</v>
      </c>
      <c r="E463" s="720">
        <v>-3892000</v>
      </c>
      <c r="F463" s="720">
        <v>-3892000</v>
      </c>
      <c r="G463" s="720">
        <v>-3892000</v>
      </c>
      <c r="H463" s="720">
        <v>-3892000</v>
      </c>
      <c r="I463" s="720">
        <v>-3892000</v>
      </c>
      <c r="J463" s="720">
        <v>-3892000</v>
      </c>
      <c r="K463" s="720">
        <v>0</v>
      </c>
      <c r="L463" s="720">
        <v>0</v>
      </c>
      <c r="M463" s="720">
        <v>0</v>
      </c>
      <c r="N463" s="720">
        <v>0</v>
      </c>
      <c r="O463" s="720">
        <v>0</v>
      </c>
      <c r="P463" s="720">
        <v>0</v>
      </c>
      <c r="Q463" s="720">
        <v>0</v>
      </c>
      <c r="R463" s="720">
        <v>0</v>
      </c>
      <c r="S463" s="720">
        <v>0</v>
      </c>
    </row>
    <row r="464" spans="1:19">
      <c r="A464" s="834"/>
      <c r="B464" s="748"/>
      <c r="C464" s="892"/>
      <c r="D464" s="892"/>
      <c r="E464" s="892"/>
      <c r="F464" s="892"/>
      <c r="G464" s="892"/>
      <c r="H464" s="892"/>
      <c r="I464" s="892"/>
      <c r="J464" s="892"/>
      <c r="K464" s="892"/>
      <c r="L464" s="892"/>
      <c r="M464" s="892"/>
      <c r="N464" s="892"/>
      <c r="O464" s="892"/>
      <c r="P464" s="892"/>
      <c r="Q464" s="892"/>
      <c r="R464" s="892"/>
      <c r="S464" s="892"/>
    </row>
    <row r="465" spans="1:19">
      <c r="A465" s="834" t="s">
        <v>364</v>
      </c>
      <c r="B465" s="748"/>
      <c r="C465" s="892">
        <v>0</v>
      </c>
      <c r="D465" s="892">
        <v>0</v>
      </c>
      <c r="E465" s="892">
        <v>200000</v>
      </c>
      <c r="F465" s="892">
        <v>0</v>
      </c>
      <c r="G465" s="892">
        <v>0</v>
      </c>
      <c r="H465" s="892">
        <v>275000</v>
      </c>
      <c r="I465" s="892">
        <v>0</v>
      </c>
      <c r="J465" s="892">
        <v>0</v>
      </c>
      <c r="K465" s="892">
        <v>0</v>
      </c>
      <c r="L465" s="892">
        <v>300000</v>
      </c>
      <c r="M465" s="892">
        <v>0</v>
      </c>
      <c r="N465" s="892">
        <v>0</v>
      </c>
      <c r="O465" s="892">
        <v>0</v>
      </c>
      <c r="P465" s="892">
        <v>0</v>
      </c>
      <c r="Q465" s="892">
        <v>0</v>
      </c>
      <c r="R465" s="892">
        <v>0</v>
      </c>
      <c r="S465" s="892">
        <v>0</v>
      </c>
    </row>
    <row r="466" spans="1:19">
      <c r="A466" s="835" t="s">
        <v>13</v>
      </c>
      <c r="B466" s="748"/>
      <c r="C466" s="720">
        <v>775000</v>
      </c>
      <c r="D466" s="720">
        <v>775000</v>
      </c>
      <c r="E466" s="720">
        <v>775000</v>
      </c>
      <c r="F466" s="720">
        <v>575000</v>
      </c>
      <c r="G466" s="720">
        <v>575000</v>
      </c>
      <c r="H466" s="720">
        <v>575000</v>
      </c>
      <c r="I466" s="720">
        <v>300000</v>
      </c>
      <c r="J466" s="720">
        <v>300000</v>
      </c>
      <c r="K466" s="720">
        <v>300000</v>
      </c>
      <c r="L466" s="720">
        <v>300000</v>
      </c>
      <c r="M466" s="720">
        <v>0</v>
      </c>
      <c r="N466" s="720">
        <v>0</v>
      </c>
      <c r="O466" s="720">
        <v>0</v>
      </c>
      <c r="P466" s="720">
        <v>0</v>
      </c>
      <c r="Q466" s="720">
        <v>0</v>
      </c>
      <c r="R466" s="720">
        <v>0</v>
      </c>
      <c r="S466" s="720">
        <v>0</v>
      </c>
    </row>
    <row r="467" spans="1:19">
      <c r="A467" s="836" t="s">
        <v>365</v>
      </c>
      <c r="B467" s="748" t="s">
        <v>529</v>
      </c>
      <c r="C467" s="892">
        <v>0</v>
      </c>
      <c r="D467" s="892">
        <v>0</v>
      </c>
      <c r="E467" s="892">
        <v>0</v>
      </c>
      <c r="F467" s="892">
        <v>0</v>
      </c>
      <c r="G467" s="892">
        <v>0</v>
      </c>
      <c r="H467" s="892">
        <v>0</v>
      </c>
      <c r="I467" s="892">
        <v>0</v>
      </c>
      <c r="J467" s="892">
        <v>0</v>
      </c>
      <c r="K467" s="892">
        <v>0</v>
      </c>
      <c r="L467" s="892">
        <v>300000</v>
      </c>
      <c r="M467" s="892">
        <v>0</v>
      </c>
      <c r="N467" s="892">
        <v>0</v>
      </c>
      <c r="O467" s="892">
        <v>0</v>
      </c>
      <c r="P467" s="892">
        <v>0</v>
      </c>
      <c r="Q467" s="892">
        <v>0</v>
      </c>
      <c r="R467" s="892">
        <v>0</v>
      </c>
      <c r="S467" s="892">
        <v>0</v>
      </c>
    </row>
    <row r="468" spans="1:19">
      <c r="A468" s="835" t="s">
        <v>13</v>
      </c>
      <c r="B468" s="748"/>
      <c r="C468" s="720">
        <v>300000</v>
      </c>
      <c r="D468" s="720">
        <v>300000</v>
      </c>
      <c r="E468" s="720">
        <v>300000</v>
      </c>
      <c r="F468" s="720">
        <v>300000</v>
      </c>
      <c r="G468" s="720">
        <v>300000</v>
      </c>
      <c r="H468" s="720">
        <v>300000</v>
      </c>
      <c r="I468" s="720">
        <v>300000</v>
      </c>
      <c r="J468" s="720">
        <v>300000</v>
      </c>
      <c r="K468" s="720">
        <v>300000</v>
      </c>
      <c r="L468" s="720">
        <v>300000</v>
      </c>
      <c r="M468" s="720">
        <v>0</v>
      </c>
      <c r="N468" s="720">
        <v>0</v>
      </c>
      <c r="O468" s="720">
        <v>0</v>
      </c>
      <c r="P468" s="720">
        <v>0</v>
      </c>
      <c r="Q468" s="720">
        <v>0</v>
      </c>
      <c r="R468" s="720">
        <v>0</v>
      </c>
      <c r="S468" s="720">
        <v>0</v>
      </c>
    </row>
    <row r="469" spans="1:19">
      <c r="A469" s="836" t="s">
        <v>366</v>
      </c>
      <c r="B469" s="748" t="s">
        <v>530</v>
      </c>
      <c r="C469" s="892">
        <v>0</v>
      </c>
      <c r="D469" s="892">
        <v>0</v>
      </c>
      <c r="E469" s="892">
        <v>200000</v>
      </c>
      <c r="F469" s="892">
        <v>0</v>
      </c>
      <c r="G469" s="892">
        <v>0</v>
      </c>
      <c r="H469" s="892">
        <v>275000</v>
      </c>
      <c r="I469" s="892">
        <v>0</v>
      </c>
      <c r="J469" s="892">
        <v>0</v>
      </c>
      <c r="K469" s="892">
        <v>0</v>
      </c>
      <c r="L469" s="892">
        <v>0</v>
      </c>
      <c r="M469" s="892">
        <v>0</v>
      </c>
      <c r="N469" s="892">
        <v>0</v>
      </c>
      <c r="O469" s="892">
        <v>0</v>
      </c>
      <c r="P469" s="892">
        <v>0</v>
      </c>
      <c r="Q469" s="892">
        <v>0</v>
      </c>
      <c r="R469" s="892">
        <v>0</v>
      </c>
      <c r="S469" s="892">
        <v>0</v>
      </c>
    </row>
    <row r="470" spans="1:19">
      <c r="A470" s="835" t="s">
        <v>13</v>
      </c>
      <c r="B470" s="748"/>
      <c r="C470" s="720">
        <v>475000</v>
      </c>
      <c r="D470" s="720">
        <v>475000</v>
      </c>
      <c r="E470" s="720">
        <v>475000</v>
      </c>
      <c r="F470" s="720">
        <v>275000</v>
      </c>
      <c r="G470" s="720">
        <v>275000</v>
      </c>
      <c r="H470" s="720">
        <v>275000</v>
      </c>
      <c r="I470" s="720">
        <v>0</v>
      </c>
      <c r="J470" s="720">
        <v>0</v>
      </c>
      <c r="K470" s="720">
        <v>0</v>
      </c>
      <c r="L470" s="720">
        <v>0</v>
      </c>
      <c r="M470" s="720">
        <v>0</v>
      </c>
      <c r="N470" s="720">
        <v>0</v>
      </c>
      <c r="O470" s="720">
        <v>0</v>
      </c>
      <c r="P470" s="720">
        <v>0</v>
      </c>
      <c r="Q470" s="720">
        <v>0</v>
      </c>
      <c r="R470" s="720">
        <v>0</v>
      </c>
      <c r="S470" s="720">
        <v>0</v>
      </c>
    </row>
    <row r="471" spans="1:19">
      <c r="A471" s="834"/>
      <c r="B471" s="748"/>
      <c r="C471" s="892"/>
      <c r="D471" s="892"/>
      <c r="E471" s="892"/>
      <c r="F471" s="892"/>
      <c r="G471" s="892"/>
      <c r="H471" s="892"/>
      <c r="I471" s="892"/>
      <c r="J471" s="892"/>
      <c r="K471" s="892"/>
      <c r="L471" s="892"/>
      <c r="M471" s="892"/>
      <c r="N471" s="892"/>
      <c r="O471" s="892"/>
      <c r="P471" s="892"/>
      <c r="Q471" s="892"/>
      <c r="R471" s="892"/>
      <c r="S471" s="892"/>
    </row>
    <row r="472" spans="1:19">
      <c r="A472" s="834" t="s">
        <v>187</v>
      </c>
      <c r="B472" s="748" t="s">
        <v>531</v>
      </c>
      <c r="C472" s="892">
        <v>0</v>
      </c>
      <c r="D472" s="892">
        <v>0</v>
      </c>
      <c r="E472" s="892">
        <v>0</v>
      </c>
      <c r="F472" s="892">
        <v>0</v>
      </c>
      <c r="G472" s="892">
        <v>0</v>
      </c>
      <c r="H472" s="892">
        <v>0</v>
      </c>
      <c r="I472" s="892">
        <v>0</v>
      </c>
      <c r="J472" s="892">
        <v>0</v>
      </c>
      <c r="K472" s="892">
        <v>0</v>
      </c>
      <c r="L472" s="892">
        <v>0</v>
      </c>
      <c r="M472" s="892">
        <v>0</v>
      </c>
      <c r="N472" s="892">
        <v>0</v>
      </c>
      <c r="O472" s="892">
        <v>0</v>
      </c>
      <c r="P472" s="892">
        <v>0</v>
      </c>
      <c r="Q472" s="892">
        <v>0</v>
      </c>
      <c r="R472" s="892">
        <v>0</v>
      </c>
      <c r="S472" s="892">
        <v>0</v>
      </c>
    </row>
    <row r="473" spans="1:19">
      <c r="A473" s="834" t="s">
        <v>13</v>
      </c>
      <c r="B473" s="748"/>
      <c r="C473" s="720">
        <v>0</v>
      </c>
      <c r="D473" s="720">
        <v>0</v>
      </c>
      <c r="E473" s="720">
        <v>0</v>
      </c>
      <c r="F473" s="720">
        <v>0</v>
      </c>
      <c r="G473" s="720">
        <v>0</v>
      </c>
      <c r="H473" s="720">
        <v>0</v>
      </c>
      <c r="I473" s="720">
        <v>0</v>
      </c>
      <c r="J473" s="720">
        <v>0</v>
      </c>
      <c r="K473" s="720"/>
      <c r="L473" s="720">
        <v>0</v>
      </c>
      <c r="M473" s="720">
        <v>0</v>
      </c>
      <c r="N473" s="720">
        <v>0</v>
      </c>
      <c r="O473" s="720">
        <v>0</v>
      </c>
      <c r="P473" s="720">
        <v>0</v>
      </c>
      <c r="Q473" s="720">
        <v>0</v>
      </c>
      <c r="R473" s="720">
        <v>0</v>
      </c>
      <c r="S473" s="720">
        <v>0</v>
      </c>
    </row>
    <row r="474" spans="1:19">
      <c r="A474" s="1"/>
      <c r="B474" s="748"/>
      <c r="C474" s="890"/>
      <c r="D474" s="890"/>
      <c r="E474" s="890"/>
      <c r="F474" s="890"/>
      <c r="G474" s="890"/>
      <c r="H474" s="890"/>
      <c r="I474" s="890"/>
      <c r="J474" s="890"/>
      <c r="K474" s="890"/>
      <c r="L474" s="890"/>
      <c r="M474" s="890"/>
      <c r="N474" s="890"/>
      <c r="O474" s="890"/>
      <c r="P474" s="890"/>
      <c r="Q474" s="890"/>
      <c r="R474" s="890"/>
      <c r="S474" s="890"/>
    </row>
    <row r="475" spans="1:19">
      <c r="A475" s="11" t="s">
        <v>100</v>
      </c>
      <c r="B475" s="792"/>
      <c r="C475" s="880">
        <v>5942846</v>
      </c>
      <c r="D475" s="880">
        <v>9136499</v>
      </c>
      <c r="E475" s="880">
        <v>8907306</v>
      </c>
      <c r="F475" s="880">
        <v>2503900</v>
      </c>
      <c r="G475" s="880">
        <v>6659550</v>
      </c>
      <c r="H475" s="880">
        <v>572500</v>
      </c>
      <c r="I475" s="880">
        <v>8458999</v>
      </c>
      <c r="J475" s="880">
        <v>6205151</v>
      </c>
      <c r="K475" s="880">
        <v>3826272</v>
      </c>
      <c r="L475" s="880">
        <v>4004299</v>
      </c>
      <c r="M475" s="880">
        <v>1126998</v>
      </c>
      <c r="N475" s="880">
        <v>923000</v>
      </c>
      <c r="O475" s="880">
        <v>724800</v>
      </c>
      <c r="P475" s="880">
        <v>1987348</v>
      </c>
      <c r="Q475" s="880">
        <v>529400</v>
      </c>
      <c r="R475" s="880">
        <v>1170724</v>
      </c>
      <c r="S475" s="880">
        <v>0</v>
      </c>
    </row>
    <row r="476" spans="1:19" s="426" customFormat="1">
      <c r="A476" s="828" t="s">
        <v>59</v>
      </c>
      <c r="B476" s="792"/>
      <c r="C476" s="720">
        <v>62679592</v>
      </c>
      <c r="D476" s="720">
        <v>56736746</v>
      </c>
      <c r="E476" s="720">
        <v>47600247</v>
      </c>
      <c r="F476" s="720">
        <v>38692941</v>
      </c>
      <c r="G476" s="720">
        <v>36189041</v>
      </c>
      <c r="H476" s="720">
        <v>29529491</v>
      </c>
      <c r="I476" s="720">
        <v>28956991</v>
      </c>
      <c r="J476" s="720">
        <v>20497992</v>
      </c>
      <c r="K476" s="720">
        <v>14292841</v>
      </c>
      <c r="L476" s="720">
        <v>10466569</v>
      </c>
      <c r="M476" s="720">
        <v>6462270</v>
      </c>
      <c r="N476" s="720">
        <v>5335272</v>
      </c>
      <c r="O476" s="720">
        <v>4412272</v>
      </c>
      <c r="P476" s="720">
        <v>3687472</v>
      </c>
      <c r="Q476" s="720">
        <v>1700124</v>
      </c>
      <c r="R476" s="720">
        <v>1170724</v>
      </c>
      <c r="S476" s="720">
        <v>0</v>
      </c>
    </row>
    <row r="477" spans="1:19">
      <c r="A477" s="11"/>
      <c r="B477" s="837"/>
      <c r="C477" s="893"/>
      <c r="D477" s="893"/>
      <c r="E477" s="893"/>
      <c r="F477" s="893"/>
      <c r="G477" s="893"/>
      <c r="H477" s="893"/>
      <c r="I477" s="893"/>
      <c r="J477" s="893"/>
      <c r="K477" s="893"/>
      <c r="L477" s="893"/>
      <c r="M477" s="893"/>
      <c r="N477" s="893"/>
      <c r="O477" s="893"/>
      <c r="P477" s="893"/>
      <c r="Q477" s="893"/>
      <c r="R477" s="893"/>
      <c r="S477" s="893"/>
    </row>
    <row r="478" spans="1:19" s="722" customFormat="1" ht="21">
      <c r="A478" s="838" t="s">
        <v>60</v>
      </c>
      <c r="B478" s="839"/>
      <c r="C478" s="894">
        <v>-27459961</v>
      </c>
      <c r="D478" s="894">
        <v>-24833149</v>
      </c>
      <c r="E478" s="894">
        <v>-20700525</v>
      </c>
      <c r="F478" s="894">
        <v>-17006298</v>
      </c>
      <c r="G478" s="894">
        <v>-15749776</v>
      </c>
      <c r="H478" s="894">
        <v>-11883264</v>
      </c>
      <c r="I478" s="894">
        <v>-12744461</v>
      </c>
      <c r="J478" s="894">
        <v>-5825758</v>
      </c>
      <c r="K478" s="894">
        <v>-1404315</v>
      </c>
      <c r="L478" s="894">
        <v>795859</v>
      </c>
      <c r="M478" s="894">
        <v>2132194</v>
      </c>
      <c r="N478" s="894">
        <v>1859056</v>
      </c>
      <c r="O478" s="894">
        <v>1227592</v>
      </c>
      <c r="P478" s="894">
        <v>560761</v>
      </c>
      <c r="Q478" s="894">
        <v>621112</v>
      </c>
      <c r="R478" s="894">
        <v>-161318</v>
      </c>
      <c r="S478" s="894">
        <v>0</v>
      </c>
    </row>
    <row r="479" spans="1:19">
      <c r="A479" s="1"/>
      <c r="B479" s="736"/>
      <c r="C479" s="736"/>
      <c r="D479" s="736"/>
      <c r="E479" s="736"/>
      <c r="F479" s="736"/>
      <c r="G479" s="736"/>
      <c r="H479" s="736"/>
      <c r="I479" s="736"/>
      <c r="J479" s="736"/>
      <c r="K479" s="736"/>
      <c r="L479" s="736"/>
      <c r="M479" s="736"/>
      <c r="N479" s="736"/>
      <c r="O479" s="736"/>
      <c r="P479" s="736"/>
      <c r="Q479" s="736"/>
      <c r="R479" s="736"/>
      <c r="S479" s="736"/>
    </row>
    <row r="480" spans="1:19">
      <c r="A480" s="1"/>
      <c r="B480" s="736"/>
      <c r="C480" s="736"/>
      <c r="D480" s="736"/>
      <c r="E480" s="736"/>
      <c r="F480" s="736"/>
      <c r="G480" s="736"/>
      <c r="H480" s="736"/>
      <c r="I480" s="736"/>
      <c r="J480" s="736"/>
      <c r="K480" s="736"/>
      <c r="L480" s="736"/>
      <c r="M480" s="736"/>
      <c r="N480" s="736"/>
      <c r="O480" s="736"/>
      <c r="P480" s="736"/>
      <c r="Q480" s="736"/>
      <c r="R480" s="736"/>
      <c r="S480" s="736"/>
    </row>
    <row r="481" spans="1:19" s="723" customFormat="1" ht="21">
      <c r="A481" s="840" t="s">
        <v>117</v>
      </c>
      <c r="B481" s="841" t="s">
        <v>532</v>
      </c>
      <c r="C481" s="895">
        <v>216277168</v>
      </c>
      <c r="D481" s="895">
        <v>217760383</v>
      </c>
      <c r="E481" s="895">
        <v>221764040</v>
      </c>
      <c r="F481" s="895">
        <v>226292212</v>
      </c>
      <c r="G481" s="895">
        <v>223631153</v>
      </c>
      <c r="H481" s="895">
        <v>231878195</v>
      </c>
      <c r="I481" s="895">
        <v>230828397</v>
      </c>
      <c r="J481" s="895">
        <v>238789146</v>
      </c>
      <c r="K481" s="895">
        <v>242570043</v>
      </c>
      <c r="L481" s="895">
        <v>246146764</v>
      </c>
      <c r="M481" s="895">
        <v>247457703</v>
      </c>
      <c r="N481" s="895">
        <v>247082810</v>
      </c>
      <c r="O481" s="895">
        <v>246131346</v>
      </c>
      <c r="P481" s="895">
        <v>244996515</v>
      </c>
      <c r="Q481" s="895">
        <v>245055790</v>
      </c>
      <c r="R481" s="895">
        <v>245055790</v>
      </c>
      <c r="S481" s="895">
        <v>244286588</v>
      </c>
    </row>
    <row r="482" spans="1:19" s="724" customFormat="1" ht="18">
      <c r="A482" s="842" t="s">
        <v>21</v>
      </c>
      <c r="B482" s="843" t="s">
        <v>533</v>
      </c>
      <c r="C482" s="896">
        <v>3379000</v>
      </c>
      <c r="D482" s="896">
        <v>3579000</v>
      </c>
      <c r="E482" s="896">
        <v>3704000</v>
      </c>
      <c r="F482" s="896">
        <v>3679000</v>
      </c>
      <c r="G482" s="896">
        <v>3679000</v>
      </c>
      <c r="H482" s="896">
        <v>3734000</v>
      </c>
      <c r="I482" s="896">
        <v>3734000</v>
      </c>
      <c r="J482" s="896">
        <v>3734000</v>
      </c>
      <c r="K482" s="896">
        <v>3734000</v>
      </c>
      <c r="L482" s="896">
        <v>3899000</v>
      </c>
      <c r="M482" s="896">
        <v>3899000</v>
      </c>
      <c r="N482" s="896">
        <v>3789000</v>
      </c>
      <c r="O482" s="896">
        <v>3789000</v>
      </c>
      <c r="P482" s="896">
        <v>3789000</v>
      </c>
      <c r="Q482" s="896">
        <v>3789000</v>
      </c>
      <c r="R482" s="896">
        <v>3789000</v>
      </c>
      <c r="S482" s="896">
        <v>3734000</v>
      </c>
    </row>
    <row r="483" spans="1:19" s="724" customFormat="1" ht="18">
      <c r="A483" s="842" t="s">
        <v>11</v>
      </c>
      <c r="B483" s="843" t="s">
        <v>534</v>
      </c>
      <c r="C483" s="896">
        <v>33920000</v>
      </c>
      <c r="D483" s="896">
        <v>33920000</v>
      </c>
      <c r="E483" s="896">
        <v>33920000</v>
      </c>
      <c r="F483" s="896">
        <v>33240000</v>
      </c>
      <c r="G483" s="896">
        <v>33700000</v>
      </c>
      <c r="H483" s="896">
        <v>34400000</v>
      </c>
      <c r="I483" s="896">
        <v>34600000</v>
      </c>
      <c r="J483" s="896">
        <v>34600000</v>
      </c>
      <c r="K483" s="896">
        <v>34600000</v>
      </c>
      <c r="L483" s="896">
        <v>35360000</v>
      </c>
      <c r="M483" s="896">
        <v>35360000</v>
      </c>
      <c r="N483" s="896">
        <v>35360000</v>
      </c>
      <c r="O483" s="896">
        <v>35360000</v>
      </c>
      <c r="P483" s="896">
        <v>35360000</v>
      </c>
      <c r="Q483" s="896">
        <v>35360000</v>
      </c>
      <c r="R483" s="896">
        <v>35340000</v>
      </c>
      <c r="S483" s="896">
        <v>44102000</v>
      </c>
    </row>
    <row r="484" spans="1:19" s="725" customFormat="1" ht="23.4">
      <c r="A484" s="844" t="s">
        <v>162</v>
      </c>
      <c r="B484" s="845"/>
      <c r="C484" s="897">
        <v>185736168</v>
      </c>
      <c r="D484" s="897">
        <v>187419383</v>
      </c>
      <c r="E484" s="897">
        <v>191548040</v>
      </c>
      <c r="F484" s="897">
        <v>196731212</v>
      </c>
      <c r="G484" s="897">
        <v>193610153</v>
      </c>
      <c r="H484" s="897">
        <v>201212195</v>
      </c>
      <c r="I484" s="897">
        <v>199962397</v>
      </c>
      <c r="J484" s="897">
        <v>207923146</v>
      </c>
      <c r="K484" s="897">
        <v>211704043</v>
      </c>
      <c r="L484" s="897">
        <v>214685764</v>
      </c>
      <c r="M484" s="897">
        <v>215996703</v>
      </c>
      <c r="N484" s="897">
        <v>215511810</v>
      </c>
      <c r="O484" s="897">
        <v>214560346</v>
      </c>
      <c r="P484" s="897">
        <v>213425515</v>
      </c>
      <c r="Q484" s="897">
        <v>213484790</v>
      </c>
      <c r="R484" s="897">
        <v>213504790</v>
      </c>
      <c r="S484" s="897">
        <v>203918588</v>
      </c>
    </row>
    <row r="485" spans="1:19">
      <c r="A485" s="1"/>
      <c r="B485" s="736"/>
      <c r="C485" s="736"/>
      <c r="D485" s="736"/>
      <c r="E485" s="736"/>
      <c r="F485" s="736"/>
      <c r="G485" s="736"/>
      <c r="H485" s="736"/>
      <c r="I485" s="736"/>
      <c r="J485" s="736"/>
      <c r="K485" s="736"/>
      <c r="L485" s="736"/>
      <c r="M485" s="736"/>
      <c r="N485" s="736"/>
      <c r="O485" s="736"/>
      <c r="P485" s="736"/>
      <c r="Q485" s="736"/>
      <c r="R485" s="736"/>
      <c r="S485" s="736"/>
    </row>
    <row r="486" spans="1:19" s="724" customFormat="1" ht="18">
      <c r="A486" s="842" t="s">
        <v>24</v>
      </c>
      <c r="B486" s="843" t="s">
        <v>210</v>
      </c>
      <c r="C486" s="896">
        <v>1011541</v>
      </c>
      <c r="D486" s="896">
        <v>-132056</v>
      </c>
      <c r="E486" s="896">
        <v>-236023</v>
      </c>
      <c r="F486" s="896">
        <v>192922</v>
      </c>
      <c r="G486" s="896">
        <v>-434659</v>
      </c>
      <c r="H486" s="896">
        <v>495871</v>
      </c>
      <c r="I486" s="896">
        <v>107270</v>
      </c>
      <c r="J486" s="896">
        <v>1149316</v>
      </c>
      <c r="K486" s="896">
        <v>643770</v>
      </c>
      <c r="L486" s="896">
        <v>670317</v>
      </c>
      <c r="M486" s="896">
        <v>1344921</v>
      </c>
      <c r="N486" s="896">
        <v>1133166</v>
      </c>
      <c r="O486" s="896">
        <v>767166</v>
      </c>
      <c r="P486" s="896">
        <v>169166</v>
      </c>
      <c r="Q486" s="896">
        <v>168090</v>
      </c>
      <c r="R486" s="896">
        <v>870520</v>
      </c>
      <c r="S486" s="896">
        <v>-6889505</v>
      </c>
    </row>
    <row r="487" spans="1:19" s="724" customFormat="1" ht="18">
      <c r="A487" s="846" t="s">
        <v>46</v>
      </c>
      <c r="B487" s="847"/>
      <c r="C487" s="898">
        <v>184724627</v>
      </c>
      <c r="D487" s="898">
        <v>187551439</v>
      </c>
      <c r="E487" s="898">
        <v>191784063</v>
      </c>
      <c r="F487" s="898">
        <v>196538290</v>
      </c>
      <c r="G487" s="898">
        <v>194044812</v>
      </c>
      <c r="H487" s="898">
        <v>200716324</v>
      </c>
      <c r="I487" s="898">
        <v>199855127</v>
      </c>
      <c r="J487" s="898">
        <v>206773830</v>
      </c>
      <c r="K487" s="898">
        <v>211060273</v>
      </c>
      <c r="L487" s="898">
        <v>214015447</v>
      </c>
      <c r="M487" s="898">
        <v>214651782</v>
      </c>
      <c r="N487" s="898">
        <v>214378644</v>
      </c>
      <c r="O487" s="898">
        <v>213793180</v>
      </c>
      <c r="P487" s="898">
        <v>213256349</v>
      </c>
      <c r="Q487" s="898">
        <v>213316700</v>
      </c>
      <c r="R487" s="898">
        <v>212634270</v>
      </c>
      <c r="S487" s="898">
        <v>210808093</v>
      </c>
    </row>
    <row r="488" spans="1:19">
      <c r="A488" s="5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ht="15" thickBo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ht="15" thickBot="1">
      <c r="A490" s="5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>
      <c r="A491" s="606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</row>
  </sheetData>
  <mergeCells count="9">
    <mergeCell ref="A123:B123"/>
    <mergeCell ref="A210:B210"/>
    <mergeCell ref="A211:B211"/>
    <mergeCell ref="A33:B33"/>
    <mergeCell ref="A48:B48"/>
    <mergeCell ref="A60:B60"/>
    <mergeCell ref="A73:B73"/>
    <mergeCell ref="A86:B86"/>
    <mergeCell ref="A119:B1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91"/>
  <sheetViews>
    <sheetView topLeftCell="A463" zoomScale="60" zoomScaleNormal="60" workbookViewId="0">
      <selection activeCell="C270" sqref="C270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13" width="25.6640625" style="263" customWidth="1"/>
    <col min="14" max="14" width="8.88671875" style="263"/>
    <col min="15" max="15" width="8.88671875" style="263" customWidth="1"/>
    <col min="16" max="16384" width="8.88671875" style="263"/>
  </cols>
  <sheetData>
    <row r="1" spans="1:13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</row>
    <row r="2" spans="1:13" ht="15" thickBot="1"/>
    <row r="3" spans="1:13">
      <c r="A3" s="727"/>
      <c r="B3" s="726"/>
      <c r="C3" s="679" t="s">
        <v>672</v>
      </c>
      <c r="D3" s="679" t="s">
        <v>668</v>
      </c>
      <c r="E3" s="679">
        <v>46075</v>
      </c>
      <c r="F3" s="679">
        <v>46074</v>
      </c>
      <c r="G3" s="679">
        <v>46073</v>
      </c>
      <c r="H3" s="679">
        <v>46072</v>
      </c>
      <c r="I3" s="679" t="s">
        <v>664</v>
      </c>
      <c r="J3" s="679" t="s">
        <v>661</v>
      </c>
      <c r="K3" s="679" t="s">
        <v>657</v>
      </c>
      <c r="L3" s="679" t="s">
        <v>655</v>
      </c>
      <c r="M3" s="679" t="s">
        <v>652</v>
      </c>
    </row>
    <row r="4" spans="1:13" s="267" customFormat="1" ht="15" thickBot="1">
      <c r="A4" s="728"/>
      <c r="B4" s="729"/>
      <c r="C4" s="680" t="s">
        <v>673</v>
      </c>
      <c r="D4" s="680" t="s">
        <v>665</v>
      </c>
      <c r="E4" s="680" t="s">
        <v>132</v>
      </c>
      <c r="F4" s="680" t="s">
        <v>133</v>
      </c>
      <c r="G4" s="680" t="s">
        <v>134</v>
      </c>
      <c r="H4" s="680" t="s">
        <v>128</v>
      </c>
      <c r="I4" s="680" t="s">
        <v>665</v>
      </c>
      <c r="J4" s="680" t="s">
        <v>662</v>
      </c>
      <c r="K4" s="680" t="s">
        <v>658</v>
      </c>
      <c r="L4" s="680" t="s">
        <v>632</v>
      </c>
      <c r="M4" s="680" t="s">
        <v>653</v>
      </c>
    </row>
    <row r="5" spans="1:13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</row>
    <row r="6" spans="1:13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</row>
    <row r="7" spans="1:13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</row>
    <row r="8" spans="1:13">
      <c r="A8" s="25" t="s">
        <v>101</v>
      </c>
      <c r="B8" s="735"/>
      <c r="C8" s="641">
        <v>1037000</v>
      </c>
      <c r="D8" s="641">
        <v>1037000</v>
      </c>
      <c r="E8" s="641">
        <v>1037000</v>
      </c>
      <c r="F8" s="641">
        <v>1031000</v>
      </c>
      <c r="G8" s="641">
        <v>1031000</v>
      </c>
      <c r="H8" s="641">
        <v>1133000</v>
      </c>
      <c r="I8" s="641">
        <v>1083000</v>
      </c>
      <c r="J8" s="641">
        <v>1083000</v>
      </c>
      <c r="K8" s="641">
        <v>633000</v>
      </c>
      <c r="L8" s="641">
        <v>633000</v>
      </c>
      <c r="M8" s="641">
        <v>633000</v>
      </c>
    </row>
    <row r="9" spans="1:13">
      <c r="A9" s="25" t="s">
        <v>336</v>
      </c>
      <c r="B9" s="735"/>
      <c r="C9" s="641">
        <v>1410000</v>
      </c>
      <c r="D9" s="641">
        <v>1410000</v>
      </c>
      <c r="E9" s="641">
        <v>1410000</v>
      </c>
      <c r="F9" s="641">
        <v>1410000</v>
      </c>
      <c r="G9" s="641">
        <v>1410000</v>
      </c>
      <c r="H9" s="641">
        <v>1410000</v>
      </c>
      <c r="I9" s="641">
        <v>1410000</v>
      </c>
      <c r="J9" s="641">
        <v>1410000</v>
      </c>
      <c r="K9" s="641">
        <v>1410000</v>
      </c>
      <c r="L9" s="641">
        <v>1410000</v>
      </c>
      <c r="M9" s="641">
        <v>1410000</v>
      </c>
    </row>
    <row r="10" spans="1:13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</row>
    <row r="11" spans="1:13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</row>
    <row r="12" spans="1:13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</row>
    <row r="13" spans="1:13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</row>
    <row r="14" spans="1:13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</row>
    <row r="15" spans="1:13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</row>
    <row r="16" spans="1:13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</row>
    <row r="17" spans="1:16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</row>
    <row r="18" spans="1:16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</row>
    <row r="19" spans="1:16" ht="16.2" thickBot="1">
      <c r="A19" s="737"/>
      <c r="B19" s="738"/>
      <c r="C19" s="848">
        <v>2447000</v>
      </c>
      <c r="D19" s="848">
        <v>2447000</v>
      </c>
      <c r="E19" s="848">
        <v>2447000</v>
      </c>
      <c r="F19" s="848">
        <v>2441000</v>
      </c>
      <c r="G19" s="848">
        <v>2441000</v>
      </c>
      <c r="H19" s="848">
        <v>2543000</v>
      </c>
      <c r="I19" s="848">
        <v>2493000</v>
      </c>
      <c r="J19" s="848">
        <v>2493000</v>
      </c>
      <c r="K19" s="848">
        <v>2043000</v>
      </c>
      <c r="L19" s="848">
        <v>2043000</v>
      </c>
      <c r="M19" s="848">
        <v>2043000</v>
      </c>
      <c r="P19"/>
    </row>
    <row r="20" spans="1:16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</row>
    <row r="21" spans="1:16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</row>
    <row r="22" spans="1:16">
      <c r="A22" s="739" t="s">
        <v>0</v>
      </c>
      <c r="B22" s="740"/>
      <c r="C22" s="956">
        <v>160190000</v>
      </c>
      <c r="D22" s="956">
        <v>293780000</v>
      </c>
      <c r="E22" s="956">
        <v>162495000</v>
      </c>
      <c r="F22" s="956">
        <v>94800000</v>
      </c>
      <c r="G22" s="956">
        <v>131420000</v>
      </c>
      <c r="H22" s="956">
        <v>265860000</v>
      </c>
      <c r="I22" s="956">
        <v>304210000</v>
      </c>
      <c r="J22" s="956">
        <v>180860000</v>
      </c>
      <c r="K22" s="956">
        <v>152500000</v>
      </c>
      <c r="L22" s="956">
        <v>163000000</v>
      </c>
      <c r="M22" s="956">
        <v>105300000</v>
      </c>
    </row>
    <row r="23" spans="1:16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</row>
    <row r="24" spans="1:16">
      <c r="A24" s="25" t="s">
        <v>555</v>
      </c>
      <c r="B24" s="741"/>
      <c r="C24" s="686">
        <v>24000</v>
      </c>
      <c r="D24" s="686">
        <v>25000</v>
      </c>
      <c r="E24" s="686">
        <v>162000</v>
      </c>
      <c r="F24" s="686">
        <v>67500</v>
      </c>
      <c r="G24" s="686">
        <v>36000</v>
      </c>
      <c r="H24" s="686">
        <v>41000</v>
      </c>
      <c r="I24" s="686">
        <v>90500</v>
      </c>
      <c r="J24" s="686">
        <v>80000</v>
      </c>
      <c r="K24" s="686">
        <v>80000</v>
      </c>
      <c r="L24" s="686">
        <v>175000</v>
      </c>
      <c r="M24" s="686">
        <v>110000</v>
      </c>
    </row>
    <row r="25" spans="1:16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</row>
    <row r="26" spans="1:16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</row>
    <row r="27" spans="1:16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</row>
    <row r="28" spans="1:16">
      <c r="A28" s="25" t="s">
        <v>333</v>
      </c>
      <c r="B28" s="741"/>
      <c r="C28" s="686">
        <v>0</v>
      </c>
      <c r="D28" s="686">
        <v>22979000</v>
      </c>
      <c r="E28" s="686">
        <v>0</v>
      </c>
      <c r="F28" s="686">
        <v>0</v>
      </c>
      <c r="G28" s="686">
        <v>0</v>
      </c>
      <c r="H28" s="686">
        <v>0</v>
      </c>
      <c r="I28" s="686">
        <v>0</v>
      </c>
      <c r="J28" s="686">
        <v>0</v>
      </c>
      <c r="K28" s="686">
        <v>0</v>
      </c>
      <c r="L28" s="686">
        <v>0</v>
      </c>
      <c r="M28" s="686">
        <v>0</v>
      </c>
    </row>
    <row r="29" spans="1:16">
      <c r="A29" s="1" t="s">
        <v>562</v>
      </c>
      <c r="B29" s="736"/>
      <c r="C29" s="641">
        <v>0</v>
      </c>
      <c r="D29" s="641">
        <v>0</v>
      </c>
      <c r="E29" s="641">
        <v>520000</v>
      </c>
      <c r="F29" s="641">
        <v>0</v>
      </c>
      <c r="G29" s="641">
        <v>0</v>
      </c>
      <c r="H29" s="641">
        <v>0</v>
      </c>
      <c r="I29" s="641">
        <v>0</v>
      </c>
      <c r="J29" s="641">
        <v>0</v>
      </c>
      <c r="K29" s="641">
        <v>0</v>
      </c>
      <c r="L29" s="641">
        <v>0</v>
      </c>
      <c r="M29" s="641">
        <v>0</v>
      </c>
    </row>
    <row r="30" spans="1:16">
      <c r="A30" s="1" t="s">
        <v>563</v>
      </c>
      <c r="B30" s="736"/>
      <c r="C30" s="641">
        <v>44691000</v>
      </c>
      <c r="D30" s="641">
        <v>0</v>
      </c>
      <c r="E30" s="641">
        <v>0</v>
      </c>
      <c r="F30" s="641">
        <v>0</v>
      </c>
      <c r="G30" s="641">
        <v>0</v>
      </c>
      <c r="H30" s="641">
        <v>0</v>
      </c>
      <c r="I30" s="641">
        <v>0</v>
      </c>
      <c r="J30" s="641">
        <v>135900000</v>
      </c>
      <c r="K30" s="641">
        <v>0</v>
      </c>
      <c r="L30" s="641">
        <v>0</v>
      </c>
      <c r="M30" s="641">
        <v>0</v>
      </c>
    </row>
    <row r="31" spans="1:16" s="687" customFormat="1" ht="15" thickBot="1">
      <c r="A31" s="742"/>
      <c r="B31" s="743"/>
      <c r="C31" s="849">
        <v>204905000</v>
      </c>
      <c r="D31" s="849">
        <v>316784000</v>
      </c>
      <c r="E31" s="849">
        <v>163177000</v>
      </c>
      <c r="F31" s="849">
        <v>94867500</v>
      </c>
      <c r="G31" s="849">
        <v>131456000</v>
      </c>
      <c r="H31" s="849">
        <v>265901000</v>
      </c>
      <c r="I31" s="849">
        <v>304300500</v>
      </c>
      <c r="J31" s="849">
        <v>316840000</v>
      </c>
      <c r="K31" s="849">
        <v>152580000</v>
      </c>
      <c r="L31" s="849">
        <v>163175000</v>
      </c>
      <c r="M31" s="849">
        <v>105410000</v>
      </c>
    </row>
    <row r="32" spans="1:16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</row>
    <row r="33" spans="1:13" s="688" customFormat="1" ht="21">
      <c r="A33" s="1446" t="s">
        <v>225</v>
      </c>
      <c r="B33" s="1446"/>
      <c r="C33" s="850">
        <v>207352000</v>
      </c>
      <c r="D33" s="850">
        <v>319231000</v>
      </c>
      <c r="E33" s="850">
        <v>165624000</v>
      </c>
      <c r="F33" s="850">
        <v>97308500</v>
      </c>
      <c r="G33" s="850">
        <v>133897000</v>
      </c>
      <c r="H33" s="850">
        <v>268444000</v>
      </c>
      <c r="I33" s="850">
        <v>306793500</v>
      </c>
      <c r="J33" s="850">
        <v>319333000</v>
      </c>
      <c r="K33" s="850">
        <v>154623000</v>
      </c>
      <c r="L33" s="850">
        <v>165218000</v>
      </c>
      <c r="M33" s="850">
        <v>107453000</v>
      </c>
    </row>
    <row r="34" spans="1:13" s="688" customFormat="1" ht="21">
      <c r="A34" s="744"/>
      <c r="B34" s="744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</row>
    <row r="35" spans="1:13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</row>
    <row r="36" spans="1:13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</row>
    <row r="37" spans="1:13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</row>
    <row r="38" spans="1:13">
      <c r="A38" s="28" t="s">
        <v>69</v>
      </c>
      <c r="B38" s="747" t="s">
        <v>266</v>
      </c>
      <c r="C38" s="855">
        <v>100000000</v>
      </c>
      <c r="D38" s="855">
        <v>5000000</v>
      </c>
      <c r="E38" s="855">
        <v>5000000</v>
      </c>
      <c r="F38" s="855">
        <v>5000000</v>
      </c>
      <c r="G38" s="855">
        <v>5000000</v>
      </c>
      <c r="H38" s="855">
        <v>5000000</v>
      </c>
      <c r="I38" s="855">
        <v>5000000</v>
      </c>
      <c r="J38" s="855">
        <v>5000000</v>
      </c>
      <c r="K38" s="855">
        <v>5000000</v>
      </c>
      <c r="L38" s="855">
        <v>5000000</v>
      </c>
      <c r="M38" s="855">
        <v>5000000</v>
      </c>
    </row>
    <row r="39" spans="1:13">
      <c r="A39" s="28" t="s">
        <v>74</v>
      </c>
      <c r="B39" s="746" t="s">
        <v>267</v>
      </c>
      <c r="C39" s="855">
        <v>65297</v>
      </c>
      <c r="D39" s="855">
        <v>166297</v>
      </c>
      <c r="E39" s="855">
        <v>218292</v>
      </c>
      <c r="F39" s="855">
        <v>269042</v>
      </c>
      <c r="G39" s="855">
        <v>346042</v>
      </c>
      <c r="H39" s="855">
        <v>580542</v>
      </c>
      <c r="I39" s="855">
        <v>707792</v>
      </c>
      <c r="J39" s="855">
        <v>768292</v>
      </c>
      <c r="K39" s="855">
        <v>150792</v>
      </c>
      <c r="L39" s="855">
        <v>297792</v>
      </c>
      <c r="M39" s="855">
        <v>640017</v>
      </c>
    </row>
    <row r="40" spans="1:13">
      <c r="A40" s="28" t="s">
        <v>1</v>
      </c>
      <c r="B40" s="746" t="s">
        <v>268</v>
      </c>
      <c r="C40" s="855">
        <v>294252</v>
      </c>
      <c r="D40" s="855">
        <v>1768536</v>
      </c>
      <c r="E40" s="855">
        <v>1455342</v>
      </c>
      <c r="F40" s="855">
        <v>49524</v>
      </c>
      <c r="G40" s="855">
        <v>563207</v>
      </c>
      <c r="H40" s="855">
        <v>998392</v>
      </c>
      <c r="I40" s="855">
        <v>1424284</v>
      </c>
      <c r="J40" s="855">
        <v>963753</v>
      </c>
      <c r="K40" s="855">
        <v>2236067</v>
      </c>
      <c r="L40" s="855">
        <v>2156675</v>
      </c>
      <c r="M40" s="855">
        <v>1488139</v>
      </c>
    </row>
    <row r="41" spans="1:13">
      <c r="A41" s="28" t="s">
        <v>111</v>
      </c>
      <c r="B41" s="746" t="s">
        <v>269</v>
      </c>
      <c r="C41" s="855">
        <v>226983</v>
      </c>
      <c r="D41" s="855">
        <v>326463</v>
      </c>
      <c r="E41" s="855">
        <v>757363</v>
      </c>
      <c r="F41" s="855">
        <v>908563</v>
      </c>
      <c r="G41" s="855">
        <v>1050343</v>
      </c>
      <c r="H41" s="855">
        <v>1154843</v>
      </c>
      <c r="I41" s="855">
        <v>67995</v>
      </c>
      <c r="J41" s="855">
        <v>285465</v>
      </c>
      <c r="K41" s="855">
        <v>1053820</v>
      </c>
      <c r="L41" s="855">
        <v>207980</v>
      </c>
      <c r="M41" s="855">
        <v>217395</v>
      </c>
    </row>
    <row r="42" spans="1:13">
      <c r="A42" s="28" t="s">
        <v>168</v>
      </c>
      <c r="B42" s="746" t="s">
        <v>204</v>
      </c>
      <c r="C42" s="855">
        <v>493420</v>
      </c>
      <c r="D42" s="855">
        <v>10920</v>
      </c>
      <c r="E42" s="855">
        <v>19520</v>
      </c>
      <c r="F42" s="855">
        <v>41520</v>
      </c>
      <c r="G42" s="855">
        <v>50120</v>
      </c>
      <c r="H42" s="855">
        <v>100370</v>
      </c>
      <c r="I42" s="855">
        <v>38370</v>
      </c>
      <c r="J42" s="855">
        <v>187370</v>
      </c>
      <c r="K42" s="855">
        <v>313130</v>
      </c>
      <c r="L42" s="855">
        <v>253130</v>
      </c>
      <c r="M42" s="855">
        <v>308330</v>
      </c>
    </row>
    <row r="43" spans="1:13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</row>
    <row r="44" spans="1:13">
      <c r="A44" s="28" t="s">
        <v>9</v>
      </c>
      <c r="B44" s="746" t="s">
        <v>270</v>
      </c>
      <c r="C44" s="855">
        <v>1053298</v>
      </c>
      <c r="D44" s="855">
        <v>1213561</v>
      </c>
      <c r="E44" s="855">
        <v>175324</v>
      </c>
      <c r="F44" s="855">
        <v>175324</v>
      </c>
      <c r="G44" s="855">
        <v>165576</v>
      </c>
      <c r="H44" s="855">
        <v>71276</v>
      </c>
      <c r="I44" s="855">
        <v>68839</v>
      </c>
      <c r="J44" s="855">
        <v>72517</v>
      </c>
      <c r="K44" s="855">
        <v>751069</v>
      </c>
      <c r="L44" s="855">
        <v>761884</v>
      </c>
      <c r="M44" s="855">
        <v>431947</v>
      </c>
    </row>
    <row r="45" spans="1:13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</row>
    <row r="46" spans="1:13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</row>
    <row r="47" spans="1:13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</row>
    <row r="48" spans="1:13" s="687" customFormat="1" ht="15" thickBot="1">
      <c r="A48" s="1447" t="s">
        <v>224</v>
      </c>
      <c r="B48" s="1448"/>
      <c r="C48" s="856">
        <v>102159399</v>
      </c>
      <c r="D48" s="856">
        <v>8511926</v>
      </c>
      <c r="E48" s="856">
        <v>7651990</v>
      </c>
      <c r="F48" s="856">
        <v>6470122</v>
      </c>
      <c r="G48" s="856">
        <v>7201437</v>
      </c>
      <c r="H48" s="856">
        <v>7931572</v>
      </c>
      <c r="I48" s="856">
        <v>7333429</v>
      </c>
      <c r="J48" s="856">
        <v>7303546</v>
      </c>
      <c r="K48" s="856">
        <v>9531027</v>
      </c>
      <c r="L48" s="856">
        <v>8703610</v>
      </c>
      <c r="M48" s="856">
        <v>8111977</v>
      </c>
    </row>
    <row r="49" spans="1:13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</row>
    <row r="50" spans="1:13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</row>
    <row r="51" spans="1:13">
      <c r="A51" s="28" t="s">
        <v>90</v>
      </c>
      <c r="B51" s="747" t="s">
        <v>206</v>
      </c>
      <c r="C51" s="855">
        <v>23000000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5000000</v>
      </c>
      <c r="J51" s="855">
        <v>5033250</v>
      </c>
      <c r="K51" s="855">
        <v>5000000</v>
      </c>
      <c r="L51" s="855">
        <v>5000000</v>
      </c>
      <c r="M51" s="855">
        <v>5000000</v>
      </c>
    </row>
    <row r="52" spans="1:13">
      <c r="A52" s="28" t="s">
        <v>73</v>
      </c>
      <c r="B52" s="746" t="s">
        <v>81</v>
      </c>
      <c r="C52" s="855">
        <v>809656</v>
      </c>
      <c r="D52" s="855">
        <v>656806</v>
      </c>
      <c r="E52" s="855">
        <v>778306</v>
      </c>
      <c r="F52" s="855">
        <v>778306</v>
      </c>
      <c r="G52" s="855">
        <v>778306</v>
      </c>
      <c r="H52" s="855">
        <v>778306</v>
      </c>
      <c r="I52" s="855">
        <v>778306</v>
      </c>
      <c r="J52" s="855">
        <v>937206</v>
      </c>
      <c r="K52" s="855">
        <v>732206</v>
      </c>
      <c r="L52" s="855">
        <v>20356</v>
      </c>
      <c r="M52" s="855">
        <v>617606</v>
      </c>
    </row>
    <row r="53" spans="1:13">
      <c r="A53" s="28" t="s">
        <v>1</v>
      </c>
      <c r="B53" s="746" t="s">
        <v>271</v>
      </c>
      <c r="C53" s="855">
        <v>1672936</v>
      </c>
      <c r="D53" s="855">
        <v>912113</v>
      </c>
      <c r="E53" s="855">
        <v>1032194</v>
      </c>
      <c r="F53" s="855">
        <v>32194</v>
      </c>
      <c r="G53" s="855">
        <v>223088</v>
      </c>
      <c r="H53" s="855">
        <v>826175</v>
      </c>
      <c r="I53" s="855">
        <v>243567</v>
      </c>
      <c r="J53" s="855">
        <v>622998</v>
      </c>
      <c r="K53" s="855">
        <v>1677881</v>
      </c>
      <c r="L53" s="855">
        <v>1877749</v>
      </c>
      <c r="M53" s="855">
        <v>383054</v>
      </c>
    </row>
    <row r="54" spans="1:13">
      <c r="A54" s="28" t="s">
        <v>111</v>
      </c>
      <c r="B54" s="746" t="s">
        <v>83</v>
      </c>
      <c r="C54" s="855">
        <v>516390</v>
      </c>
      <c r="D54" s="855">
        <v>41265</v>
      </c>
      <c r="E54" s="855">
        <v>313505</v>
      </c>
      <c r="F54" s="855">
        <v>313505</v>
      </c>
      <c r="G54" s="855">
        <v>412905</v>
      </c>
      <c r="H54" s="855">
        <v>412905</v>
      </c>
      <c r="I54" s="855">
        <v>460497</v>
      </c>
      <c r="J54" s="855">
        <v>240417</v>
      </c>
      <c r="K54" s="855">
        <v>523897</v>
      </c>
      <c r="L54" s="855">
        <v>653897</v>
      </c>
      <c r="M54" s="855">
        <v>282072</v>
      </c>
    </row>
    <row r="55" spans="1:13">
      <c r="A55" s="28" t="s">
        <v>168</v>
      </c>
      <c r="B55" s="746" t="s">
        <v>272</v>
      </c>
      <c r="C55" s="855">
        <v>515583</v>
      </c>
      <c r="D55" s="855">
        <v>15583</v>
      </c>
      <c r="E55" s="855">
        <v>15583</v>
      </c>
      <c r="F55" s="855">
        <v>15583</v>
      </c>
      <c r="G55" s="855">
        <v>125733</v>
      </c>
      <c r="H55" s="855">
        <v>149033</v>
      </c>
      <c r="I55" s="855">
        <v>41883</v>
      </c>
      <c r="J55" s="855">
        <v>135683</v>
      </c>
      <c r="K55" s="855">
        <v>178683</v>
      </c>
      <c r="L55" s="855">
        <v>19683</v>
      </c>
      <c r="M55" s="855">
        <v>257183</v>
      </c>
    </row>
    <row r="56" spans="1:13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</row>
    <row r="57" spans="1:13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</row>
    <row r="58" spans="1:13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</row>
    <row r="59" spans="1:13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</row>
    <row r="60" spans="1:13" s="687" customFormat="1" ht="15" thickBot="1">
      <c r="A60" s="1447" t="s">
        <v>224</v>
      </c>
      <c r="B60" s="1448"/>
      <c r="C60" s="856">
        <v>26728070</v>
      </c>
      <c r="D60" s="856">
        <v>6839272</v>
      </c>
      <c r="E60" s="856">
        <v>7353093</v>
      </c>
      <c r="F60" s="856">
        <v>6353093</v>
      </c>
      <c r="G60" s="856">
        <v>6753537</v>
      </c>
      <c r="H60" s="856">
        <v>7379924</v>
      </c>
      <c r="I60" s="856">
        <v>6737758</v>
      </c>
      <c r="J60" s="856">
        <v>7183059</v>
      </c>
      <c r="K60" s="856">
        <v>8326172</v>
      </c>
      <c r="L60" s="856">
        <v>7785190</v>
      </c>
      <c r="M60" s="856">
        <v>6753420</v>
      </c>
    </row>
    <row r="61" spans="1:13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</row>
    <row r="62" spans="1:13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</row>
    <row r="63" spans="1:13">
      <c r="A63" s="751" t="s">
        <v>1</v>
      </c>
      <c r="B63" s="752" t="s">
        <v>275</v>
      </c>
      <c r="C63" s="859">
        <v>1689064</v>
      </c>
      <c r="D63" s="859">
        <v>905283</v>
      </c>
      <c r="E63" s="859">
        <v>2245850</v>
      </c>
      <c r="F63" s="859">
        <v>245850</v>
      </c>
      <c r="G63" s="859">
        <v>576542</v>
      </c>
      <c r="H63" s="859">
        <v>109131</v>
      </c>
      <c r="I63" s="859">
        <v>593535</v>
      </c>
      <c r="J63" s="859">
        <v>464901</v>
      </c>
      <c r="K63" s="859">
        <v>2077266</v>
      </c>
      <c r="L63" s="859">
        <v>1474777</v>
      </c>
      <c r="M63" s="859">
        <v>2845144</v>
      </c>
    </row>
    <row r="64" spans="1:13">
      <c r="A64" s="751" t="s">
        <v>212</v>
      </c>
      <c r="B64" s="752" t="s">
        <v>274</v>
      </c>
      <c r="C64" s="859">
        <v>176249</v>
      </c>
      <c r="D64" s="859">
        <v>504749</v>
      </c>
      <c r="E64" s="859">
        <v>537524</v>
      </c>
      <c r="F64" s="859">
        <v>537524</v>
      </c>
      <c r="G64" s="859">
        <v>807024</v>
      </c>
      <c r="H64" s="859">
        <v>2185724</v>
      </c>
      <c r="I64" s="859">
        <v>463224</v>
      </c>
      <c r="J64" s="859">
        <v>2433224</v>
      </c>
      <c r="K64" s="859">
        <v>125424</v>
      </c>
      <c r="L64" s="859">
        <v>33924</v>
      </c>
      <c r="M64" s="859">
        <v>111754</v>
      </c>
    </row>
    <row r="65" spans="1:13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</row>
    <row r="66" spans="1:13">
      <c r="A66" s="751" t="s">
        <v>262</v>
      </c>
      <c r="B66" s="752" t="s">
        <v>277</v>
      </c>
      <c r="C66" s="859">
        <v>1303388</v>
      </c>
      <c r="D66" s="859">
        <v>2567510</v>
      </c>
      <c r="E66" s="859">
        <v>2339010</v>
      </c>
      <c r="F66" s="859">
        <v>2339010</v>
      </c>
      <c r="G66" s="859">
        <v>201510</v>
      </c>
      <c r="H66" s="859">
        <v>1058784</v>
      </c>
      <c r="I66" s="859">
        <v>3026284</v>
      </c>
      <c r="J66" s="859">
        <v>6485284</v>
      </c>
      <c r="K66" s="859">
        <v>510284</v>
      </c>
      <c r="L66" s="859">
        <v>1675284</v>
      </c>
      <c r="M66" s="859">
        <v>632266</v>
      </c>
    </row>
    <row r="67" spans="1:13">
      <c r="A67" s="751" t="s">
        <v>200</v>
      </c>
      <c r="B67" s="752" t="s">
        <v>278</v>
      </c>
      <c r="C67" s="859">
        <v>39907</v>
      </c>
      <c r="D67" s="859">
        <v>39907</v>
      </c>
      <c r="E67" s="859">
        <v>39907</v>
      </c>
      <c r="F67" s="859">
        <v>39907</v>
      </c>
      <c r="G67" s="859">
        <v>39907</v>
      </c>
      <c r="H67" s="859">
        <v>39907</v>
      </c>
      <c r="I67" s="859">
        <v>39907</v>
      </c>
      <c r="J67" s="859">
        <v>39907</v>
      </c>
      <c r="K67" s="859">
        <v>39907</v>
      </c>
      <c r="L67" s="859">
        <v>39907</v>
      </c>
      <c r="M67" s="859">
        <v>39907</v>
      </c>
    </row>
    <row r="68" spans="1:13">
      <c r="A68" s="751" t="s">
        <v>201</v>
      </c>
      <c r="B68" s="752" t="s">
        <v>279</v>
      </c>
      <c r="C68" s="859">
        <v>35000</v>
      </c>
      <c r="D68" s="859">
        <v>35000</v>
      </c>
      <c r="E68" s="859">
        <v>35000</v>
      </c>
      <c r="F68" s="859">
        <v>35000</v>
      </c>
      <c r="G68" s="859">
        <v>35000</v>
      </c>
      <c r="H68" s="859">
        <v>35000</v>
      </c>
      <c r="I68" s="859">
        <v>35000</v>
      </c>
      <c r="J68" s="859">
        <v>35000</v>
      </c>
      <c r="K68" s="859">
        <v>35000</v>
      </c>
      <c r="L68" s="859">
        <v>35000</v>
      </c>
      <c r="M68" s="859">
        <v>42000</v>
      </c>
    </row>
    <row r="69" spans="1:13">
      <c r="A69" s="751" t="s">
        <v>202</v>
      </c>
      <c r="B69" s="752" t="s">
        <v>280</v>
      </c>
      <c r="C69" s="859">
        <v>53500</v>
      </c>
      <c r="D69" s="859">
        <v>53500</v>
      </c>
      <c r="E69" s="859">
        <v>53500</v>
      </c>
      <c r="F69" s="859">
        <v>53500</v>
      </c>
      <c r="G69" s="859">
        <v>53500</v>
      </c>
      <c r="H69" s="859">
        <v>53500</v>
      </c>
      <c r="I69" s="859">
        <v>53500</v>
      </c>
      <c r="J69" s="859">
        <v>62000</v>
      </c>
      <c r="K69" s="859">
        <v>62000</v>
      </c>
      <c r="L69" s="859">
        <v>62000</v>
      </c>
      <c r="M69" s="859">
        <v>62000</v>
      </c>
    </row>
    <row r="70" spans="1:13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</row>
    <row r="71" spans="1:13">
      <c r="A71" s="751" t="s">
        <v>535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</row>
    <row r="72" spans="1:13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</row>
    <row r="73" spans="1:13" s="687" customFormat="1" ht="15" thickBot="1">
      <c r="A73" s="1447" t="s">
        <v>224</v>
      </c>
      <c r="B73" s="1448"/>
      <c r="C73" s="856">
        <v>3526784</v>
      </c>
      <c r="D73" s="856">
        <v>4335625</v>
      </c>
      <c r="E73" s="856">
        <v>5480467</v>
      </c>
      <c r="F73" s="856">
        <v>3480467</v>
      </c>
      <c r="G73" s="856">
        <v>1943159</v>
      </c>
      <c r="H73" s="856">
        <v>3711722</v>
      </c>
      <c r="I73" s="856">
        <v>4441126</v>
      </c>
      <c r="J73" s="856">
        <v>9749992</v>
      </c>
      <c r="K73" s="856">
        <v>3079557</v>
      </c>
      <c r="L73" s="856">
        <v>3550568</v>
      </c>
      <c r="M73" s="856">
        <v>3962747</v>
      </c>
    </row>
    <row r="74" spans="1:13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</row>
    <row r="75" spans="1:13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</row>
    <row r="76" spans="1:13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</row>
    <row r="77" spans="1:13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</row>
    <row r="78" spans="1:13">
      <c r="A78" s="28" t="s">
        <v>90</v>
      </c>
      <c r="B78" s="747" t="s">
        <v>266</v>
      </c>
      <c r="C78" s="855">
        <v>20000000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5053601</v>
      </c>
      <c r="K78" s="855">
        <v>5000000</v>
      </c>
      <c r="L78" s="855">
        <v>5000000</v>
      </c>
      <c r="M78" s="855">
        <v>5000000</v>
      </c>
    </row>
    <row r="79" spans="1:13">
      <c r="A79" s="28" t="s">
        <v>73</v>
      </c>
      <c r="B79" s="746" t="s">
        <v>485</v>
      </c>
      <c r="C79" s="855">
        <v>468604</v>
      </c>
      <c r="D79" s="855">
        <v>468604</v>
      </c>
      <c r="E79" s="855">
        <v>695104</v>
      </c>
      <c r="F79" s="855">
        <v>695104</v>
      </c>
      <c r="G79" s="855">
        <v>931404</v>
      </c>
      <c r="H79" s="855">
        <v>931404</v>
      </c>
      <c r="I79" s="855">
        <v>31404</v>
      </c>
      <c r="J79" s="855">
        <v>234904</v>
      </c>
      <c r="K79" s="855">
        <v>496454</v>
      </c>
      <c r="L79" s="855">
        <v>885954</v>
      </c>
      <c r="M79" s="855">
        <v>448604</v>
      </c>
    </row>
    <row r="80" spans="1:13">
      <c r="A80" s="28" t="s">
        <v>1</v>
      </c>
      <c r="B80" s="746" t="s">
        <v>486</v>
      </c>
      <c r="C80" s="855">
        <v>1171149</v>
      </c>
      <c r="D80" s="855">
        <v>227567</v>
      </c>
      <c r="E80" s="855">
        <v>935022</v>
      </c>
      <c r="F80" s="855">
        <v>935022</v>
      </c>
      <c r="G80" s="855">
        <v>601303</v>
      </c>
      <c r="H80" s="855">
        <v>2489</v>
      </c>
      <c r="I80" s="855">
        <v>503534</v>
      </c>
      <c r="J80" s="855">
        <v>994866</v>
      </c>
      <c r="K80" s="855">
        <v>1380785</v>
      </c>
      <c r="L80" s="855">
        <v>1303357</v>
      </c>
      <c r="M80" s="855">
        <v>917227</v>
      </c>
    </row>
    <row r="81" spans="1:13">
      <c r="A81" s="28" t="s">
        <v>111</v>
      </c>
      <c r="B81" s="746" t="s">
        <v>487</v>
      </c>
      <c r="C81" s="855">
        <v>351677</v>
      </c>
      <c r="D81" s="855">
        <v>133942</v>
      </c>
      <c r="E81" s="855">
        <v>210962</v>
      </c>
      <c r="F81" s="855">
        <v>210962</v>
      </c>
      <c r="G81" s="855">
        <v>287342</v>
      </c>
      <c r="H81" s="855">
        <v>436492</v>
      </c>
      <c r="I81" s="855">
        <v>487815</v>
      </c>
      <c r="J81" s="855">
        <v>171335</v>
      </c>
      <c r="K81" s="855">
        <v>699645</v>
      </c>
      <c r="L81" s="855">
        <v>245845</v>
      </c>
      <c r="M81" s="855">
        <v>95445</v>
      </c>
    </row>
    <row r="82" spans="1:13">
      <c r="A82" s="28" t="s">
        <v>168</v>
      </c>
      <c r="B82" s="746" t="s">
        <v>488</v>
      </c>
      <c r="C82" s="855">
        <v>385300</v>
      </c>
      <c r="D82" s="855">
        <v>17100</v>
      </c>
      <c r="E82" s="855">
        <v>140900</v>
      </c>
      <c r="F82" s="855">
        <v>140900</v>
      </c>
      <c r="G82" s="855">
        <v>258900</v>
      </c>
      <c r="H82" s="855">
        <v>258900</v>
      </c>
      <c r="I82" s="855">
        <v>8900</v>
      </c>
      <c r="J82" s="855">
        <v>37400</v>
      </c>
      <c r="K82" s="855">
        <v>266200</v>
      </c>
      <c r="L82" s="855">
        <v>368500</v>
      </c>
      <c r="M82" s="855">
        <v>382750</v>
      </c>
    </row>
    <row r="83" spans="1:13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</row>
    <row r="84" spans="1:13">
      <c r="A84" s="28" t="s">
        <v>9</v>
      </c>
      <c r="B84" s="746" t="s">
        <v>490</v>
      </c>
      <c r="C84" s="855">
        <v>475884</v>
      </c>
      <c r="D84" s="855">
        <v>475884</v>
      </c>
      <c r="E84" s="855">
        <v>475884</v>
      </c>
      <c r="F84" s="855">
        <v>473447</v>
      </c>
      <c r="G84" s="855">
        <v>5047</v>
      </c>
      <c r="H84" s="855">
        <v>2610</v>
      </c>
      <c r="I84" s="855">
        <v>43710</v>
      </c>
      <c r="J84" s="855">
        <v>499062</v>
      </c>
      <c r="K84" s="855">
        <v>791388</v>
      </c>
      <c r="L84" s="855">
        <v>470951</v>
      </c>
      <c r="M84" s="855">
        <v>470951</v>
      </c>
    </row>
    <row r="85" spans="1:13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</row>
    <row r="86" spans="1:13" s="687" customFormat="1" ht="15" thickBot="1">
      <c r="A86" s="1447" t="s">
        <v>224</v>
      </c>
      <c r="B86" s="1448"/>
      <c r="C86" s="856">
        <v>22852614</v>
      </c>
      <c r="D86" s="856">
        <v>6323097</v>
      </c>
      <c r="E86" s="856">
        <v>7457872</v>
      </c>
      <c r="F86" s="856">
        <v>7455435</v>
      </c>
      <c r="G86" s="856">
        <v>7083996</v>
      </c>
      <c r="H86" s="856">
        <v>6631895</v>
      </c>
      <c r="I86" s="856">
        <v>6075363</v>
      </c>
      <c r="J86" s="856">
        <v>6991168</v>
      </c>
      <c r="K86" s="856">
        <v>8634472</v>
      </c>
      <c r="L86" s="856">
        <v>8274607</v>
      </c>
      <c r="M86" s="856">
        <v>7314977</v>
      </c>
    </row>
    <row r="87" spans="1:13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</row>
    <row r="88" spans="1:13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</row>
    <row r="89" spans="1:13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</row>
    <row r="90" spans="1:13">
      <c r="A90" s="28" t="s">
        <v>95</v>
      </c>
      <c r="B90" s="747" t="s">
        <v>207</v>
      </c>
      <c r="C90" s="855">
        <v>959866</v>
      </c>
      <c r="D90" s="855">
        <v>17374516</v>
      </c>
      <c r="E90" s="855">
        <v>1024096</v>
      </c>
      <c r="F90" s="855">
        <v>3968646</v>
      </c>
      <c r="G90" s="855">
        <v>8986676</v>
      </c>
      <c r="H90" s="855">
        <v>7880228</v>
      </c>
      <c r="I90" s="855">
        <v>5027928</v>
      </c>
      <c r="J90" s="855">
        <v>4832928</v>
      </c>
      <c r="K90" s="855">
        <v>73337396</v>
      </c>
      <c r="L90" s="855">
        <v>9504640</v>
      </c>
      <c r="M90" s="855">
        <v>5598140</v>
      </c>
    </row>
    <row r="91" spans="1:13">
      <c r="A91" s="28" t="s">
        <v>96</v>
      </c>
      <c r="B91" s="747" t="s">
        <v>208</v>
      </c>
      <c r="C91" s="855">
        <v>50870</v>
      </c>
      <c r="D91" s="855">
        <v>50870</v>
      </c>
      <c r="E91" s="855">
        <v>50870</v>
      </c>
      <c r="F91" s="855">
        <v>50870</v>
      </c>
      <c r="G91" s="855">
        <v>50870</v>
      </c>
      <c r="H91" s="855">
        <v>50870</v>
      </c>
      <c r="I91" s="855">
        <v>50870</v>
      </c>
      <c r="J91" s="855">
        <v>50870</v>
      </c>
      <c r="K91" s="855">
        <v>21870</v>
      </c>
      <c r="L91" s="855">
        <v>52870</v>
      </c>
      <c r="M91" s="855">
        <v>52870</v>
      </c>
    </row>
    <row r="92" spans="1:13">
      <c r="A92" s="28" t="s">
        <v>94</v>
      </c>
      <c r="B92" s="747" t="s">
        <v>82</v>
      </c>
      <c r="C92" s="855">
        <v>52777</v>
      </c>
      <c r="D92" s="855">
        <v>52777</v>
      </c>
      <c r="E92" s="855">
        <v>52777</v>
      </c>
      <c r="F92" s="855">
        <v>52777</v>
      </c>
      <c r="G92" s="855">
        <v>52777</v>
      </c>
      <c r="H92" s="855">
        <v>52777</v>
      </c>
      <c r="I92" s="855">
        <v>52777</v>
      </c>
      <c r="J92" s="855">
        <v>52777</v>
      </c>
      <c r="K92" s="855">
        <v>52777</v>
      </c>
      <c r="L92" s="855">
        <v>52777</v>
      </c>
      <c r="M92" s="855">
        <v>102777</v>
      </c>
    </row>
    <row r="93" spans="1:13">
      <c r="A93" s="28" t="s">
        <v>103</v>
      </c>
      <c r="B93" s="747" t="s">
        <v>209</v>
      </c>
      <c r="C93" s="855">
        <v>52500</v>
      </c>
      <c r="D93" s="855">
        <v>52500</v>
      </c>
      <c r="E93" s="855">
        <v>52500</v>
      </c>
      <c r="F93" s="855">
        <v>52500</v>
      </c>
      <c r="G93" s="855">
        <v>52500</v>
      </c>
      <c r="H93" s="855">
        <v>52500</v>
      </c>
      <c r="I93" s="855">
        <v>52500</v>
      </c>
      <c r="J93" s="855">
        <v>52500</v>
      </c>
      <c r="K93" s="855">
        <v>52500</v>
      </c>
      <c r="L93" s="855">
        <v>52500</v>
      </c>
      <c r="M93" s="855">
        <v>102500</v>
      </c>
    </row>
    <row r="94" spans="1:13">
      <c r="A94" s="28" t="s">
        <v>70</v>
      </c>
      <c r="B94" s="747" t="s">
        <v>210</v>
      </c>
      <c r="C94" s="855">
        <v>49123</v>
      </c>
      <c r="D94" s="855">
        <v>49123</v>
      </c>
      <c r="E94" s="855">
        <v>49123</v>
      </c>
      <c r="F94" s="855">
        <v>49123</v>
      </c>
      <c r="G94" s="855">
        <v>49123</v>
      </c>
      <c r="H94" s="855">
        <v>49123</v>
      </c>
      <c r="I94" s="855">
        <v>49123</v>
      </c>
      <c r="J94" s="855">
        <v>49123</v>
      </c>
      <c r="K94" s="855">
        <v>49123</v>
      </c>
      <c r="L94" s="855">
        <v>49123</v>
      </c>
      <c r="M94" s="855">
        <v>49123</v>
      </c>
    </row>
    <row r="95" spans="1:13">
      <c r="A95" s="28" t="s">
        <v>220</v>
      </c>
      <c r="B95" s="747" t="s">
        <v>204</v>
      </c>
      <c r="C95" s="855">
        <v>42222</v>
      </c>
      <c r="D95" s="855">
        <v>42222</v>
      </c>
      <c r="E95" s="855">
        <v>42222</v>
      </c>
      <c r="F95" s="855">
        <v>42222</v>
      </c>
      <c r="G95" s="855">
        <v>61222</v>
      </c>
      <c r="H95" s="855">
        <v>61222</v>
      </c>
      <c r="I95" s="855">
        <v>61222</v>
      </c>
      <c r="J95" s="855">
        <v>61222</v>
      </c>
      <c r="K95" s="855">
        <v>11222</v>
      </c>
      <c r="L95" s="855">
        <v>11222</v>
      </c>
      <c r="M95" s="855">
        <v>11222</v>
      </c>
    </row>
    <row r="96" spans="1:13">
      <c r="A96" s="28" t="s">
        <v>221</v>
      </c>
      <c r="B96" s="747" t="s">
        <v>205</v>
      </c>
      <c r="C96" s="855">
        <v>52499</v>
      </c>
      <c r="D96" s="855">
        <v>52499</v>
      </c>
      <c r="E96" s="855">
        <v>52499</v>
      </c>
      <c r="F96" s="855">
        <v>52499</v>
      </c>
      <c r="G96" s="855">
        <v>52499</v>
      </c>
      <c r="H96" s="855">
        <v>52499</v>
      </c>
      <c r="I96" s="855">
        <v>52499</v>
      </c>
      <c r="J96" s="855">
        <v>52499</v>
      </c>
      <c r="K96" s="855">
        <v>58499</v>
      </c>
      <c r="L96" s="855">
        <v>58499</v>
      </c>
      <c r="M96" s="855">
        <v>58499</v>
      </c>
    </row>
    <row r="97" spans="1:13">
      <c r="A97" s="1" t="s">
        <v>5</v>
      </c>
      <c r="B97" s="756"/>
      <c r="C97" s="641">
        <v>0</v>
      </c>
      <c r="D97" s="641">
        <v>0</v>
      </c>
      <c r="E97" s="641">
        <v>0</v>
      </c>
      <c r="F97" s="641">
        <v>0</v>
      </c>
      <c r="G97" s="641">
        <v>0</v>
      </c>
      <c r="H97" s="641">
        <v>0</v>
      </c>
      <c r="I97" s="641">
        <v>0</v>
      </c>
      <c r="J97" s="641">
        <v>0</v>
      </c>
      <c r="K97" s="641">
        <v>0</v>
      </c>
      <c r="L97" s="641">
        <v>0</v>
      </c>
      <c r="M97" s="641">
        <v>0</v>
      </c>
    </row>
    <row r="98" spans="1:13">
      <c r="A98" s="1" t="s">
        <v>6</v>
      </c>
      <c r="B98" s="756"/>
      <c r="C98" s="641">
        <v>0</v>
      </c>
      <c r="D98" s="641">
        <v>0</v>
      </c>
      <c r="E98" s="641">
        <v>0</v>
      </c>
      <c r="F98" s="641">
        <v>0</v>
      </c>
      <c r="G98" s="641">
        <v>0</v>
      </c>
      <c r="H98" s="641">
        <v>0</v>
      </c>
      <c r="I98" s="641">
        <v>0</v>
      </c>
      <c r="J98" s="641">
        <v>0</v>
      </c>
      <c r="K98" s="641">
        <v>0</v>
      </c>
      <c r="L98" s="641">
        <v>0</v>
      </c>
      <c r="M98" s="641">
        <v>0</v>
      </c>
    </row>
    <row r="99" spans="1:13">
      <c r="A99" s="1" t="s">
        <v>7</v>
      </c>
      <c r="B99" s="756"/>
      <c r="C99" s="641">
        <v>5000</v>
      </c>
      <c r="D99" s="641">
        <v>5000</v>
      </c>
      <c r="E99" s="641">
        <v>5000</v>
      </c>
      <c r="F99" s="641">
        <v>5000</v>
      </c>
      <c r="G99" s="641">
        <v>5000</v>
      </c>
      <c r="H99" s="641">
        <v>5000</v>
      </c>
      <c r="I99" s="641">
        <v>5000</v>
      </c>
      <c r="J99" s="641">
        <v>5000</v>
      </c>
      <c r="K99" s="641">
        <v>5000</v>
      </c>
      <c r="L99" s="641">
        <v>5000</v>
      </c>
      <c r="M99" s="641">
        <v>5000</v>
      </c>
    </row>
    <row r="100" spans="1:13">
      <c r="A100" s="4" t="s">
        <v>565</v>
      </c>
      <c r="B100" s="757"/>
      <c r="C100" s="689">
        <v>0</v>
      </c>
      <c r="D100" s="689">
        <v>0</v>
      </c>
      <c r="E100" s="689">
        <v>0</v>
      </c>
      <c r="F100" s="689">
        <v>0</v>
      </c>
      <c r="G100" s="689">
        <v>0</v>
      </c>
      <c r="H100" s="689">
        <v>0</v>
      </c>
      <c r="I100" s="689">
        <v>0</v>
      </c>
      <c r="J100" s="689">
        <v>0</v>
      </c>
      <c r="K100" s="689">
        <v>0</v>
      </c>
      <c r="L100" s="689">
        <v>0</v>
      </c>
      <c r="M100" s="689">
        <v>0</v>
      </c>
    </row>
    <row r="101" spans="1:13">
      <c r="A101" s="4" t="s">
        <v>566</v>
      </c>
      <c r="B101" s="757"/>
      <c r="C101" s="689">
        <v>8000</v>
      </c>
      <c r="D101" s="689">
        <v>8000</v>
      </c>
      <c r="E101" s="689">
        <v>8000</v>
      </c>
      <c r="F101" s="689">
        <v>8000</v>
      </c>
      <c r="G101" s="689">
        <v>8000</v>
      </c>
      <c r="H101" s="689">
        <v>8000</v>
      </c>
      <c r="I101" s="689">
        <v>8000</v>
      </c>
      <c r="J101" s="689">
        <v>8000</v>
      </c>
      <c r="K101" s="689">
        <v>8000</v>
      </c>
      <c r="L101" s="689">
        <v>8000</v>
      </c>
      <c r="M101" s="689">
        <v>8000</v>
      </c>
    </row>
    <row r="102" spans="1:13">
      <c r="A102" s="4" t="s">
        <v>567</v>
      </c>
      <c r="B102" s="757"/>
      <c r="C102" s="689">
        <v>3845</v>
      </c>
      <c r="D102" s="689">
        <v>3845</v>
      </c>
      <c r="E102" s="689">
        <v>3845</v>
      </c>
      <c r="F102" s="689">
        <v>3845</v>
      </c>
      <c r="G102" s="689">
        <v>3845</v>
      </c>
      <c r="H102" s="689">
        <v>3845</v>
      </c>
      <c r="I102" s="689">
        <v>3845</v>
      </c>
      <c r="J102" s="689">
        <v>3845</v>
      </c>
      <c r="K102" s="689">
        <v>3845</v>
      </c>
      <c r="L102" s="689">
        <v>3845</v>
      </c>
      <c r="M102" s="689">
        <v>3845</v>
      </c>
    </row>
    <row r="103" spans="1:13">
      <c r="A103" s="4" t="s">
        <v>568</v>
      </c>
      <c r="B103" s="757"/>
      <c r="C103" s="689">
        <v>3500</v>
      </c>
      <c r="D103" s="689">
        <v>3500</v>
      </c>
      <c r="E103" s="689">
        <v>3500</v>
      </c>
      <c r="F103" s="689">
        <v>3500</v>
      </c>
      <c r="G103" s="689">
        <v>3500</v>
      </c>
      <c r="H103" s="689">
        <v>3500</v>
      </c>
      <c r="I103" s="689">
        <v>3500</v>
      </c>
      <c r="J103" s="689">
        <v>3500</v>
      </c>
      <c r="K103" s="689">
        <v>3500</v>
      </c>
      <c r="L103" s="689">
        <v>3500</v>
      </c>
      <c r="M103" s="689">
        <v>3500</v>
      </c>
    </row>
    <row r="104" spans="1:13">
      <c r="A104" s="4" t="s">
        <v>569</v>
      </c>
      <c r="B104" s="757"/>
      <c r="C104" s="689">
        <v>85250</v>
      </c>
      <c r="D104" s="689">
        <v>85250</v>
      </c>
      <c r="E104" s="689">
        <v>85250</v>
      </c>
      <c r="F104" s="689">
        <v>85250</v>
      </c>
      <c r="G104" s="689">
        <v>85250</v>
      </c>
      <c r="H104" s="689">
        <v>85250</v>
      </c>
      <c r="I104" s="689">
        <v>85250</v>
      </c>
      <c r="J104" s="689">
        <v>85250</v>
      </c>
      <c r="K104" s="689">
        <v>85250</v>
      </c>
      <c r="L104" s="689">
        <v>85250</v>
      </c>
      <c r="M104" s="689">
        <v>85250</v>
      </c>
    </row>
    <row r="105" spans="1:13">
      <c r="A105" s="4"/>
      <c r="B105" s="757"/>
      <c r="C105" s="689"/>
      <c r="D105" s="689"/>
      <c r="E105" s="689"/>
      <c r="F105" s="689"/>
      <c r="G105" s="689"/>
      <c r="H105" s="689"/>
      <c r="I105" s="689"/>
      <c r="J105" s="689"/>
      <c r="K105" s="689"/>
      <c r="L105" s="689"/>
      <c r="M105" s="689"/>
    </row>
    <row r="106" spans="1:13" ht="16.2" thickBot="1">
      <c r="A106" s="737"/>
      <c r="B106" s="738"/>
      <c r="C106" s="848">
        <v>1365452</v>
      </c>
      <c r="D106" s="848">
        <v>17780102</v>
      </c>
      <c r="E106" s="848">
        <v>1429682</v>
      </c>
      <c r="F106" s="848">
        <v>4374232</v>
      </c>
      <c r="G106" s="848">
        <v>9411262</v>
      </c>
      <c r="H106" s="848">
        <v>8304814</v>
      </c>
      <c r="I106" s="848">
        <v>5452514</v>
      </c>
      <c r="J106" s="848">
        <v>5257514</v>
      </c>
      <c r="K106" s="848">
        <v>73688982</v>
      </c>
      <c r="L106" s="848">
        <v>9887226</v>
      </c>
      <c r="M106" s="848">
        <v>6080726</v>
      </c>
    </row>
    <row r="107" spans="1:13">
      <c r="A107" s="5"/>
      <c r="B107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</row>
    <row r="108" spans="1:13">
      <c r="A108" s="5"/>
      <c r="B108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</row>
    <row r="109" spans="1:13">
      <c r="A109" s="754" t="s">
        <v>3</v>
      </c>
      <c r="B109" s="755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</row>
    <row r="110" spans="1:13">
      <c r="A110" s="28" t="s">
        <v>223</v>
      </c>
      <c r="B110" s="747" t="s">
        <v>282</v>
      </c>
      <c r="C110" s="855">
        <v>506011</v>
      </c>
      <c r="D110" s="855">
        <v>9222180</v>
      </c>
      <c r="E110" s="855">
        <v>24558760</v>
      </c>
      <c r="F110" s="855">
        <v>93147710</v>
      </c>
      <c r="G110" s="855">
        <v>51717135</v>
      </c>
      <c r="H110" s="855">
        <v>55964535</v>
      </c>
      <c r="I110" s="855">
        <v>32454551</v>
      </c>
      <c r="J110" s="855">
        <v>9913369</v>
      </c>
      <c r="K110" s="855">
        <v>100040564</v>
      </c>
      <c r="L110" s="855">
        <v>13916250</v>
      </c>
      <c r="M110" s="855">
        <v>76347019</v>
      </c>
    </row>
    <row r="111" spans="1:13">
      <c r="A111" s="1" t="s">
        <v>5</v>
      </c>
      <c r="B111" s="756"/>
      <c r="C111" s="641">
        <v>5</v>
      </c>
      <c r="D111" s="641">
        <v>5</v>
      </c>
      <c r="E111" s="641">
        <v>5</v>
      </c>
      <c r="F111" s="641">
        <v>5</v>
      </c>
      <c r="G111" s="641">
        <v>5</v>
      </c>
      <c r="H111" s="641">
        <v>5</v>
      </c>
      <c r="I111" s="641">
        <v>5</v>
      </c>
      <c r="J111" s="641">
        <v>5</v>
      </c>
      <c r="K111" s="641">
        <v>5</v>
      </c>
      <c r="L111" s="641">
        <v>5</v>
      </c>
      <c r="M111" s="641">
        <v>5</v>
      </c>
    </row>
    <row r="112" spans="1:13">
      <c r="A112" s="1" t="s">
        <v>6</v>
      </c>
      <c r="B112" s="756"/>
      <c r="C112" s="641">
        <v>3148</v>
      </c>
      <c r="D112" s="641">
        <v>3148</v>
      </c>
      <c r="E112" s="641">
        <v>3148</v>
      </c>
      <c r="F112" s="641">
        <v>3148</v>
      </c>
      <c r="G112" s="641">
        <v>3148</v>
      </c>
      <c r="H112" s="641">
        <v>3148</v>
      </c>
      <c r="I112" s="641">
        <v>3148</v>
      </c>
      <c r="J112" s="641">
        <v>3148</v>
      </c>
      <c r="K112" s="641">
        <v>3148</v>
      </c>
      <c r="L112" s="641">
        <v>3148</v>
      </c>
      <c r="M112" s="641">
        <v>3148</v>
      </c>
    </row>
    <row r="113" spans="1:13">
      <c r="A113" s="1" t="s">
        <v>7</v>
      </c>
      <c r="B113" s="756"/>
      <c r="C113" s="641">
        <v>149</v>
      </c>
      <c r="D113" s="641">
        <v>149</v>
      </c>
      <c r="E113" s="641">
        <v>149</v>
      </c>
      <c r="F113" s="641">
        <v>149</v>
      </c>
      <c r="G113" s="641">
        <v>149</v>
      </c>
      <c r="H113" s="641">
        <v>149</v>
      </c>
      <c r="I113" s="641">
        <v>149</v>
      </c>
      <c r="J113" s="641">
        <v>149</v>
      </c>
      <c r="K113" s="641">
        <v>149</v>
      </c>
      <c r="L113" s="641">
        <v>149</v>
      </c>
      <c r="M113" s="641">
        <v>149</v>
      </c>
    </row>
    <row r="114" spans="1:13">
      <c r="A114" s="1" t="s">
        <v>8</v>
      </c>
      <c r="B114" s="756"/>
      <c r="C114" s="641">
        <v>250000</v>
      </c>
      <c r="D114" s="641">
        <v>250000</v>
      </c>
      <c r="E114" s="641">
        <v>250000</v>
      </c>
      <c r="F114" s="641">
        <v>250000</v>
      </c>
      <c r="G114" s="641">
        <v>250000</v>
      </c>
      <c r="H114" s="641">
        <v>250000</v>
      </c>
      <c r="I114" s="641">
        <v>250000</v>
      </c>
      <c r="J114" s="641">
        <v>250000</v>
      </c>
      <c r="K114" s="641">
        <v>250000</v>
      </c>
      <c r="L114" s="641">
        <v>250000</v>
      </c>
      <c r="M114" s="641">
        <v>250000</v>
      </c>
    </row>
    <row r="115" spans="1:13">
      <c r="A115" s="1"/>
      <c r="B115" s="736"/>
      <c r="C115" s="641"/>
      <c r="D115" s="641"/>
      <c r="E115" s="641"/>
      <c r="F115" s="641"/>
      <c r="G115" s="641"/>
      <c r="H115" s="641"/>
      <c r="I115" s="641"/>
      <c r="J115" s="641"/>
      <c r="K115" s="641"/>
      <c r="L115" s="641"/>
      <c r="M115" s="641"/>
    </row>
    <row r="116" spans="1:13" ht="15.6">
      <c r="A116" s="1"/>
      <c r="B116" s="736"/>
      <c r="C116" s="863">
        <v>759313</v>
      </c>
      <c r="D116" s="863">
        <v>9475482</v>
      </c>
      <c r="E116" s="863">
        <v>24812062</v>
      </c>
      <c r="F116" s="863">
        <v>93401012</v>
      </c>
      <c r="G116" s="863">
        <v>51970437</v>
      </c>
      <c r="H116" s="863">
        <v>56217837</v>
      </c>
      <c r="I116" s="863">
        <v>32707853</v>
      </c>
      <c r="J116" s="863">
        <v>10166671</v>
      </c>
      <c r="K116" s="863">
        <v>100293866</v>
      </c>
      <c r="L116" s="863">
        <v>14169552</v>
      </c>
      <c r="M116" s="863">
        <v>76600321</v>
      </c>
    </row>
    <row r="117" spans="1:13">
      <c r="A117" s="4"/>
      <c r="B117" s="15"/>
      <c r="C117" s="865"/>
      <c r="D117" s="865"/>
      <c r="E117" s="865"/>
      <c r="F117" s="865"/>
      <c r="G117" s="865"/>
      <c r="H117" s="865"/>
      <c r="I117" s="865"/>
      <c r="J117" s="865"/>
      <c r="K117" s="865"/>
      <c r="L117" s="865"/>
      <c r="M117" s="865"/>
    </row>
    <row r="118" spans="1:13">
      <c r="A118" s="5"/>
      <c r="B118"/>
      <c r="C118" s="864"/>
      <c r="D118" s="864"/>
      <c r="E118" s="864"/>
      <c r="F118" s="864"/>
      <c r="G118" s="864"/>
      <c r="H118" s="864"/>
      <c r="I118" s="864"/>
      <c r="J118" s="864"/>
      <c r="K118" s="864"/>
      <c r="L118" s="864"/>
      <c r="M118" s="864"/>
    </row>
    <row r="119" spans="1:13" s="688" customFormat="1" ht="21">
      <c r="A119" s="1449" t="s">
        <v>226</v>
      </c>
      <c r="B119" s="1446"/>
      <c r="C119" s="850">
        <v>157391632</v>
      </c>
      <c r="D119" s="850">
        <v>53265504</v>
      </c>
      <c r="E119" s="850">
        <v>54185166</v>
      </c>
      <c r="F119" s="850">
        <v>121534361</v>
      </c>
      <c r="G119" s="850">
        <v>84363828</v>
      </c>
      <c r="H119" s="850">
        <v>90177764</v>
      </c>
      <c r="I119" s="850">
        <v>62748043</v>
      </c>
      <c r="J119" s="850">
        <v>46651950</v>
      </c>
      <c r="K119" s="850">
        <v>203554076</v>
      </c>
      <c r="L119" s="850">
        <v>52370753</v>
      </c>
      <c r="M119" s="850">
        <v>108824168</v>
      </c>
    </row>
    <row r="120" spans="1:13">
      <c r="A120" s="5"/>
      <c r="B120"/>
      <c r="C120" s="864"/>
      <c r="D120" s="864"/>
      <c r="E120" s="864"/>
      <c r="F120" s="864"/>
      <c r="G120" s="864"/>
      <c r="H120" s="864"/>
      <c r="I120" s="864"/>
      <c r="J120" s="864"/>
      <c r="K120" s="864"/>
      <c r="L120" s="864"/>
      <c r="M120" s="864"/>
    </row>
    <row r="121" spans="1:13" ht="16.2" thickBot="1">
      <c r="A121" s="758"/>
      <c r="B121" s="759"/>
      <c r="C121" s="866"/>
      <c r="D121" s="866"/>
      <c r="E121" s="866"/>
      <c r="F121" s="866"/>
      <c r="G121" s="866"/>
      <c r="H121" s="866"/>
      <c r="I121" s="866"/>
      <c r="J121" s="866"/>
      <c r="K121" s="866"/>
      <c r="L121" s="866"/>
      <c r="M121" s="866"/>
    </row>
    <row r="122" spans="1:13" ht="15" thickTop="1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</row>
    <row r="123" spans="1:13" s="691" customFormat="1" ht="21">
      <c r="A123" s="1442" t="s">
        <v>227</v>
      </c>
      <c r="B123" s="1443"/>
      <c r="C123" s="867">
        <v>364743632</v>
      </c>
      <c r="D123" s="867">
        <v>372496504</v>
      </c>
      <c r="E123" s="867">
        <v>219809166</v>
      </c>
      <c r="F123" s="867">
        <v>218842861</v>
      </c>
      <c r="G123" s="867">
        <v>218260828</v>
      </c>
      <c r="H123" s="867">
        <v>358621764</v>
      </c>
      <c r="I123" s="867">
        <v>369541543</v>
      </c>
      <c r="J123" s="867">
        <v>365984950</v>
      </c>
      <c r="K123" s="867">
        <v>358177076</v>
      </c>
      <c r="L123" s="867">
        <v>217588753</v>
      </c>
      <c r="M123" s="867">
        <v>216277168</v>
      </c>
    </row>
    <row r="124" spans="1:13">
      <c r="A124" s="5"/>
      <c r="B124"/>
      <c r="C124" s="852"/>
      <c r="D124" s="852"/>
      <c r="E124" s="852"/>
      <c r="F124" s="852"/>
      <c r="G124" s="852"/>
      <c r="H124" s="852"/>
      <c r="I124" s="852"/>
      <c r="J124" s="852"/>
      <c r="K124" s="852"/>
      <c r="L124" s="852"/>
      <c r="M124" s="852"/>
    </row>
    <row r="125" spans="1:13" ht="18">
      <c r="A125" s="754" t="s">
        <v>21</v>
      </c>
      <c r="B125" s="755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</row>
    <row r="126" spans="1:13">
      <c r="A126" s="1"/>
      <c r="B126" s="736"/>
      <c r="C126" s="641"/>
      <c r="D126" s="641"/>
      <c r="E126" s="641"/>
      <c r="F126" s="641"/>
      <c r="G126" s="641"/>
      <c r="H126" s="641"/>
      <c r="I126" s="641"/>
      <c r="J126" s="641"/>
      <c r="K126" s="641"/>
      <c r="L126" s="641"/>
      <c r="M126" s="641"/>
    </row>
    <row r="127" spans="1:13">
      <c r="A127" s="4" t="s">
        <v>76</v>
      </c>
      <c r="B127" s="15"/>
      <c r="C127" s="689">
        <v>5000000</v>
      </c>
      <c r="D127" s="689">
        <v>5000000</v>
      </c>
      <c r="E127" s="689">
        <v>5000000</v>
      </c>
      <c r="F127" s="689">
        <v>5000000</v>
      </c>
      <c r="G127" s="689">
        <v>5000000</v>
      </c>
      <c r="H127" s="689">
        <v>5000000</v>
      </c>
      <c r="I127" s="689">
        <v>5000000</v>
      </c>
      <c r="J127" s="689">
        <v>5000000</v>
      </c>
      <c r="K127" s="689">
        <v>5000000</v>
      </c>
      <c r="L127" s="689">
        <v>5000000</v>
      </c>
      <c r="M127" s="689">
        <v>5000000</v>
      </c>
    </row>
    <row r="128" spans="1:13">
      <c r="A128" s="4" t="s">
        <v>186</v>
      </c>
      <c r="B128" s="15"/>
      <c r="C128" s="689">
        <v>679000</v>
      </c>
      <c r="D128" s="689">
        <v>679000</v>
      </c>
      <c r="E128" s="689">
        <v>679000</v>
      </c>
      <c r="F128" s="689">
        <v>679000</v>
      </c>
      <c r="G128" s="689">
        <v>679000</v>
      </c>
      <c r="H128" s="689">
        <v>679000</v>
      </c>
      <c r="I128" s="689">
        <v>679000</v>
      </c>
      <c r="J128" s="689">
        <v>679000</v>
      </c>
      <c r="K128" s="689">
        <v>679000</v>
      </c>
      <c r="L128" s="689">
        <v>679000</v>
      </c>
      <c r="M128" s="689">
        <v>679000</v>
      </c>
    </row>
    <row r="129" spans="1:13">
      <c r="A129" s="4" t="s">
        <v>261</v>
      </c>
      <c r="B129" s="15"/>
      <c r="C129" s="689">
        <v>200000</v>
      </c>
      <c r="D129" s="689">
        <v>200000</v>
      </c>
      <c r="E129" s="689">
        <v>200000</v>
      </c>
      <c r="F129" s="689">
        <v>200000</v>
      </c>
      <c r="G129" s="689">
        <v>200000</v>
      </c>
      <c r="H129" s="689">
        <v>200000</v>
      </c>
      <c r="I129" s="689">
        <v>200000</v>
      </c>
      <c r="J129" s="689">
        <v>200000</v>
      </c>
      <c r="K129" s="689">
        <v>200000</v>
      </c>
      <c r="L129" s="689">
        <v>200000</v>
      </c>
      <c r="M129" s="689">
        <v>200000</v>
      </c>
    </row>
    <row r="130" spans="1:13">
      <c r="A130" s="4" t="s">
        <v>669</v>
      </c>
      <c r="B130" s="15"/>
      <c r="C130" s="689">
        <v>55000</v>
      </c>
      <c r="D130" s="693">
        <v>55000</v>
      </c>
      <c r="E130" s="689">
        <v>0</v>
      </c>
      <c r="F130" s="689">
        <v>0</v>
      </c>
      <c r="G130" s="689">
        <v>0</v>
      </c>
      <c r="H130" s="689">
        <v>0</v>
      </c>
      <c r="I130" s="689">
        <v>0</v>
      </c>
      <c r="J130" s="689">
        <v>0</v>
      </c>
      <c r="K130" s="689">
        <v>0</v>
      </c>
      <c r="L130" s="689">
        <v>0</v>
      </c>
      <c r="M130" s="689">
        <v>0</v>
      </c>
    </row>
    <row r="131" spans="1:13">
      <c r="A131" s="4" t="s">
        <v>667</v>
      </c>
      <c r="B131" s="15"/>
      <c r="C131" s="689">
        <v>0</v>
      </c>
      <c r="D131" s="689">
        <v>0</v>
      </c>
      <c r="E131" s="689">
        <v>0</v>
      </c>
      <c r="F131" s="689">
        <v>0</v>
      </c>
      <c r="G131" s="693">
        <v>0</v>
      </c>
      <c r="H131" s="693">
        <v>10000000</v>
      </c>
      <c r="I131" s="689">
        <v>0</v>
      </c>
      <c r="J131" s="689">
        <v>0</v>
      </c>
      <c r="K131" s="689">
        <v>0</v>
      </c>
      <c r="L131" s="689">
        <v>0</v>
      </c>
      <c r="M131" s="689">
        <v>0</v>
      </c>
    </row>
    <row r="132" spans="1:13">
      <c r="A132" s="4" t="s">
        <v>666</v>
      </c>
      <c r="B132" s="15"/>
      <c r="C132" s="689">
        <v>0</v>
      </c>
      <c r="D132" s="689">
        <v>0</v>
      </c>
      <c r="E132" s="693">
        <v>0</v>
      </c>
      <c r="F132" s="689">
        <v>100000</v>
      </c>
      <c r="G132" s="689">
        <v>100000</v>
      </c>
      <c r="H132" s="693">
        <v>100000</v>
      </c>
      <c r="I132" s="689">
        <v>0</v>
      </c>
      <c r="J132" s="689">
        <v>0</v>
      </c>
      <c r="K132" s="689">
        <v>0</v>
      </c>
      <c r="L132" s="689">
        <v>0</v>
      </c>
      <c r="M132" s="689">
        <v>0</v>
      </c>
    </row>
    <row r="133" spans="1:13">
      <c r="A133" s="1" t="s">
        <v>26</v>
      </c>
      <c r="B133" s="736"/>
      <c r="C133" s="641">
        <v>50000</v>
      </c>
      <c r="D133" s="641">
        <v>50000</v>
      </c>
      <c r="E133" s="641">
        <v>50000</v>
      </c>
      <c r="F133" s="684">
        <v>50000</v>
      </c>
      <c r="G133" s="684">
        <v>140000</v>
      </c>
      <c r="H133" s="641">
        <v>50000</v>
      </c>
      <c r="I133" s="641">
        <v>50000</v>
      </c>
      <c r="J133" s="641">
        <v>50000</v>
      </c>
      <c r="K133" s="641">
        <v>50000</v>
      </c>
      <c r="L133" s="641">
        <v>50000</v>
      </c>
      <c r="M133" s="641">
        <v>50000</v>
      </c>
    </row>
    <row r="134" spans="1:13">
      <c r="A134" s="1" t="s">
        <v>570</v>
      </c>
      <c r="B134" s="736"/>
      <c r="C134" s="641">
        <v>2250000</v>
      </c>
      <c r="D134" s="641">
        <v>2250000</v>
      </c>
      <c r="E134" s="641">
        <v>2250000</v>
      </c>
      <c r="F134" s="641">
        <v>2250000</v>
      </c>
      <c r="G134" s="641">
        <v>2250000</v>
      </c>
      <c r="H134" s="641">
        <v>2250000</v>
      </c>
      <c r="I134" s="641">
        <v>2250000</v>
      </c>
      <c r="J134" s="641">
        <v>2250000</v>
      </c>
      <c r="K134" s="641">
        <v>2250000</v>
      </c>
      <c r="L134" s="641">
        <v>2250000</v>
      </c>
      <c r="M134" s="641">
        <v>2250000</v>
      </c>
    </row>
    <row r="135" spans="1:13">
      <c r="A135" s="1" t="s">
        <v>571</v>
      </c>
      <c r="B135" s="736"/>
      <c r="C135" s="684">
        <v>85000</v>
      </c>
      <c r="D135" s="641">
        <v>0</v>
      </c>
      <c r="E135" s="641">
        <v>0</v>
      </c>
      <c r="F135" s="641">
        <v>0</v>
      </c>
      <c r="G135" s="641">
        <v>0</v>
      </c>
      <c r="H135" s="641">
        <v>0</v>
      </c>
      <c r="I135" s="641">
        <v>0</v>
      </c>
      <c r="J135" s="641">
        <v>0</v>
      </c>
      <c r="K135" s="641">
        <v>0</v>
      </c>
      <c r="L135" s="641">
        <v>0</v>
      </c>
      <c r="M135" s="641">
        <v>0</v>
      </c>
    </row>
    <row r="136" spans="1:13">
      <c r="A136" s="1" t="s">
        <v>198</v>
      </c>
      <c r="B136" s="736"/>
      <c r="C136" s="641">
        <v>250000</v>
      </c>
      <c r="D136" s="641">
        <v>250000</v>
      </c>
      <c r="E136" s="641">
        <v>250000</v>
      </c>
      <c r="F136" s="641">
        <v>250000</v>
      </c>
      <c r="G136" s="641">
        <v>250000</v>
      </c>
      <c r="H136" s="641">
        <v>250000</v>
      </c>
      <c r="I136" s="684">
        <v>250000</v>
      </c>
      <c r="J136" s="641">
        <v>0</v>
      </c>
      <c r="K136" s="641">
        <v>0</v>
      </c>
      <c r="L136" s="641">
        <v>0</v>
      </c>
      <c r="M136" s="641">
        <v>0</v>
      </c>
    </row>
    <row r="137" spans="1:13">
      <c r="A137" s="1"/>
      <c r="B137" s="736"/>
      <c r="C137" s="641">
        <v>0</v>
      </c>
      <c r="D137" s="641">
        <v>0</v>
      </c>
      <c r="E137" s="641">
        <v>0</v>
      </c>
      <c r="F137" s="641">
        <v>0</v>
      </c>
      <c r="G137" s="641">
        <v>0</v>
      </c>
      <c r="H137" s="641">
        <v>0</v>
      </c>
      <c r="I137" s="641">
        <v>0</v>
      </c>
      <c r="J137" s="641">
        <v>0</v>
      </c>
      <c r="K137" s="641">
        <v>0</v>
      </c>
      <c r="L137" s="641">
        <v>0</v>
      </c>
      <c r="M137" s="641">
        <v>0</v>
      </c>
    </row>
    <row r="138" spans="1:13">
      <c r="A138" s="1" t="s">
        <v>627</v>
      </c>
      <c r="B138" s="736"/>
      <c r="C138" s="641">
        <v>100000</v>
      </c>
      <c r="D138" s="641">
        <v>100000</v>
      </c>
      <c r="E138" s="641">
        <v>100000</v>
      </c>
      <c r="F138" s="641">
        <v>100000</v>
      </c>
      <c r="G138" s="641">
        <v>100000</v>
      </c>
      <c r="H138" s="641">
        <v>100000</v>
      </c>
      <c r="I138" s="641">
        <v>100000</v>
      </c>
      <c r="J138" s="641">
        <v>100000</v>
      </c>
      <c r="K138" s="641">
        <v>100000</v>
      </c>
      <c r="L138" s="684">
        <v>100000</v>
      </c>
      <c r="M138" s="684">
        <v>100000</v>
      </c>
    </row>
    <row r="139" spans="1:13">
      <c r="A139" s="1" t="s">
        <v>654</v>
      </c>
      <c r="B139" s="736"/>
      <c r="C139" s="641">
        <v>0</v>
      </c>
      <c r="D139" s="641">
        <v>0</v>
      </c>
      <c r="E139" s="641">
        <v>0</v>
      </c>
      <c r="F139" s="641">
        <v>0</v>
      </c>
      <c r="G139" s="641">
        <v>0</v>
      </c>
      <c r="H139" s="641">
        <v>0</v>
      </c>
      <c r="I139" s="641">
        <v>0</v>
      </c>
      <c r="J139" s="684">
        <v>0</v>
      </c>
      <c r="K139" s="641">
        <v>30000</v>
      </c>
      <c r="L139" s="684">
        <v>30000</v>
      </c>
      <c r="M139" s="641"/>
    </row>
    <row r="140" spans="1:13">
      <c r="A140" s="4" t="s">
        <v>660</v>
      </c>
      <c r="B140" s="15"/>
      <c r="C140" s="689">
        <v>400000</v>
      </c>
      <c r="D140" s="689">
        <v>400000</v>
      </c>
      <c r="E140" s="689">
        <v>400000</v>
      </c>
      <c r="F140" s="689">
        <v>400000</v>
      </c>
      <c r="G140" s="689">
        <v>400000</v>
      </c>
      <c r="H140" s="689">
        <v>400000</v>
      </c>
      <c r="I140" s="689">
        <v>400000</v>
      </c>
      <c r="J140" s="693">
        <v>400000</v>
      </c>
      <c r="K140" s="689"/>
      <c r="L140" s="689"/>
      <c r="M140" s="689"/>
    </row>
    <row r="141" spans="1:13">
      <c r="A141" s="4" t="s">
        <v>191</v>
      </c>
      <c r="B141" s="15"/>
      <c r="C141" s="689">
        <v>150000</v>
      </c>
      <c r="D141" s="689">
        <v>150000</v>
      </c>
      <c r="E141" s="689">
        <v>150000</v>
      </c>
      <c r="F141" s="689">
        <v>150000</v>
      </c>
      <c r="G141" s="693">
        <v>150000</v>
      </c>
      <c r="H141" s="689">
        <v>100000</v>
      </c>
      <c r="I141" s="689">
        <v>100000</v>
      </c>
      <c r="J141" s="689">
        <v>100000</v>
      </c>
      <c r="K141" s="689">
        <v>100000</v>
      </c>
      <c r="L141" s="693">
        <v>100000</v>
      </c>
      <c r="M141" s="693">
        <v>100000</v>
      </c>
    </row>
    <row r="142" spans="1:13">
      <c r="A142" s="4" t="s">
        <v>671</v>
      </c>
      <c r="B142" s="15"/>
      <c r="C142" s="693">
        <v>1490000</v>
      </c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</row>
    <row r="143" spans="1:13">
      <c r="A143" s="4"/>
      <c r="B143" s="15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</row>
    <row r="144" spans="1:13" ht="16.2" thickBot="1">
      <c r="A144" s="737"/>
      <c r="B144" s="738"/>
      <c r="C144" s="848">
        <v>5709000</v>
      </c>
      <c r="D144" s="848">
        <v>4079000</v>
      </c>
      <c r="E144" s="848">
        <v>4029000</v>
      </c>
      <c r="F144" s="848">
        <v>4129000</v>
      </c>
      <c r="G144" s="848">
        <v>4219000</v>
      </c>
      <c r="H144" s="848">
        <v>14079000</v>
      </c>
      <c r="I144" s="848">
        <v>3979000</v>
      </c>
      <c r="J144" s="848">
        <v>3779000</v>
      </c>
      <c r="K144" s="848">
        <v>3409000</v>
      </c>
      <c r="L144" s="848">
        <v>3409000</v>
      </c>
      <c r="M144" s="848">
        <v>3379000</v>
      </c>
    </row>
    <row r="145" spans="1:13" ht="16.2" thickBot="1">
      <c r="A145" s="5"/>
      <c r="B145"/>
      <c r="C145" s="853"/>
      <c r="D145" s="853"/>
      <c r="E145" s="853"/>
      <c r="F145" s="853"/>
      <c r="G145" s="853"/>
      <c r="H145" s="853"/>
      <c r="I145" s="853"/>
      <c r="J145" s="853"/>
      <c r="K145" s="853"/>
      <c r="L145" s="853"/>
      <c r="M145" s="853"/>
    </row>
    <row r="146" spans="1:13">
      <c r="A146" s="760" t="s">
        <v>12</v>
      </c>
      <c r="B146" s="761"/>
      <c r="C146" s="694"/>
      <c r="D146" s="694"/>
      <c r="E146" s="694"/>
      <c r="F146" s="694"/>
      <c r="G146" s="694"/>
      <c r="H146" s="694"/>
      <c r="I146" s="694"/>
      <c r="J146" s="694"/>
      <c r="K146" s="694"/>
      <c r="L146" s="694"/>
      <c r="M146" s="694"/>
    </row>
    <row r="147" spans="1:13">
      <c r="A147" s="762"/>
      <c r="B147" s="763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</row>
    <row r="148" spans="1:13">
      <c r="A148" s="1" t="s">
        <v>22</v>
      </c>
      <c r="B148" s="736"/>
      <c r="C148" s="641">
        <v>192000</v>
      </c>
      <c r="D148" s="641">
        <v>192000</v>
      </c>
      <c r="E148" s="641">
        <v>192000</v>
      </c>
      <c r="F148" s="641">
        <v>192000</v>
      </c>
      <c r="G148" s="641">
        <v>192000</v>
      </c>
      <c r="H148" s="641">
        <v>192000</v>
      </c>
      <c r="I148" s="641">
        <v>192000</v>
      </c>
      <c r="J148" s="641">
        <v>192000</v>
      </c>
      <c r="K148" s="641">
        <v>192000</v>
      </c>
      <c r="L148" s="641">
        <v>192000</v>
      </c>
      <c r="M148" s="641">
        <v>192000</v>
      </c>
    </row>
    <row r="149" spans="1:13">
      <c r="A149" s="1"/>
      <c r="B149" s="736"/>
      <c r="C149" s="641"/>
      <c r="D149" s="641"/>
      <c r="E149" s="641"/>
      <c r="F149" s="641"/>
      <c r="G149" s="641"/>
      <c r="H149" s="641"/>
      <c r="I149" s="641"/>
      <c r="J149" s="641"/>
      <c r="K149" s="641"/>
      <c r="L149" s="641"/>
      <c r="M149" s="641"/>
    </row>
    <row r="150" spans="1:13">
      <c r="A150" s="1"/>
      <c r="B150" s="736"/>
      <c r="C150" s="641"/>
      <c r="D150" s="641"/>
      <c r="E150" s="641"/>
      <c r="F150" s="641"/>
      <c r="G150" s="641"/>
      <c r="H150" s="641"/>
      <c r="I150" s="641"/>
      <c r="J150" s="641"/>
      <c r="K150" s="641"/>
      <c r="L150" s="641"/>
      <c r="M150" s="641"/>
    </row>
    <row r="151" spans="1:13">
      <c r="A151" s="1"/>
      <c r="B151" s="736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</row>
    <row r="152" spans="1:13">
      <c r="A152" s="1" t="s">
        <v>26</v>
      </c>
      <c r="B152" s="736"/>
      <c r="C152" s="641">
        <v>108000</v>
      </c>
      <c r="D152" s="641">
        <v>108000</v>
      </c>
      <c r="E152" s="641">
        <v>108000</v>
      </c>
      <c r="F152" s="641">
        <v>108000</v>
      </c>
      <c r="G152" s="641">
        <v>108000</v>
      </c>
      <c r="H152" s="641">
        <v>108000</v>
      </c>
      <c r="I152" s="641">
        <v>108000</v>
      </c>
      <c r="J152" s="641">
        <v>108000</v>
      </c>
      <c r="K152" s="641">
        <v>108000</v>
      </c>
      <c r="L152" s="641">
        <v>108000</v>
      </c>
      <c r="M152" s="641">
        <v>108000</v>
      </c>
    </row>
    <row r="153" spans="1:13">
      <c r="A153" s="1"/>
      <c r="B153" s="736"/>
      <c r="C153" s="641"/>
      <c r="D153" s="641"/>
      <c r="E153" s="641"/>
      <c r="F153" s="641"/>
      <c r="G153" s="641"/>
      <c r="H153" s="641"/>
      <c r="I153" s="641"/>
      <c r="J153" s="641"/>
      <c r="K153" s="641"/>
      <c r="L153" s="641"/>
      <c r="M153" s="641"/>
    </row>
    <row r="154" spans="1:13">
      <c r="A154" s="1"/>
      <c r="B154" s="736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</row>
    <row r="155" spans="1:13">
      <c r="A155" s="1" t="s">
        <v>571</v>
      </c>
      <c r="B155" s="736"/>
      <c r="C155" s="641">
        <v>100000</v>
      </c>
      <c r="D155" s="641">
        <v>100000</v>
      </c>
      <c r="E155" s="641">
        <v>100000</v>
      </c>
      <c r="F155" s="641">
        <v>100000</v>
      </c>
      <c r="G155" s="641">
        <v>100000</v>
      </c>
      <c r="H155" s="641">
        <v>100000</v>
      </c>
      <c r="I155" s="641">
        <v>100000</v>
      </c>
      <c r="J155" s="641">
        <v>100000</v>
      </c>
      <c r="K155" s="641">
        <v>100000</v>
      </c>
      <c r="L155" s="641">
        <v>100000</v>
      </c>
      <c r="M155" s="641">
        <v>100000</v>
      </c>
    </row>
    <row r="156" spans="1:13">
      <c r="A156" s="1"/>
      <c r="B156" s="736"/>
      <c r="C156" s="641"/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</row>
    <row r="157" spans="1:13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</row>
    <row r="158" spans="1:13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</row>
    <row r="159" spans="1:13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</row>
    <row r="160" spans="1:13">
      <c r="A160" s="1"/>
      <c r="B160" s="736"/>
      <c r="C160" s="641"/>
      <c r="D160" s="641"/>
      <c r="E160" s="641"/>
      <c r="F160" s="641"/>
      <c r="G160" s="641"/>
      <c r="H160" s="641"/>
      <c r="I160" s="641"/>
      <c r="J160" s="641"/>
      <c r="K160" s="641"/>
      <c r="L160" s="641"/>
      <c r="M160" s="641"/>
    </row>
    <row r="161" spans="1:13">
      <c r="A161" s="4"/>
      <c r="B161" s="15"/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</row>
    <row r="162" spans="1:13">
      <c r="A162" s="4"/>
      <c r="B162" s="15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</row>
    <row r="163" spans="1:13">
      <c r="A163" s="4"/>
      <c r="B163" s="15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</row>
    <row r="164" spans="1:13" ht="16.2" thickBot="1">
      <c r="A164" s="737"/>
      <c r="B164" s="738"/>
      <c r="C164" s="848">
        <v>400000</v>
      </c>
      <c r="D164" s="848">
        <v>400000</v>
      </c>
      <c r="E164" s="848">
        <v>400000</v>
      </c>
      <c r="F164" s="848">
        <v>400000</v>
      </c>
      <c r="G164" s="848">
        <v>400000</v>
      </c>
      <c r="H164" s="848">
        <v>400000</v>
      </c>
      <c r="I164" s="848">
        <v>400000</v>
      </c>
      <c r="J164" s="848">
        <v>400000</v>
      </c>
      <c r="K164" s="848">
        <v>400000</v>
      </c>
      <c r="L164" s="848">
        <v>400000</v>
      </c>
      <c r="M164" s="848">
        <v>400000</v>
      </c>
    </row>
    <row r="165" spans="1:13" s="697" customFormat="1">
      <c r="A165" s="764" t="s">
        <v>23</v>
      </c>
      <c r="B165" s="765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</row>
    <row r="166" spans="1:13" s="697" customFormat="1">
      <c r="A166" s="766"/>
      <c r="B166" s="767"/>
      <c r="C166" s="698"/>
      <c r="D166" s="698"/>
      <c r="E166" s="698"/>
      <c r="F166" s="698"/>
      <c r="G166" s="698"/>
      <c r="H166" s="698"/>
      <c r="I166" s="698"/>
      <c r="J166" s="698"/>
      <c r="K166" s="698"/>
      <c r="L166" s="698"/>
      <c r="M166" s="698"/>
    </row>
    <row r="167" spans="1:13">
      <c r="A167" s="14" t="s">
        <v>152</v>
      </c>
      <c r="B167" s="15"/>
      <c r="C167" s="693">
        <v>1700000</v>
      </c>
      <c r="D167" s="689">
        <v>1200000</v>
      </c>
      <c r="E167" s="689">
        <v>1200000</v>
      </c>
      <c r="F167" s="689">
        <v>1200000</v>
      </c>
      <c r="G167" s="689">
        <v>1200000</v>
      </c>
      <c r="H167" s="689">
        <v>1200000</v>
      </c>
      <c r="I167" s="693">
        <v>1200000</v>
      </c>
      <c r="J167" s="693">
        <v>1000000</v>
      </c>
      <c r="K167" s="689">
        <v>0</v>
      </c>
      <c r="L167" s="693">
        <v>0</v>
      </c>
      <c r="M167" s="693">
        <v>500000</v>
      </c>
    </row>
    <row r="168" spans="1:13">
      <c r="A168" s="14" t="s">
        <v>646</v>
      </c>
      <c r="B168" s="15"/>
      <c r="C168" s="689">
        <v>2000000</v>
      </c>
      <c r="D168" s="689">
        <v>2000000</v>
      </c>
      <c r="E168" s="689">
        <v>2000000</v>
      </c>
      <c r="F168" s="689">
        <v>2000000</v>
      </c>
      <c r="G168" s="689">
        <v>2000000</v>
      </c>
      <c r="H168" s="689">
        <v>2000000</v>
      </c>
      <c r="I168" s="689">
        <v>2000000</v>
      </c>
      <c r="J168" s="693">
        <v>2000000</v>
      </c>
      <c r="K168" s="689">
        <v>1760000</v>
      </c>
      <c r="L168" s="693">
        <v>1760000</v>
      </c>
      <c r="M168" s="693">
        <v>620000</v>
      </c>
    </row>
    <row r="169" spans="1:13">
      <c r="A169" s="14" t="s">
        <v>663</v>
      </c>
      <c r="B169" s="15"/>
      <c r="C169" s="689">
        <v>150000000</v>
      </c>
      <c r="D169" s="693">
        <v>150000000</v>
      </c>
      <c r="E169" s="693">
        <v>0</v>
      </c>
      <c r="F169" s="689">
        <v>150787500</v>
      </c>
      <c r="G169" s="689">
        <v>150787500</v>
      </c>
      <c r="H169" s="689">
        <v>150787500</v>
      </c>
      <c r="I169" s="689">
        <v>150787500</v>
      </c>
      <c r="J169" s="689">
        <v>150787500</v>
      </c>
      <c r="K169" s="689"/>
      <c r="L169" s="689"/>
      <c r="M169" s="689"/>
    </row>
    <row r="170" spans="1:13">
      <c r="A170" s="14"/>
      <c r="B170" s="15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</row>
    <row r="171" spans="1:13">
      <c r="A171" s="1017" t="s">
        <v>625</v>
      </c>
      <c r="B171" s="15"/>
      <c r="C171" s="1019">
        <v>450000</v>
      </c>
      <c r="D171" s="1019">
        <v>450000</v>
      </c>
      <c r="E171" s="1019">
        <v>450000</v>
      </c>
      <c r="F171" s="1019">
        <v>450000</v>
      </c>
      <c r="G171" s="1019">
        <v>450000</v>
      </c>
      <c r="H171" s="1019">
        <v>450000</v>
      </c>
      <c r="I171" s="1019">
        <v>450000</v>
      </c>
      <c r="J171" s="1019">
        <v>450000</v>
      </c>
      <c r="K171" s="1019">
        <v>450000</v>
      </c>
      <c r="L171" s="1019">
        <v>450000</v>
      </c>
      <c r="M171" s="1019">
        <v>450000</v>
      </c>
    </row>
    <row r="172" spans="1:13">
      <c r="A172" s="1018" t="s">
        <v>626</v>
      </c>
      <c r="B172" s="736"/>
      <c r="C172" s="1020">
        <v>350000</v>
      </c>
      <c r="D172" s="1020">
        <v>350000</v>
      </c>
      <c r="E172" s="1020">
        <v>350000</v>
      </c>
      <c r="F172" s="1020">
        <v>350000</v>
      </c>
      <c r="G172" s="1020">
        <v>350000</v>
      </c>
      <c r="H172" s="1020">
        <v>350000</v>
      </c>
      <c r="I172" s="1020">
        <v>350000</v>
      </c>
      <c r="J172" s="1020">
        <v>350000</v>
      </c>
      <c r="K172" s="1020">
        <v>350000</v>
      </c>
      <c r="L172" s="1020">
        <v>350000</v>
      </c>
      <c r="M172" s="1020">
        <v>350000</v>
      </c>
    </row>
    <row r="173" spans="1:13">
      <c r="A173" s="6"/>
      <c r="B173" s="736"/>
      <c r="C173" s="641">
        <v>0</v>
      </c>
      <c r="D173" s="641">
        <v>0</v>
      </c>
      <c r="E173" s="641">
        <v>0</v>
      </c>
      <c r="F173" s="641">
        <v>0</v>
      </c>
      <c r="G173" s="641">
        <v>0</v>
      </c>
      <c r="H173" s="641">
        <v>0</v>
      </c>
      <c r="I173" s="641">
        <v>0</v>
      </c>
      <c r="J173" s="641">
        <v>0</v>
      </c>
      <c r="K173" s="641">
        <v>0</v>
      </c>
      <c r="L173" s="641">
        <v>0</v>
      </c>
      <c r="M173" s="641">
        <v>0</v>
      </c>
    </row>
    <row r="174" spans="1:13">
      <c r="A174" s="6"/>
      <c r="B174" s="736"/>
      <c r="C174" s="641"/>
      <c r="D174" s="641"/>
      <c r="E174" s="641"/>
      <c r="F174" s="641"/>
      <c r="G174" s="641"/>
      <c r="H174" s="641"/>
      <c r="I174" s="641"/>
      <c r="J174" s="641"/>
      <c r="K174" s="641"/>
      <c r="L174" s="641"/>
      <c r="M174" s="641"/>
    </row>
    <row r="175" spans="1:13">
      <c r="A175" s="6" t="s">
        <v>628</v>
      </c>
      <c r="B175" s="736"/>
      <c r="C175" s="641">
        <v>0</v>
      </c>
      <c r="D175" s="641">
        <v>0</v>
      </c>
      <c r="E175" s="641">
        <v>0</v>
      </c>
      <c r="F175" s="641">
        <v>0</v>
      </c>
      <c r="G175" s="641">
        <v>0</v>
      </c>
      <c r="H175" s="641">
        <v>0</v>
      </c>
      <c r="I175" s="641">
        <v>0</v>
      </c>
      <c r="J175" s="641">
        <v>0</v>
      </c>
      <c r="K175" s="641">
        <v>0</v>
      </c>
      <c r="L175" s="641">
        <v>0</v>
      </c>
      <c r="M175" s="641">
        <v>0</v>
      </c>
    </row>
    <row r="176" spans="1:13">
      <c r="A176" s="6" t="s">
        <v>670</v>
      </c>
      <c r="B176" s="736"/>
      <c r="C176" s="641">
        <v>100000</v>
      </c>
      <c r="D176" s="684">
        <v>100000</v>
      </c>
      <c r="E176" s="641"/>
      <c r="F176" s="641"/>
      <c r="G176" s="641"/>
      <c r="H176" s="641"/>
      <c r="I176" s="641"/>
      <c r="J176" s="641"/>
      <c r="K176" s="641"/>
      <c r="L176" s="641"/>
      <c r="M176" s="641"/>
    </row>
    <row r="177" spans="1:13">
      <c r="A177" s="6"/>
      <c r="B177" s="736"/>
      <c r="C177" s="641"/>
      <c r="D177" s="641"/>
      <c r="E177" s="641"/>
      <c r="F177" s="641"/>
      <c r="G177" s="641"/>
      <c r="H177" s="641"/>
      <c r="I177" s="641"/>
      <c r="J177" s="641"/>
      <c r="K177" s="641"/>
      <c r="L177" s="641"/>
      <c r="M177" s="641"/>
    </row>
    <row r="178" spans="1:13">
      <c r="A178" s="6" t="s">
        <v>624</v>
      </c>
      <c r="B178" s="736"/>
      <c r="C178" s="641">
        <v>4000000</v>
      </c>
      <c r="D178" s="641">
        <v>4000000</v>
      </c>
      <c r="E178" s="641">
        <v>4000000</v>
      </c>
      <c r="F178" s="641">
        <v>4000000</v>
      </c>
      <c r="G178" s="641">
        <v>4000000</v>
      </c>
      <c r="H178" s="641">
        <v>4000000</v>
      </c>
      <c r="I178" s="641">
        <v>4000000</v>
      </c>
      <c r="J178" s="641">
        <v>4000000</v>
      </c>
      <c r="K178" s="641">
        <v>4000000</v>
      </c>
      <c r="L178" s="641">
        <v>4000000</v>
      </c>
      <c r="M178" s="641">
        <v>4000000</v>
      </c>
    </row>
    <row r="179" spans="1:13">
      <c r="A179" s="6" t="s">
        <v>119</v>
      </c>
      <c r="B179" s="736"/>
      <c r="C179" s="641">
        <v>15500000</v>
      </c>
      <c r="D179" s="641">
        <v>15500000</v>
      </c>
      <c r="E179" s="641">
        <v>15500000</v>
      </c>
      <c r="F179" s="641">
        <v>15500000</v>
      </c>
      <c r="G179" s="641">
        <v>15500000</v>
      </c>
      <c r="H179" s="641">
        <v>15500000</v>
      </c>
      <c r="I179" s="641">
        <v>15500000</v>
      </c>
      <c r="J179" s="641">
        <v>15500000</v>
      </c>
      <c r="K179" s="641">
        <v>15500000</v>
      </c>
      <c r="L179" s="641">
        <v>15500000</v>
      </c>
      <c r="M179" s="641">
        <v>15500000</v>
      </c>
    </row>
    <row r="180" spans="1:13">
      <c r="A180" s="6" t="s">
        <v>179</v>
      </c>
      <c r="B180" s="736"/>
      <c r="C180" s="641">
        <v>5500000</v>
      </c>
      <c r="D180" s="641">
        <v>5500000</v>
      </c>
      <c r="E180" s="641">
        <v>5500000</v>
      </c>
      <c r="F180" s="641">
        <v>5500000</v>
      </c>
      <c r="G180" s="641">
        <v>5500000</v>
      </c>
      <c r="H180" s="641">
        <v>5500000</v>
      </c>
      <c r="I180" s="641">
        <v>5500000</v>
      </c>
      <c r="J180" s="641">
        <v>5500000</v>
      </c>
      <c r="K180" s="641">
        <v>5500000</v>
      </c>
      <c r="L180" s="641">
        <v>5500000</v>
      </c>
      <c r="M180" s="641">
        <v>5500000</v>
      </c>
    </row>
    <row r="181" spans="1:13">
      <c r="A181" s="6" t="s">
        <v>161</v>
      </c>
      <c r="B181" s="736"/>
      <c r="C181" s="641">
        <v>7000000</v>
      </c>
      <c r="D181" s="641">
        <v>7000000</v>
      </c>
      <c r="E181" s="641">
        <v>7000000</v>
      </c>
      <c r="F181" s="641">
        <v>7000000</v>
      </c>
      <c r="G181" s="641">
        <v>7000000</v>
      </c>
      <c r="H181" s="641">
        <v>7000000</v>
      </c>
      <c r="I181" s="641">
        <v>7000000</v>
      </c>
      <c r="J181" s="641">
        <v>7000000</v>
      </c>
      <c r="K181" s="641">
        <v>7000000</v>
      </c>
      <c r="L181" s="641">
        <v>7000000</v>
      </c>
      <c r="M181" s="641">
        <v>7000000</v>
      </c>
    </row>
    <row r="182" spans="1:13" ht="16.2" thickBot="1">
      <c r="A182" s="7"/>
      <c r="B182" s="738"/>
      <c r="C182" s="848">
        <v>186600000</v>
      </c>
      <c r="D182" s="848">
        <v>186100000</v>
      </c>
      <c r="E182" s="848">
        <v>36000000</v>
      </c>
      <c r="F182" s="848">
        <v>186787500</v>
      </c>
      <c r="G182" s="848">
        <v>186787500</v>
      </c>
      <c r="H182" s="848">
        <v>186787500</v>
      </c>
      <c r="I182" s="848">
        <v>186787500</v>
      </c>
      <c r="J182" s="848">
        <v>186587500</v>
      </c>
      <c r="K182" s="848">
        <v>34560000</v>
      </c>
      <c r="L182" s="848">
        <v>34560000</v>
      </c>
      <c r="M182" s="848">
        <v>33920000</v>
      </c>
    </row>
    <row r="183" spans="1:13" ht="16.2" thickBot="1">
      <c r="A183" s="9"/>
      <c r="B183" s="10"/>
      <c r="C183" s="869"/>
      <c r="D183" s="869"/>
      <c r="E183" s="869"/>
      <c r="F183" s="869"/>
      <c r="G183" s="869"/>
      <c r="H183" s="869"/>
      <c r="I183" s="869"/>
      <c r="J183" s="869"/>
      <c r="K183" s="869"/>
      <c r="L183" s="869"/>
      <c r="M183" s="869"/>
    </row>
    <row r="184" spans="1:13" ht="16.2" thickBot="1">
      <c r="A184" s="768"/>
      <c r="B184" s="769"/>
      <c r="C184" s="868"/>
      <c r="D184" s="868"/>
      <c r="E184" s="868"/>
      <c r="F184" s="868"/>
      <c r="G184" s="868"/>
      <c r="H184" s="868"/>
      <c r="I184" s="868"/>
      <c r="J184" s="868"/>
      <c r="K184" s="868"/>
      <c r="L184" s="868"/>
      <c r="M184" s="868"/>
    </row>
    <row r="185" spans="1:13" s="699" customFormat="1" ht="18.600000000000001" thickBot="1">
      <c r="A185" s="770" t="s">
        <v>35</v>
      </c>
      <c r="B185" s="771"/>
      <c r="C185" s="870">
        <v>184252632</v>
      </c>
      <c r="D185" s="870">
        <v>190875504</v>
      </c>
      <c r="E185" s="870">
        <v>188238166</v>
      </c>
      <c r="F185" s="870">
        <v>36584361</v>
      </c>
      <c r="G185" s="870">
        <v>36092328</v>
      </c>
      <c r="H185" s="870">
        <v>186313264</v>
      </c>
      <c r="I185" s="870">
        <v>187133043</v>
      </c>
      <c r="J185" s="870">
        <v>183576450</v>
      </c>
      <c r="K185" s="870">
        <v>327426076</v>
      </c>
      <c r="L185" s="870">
        <v>186837753</v>
      </c>
      <c r="M185" s="870">
        <v>186136168</v>
      </c>
    </row>
    <row r="186" spans="1:13" s="699" customFormat="1" ht="18">
      <c r="A186" s="772"/>
      <c r="B186" s="773"/>
      <c r="C186" s="871"/>
      <c r="D186" s="871"/>
      <c r="E186" s="871"/>
      <c r="F186" s="871"/>
      <c r="G186" s="871"/>
      <c r="H186" s="871"/>
      <c r="I186" s="871"/>
      <c r="J186" s="871"/>
      <c r="K186" s="871"/>
      <c r="L186" s="871"/>
      <c r="M186" s="871"/>
    </row>
    <row r="187" spans="1:13">
      <c r="A187" s="5"/>
      <c r="B187"/>
      <c r="C187" s="852"/>
      <c r="D187" s="852"/>
      <c r="E187" s="852"/>
      <c r="F187" s="852"/>
      <c r="G187" s="852"/>
      <c r="H187" s="852"/>
      <c r="I187" s="852"/>
      <c r="J187" s="852"/>
      <c r="K187" s="852"/>
      <c r="L187" s="852"/>
      <c r="M187" s="852"/>
    </row>
    <row r="188" spans="1:13">
      <c r="A188" s="5" t="s">
        <v>25</v>
      </c>
      <c r="B188"/>
      <c r="C188" s="8">
        <v>364743632</v>
      </c>
      <c r="D188" s="8">
        <v>372496504</v>
      </c>
      <c r="E188" s="8">
        <v>219809166</v>
      </c>
      <c r="F188" s="8">
        <v>218842861</v>
      </c>
      <c r="G188" s="8">
        <v>218260828</v>
      </c>
      <c r="H188" s="8">
        <v>358621764</v>
      </c>
      <c r="I188" s="8">
        <v>369541543</v>
      </c>
      <c r="J188" s="8">
        <v>365984950</v>
      </c>
      <c r="K188" s="8">
        <v>358177076</v>
      </c>
      <c r="L188" s="8">
        <v>217588753</v>
      </c>
      <c r="M188" s="8">
        <v>216277168</v>
      </c>
    </row>
    <row r="189" spans="1:13" ht="18">
      <c r="A189" s="774" t="s">
        <v>13</v>
      </c>
      <c r="B189" s="2"/>
      <c r="C189" s="24">
        <v>184252632</v>
      </c>
      <c r="D189" s="24">
        <v>190875504</v>
      </c>
      <c r="E189" s="24">
        <v>188238166</v>
      </c>
      <c r="F189" s="24">
        <v>36584361</v>
      </c>
      <c r="G189" s="24">
        <v>36092328</v>
      </c>
      <c r="H189" s="24">
        <v>186313264</v>
      </c>
      <c r="I189" s="24">
        <v>187133043</v>
      </c>
      <c r="J189" s="24">
        <v>183576450</v>
      </c>
      <c r="K189" s="24">
        <v>327426076</v>
      </c>
      <c r="L189" s="24">
        <v>186837753</v>
      </c>
      <c r="M189" s="24">
        <v>186136168</v>
      </c>
    </row>
    <row r="190" spans="1:13" ht="18">
      <c r="A190" s="774"/>
      <c r="B190" s="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 spans="1:13" ht="15" thickBot="1">
      <c r="A191" s="5"/>
      <c r="B191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>
      <c r="A192" s="775" t="s">
        <v>18</v>
      </c>
      <c r="B192" s="726"/>
      <c r="C192" s="700">
        <v>-7752872</v>
      </c>
      <c r="D192" s="700">
        <v>152687338</v>
      </c>
      <c r="E192" s="700">
        <v>966305</v>
      </c>
      <c r="F192" s="700">
        <v>582033</v>
      </c>
      <c r="G192" s="700">
        <v>-140360936</v>
      </c>
      <c r="H192" s="700">
        <v>-10919779</v>
      </c>
      <c r="I192" s="700">
        <v>3556593</v>
      </c>
      <c r="J192" s="700">
        <v>7807874</v>
      </c>
      <c r="K192" s="700">
        <v>140588323</v>
      </c>
      <c r="L192" s="700">
        <v>1311585</v>
      </c>
      <c r="M192" s="700">
        <v>0</v>
      </c>
    </row>
    <row r="193" spans="1:16" ht="15" thickBot="1">
      <c r="A193" s="5"/>
      <c r="B19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6">
      <c r="A194" s="776"/>
      <c r="B194" s="777"/>
      <c r="C194" s="872"/>
      <c r="D194" s="872"/>
      <c r="E194" s="872"/>
      <c r="F194" s="872"/>
      <c r="G194" s="872"/>
      <c r="H194" s="872"/>
      <c r="I194" s="872"/>
      <c r="J194" s="872"/>
      <c r="K194" s="872"/>
      <c r="L194" s="872"/>
      <c r="M194" s="872"/>
    </row>
    <row r="195" spans="1:16">
      <c r="A195" s="20" t="s">
        <v>183</v>
      </c>
      <c r="B195" s="778"/>
      <c r="C195" s="873">
        <v>2455501</v>
      </c>
      <c r="D195" s="873">
        <v>2094585</v>
      </c>
      <c r="E195" s="873">
        <v>825500</v>
      </c>
      <c r="F195" s="873">
        <v>879000</v>
      </c>
      <c r="G195" s="873">
        <v>555576</v>
      </c>
      <c r="H195" s="873">
        <v>961300</v>
      </c>
      <c r="I195" s="873">
        <v>1968491</v>
      </c>
      <c r="J195" s="873">
        <v>3733557</v>
      </c>
      <c r="K195" s="873">
        <v>1935319</v>
      </c>
      <c r="L195" s="873">
        <v>1181200</v>
      </c>
      <c r="M195" s="873">
        <v>0</v>
      </c>
    </row>
    <row r="196" spans="1:16">
      <c r="A196" s="20" t="s">
        <v>24</v>
      </c>
      <c r="B196" s="778"/>
      <c r="C196" s="873">
        <v>2097501</v>
      </c>
      <c r="D196" s="873">
        <v>1822585</v>
      </c>
      <c r="E196" s="873">
        <v>750500</v>
      </c>
      <c r="F196" s="873">
        <v>725000</v>
      </c>
      <c r="G196" s="873">
        <v>501576</v>
      </c>
      <c r="H196" s="873">
        <v>911300</v>
      </c>
      <c r="I196" s="873">
        <v>1708491</v>
      </c>
      <c r="J196" s="873">
        <v>3433557</v>
      </c>
      <c r="K196" s="873">
        <v>1591319</v>
      </c>
      <c r="L196" s="873">
        <v>709200</v>
      </c>
      <c r="M196" s="873">
        <v>0</v>
      </c>
    </row>
    <row r="197" spans="1:16">
      <c r="A197" s="28" t="s">
        <v>19</v>
      </c>
      <c r="B197" s="746" t="s">
        <v>283</v>
      </c>
      <c r="C197" s="874">
        <v>1944000</v>
      </c>
      <c r="D197" s="874">
        <v>1724000</v>
      </c>
      <c r="E197" s="874">
        <v>0</v>
      </c>
      <c r="F197" s="874">
        <v>1885500</v>
      </c>
      <c r="G197" s="874">
        <v>0</v>
      </c>
      <c r="H197" s="874">
        <v>4012000</v>
      </c>
      <c r="I197" s="874">
        <v>2228000</v>
      </c>
      <c r="J197" s="874">
        <v>3700000</v>
      </c>
      <c r="K197" s="874">
        <v>1031000</v>
      </c>
      <c r="L197" s="874">
        <v>2195500</v>
      </c>
      <c r="M197" s="874">
        <v>0</v>
      </c>
    </row>
    <row r="198" spans="1:16" s="265" customFormat="1">
      <c r="A198" s="779" t="s">
        <v>189</v>
      </c>
      <c r="B198" s="780"/>
      <c r="C198" s="701">
        <v>18720000</v>
      </c>
      <c r="D198" s="701">
        <v>16776000</v>
      </c>
      <c r="E198" s="701">
        <v>15052000</v>
      </c>
      <c r="F198" s="701">
        <v>15052000</v>
      </c>
      <c r="G198" s="701">
        <v>13166500</v>
      </c>
      <c r="H198" s="701">
        <v>13166500</v>
      </c>
      <c r="I198" s="701">
        <v>9154500</v>
      </c>
      <c r="J198" s="701">
        <v>6926500</v>
      </c>
      <c r="K198" s="701">
        <v>3226500</v>
      </c>
      <c r="L198" s="701">
        <v>2195500</v>
      </c>
      <c r="M198" s="701">
        <v>0</v>
      </c>
    </row>
    <row r="199" spans="1:16">
      <c r="A199" s="28" t="s">
        <v>180</v>
      </c>
      <c r="B199" s="746" t="s">
        <v>284</v>
      </c>
      <c r="C199" s="874">
        <v>358000</v>
      </c>
      <c r="D199" s="874">
        <v>272000</v>
      </c>
      <c r="E199" s="874">
        <v>75000</v>
      </c>
      <c r="F199" s="874">
        <v>154000</v>
      </c>
      <c r="G199" s="874">
        <v>54000</v>
      </c>
      <c r="H199" s="874">
        <v>50000</v>
      </c>
      <c r="I199" s="874">
        <v>260000</v>
      </c>
      <c r="J199" s="874">
        <v>300000</v>
      </c>
      <c r="K199" s="874">
        <v>344000</v>
      </c>
      <c r="L199" s="874">
        <v>472000</v>
      </c>
      <c r="M199" s="874">
        <v>0</v>
      </c>
    </row>
    <row r="200" spans="1:16" s="265" customFormat="1">
      <c r="A200" s="779" t="s">
        <v>190</v>
      </c>
      <c r="B200" s="780"/>
      <c r="C200" s="702">
        <v>2339000</v>
      </c>
      <c r="D200" s="702">
        <v>1981000</v>
      </c>
      <c r="E200" s="702">
        <v>1709000</v>
      </c>
      <c r="F200" s="702">
        <v>1634000</v>
      </c>
      <c r="G200" s="702">
        <v>1480000</v>
      </c>
      <c r="H200" s="702">
        <v>1426000</v>
      </c>
      <c r="I200" s="702">
        <v>1376000</v>
      </c>
      <c r="J200" s="702">
        <v>1116000</v>
      </c>
      <c r="K200" s="702">
        <v>816000</v>
      </c>
      <c r="L200" s="702">
        <v>472000</v>
      </c>
      <c r="M200" s="702">
        <v>0</v>
      </c>
    </row>
    <row r="201" spans="1:16">
      <c r="A201" s="20"/>
      <c r="B201" s="781"/>
      <c r="C201" s="873"/>
      <c r="D201" s="873"/>
      <c r="E201" s="873"/>
      <c r="F201" s="873"/>
      <c r="G201" s="873"/>
      <c r="H201" s="873"/>
      <c r="I201" s="873"/>
      <c r="J201" s="873"/>
      <c r="K201" s="873"/>
      <c r="L201" s="873"/>
      <c r="M201" s="873"/>
    </row>
    <row r="202" spans="1:16">
      <c r="A202" s="28" t="s">
        <v>63</v>
      </c>
      <c r="B202" s="746" t="s">
        <v>285</v>
      </c>
      <c r="C202" s="875">
        <v>0</v>
      </c>
      <c r="D202" s="875">
        <v>0</v>
      </c>
      <c r="E202" s="875">
        <v>0</v>
      </c>
      <c r="F202" s="875">
        <v>0</v>
      </c>
      <c r="G202" s="875">
        <v>0</v>
      </c>
      <c r="H202" s="875">
        <v>0</v>
      </c>
      <c r="I202" s="875">
        <v>0</v>
      </c>
      <c r="J202" s="875">
        <v>0</v>
      </c>
      <c r="K202" s="875">
        <v>0</v>
      </c>
      <c r="L202" s="875">
        <v>0</v>
      </c>
      <c r="M202" s="875">
        <v>0</v>
      </c>
      <c r="P202" s="703"/>
    </row>
    <row r="203" spans="1:16">
      <c r="A203" s="28" t="s">
        <v>12</v>
      </c>
      <c r="B203" s="746" t="s">
        <v>286</v>
      </c>
      <c r="C203" s="875">
        <v>0</v>
      </c>
      <c r="D203" s="875">
        <v>0</v>
      </c>
      <c r="E203" s="875">
        <v>0</v>
      </c>
      <c r="F203" s="875">
        <v>0</v>
      </c>
      <c r="G203" s="875">
        <v>0</v>
      </c>
      <c r="H203" s="875">
        <v>0</v>
      </c>
      <c r="I203" s="875">
        <v>0</v>
      </c>
      <c r="J203" s="875">
        <v>0</v>
      </c>
      <c r="K203" s="875">
        <v>0</v>
      </c>
      <c r="L203" s="875">
        <v>0</v>
      </c>
      <c r="M203" s="875">
        <v>0</v>
      </c>
    </row>
    <row r="204" spans="1:16">
      <c r="A204" s="1"/>
      <c r="B204" s="748"/>
      <c r="C204" s="876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</row>
    <row r="205" spans="1:16">
      <c r="A205" s="782" t="s">
        <v>47</v>
      </c>
      <c r="B205" s="781"/>
      <c r="C205" s="702">
        <v>-2129971</v>
      </c>
      <c r="D205" s="702">
        <v>-2641472</v>
      </c>
      <c r="E205" s="702">
        <v>-3012057</v>
      </c>
      <c r="F205" s="702">
        <v>-3837557</v>
      </c>
      <c r="G205" s="702">
        <v>-2831057</v>
      </c>
      <c r="H205" s="702">
        <v>-3386633</v>
      </c>
      <c r="I205" s="702">
        <v>-335933</v>
      </c>
      <c r="J205" s="702">
        <v>-76424</v>
      </c>
      <c r="K205" s="702">
        <v>-109981</v>
      </c>
      <c r="L205" s="702">
        <v>-1014300</v>
      </c>
      <c r="M205" s="702">
        <v>0</v>
      </c>
    </row>
    <row r="206" spans="1:16">
      <c r="A206" s="1"/>
      <c r="B206" s="748"/>
      <c r="C206" s="876"/>
      <c r="D206" s="876"/>
      <c r="E206" s="876"/>
      <c r="F206" s="876"/>
      <c r="G206" s="876"/>
      <c r="H206" s="876"/>
      <c r="I206" s="876"/>
      <c r="J206" s="876"/>
      <c r="K206" s="876"/>
      <c r="L206" s="876"/>
      <c r="M206" s="876"/>
    </row>
    <row r="207" spans="1:16">
      <c r="A207" s="28" t="s">
        <v>21</v>
      </c>
      <c r="B207" s="746" t="s">
        <v>287</v>
      </c>
      <c r="C207" s="875">
        <v>1575000</v>
      </c>
      <c r="D207" s="875">
        <v>55000</v>
      </c>
      <c r="E207" s="875">
        <v>0</v>
      </c>
      <c r="F207" s="875">
        <v>0</v>
      </c>
      <c r="G207" s="875">
        <v>140000</v>
      </c>
      <c r="H207" s="875">
        <v>10100000</v>
      </c>
      <c r="I207" s="875">
        <v>200000</v>
      </c>
      <c r="J207" s="875">
        <v>400000</v>
      </c>
      <c r="K207" s="875">
        <v>0</v>
      </c>
      <c r="L207" s="875">
        <v>1630000</v>
      </c>
      <c r="M207" s="875">
        <v>0</v>
      </c>
    </row>
    <row r="208" spans="1:16">
      <c r="A208" s="28" t="s">
        <v>64</v>
      </c>
      <c r="B208" s="746" t="s">
        <v>281</v>
      </c>
      <c r="C208" s="875">
        <v>0</v>
      </c>
      <c r="D208" s="875">
        <v>0</v>
      </c>
      <c r="E208" s="875">
        <v>100000</v>
      </c>
      <c r="F208" s="875">
        <v>90000</v>
      </c>
      <c r="G208" s="875">
        <v>10000000</v>
      </c>
      <c r="H208" s="875">
        <v>0</v>
      </c>
      <c r="I208" s="875">
        <v>0</v>
      </c>
      <c r="J208" s="875">
        <v>0</v>
      </c>
      <c r="K208" s="875">
        <v>1000000</v>
      </c>
      <c r="L208" s="875">
        <v>0</v>
      </c>
      <c r="M208" s="875">
        <v>0</v>
      </c>
    </row>
    <row r="209" spans="1:13">
      <c r="A209" s="1"/>
      <c r="B209" s="748"/>
      <c r="C209" s="876"/>
      <c r="D209" s="876"/>
      <c r="E209" s="876"/>
      <c r="F209" s="876"/>
      <c r="G209" s="876"/>
      <c r="H209" s="876"/>
      <c r="I209" s="876"/>
      <c r="J209" s="876"/>
      <c r="K209" s="876"/>
      <c r="L209" s="876"/>
      <c r="M209" s="876"/>
    </row>
    <row r="210" spans="1:13">
      <c r="A210" s="1444" t="s">
        <v>324</v>
      </c>
      <c r="B210" s="1445"/>
      <c r="C210" s="721">
        <v>35000</v>
      </c>
      <c r="D210" s="721">
        <v>21000</v>
      </c>
      <c r="E210" s="721">
        <v>21000</v>
      </c>
      <c r="F210" s="721">
        <v>0</v>
      </c>
      <c r="G210" s="721">
        <v>0</v>
      </c>
      <c r="H210" s="721">
        <v>0</v>
      </c>
      <c r="I210" s="721">
        <v>0</v>
      </c>
      <c r="J210" s="721">
        <v>0</v>
      </c>
      <c r="K210" s="721">
        <v>0</v>
      </c>
      <c r="L210" s="721">
        <v>0</v>
      </c>
      <c r="M210" s="721">
        <v>0</v>
      </c>
    </row>
    <row r="211" spans="1:13">
      <c r="A211" s="1444" t="s">
        <v>325</v>
      </c>
      <c r="B211" s="1445"/>
      <c r="C211" s="721">
        <v>65650</v>
      </c>
      <c r="D211" s="721">
        <v>65650</v>
      </c>
      <c r="E211" s="721">
        <v>65650</v>
      </c>
      <c r="F211" s="721">
        <v>15500</v>
      </c>
      <c r="G211" s="721">
        <v>15500</v>
      </c>
      <c r="H211" s="721">
        <v>15500</v>
      </c>
      <c r="I211" s="721">
        <v>15500</v>
      </c>
      <c r="J211" s="721">
        <v>15500</v>
      </c>
      <c r="K211" s="721">
        <v>15500</v>
      </c>
      <c r="L211" s="721">
        <v>15500</v>
      </c>
      <c r="M211" s="721">
        <v>0</v>
      </c>
    </row>
    <row r="212" spans="1:13">
      <c r="A212" s="783" t="s">
        <v>339</v>
      </c>
      <c r="B212" s="784"/>
      <c r="C212" s="721">
        <v>22500</v>
      </c>
      <c r="D212" s="721">
        <v>22500</v>
      </c>
      <c r="E212" s="721">
        <v>22500</v>
      </c>
      <c r="F212" s="721">
        <v>22500</v>
      </c>
      <c r="G212" s="721">
        <v>22500</v>
      </c>
      <c r="H212" s="721">
        <v>22500</v>
      </c>
      <c r="I212" s="721">
        <v>22500</v>
      </c>
      <c r="J212" s="721">
        <v>22500</v>
      </c>
      <c r="K212" s="721">
        <v>22500</v>
      </c>
      <c r="L212" s="721">
        <v>22500</v>
      </c>
      <c r="M212" s="721">
        <v>0</v>
      </c>
    </row>
    <row r="213" spans="1:13">
      <c r="A213" s="783" t="s">
        <v>561</v>
      </c>
      <c r="B213" s="784"/>
      <c r="C213" s="721">
        <v>7000</v>
      </c>
      <c r="D213" s="721">
        <v>7000</v>
      </c>
      <c r="E213" s="721">
        <v>7000</v>
      </c>
      <c r="F213" s="721">
        <v>0</v>
      </c>
      <c r="G213" s="721">
        <v>0</v>
      </c>
      <c r="H213" s="721">
        <v>0</v>
      </c>
      <c r="I213" s="721">
        <v>0</v>
      </c>
      <c r="J213" s="721">
        <v>0</v>
      </c>
      <c r="K213" s="721">
        <v>0</v>
      </c>
      <c r="L213" s="721">
        <v>0</v>
      </c>
      <c r="M213" s="721">
        <v>0</v>
      </c>
    </row>
    <row r="214" spans="1:13">
      <c r="A214" s="965"/>
      <c r="B214" s="966"/>
      <c r="C214" s="967">
        <v>130150</v>
      </c>
      <c r="D214" s="967">
        <v>116150</v>
      </c>
      <c r="E214" s="967">
        <v>116150</v>
      </c>
      <c r="F214" s="967">
        <v>38000</v>
      </c>
      <c r="G214" s="967">
        <v>38000</v>
      </c>
      <c r="H214" s="967">
        <v>38000</v>
      </c>
      <c r="I214" s="967">
        <v>38000</v>
      </c>
      <c r="J214" s="967">
        <v>38000</v>
      </c>
      <c r="K214" s="967">
        <v>38000</v>
      </c>
      <c r="L214" s="967">
        <v>38000</v>
      </c>
      <c r="M214" s="967">
        <v>0</v>
      </c>
    </row>
    <row r="215" spans="1:13">
      <c r="A215" s="1"/>
      <c r="B215" s="748"/>
      <c r="C215" s="876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</row>
    <row r="216" spans="1:13">
      <c r="A216" s="1" t="s">
        <v>557</v>
      </c>
      <c r="B216" s="748"/>
      <c r="C216" s="893">
        <v>82000</v>
      </c>
      <c r="D216" s="893">
        <v>82000</v>
      </c>
      <c r="E216" s="893">
        <v>82000</v>
      </c>
      <c r="F216" s="893">
        <v>3000</v>
      </c>
      <c r="G216" s="893">
        <v>3000</v>
      </c>
      <c r="H216" s="893">
        <v>3000</v>
      </c>
      <c r="I216" s="893">
        <v>3000</v>
      </c>
      <c r="J216" s="893">
        <v>3000</v>
      </c>
      <c r="K216" s="893">
        <v>3000</v>
      </c>
      <c r="L216" s="893">
        <v>3000</v>
      </c>
      <c r="M216" s="893">
        <v>0</v>
      </c>
    </row>
    <row r="217" spans="1:13">
      <c r="A217" s="1" t="s">
        <v>558</v>
      </c>
      <c r="B217" s="748"/>
      <c r="C217" s="893">
        <v>49500</v>
      </c>
      <c r="D217" s="893">
        <v>49500</v>
      </c>
      <c r="E217" s="893">
        <v>49500</v>
      </c>
      <c r="F217" s="893">
        <v>2500</v>
      </c>
      <c r="G217" s="893">
        <v>2500</v>
      </c>
      <c r="H217" s="893">
        <v>2500</v>
      </c>
      <c r="I217" s="893">
        <v>2500</v>
      </c>
      <c r="J217" s="893">
        <v>2500</v>
      </c>
      <c r="K217" s="893">
        <v>2500</v>
      </c>
      <c r="L217" s="893">
        <v>2500</v>
      </c>
      <c r="M217" s="893">
        <v>0</v>
      </c>
    </row>
    <row r="218" spans="1:13">
      <c r="A218" s="1" t="s">
        <v>559</v>
      </c>
      <c r="B218" s="748"/>
      <c r="C218" s="893">
        <v>500</v>
      </c>
      <c r="D218" s="893">
        <v>500</v>
      </c>
      <c r="E218" s="893">
        <v>500</v>
      </c>
      <c r="F218" s="893">
        <v>500</v>
      </c>
      <c r="G218" s="893">
        <v>500</v>
      </c>
      <c r="H218" s="893">
        <v>500</v>
      </c>
      <c r="I218" s="893">
        <v>500</v>
      </c>
      <c r="J218" s="893">
        <v>500</v>
      </c>
      <c r="K218" s="893">
        <v>500</v>
      </c>
      <c r="L218" s="893">
        <v>500</v>
      </c>
      <c r="M218" s="893">
        <v>0</v>
      </c>
    </row>
    <row r="219" spans="1:13">
      <c r="A219" s="1" t="s">
        <v>560</v>
      </c>
      <c r="B219" s="748"/>
      <c r="C219" s="893">
        <v>50500</v>
      </c>
      <c r="D219" s="893">
        <v>50500</v>
      </c>
      <c r="E219" s="893">
        <v>50500</v>
      </c>
      <c r="F219" s="893">
        <v>10500</v>
      </c>
      <c r="G219" s="893">
        <v>10500</v>
      </c>
      <c r="H219" s="893">
        <v>10500</v>
      </c>
      <c r="I219" s="893">
        <v>10500</v>
      </c>
      <c r="J219" s="893">
        <v>10500</v>
      </c>
      <c r="K219" s="893">
        <v>10500</v>
      </c>
      <c r="L219" s="893">
        <v>10500</v>
      </c>
      <c r="M219" s="893">
        <v>0</v>
      </c>
    </row>
    <row r="220" spans="1:13">
      <c r="A220" s="1"/>
      <c r="B220" s="748"/>
      <c r="C220" s="892">
        <v>182500</v>
      </c>
      <c r="D220" s="892">
        <v>182500</v>
      </c>
      <c r="E220" s="892">
        <v>182500</v>
      </c>
      <c r="F220" s="892">
        <v>16500</v>
      </c>
      <c r="G220" s="892">
        <v>16500</v>
      </c>
      <c r="H220" s="892">
        <v>16500</v>
      </c>
      <c r="I220" s="892">
        <v>16500</v>
      </c>
      <c r="J220" s="892">
        <v>16500</v>
      </c>
      <c r="K220" s="892">
        <v>16500</v>
      </c>
      <c r="L220" s="892">
        <v>16500</v>
      </c>
      <c r="M220" s="892">
        <v>0</v>
      </c>
    </row>
    <row r="221" spans="1:13">
      <c r="A221" s="1"/>
      <c r="B221" s="748"/>
      <c r="C221" s="876"/>
      <c r="D221" s="876"/>
      <c r="E221" s="876"/>
      <c r="F221" s="876"/>
      <c r="G221" s="876"/>
      <c r="H221" s="876"/>
      <c r="I221" s="876"/>
      <c r="J221" s="876"/>
      <c r="K221" s="876"/>
      <c r="L221" s="876"/>
      <c r="M221" s="876"/>
    </row>
    <row r="222" spans="1:13">
      <c r="A222" s="28" t="s">
        <v>11</v>
      </c>
      <c r="B222" s="746" t="s">
        <v>265</v>
      </c>
      <c r="C222" s="875">
        <v>500000</v>
      </c>
      <c r="D222" s="875">
        <v>150100000</v>
      </c>
      <c r="E222" s="875">
        <v>0</v>
      </c>
      <c r="F222" s="875">
        <v>0</v>
      </c>
      <c r="G222" s="875">
        <v>0</v>
      </c>
      <c r="H222" s="875">
        <v>0</v>
      </c>
      <c r="I222" s="875">
        <v>200000</v>
      </c>
      <c r="J222" s="875">
        <v>1240000</v>
      </c>
      <c r="K222" s="875">
        <v>150000000</v>
      </c>
      <c r="L222" s="875">
        <v>1240000</v>
      </c>
      <c r="M222" s="875">
        <v>0</v>
      </c>
    </row>
    <row r="223" spans="1:13">
      <c r="A223" s="28" t="s">
        <v>65</v>
      </c>
      <c r="B223" s="746" t="s">
        <v>264</v>
      </c>
      <c r="C223" s="875">
        <v>0</v>
      </c>
      <c r="D223" s="875">
        <v>0</v>
      </c>
      <c r="E223" s="875">
        <v>0</v>
      </c>
      <c r="F223" s="875">
        <v>0</v>
      </c>
      <c r="G223" s="875">
        <v>150000000</v>
      </c>
      <c r="H223" s="875">
        <v>0</v>
      </c>
      <c r="I223" s="875">
        <v>0</v>
      </c>
      <c r="J223" s="875">
        <v>0</v>
      </c>
      <c r="K223" s="875">
        <v>0</v>
      </c>
      <c r="L223" s="875">
        <v>600000</v>
      </c>
      <c r="M223" s="875">
        <v>0</v>
      </c>
    </row>
    <row r="224" spans="1:13">
      <c r="A224" s="1"/>
      <c r="B224" s="748"/>
      <c r="C224" s="876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</row>
    <row r="225" spans="1:13" ht="15" thickBot="1">
      <c r="A225" s="4"/>
      <c r="B225" s="753"/>
      <c r="C225" s="877"/>
      <c r="D225" s="877"/>
      <c r="E225" s="877"/>
      <c r="F225" s="877"/>
      <c r="G225" s="877"/>
      <c r="H225" s="877"/>
      <c r="I225" s="877"/>
      <c r="J225" s="877"/>
      <c r="K225" s="877"/>
      <c r="L225" s="877"/>
      <c r="M225" s="877"/>
    </row>
    <row r="226" spans="1:13" s="685" customFormat="1" ht="15" thickTop="1">
      <c r="A226" s="785" t="s">
        <v>173</v>
      </c>
      <c r="B226" s="786" t="s">
        <v>491</v>
      </c>
      <c r="C226" s="878">
        <v>1572011</v>
      </c>
      <c r="D226" s="878">
        <v>1520036</v>
      </c>
      <c r="E226" s="878">
        <v>502116</v>
      </c>
      <c r="F226" s="878">
        <v>536631</v>
      </c>
      <c r="G226" s="878">
        <v>643963</v>
      </c>
      <c r="H226" s="878">
        <v>991893</v>
      </c>
      <c r="I226" s="878">
        <v>1591225</v>
      </c>
      <c r="J226" s="878">
        <v>4630773</v>
      </c>
      <c r="K226" s="878">
        <v>1379617</v>
      </c>
      <c r="L226" s="878">
        <v>1837989</v>
      </c>
      <c r="M226" s="878">
        <v>0</v>
      </c>
    </row>
    <row r="227" spans="1:13" s="685" customFormat="1">
      <c r="A227" s="787"/>
      <c r="B227" s="788"/>
      <c r="C227" s="702">
        <v>15206254</v>
      </c>
      <c r="D227" s="702">
        <v>13634243</v>
      </c>
      <c r="E227" s="702">
        <v>12114207</v>
      </c>
      <c r="F227" s="702">
        <v>11612091</v>
      </c>
      <c r="G227" s="702">
        <v>11075460</v>
      </c>
      <c r="H227" s="702">
        <v>10431497</v>
      </c>
      <c r="I227" s="702">
        <v>9439604</v>
      </c>
      <c r="J227" s="702">
        <v>7848379</v>
      </c>
      <c r="K227" s="702">
        <v>3217606</v>
      </c>
      <c r="L227" s="702">
        <v>1837989</v>
      </c>
      <c r="M227" s="702">
        <v>0</v>
      </c>
    </row>
    <row r="228" spans="1:13" s="685" customFormat="1">
      <c r="A228" s="789" t="s">
        <v>100</v>
      </c>
      <c r="B228" s="790"/>
      <c r="C228" s="879"/>
      <c r="D228" s="879"/>
      <c r="E228" s="879"/>
      <c r="F228" s="879"/>
      <c r="G228" s="879"/>
      <c r="H228" s="879"/>
      <c r="I228" s="879"/>
      <c r="J228" s="879"/>
      <c r="K228" s="879"/>
      <c r="L228" s="879"/>
      <c r="M228" s="879"/>
    </row>
    <row r="229" spans="1:13" s="685" customFormat="1">
      <c r="A229" s="791" t="s">
        <v>337</v>
      </c>
      <c r="B229" s="792" t="s">
        <v>492</v>
      </c>
      <c r="C229" s="880">
        <v>0</v>
      </c>
      <c r="D229" s="880">
        <v>0</v>
      </c>
      <c r="E229" s="880">
        <v>0</v>
      </c>
      <c r="F229" s="880">
        <v>0</v>
      </c>
      <c r="G229" s="880">
        <v>0</v>
      </c>
      <c r="H229" s="880">
        <v>0</v>
      </c>
      <c r="I229" s="880">
        <v>0</v>
      </c>
      <c r="J229" s="880">
        <v>0</v>
      </c>
      <c r="K229" s="880">
        <v>0</v>
      </c>
      <c r="L229" s="880">
        <v>0</v>
      </c>
      <c r="M229" s="880">
        <v>0</v>
      </c>
    </row>
    <row r="230" spans="1:13" s="685" customFormat="1">
      <c r="A230" s="791"/>
      <c r="B230" s="792"/>
      <c r="C230" s="702">
        <v>0</v>
      </c>
      <c r="D230" s="702">
        <v>0</v>
      </c>
      <c r="E230" s="702">
        <v>0</v>
      </c>
      <c r="F230" s="702">
        <v>0</v>
      </c>
      <c r="G230" s="702">
        <v>0</v>
      </c>
      <c r="H230" s="702">
        <v>0</v>
      </c>
      <c r="I230" s="702">
        <v>0</v>
      </c>
      <c r="J230" s="702">
        <v>0</v>
      </c>
      <c r="K230" s="702">
        <v>0</v>
      </c>
      <c r="L230" s="702">
        <v>0</v>
      </c>
      <c r="M230" s="702">
        <v>0</v>
      </c>
    </row>
    <row r="231" spans="1:13" s="685" customFormat="1">
      <c r="A231" s="791" t="s">
        <v>353</v>
      </c>
      <c r="B231" s="792" t="s">
        <v>493</v>
      </c>
      <c r="C231" s="880">
        <v>0</v>
      </c>
      <c r="D231" s="880">
        <v>0</v>
      </c>
      <c r="E231" s="880">
        <v>0</v>
      </c>
      <c r="F231" s="880">
        <v>0</v>
      </c>
      <c r="G231" s="880">
        <v>0</v>
      </c>
      <c r="H231" s="880">
        <v>0</v>
      </c>
      <c r="I231" s="880">
        <v>9000</v>
      </c>
      <c r="J231" s="880">
        <v>0</v>
      </c>
      <c r="K231" s="880">
        <v>0</v>
      </c>
      <c r="L231" s="880">
        <v>0</v>
      </c>
      <c r="M231" s="880">
        <v>0</v>
      </c>
    </row>
    <row r="232" spans="1:13" s="685" customFormat="1">
      <c r="A232" s="791"/>
      <c r="B232" s="792"/>
      <c r="C232" s="702">
        <v>9000</v>
      </c>
      <c r="D232" s="702">
        <v>9000</v>
      </c>
      <c r="E232" s="702">
        <v>9000</v>
      </c>
      <c r="F232" s="702">
        <v>9000</v>
      </c>
      <c r="G232" s="702">
        <v>9000</v>
      </c>
      <c r="H232" s="702">
        <v>9000</v>
      </c>
      <c r="I232" s="702">
        <v>9000</v>
      </c>
      <c r="J232" s="702">
        <v>0</v>
      </c>
      <c r="K232" s="702">
        <v>0</v>
      </c>
      <c r="L232" s="702">
        <v>0</v>
      </c>
      <c r="M232" s="702">
        <v>0</v>
      </c>
    </row>
    <row r="233" spans="1:13" s="685" customFormat="1">
      <c r="A233" s="791" t="s">
        <v>245</v>
      </c>
      <c r="B233" s="792" t="s">
        <v>494</v>
      </c>
      <c r="C233" s="880">
        <v>0</v>
      </c>
      <c r="D233" s="880">
        <v>0</v>
      </c>
      <c r="E233" s="880">
        <v>0</v>
      </c>
      <c r="F233" s="880">
        <v>0</v>
      </c>
      <c r="G233" s="880">
        <v>0</v>
      </c>
      <c r="H233" s="880">
        <v>0</v>
      </c>
      <c r="I233" s="880">
        <v>137500</v>
      </c>
      <c r="J233" s="880">
        <v>0</v>
      </c>
      <c r="K233" s="880">
        <v>0</v>
      </c>
      <c r="L233" s="880">
        <v>0</v>
      </c>
      <c r="M233" s="880">
        <v>0</v>
      </c>
    </row>
    <row r="234" spans="1:13" s="685" customFormat="1">
      <c r="A234" s="791"/>
      <c r="B234" s="792"/>
      <c r="C234" s="702">
        <v>137500</v>
      </c>
      <c r="D234" s="702">
        <v>137500</v>
      </c>
      <c r="E234" s="702">
        <v>137500</v>
      </c>
      <c r="F234" s="702">
        <v>137500</v>
      </c>
      <c r="G234" s="702">
        <v>137500</v>
      </c>
      <c r="H234" s="702">
        <v>137500</v>
      </c>
      <c r="I234" s="702">
        <v>137500</v>
      </c>
      <c r="J234" s="702">
        <v>0</v>
      </c>
      <c r="K234" s="702">
        <v>0</v>
      </c>
      <c r="L234" s="702">
        <v>0</v>
      </c>
      <c r="M234" s="702">
        <v>0</v>
      </c>
    </row>
    <row r="235" spans="1:13" s="685" customFormat="1">
      <c r="A235" s="791" t="s">
        <v>349</v>
      </c>
      <c r="B235" s="792" t="s">
        <v>495</v>
      </c>
      <c r="C235" s="880">
        <v>0</v>
      </c>
      <c r="D235" s="880">
        <v>0</v>
      </c>
      <c r="E235" s="880">
        <v>0</v>
      </c>
      <c r="F235" s="880">
        <v>0</v>
      </c>
      <c r="G235" s="880">
        <v>0</v>
      </c>
      <c r="H235" s="880">
        <v>0</v>
      </c>
      <c r="I235" s="880">
        <v>0</v>
      </c>
      <c r="J235" s="880">
        <v>0</v>
      </c>
      <c r="K235" s="880">
        <v>0</v>
      </c>
      <c r="L235" s="880">
        <v>0</v>
      </c>
      <c r="M235" s="880">
        <v>0</v>
      </c>
    </row>
    <row r="236" spans="1:13" s="685" customFormat="1">
      <c r="A236" s="791"/>
      <c r="B236" s="792"/>
      <c r="C236" s="702">
        <v>0</v>
      </c>
      <c r="D236" s="702">
        <v>0</v>
      </c>
      <c r="E236" s="702">
        <v>0</v>
      </c>
      <c r="F236" s="702">
        <v>0</v>
      </c>
      <c r="G236" s="702">
        <v>0</v>
      </c>
      <c r="H236" s="702">
        <v>0</v>
      </c>
      <c r="I236" s="702">
        <v>0</v>
      </c>
      <c r="J236" s="702">
        <v>0</v>
      </c>
      <c r="K236" s="702">
        <v>0</v>
      </c>
      <c r="L236" s="702">
        <v>0</v>
      </c>
      <c r="M236" s="702">
        <v>0</v>
      </c>
    </row>
    <row r="237" spans="1:13" s="685" customFormat="1">
      <c r="A237" s="791" t="s">
        <v>247</v>
      </c>
      <c r="B237" s="792" t="s">
        <v>496</v>
      </c>
      <c r="C237" s="880">
        <v>0</v>
      </c>
      <c r="D237" s="880">
        <v>0</v>
      </c>
      <c r="E237" s="880">
        <v>0</v>
      </c>
      <c r="F237" s="880">
        <v>0</v>
      </c>
      <c r="G237" s="880">
        <v>0</v>
      </c>
      <c r="H237" s="880">
        <v>0</v>
      </c>
      <c r="I237" s="880">
        <v>101400</v>
      </c>
      <c r="J237" s="880">
        <v>0</v>
      </c>
      <c r="K237" s="880">
        <v>0</v>
      </c>
      <c r="L237" s="880">
        <v>0</v>
      </c>
      <c r="M237" s="880">
        <v>0</v>
      </c>
    </row>
    <row r="238" spans="1:13" s="685" customFormat="1">
      <c r="A238" s="791"/>
      <c r="B238" s="792"/>
      <c r="C238" s="702">
        <v>101400</v>
      </c>
      <c r="D238" s="702">
        <v>101400</v>
      </c>
      <c r="E238" s="702">
        <v>101400</v>
      </c>
      <c r="F238" s="702">
        <v>101400</v>
      </c>
      <c r="G238" s="702">
        <v>101400</v>
      </c>
      <c r="H238" s="702">
        <v>101400</v>
      </c>
      <c r="I238" s="702">
        <v>101400</v>
      </c>
      <c r="J238" s="702">
        <v>0</v>
      </c>
      <c r="K238" s="702">
        <v>0</v>
      </c>
      <c r="L238" s="702">
        <v>0</v>
      </c>
      <c r="M238" s="702">
        <v>0</v>
      </c>
    </row>
    <row r="239" spans="1:13" s="685" customFormat="1">
      <c r="A239" s="791" t="s">
        <v>187</v>
      </c>
      <c r="B239" s="792" t="s">
        <v>497</v>
      </c>
      <c r="C239" s="880">
        <v>1325000</v>
      </c>
      <c r="D239" s="880">
        <v>0</v>
      </c>
      <c r="E239" s="880">
        <v>0</v>
      </c>
      <c r="F239" s="880">
        <v>0</v>
      </c>
      <c r="G239" s="880">
        <v>0</v>
      </c>
      <c r="H239" s="880">
        <v>0</v>
      </c>
      <c r="I239" s="880">
        <v>0</v>
      </c>
      <c r="J239" s="880">
        <v>0</v>
      </c>
      <c r="K239" s="880">
        <v>200000</v>
      </c>
      <c r="L239" s="880">
        <v>0</v>
      </c>
      <c r="M239" s="880">
        <v>0</v>
      </c>
    </row>
    <row r="240" spans="1:13" s="685" customFormat="1">
      <c r="A240" s="791"/>
      <c r="B240" s="792"/>
      <c r="C240" s="702">
        <v>1525000</v>
      </c>
      <c r="D240" s="702">
        <v>200000</v>
      </c>
      <c r="E240" s="702">
        <v>200000</v>
      </c>
      <c r="F240" s="702">
        <v>200000</v>
      </c>
      <c r="G240" s="702">
        <v>200000</v>
      </c>
      <c r="H240" s="702">
        <v>200000</v>
      </c>
      <c r="I240" s="702">
        <v>200000</v>
      </c>
      <c r="J240" s="702">
        <v>200000</v>
      </c>
      <c r="K240" s="702">
        <v>200000</v>
      </c>
      <c r="L240" s="702">
        <v>0</v>
      </c>
      <c r="M240" s="702">
        <v>0</v>
      </c>
    </row>
    <row r="241" spans="1:13" s="685" customFormat="1">
      <c r="A241" s="791" t="s">
        <v>246</v>
      </c>
      <c r="B241" s="792" t="s">
        <v>498</v>
      </c>
      <c r="C241" s="880">
        <v>0</v>
      </c>
      <c r="D241" s="880">
        <v>0</v>
      </c>
      <c r="E241" s="880">
        <v>0</v>
      </c>
      <c r="F241" s="880">
        <v>0</v>
      </c>
      <c r="G241" s="880">
        <v>0</v>
      </c>
      <c r="H241" s="880">
        <v>0</v>
      </c>
      <c r="I241" s="880">
        <v>0</v>
      </c>
      <c r="J241" s="880">
        <v>0</v>
      </c>
      <c r="K241" s="880">
        <v>0</v>
      </c>
      <c r="L241" s="880">
        <v>0</v>
      </c>
      <c r="M241" s="880">
        <v>0</v>
      </c>
    </row>
    <row r="242" spans="1:13" s="685" customFormat="1">
      <c r="A242" s="791"/>
      <c r="B242" s="792"/>
      <c r="C242" s="702">
        <v>0</v>
      </c>
      <c r="D242" s="702">
        <v>0</v>
      </c>
      <c r="E242" s="702">
        <v>0</v>
      </c>
      <c r="F242" s="702">
        <v>0</v>
      </c>
      <c r="G242" s="702">
        <v>0</v>
      </c>
      <c r="H242" s="702">
        <v>0</v>
      </c>
      <c r="I242" s="702">
        <v>0</v>
      </c>
      <c r="J242" s="702">
        <v>0</v>
      </c>
      <c r="K242" s="702">
        <v>0</v>
      </c>
      <c r="L242" s="702">
        <v>0</v>
      </c>
      <c r="M242" s="702">
        <v>0</v>
      </c>
    </row>
    <row r="243" spans="1:13" s="685" customFormat="1">
      <c r="A243" s="791" t="s">
        <v>334</v>
      </c>
      <c r="B243" s="792" t="s">
        <v>499</v>
      </c>
      <c r="C243" s="880">
        <v>0</v>
      </c>
      <c r="D243" s="880">
        <v>0</v>
      </c>
      <c r="E243" s="880">
        <v>0</v>
      </c>
      <c r="F243" s="880">
        <v>0</v>
      </c>
      <c r="G243" s="880">
        <v>0</v>
      </c>
      <c r="H243" s="880">
        <v>0</v>
      </c>
      <c r="I243" s="880">
        <v>0</v>
      </c>
      <c r="J243" s="880">
        <v>0</v>
      </c>
      <c r="K243" s="880">
        <v>0</v>
      </c>
      <c r="L243" s="880">
        <v>0</v>
      </c>
      <c r="M243" s="880">
        <v>0</v>
      </c>
    </row>
    <row r="244" spans="1:13" s="685" customFormat="1">
      <c r="A244" s="791"/>
      <c r="B244" s="792"/>
      <c r="C244" s="702">
        <v>0</v>
      </c>
      <c r="D244" s="702">
        <v>0</v>
      </c>
      <c r="E244" s="702">
        <v>0</v>
      </c>
      <c r="F244" s="702">
        <v>0</v>
      </c>
      <c r="G244" s="702">
        <v>0</v>
      </c>
      <c r="H244" s="702">
        <v>0</v>
      </c>
      <c r="I244" s="702">
        <v>0</v>
      </c>
      <c r="J244" s="702">
        <v>0</v>
      </c>
      <c r="K244" s="702">
        <v>0</v>
      </c>
      <c r="L244" s="702">
        <v>0</v>
      </c>
      <c r="M244" s="702">
        <v>0</v>
      </c>
    </row>
    <row r="245" spans="1:13" s="685" customFormat="1">
      <c r="A245" s="791" t="s">
        <v>27</v>
      </c>
      <c r="B245" s="792" t="s">
        <v>500</v>
      </c>
      <c r="C245" s="880">
        <v>0</v>
      </c>
      <c r="D245" s="880">
        <v>0</v>
      </c>
      <c r="E245" s="880">
        <v>0</v>
      </c>
      <c r="F245" s="880">
        <v>0</v>
      </c>
      <c r="G245" s="880">
        <v>196875</v>
      </c>
      <c r="H245" s="880">
        <v>0</v>
      </c>
      <c r="I245" s="880">
        <v>36000</v>
      </c>
      <c r="J245" s="880">
        <v>220375</v>
      </c>
      <c r="K245" s="880">
        <v>0</v>
      </c>
      <c r="L245" s="880">
        <v>110000</v>
      </c>
      <c r="M245" s="880">
        <v>0</v>
      </c>
    </row>
    <row r="246" spans="1:13" s="685" customFormat="1">
      <c r="A246" s="791"/>
      <c r="B246" s="792"/>
      <c r="C246" s="702">
        <v>563250</v>
      </c>
      <c r="D246" s="702">
        <v>563250</v>
      </c>
      <c r="E246" s="702">
        <v>563250</v>
      </c>
      <c r="F246" s="702">
        <v>563250</v>
      </c>
      <c r="G246" s="702">
        <v>563250</v>
      </c>
      <c r="H246" s="702">
        <v>366375</v>
      </c>
      <c r="I246" s="702">
        <v>366375</v>
      </c>
      <c r="J246" s="702">
        <v>330375</v>
      </c>
      <c r="K246" s="702">
        <v>110000</v>
      </c>
      <c r="L246" s="702">
        <v>110000</v>
      </c>
      <c r="M246" s="702">
        <v>0</v>
      </c>
    </row>
    <row r="247" spans="1:13" s="1022" customFormat="1">
      <c r="A247" s="791" t="s">
        <v>180</v>
      </c>
      <c r="B247" s="792"/>
      <c r="C247" s="1021">
        <v>0</v>
      </c>
      <c r="D247" s="1021">
        <v>18000</v>
      </c>
      <c r="E247" s="1021">
        <v>0</v>
      </c>
      <c r="F247" s="1021">
        <v>0</v>
      </c>
      <c r="G247" s="1021">
        <v>0</v>
      </c>
      <c r="H247" s="1021">
        <v>0</v>
      </c>
      <c r="I247" s="1021">
        <v>0</v>
      </c>
      <c r="J247" s="1021">
        <v>0</v>
      </c>
      <c r="K247" s="1021">
        <v>10000</v>
      </c>
      <c r="L247" s="1021">
        <v>18000</v>
      </c>
      <c r="M247" s="1021">
        <v>0</v>
      </c>
    </row>
    <row r="248" spans="1:13" s="685" customFormat="1">
      <c r="A248" s="791"/>
      <c r="B248" s="792"/>
      <c r="C248" s="702">
        <v>46000</v>
      </c>
      <c r="D248" s="702">
        <v>46000</v>
      </c>
      <c r="E248" s="702">
        <v>28000</v>
      </c>
      <c r="F248" s="702">
        <v>28000</v>
      </c>
      <c r="G248" s="702">
        <v>28000</v>
      </c>
      <c r="H248" s="702">
        <v>28000</v>
      </c>
      <c r="I248" s="702">
        <v>28000</v>
      </c>
      <c r="J248" s="702">
        <v>28000</v>
      </c>
      <c r="K248" s="702">
        <v>28000</v>
      </c>
      <c r="L248" s="702">
        <v>18000</v>
      </c>
      <c r="M248" s="702">
        <v>0</v>
      </c>
    </row>
    <row r="249" spans="1:13" s="685" customFormat="1">
      <c r="A249" s="791" t="s">
        <v>59</v>
      </c>
      <c r="B249" s="792"/>
      <c r="C249" s="881">
        <v>1325000</v>
      </c>
      <c r="D249" s="881">
        <v>18000</v>
      </c>
      <c r="E249" s="881">
        <v>0</v>
      </c>
      <c r="F249" s="881">
        <v>0</v>
      </c>
      <c r="G249" s="881">
        <v>196875</v>
      </c>
      <c r="H249" s="881">
        <v>0</v>
      </c>
      <c r="I249" s="881">
        <v>283900</v>
      </c>
      <c r="J249" s="881">
        <v>220375</v>
      </c>
      <c r="K249" s="881">
        <v>210000</v>
      </c>
      <c r="L249" s="881">
        <v>128000</v>
      </c>
      <c r="M249" s="881">
        <v>0</v>
      </c>
    </row>
    <row r="250" spans="1:13" s="685" customFormat="1">
      <c r="A250" s="791"/>
      <c r="B250" s="792"/>
      <c r="C250" s="702">
        <v>2382150</v>
      </c>
      <c r="D250" s="702">
        <v>1057150</v>
      </c>
      <c r="E250" s="702">
        <v>1039150</v>
      </c>
      <c r="F250" s="702">
        <v>1039150</v>
      </c>
      <c r="G250" s="702">
        <v>1039150</v>
      </c>
      <c r="H250" s="702">
        <v>842275</v>
      </c>
      <c r="I250" s="702">
        <v>842275</v>
      </c>
      <c r="J250" s="702">
        <v>558375</v>
      </c>
      <c r="K250" s="702">
        <v>338000</v>
      </c>
      <c r="L250" s="702">
        <v>128000</v>
      </c>
      <c r="M250" s="702">
        <v>0</v>
      </c>
    </row>
    <row r="251" spans="1:13" s="685" customFormat="1">
      <c r="A251" s="793" t="s">
        <v>350</v>
      </c>
      <c r="B251" s="794"/>
      <c r="C251" s="882">
        <v>247011</v>
      </c>
      <c r="D251" s="882">
        <v>1502036</v>
      </c>
      <c r="E251" s="882">
        <v>502116</v>
      </c>
      <c r="F251" s="882">
        <v>536631</v>
      </c>
      <c r="G251" s="882">
        <v>447088</v>
      </c>
      <c r="H251" s="882">
        <v>991893</v>
      </c>
      <c r="I251" s="882">
        <v>1307325</v>
      </c>
      <c r="J251" s="882">
        <v>4410398</v>
      </c>
      <c r="K251" s="882">
        <v>1169617</v>
      </c>
      <c r="L251" s="882">
        <v>1709989</v>
      </c>
      <c r="M251" s="882">
        <v>0</v>
      </c>
    </row>
    <row r="252" spans="1:13" s="685" customFormat="1">
      <c r="A252" s="793"/>
      <c r="B252" s="794"/>
      <c r="C252" s="702">
        <v>12824104</v>
      </c>
      <c r="D252" s="702">
        <v>12577093</v>
      </c>
      <c r="E252" s="702">
        <v>11075057</v>
      </c>
      <c r="F252" s="702">
        <v>10572941</v>
      </c>
      <c r="G252" s="702">
        <v>10036310</v>
      </c>
      <c r="H252" s="702">
        <v>9589222</v>
      </c>
      <c r="I252" s="702">
        <v>8597329</v>
      </c>
      <c r="J252" s="702">
        <v>7290004</v>
      </c>
      <c r="K252" s="702">
        <v>2879606</v>
      </c>
      <c r="L252" s="702">
        <v>1709989</v>
      </c>
      <c r="M252" s="702">
        <v>0</v>
      </c>
    </row>
    <row r="253" spans="1:13" s="685" customFormat="1">
      <c r="A253" s="795"/>
      <c r="B253" s="748"/>
      <c r="C253" s="704"/>
      <c r="D253" s="704"/>
      <c r="E253" s="704"/>
      <c r="F253" s="704"/>
      <c r="G253" s="704"/>
      <c r="H253" s="704"/>
      <c r="I253" s="704"/>
      <c r="J253" s="704"/>
      <c r="K253" s="704"/>
      <c r="L253" s="704"/>
      <c r="M253" s="704"/>
    </row>
    <row r="254" spans="1:13" s="685" customFormat="1">
      <c r="A254" s="796" t="s">
        <v>174</v>
      </c>
      <c r="B254" s="788" t="s">
        <v>288</v>
      </c>
      <c r="C254" s="880">
        <v>1392998</v>
      </c>
      <c r="D254" s="880">
        <v>1421479</v>
      </c>
      <c r="E254" s="880">
        <v>60950</v>
      </c>
      <c r="F254" s="880">
        <v>444406</v>
      </c>
      <c r="G254" s="880">
        <v>431563</v>
      </c>
      <c r="H254" s="880">
        <v>662042</v>
      </c>
      <c r="I254" s="880">
        <v>1282580</v>
      </c>
      <c r="J254" s="880">
        <v>3799963</v>
      </c>
      <c r="K254" s="880">
        <v>1425882</v>
      </c>
      <c r="L254" s="880">
        <v>1345995</v>
      </c>
      <c r="M254" s="880">
        <v>0</v>
      </c>
    </row>
    <row r="255" spans="1:13" s="685" customFormat="1">
      <c r="A255" s="787"/>
      <c r="B255" s="788"/>
      <c r="C255" s="702">
        <v>12267858</v>
      </c>
      <c r="D255" s="702">
        <v>10874860</v>
      </c>
      <c r="E255" s="702">
        <v>9453381</v>
      </c>
      <c r="F255" s="702">
        <v>9392431</v>
      </c>
      <c r="G255" s="702">
        <v>8948025</v>
      </c>
      <c r="H255" s="702">
        <v>8516462</v>
      </c>
      <c r="I255" s="702">
        <v>7854420</v>
      </c>
      <c r="J255" s="702">
        <v>6571840</v>
      </c>
      <c r="K255" s="702">
        <v>2771877</v>
      </c>
      <c r="L255" s="702">
        <v>1345995</v>
      </c>
      <c r="M255" s="702">
        <v>0</v>
      </c>
    </row>
    <row r="256" spans="1:13" s="685" customFormat="1">
      <c r="A256" s="789" t="s">
        <v>100</v>
      </c>
      <c r="B256" s="790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</row>
    <row r="257" spans="1:13" s="685" customFormat="1">
      <c r="A257" s="791" t="s">
        <v>337</v>
      </c>
      <c r="B257" s="792" t="s">
        <v>501</v>
      </c>
      <c r="C257" s="880"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  <c r="J257" s="880">
        <v>0</v>
      </c>
      <c r="K257" s="880">
        <v>0</v>
      </c>
      <c r="L257" s="880">
        <v>0</v>
      </c>
      <c r="M257" s="880">
        <v>0</v>
      </c>
    </row>
    <row r="258" spans="1:13" s="685" customFormat="1">
      <c r="A258" s="791"/>
      <c r="B258" s="792"/>
      <c r="C258" s="702"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  <c r="J258" s="702">
        <v>0</v>
      </c>
      <c r="K258" s="702">
        <v>0</v>
      </c>
      <c r="L258" s="702">
        <v>0</v>
      </c>
      <c r="M258" s="702">
        <v>0</v>
      </c>
    </row>
    <row r="259" spans="1:13" s="685" customFormat="1">
      <c r="A259" s="791" t="s">
        <v>353</v>
      </c>
      <c r="B259" s="792" t="s">
        <v>502</v>
      </c>
      <c r="C259" s="880">
        <v>0</v>
      </c>
      <c r="D259" s="880">
        <v>0</v>
      </c>
      <c r="E259" s="880">
        <v>0</v>
      </c>
      <c r="F259" s="880">
        <v>0</v>
      </c>
      <c r="G259" s="880">
        <v>0</v>
      </c>
      <c r="H259" s="880">
        <v>0</v>
      </c>
      <c r="I259" s="880">
        <v>9000</v>
      </c>
      <c r="J259" s="880">
        <v>0</v>
      </c>
      <c r="K259" s="880">
        <v>0</v>
      </c>
      <c r="L259" s="880">
        <v>0</v>
      </c>
      <c r="M259" s="880">
        <v>0</v>
      </c>
    </row>
    <row r="260" spans="1:13" s="685" customFormat="1">
      <c r="A260" s="791"/>
      <c r="B260" s="792"/>
      <c r="C260" s="702">
        <v>9000</v>
      </c>
      <c r="D260" s="702">
        <v>9000</v>
      </c>
      <c r="E260" s="702">
        <v>9000</v>
      </c>
      <c r="F260" s="702">
        <v>9000</v>
      </c>
      <c r="G260" s="702">
        <v>9000</v>
      </c>
      <c r="H260" s="702">
        <v>9000</v>
      </c>
      <c r="I260" s="702">
        <v>9000</v>
      </c>
      <c r="J260" s="702">
        <v>0</v>
      </c>
      <c r="K260" s="702">
        <v>0</v>
      </c>
      <c r="L260" s="702">
        <v>0</v>
      </c>
      <c r="M260" s="702">
        <v>0</v>
      </c>
    </row>
    <row r="261" spans="1:13" s="685" customFormat="1">
      <c r="A261" s="791" t="s">
        <v>245</v>
      </c>
      <c r="B261" s="792" t="s">
        <v>503</v>
      </c>
      <c r="C261" s="880">
        <v>0</v>
      </c>
      <c r="D261" s="880">
        <v>0</v>
      </c>
      <c r="E261" s="880">
        <v>0</v>
      </c>
      <c r="F261" s="880">
        <v>0</v>
      </c>
      <c r="G261" s="880">
        <v>0</v>
      </c>
      <c r="H261" s="880">
        <v>0</v>
      </c>
      <c r="I261" s="880">
        <v>0</v>
      </c>
      <c r="J261" s="880">
        <v>0</v>
      </c>
      <c r="K261" s="880">
        <v>0</v>
      </c>
      <c r="L261" s="880">
        <v>0</v>
      </c>
      <c r="M261" s="880">
        <v>0</v>
      </c>
    </row>
    <row r="262" spans="1:13" s="685" customFormat="1">
      <c r="A262" s="791"/>
      <c r="B262" s="792"/>
      <c r="C262" s="702">
        <v>0</v>
      </c>
      <c r="D262" s="702">
        <v>0</v>
      </c>
      <c r="E262" s="702">
        <v>0</v>
      </c>
      <c r="F262" s="702">
        <v>0</v>
      </c>
      <c r="G262" s="702">
        <v>0</v>
      </c>
      <c r="H262" s="702">
        <v>0</v>
      </c>
      <c r="I262" s="702">
        <v>0</v>
      </c>
      <c r="J262" s="702">
        <v>0</v>
      </c>
      <c r="K262" s="702">
        <v>0</v>
      </c>
      <c r="L262" s="702">
        <v>0</v>
      </c>
      <c r="M262" s="702">
        <v>0</v>
      </c>
    </row>
    <row r="263" spans="1:13" s="685" customFormat="1">
      <c r="A263" s="791" t="s">
        <v>349</v>
      </c>
      <c r="B263" s="792" t="s">
        <v>504</v>
      </c>
      <c r="C263" s="880">
        <v>0</v>
      </c>
      <c r="D263" s="880">
        <v>0</v>
      </c>
      <c r="E263" s="880">
        <v>0</v>
      </c>
      <c r="F263" s="880">
        <v>0</v>
      </c>
      <c r="G263" s="880">
        <v>0</v>
      </c>
      <c r="H263" s="880">
        <v>0</v>
      </c>
      <c r="I263" s="880">
        <v>0</v>
      </c>
      <c r="J263" s="880">
        <v>0</v>
      </c>
      <c r="K263" s="880">
        <v>0</v>
      </c>
      <c r="L263" s="880">
        <v>0</v>
      </c>
      <c r="M263" s="880">
        <v>0</v>
      </c>
    </row>
    <row r="264" spans="1:13" s="685" customFormat="1">
      <c r="A264" s="791"/>
      <c r="B264" s="792"/>
      <c r="C264" s="702">
        <v>0</v>
      </c>
      <c r="D264" s="702">
        <v>0</v>
      </c>
      <c r="E264" s="702">
        <v>0</v>
      </c>
      <c r="F264" s="702">
        <v>0</v>
      </c>
      <c r="G264" s="702">
        <v>0</v>
      </c>
      <c r="H264" s="702">
        <v>0</v>
      </c>
      <c r="I264" s="702">
        <v>0</v>
      </c>
      <c r="J264" s="702">
        <v>0</v>
      </c>
      <c r="K264" s="702">
        <v>0</v>
      </c>
      <c r="L264" s="702">
        <v>0</v>
      </c>
      <c r="M264" s="702">
        <v>0</v>
      </c>
    </row>
    <row r="265" spans="1:13" s="685" customFormat="1">
      <c r="A265" s="791" t="s">
        <v>247</v>
      </c>
      <c r="B265" s="792" t="s">
        <v>505</v>
      </c>
      <c r="C265" s="880">
        <v>0</v>
      </c>
      <c r="D265" s="880">
        <v>0</v>
      </c>
      <c r="E265" s="880">
        <v>0</v>
      </c>
      <c r="F265" s="880">
        <v>0</v>
      </c>
      <c r="G265" s="880">
        <v>0</v>
      </c>
      <c r="H265" s="880">
        <v>0</v>
      </c>
      <c r="I265" s="880">
        <v>0</v>
      </c>
      <c r="J265" s="880">
        <v>0</v>
      </c>
      <c r="K265" s="880">
        <v>0</v>
      </c>
      <c r="L265" s="880">
        <v>101400</v>
      </c>
      <c r="M265" s="880">
        <v>0</v>
      </c>
    </row>
    <row r="266" spans="1:13" s="685" customFormat="1">
      <c r="A266" s="791"/>
      <c r="B266" s="792"/>
      <c r="C266" s="702">
        <v>101400</v>
      </c>
      <c r="D266" s="702">
        <v>101400</v>
      </c>
      <c r="E266" s="702">
        <v>101400</v>
      </c>
      <c r="F266" s="702">
        <v>101400</v>
      </c>
      <c r="G266" s="702">
        <v>101400</v>
      </c>
      <c r="H266" s="702">
        <v>101400</v>
      </c>
      <c r="I266" s="702">
        <v>101400</v>
      </c>
      <c r="J266" s="702">
        <v>101400</v>
      </c>
      <c r="K266" s="702">
        <v>101400</v>
      </c>
      <c r="L266" s="702">
        <v>101400</v>
      </c>
      <c r="M266" s="702">
        <v>0</v>
      </c>
    </row>
    <row r="267" spans="1:13" s="685" customFormat="1">
      <c r="A267" s="791" t="s">
        <v>187</v>
      </c>
      <c r="B267" s="792" t="s">
        <v>506</v>
      </c>
      <c r="C267" s="880">
        <v>1557000</v>
      </c>
      <c r="D267" s="880">
        <v>0</v>
      </c>
      <c r="E267" s="880">
        <v>0</v>
      </c>
      <c r="F267" s="880">
        <v>0</v>
      </c>
      <c r="G267" s="880">
        <v>0</v>
      </c>
      <c r="H267" s="880">
        <v>0</v>
      </c>
      <c r="I267" s="880">
        <v>0</v>
      </c>
      <c r="J267" s="880">
        <v>0</v>
      </c>
      <c r="K267" s="880">
        <v>100000</v>
      </c>
      <c r="L267" s="880">
        <v>0</v>
      </c>
      <c r="M267" s="880">
        <v>0</v>
      </c>
    </row>
    <row r="268" spans="1:13" s="685" customFormat="1">
      <c r="A268" s="791"/>
      <c r="B268" s="792"/>
      <c r="C268" s="702">
        <v>1657000</v>
      </c>
      <c r="D268" s="702">
        <v>100000</v>
      </c>
      <c r="E268" s="702">
        <v>100000</v>
      </c>
      <c r="F268" s="702">
        <v>100000</v>
      </c>
      <c r="G268" s="702">
        <v>100000</v>
      </c>
      <c r="H268" s="702">
        <v>100000</v>
      </c>
      <c r="I268" s="702">
        <v>100000</v>
      </c>
      <c r="J268" s="702">
        <v>100000</v>
      </c>
      <c r="K268" s="702">
        <v>100000</v>
      </c>
      <c r="L268" s="702">
        <v>0</v>
      </c>
      <c r="M268" s="702">
        <v>0</v>
      </c>
    </row>
    <row r="269" spans="1:13" s="685" customFormat="1">
      <c r="A269" s="791" t="s">
        <v>246</v>
      </c>
      <c r="B269" s="792" t="s">
        <v>507</v>
      </c>
      <c r="C269" s="880">
        <v>0</v>
      </c>
      <c r="D269" s="880">
        <v>0</v>
      </c>
      <c r="E269" s="880">
        <v>0</v>
      </c>
      <c r="F269" s="880">
        <v>0</v>
      </c>
      <c r="G269" s="880">
        <v>0</v>
      </c>
      <c r="H269" s="880">
        <v>0</v>
      </c>
      <c r="I269" s="880">
        <v>0</v>
      </c>
      <c r="J269" s="880">
        <v>0</v>
      </c>
      <c r="K269" s="880">
        <v>0</v>
      </c>
      <c r="L269" s="880">
        <v>0</v>
      </c>
      <c r="M269" s="880">
        <v>0</v>
      </c>
    </row>
    <row r="270" spans="1:13" s="685" customFormat="1">
      <c r="A270" s="791"/>
      <c r="B270" s="792"/>
      <c r="C270" s="702">
        <v>0</v>
      </c>
      <c r="D270" s="702">
        <v>0</v>
      </c>
      <c r="E270" s="702">
        <v>0</v>
      </c>
      <c r="F270" s="702">
        <v>0</v>
      </c>
      <c r="G270" s="702">
        <v>0</v>
      </c>
      <c r="H270" s="702">
        <v>0</v>
      </c>
      <c r="I270" s="702">
        <v>0</v>
      </c>
      <c r="J270" s="702">
        <v>0</v>
      </c>
      <c r="K270" s="702">
        <v>0</v>
      </c>
      <c r="L270" s="702">
        <v>0</v>
      </c>
      <c r="M270" s="702">
        <v>0</v>
      </c>
    </row>
    <row r="271" spans="1:13" s="685" customFormat="1">
      <c r="A271" s="791" t="s">
        <v>334</v>
      </c>
      <c r="B271" s="792" t="s">
        <v>508</v>
      </c>
      <c r="C271" s="880">
        <v>0</v>
      </c>
      <c r="D271" s="880">
        <v>0</v>
      </c>
      <c r="E271" s="880">
        <v>0</v>
      </c>
      <c r="F271" s="880">
        <v>0</v>
      </c>
      <c r="G271" s="880">
        <v>0</v>
      </c>
      <c r="H271" s="880">
        <v>0</v>
      </c>
      <c r="I271" s="880">
        <v>0</v>
      </c>
      <c r="J271" s="880">
        <v>0</v>
      </c>
      <c r="K271" s="880">
        <v>0</v>
      </c>
      <c r="L271" s="880">
        <v>0</v>
      </c>
      <c r="M271" s="880">
        <v>0</v>
      </c>
    </row>
    <row r="272" spans="1:13" s="685" customFormat="1">
      <c r="A272" s="791"/>
      <c r="B272" s="792"/>
      <c r="C272" s="702">
        <v>0</v>
      </c>
      <c r="D272" s="702">
        <v>0</v>
      </c>
      <c r="E272" s="702">
        <v>0</v>
      </c>
      <c r="F272" s="702">
        <v>0</v>
      </c>
      <c r="G272" s="702">
        <v>0</v>
      </c>
      <c r="H272" s="702">
        <v>0</v>
      </c>
      <c r="I272" s="702">
        <v>0</v>
      </c>
      <c r="J272" s="702">
        <v>0</v>
      </c>
      <c r="K272" s="702">
        <v>0</v>
      </c>
      <c r="L272" s="702">
        <v>0</v>
      </c>
      <c r="M272" s="702">
        <v>0</v>
      </c>
    </row>
    <row r="273" spans="1:13" s="685" customFormat="1">
      <c r="A273" s="791" t="s">
        <v>27</v>
      </c>
      <c r="B273" s="792" t="s">
        <v>509</v>
      </c>
      <c r="C273" s="880">
        <v>25000</v>
      </c>
      <c r="D273" s="880">
        <v>0</v>
      </c>
      <c r="E273" s="880">
        <v>0</v>
      </c>
      <c r="F273" s="880">
        <v>0</v>
      </c>
      <c r="G273" s="880">
        <v>196875</v>
      </c>
      <c r="H273" s="880">
        <v>0</v>
      </c>
      <c r="I273" s="880">
        <v>36000</v>
      </c>
      <c r="J273" s="880">
        <v>238375</v>
      </c>
      <c r="K273" s="880">
        <v>0</v>
      </c>
      <c r="L273" s="880">
        <v>135000</v>
      </c>
      <c r="M273" s="880">
        <v>0</v>
      </c>
    </row>
    <row r="274" spans="1:13" s="685" customFormat="1">
      <c r="A274" s="791"/>
      <c r="B274" s="792"/>
      <c r="C274" s="968">
        <v>631250</v>
      </c>
      <c r="D274" s="968">
        <v>606250</v>
      </c>
      <c r="E274" s="968">
        <v>606250</v>
      </c>
      <c r="F274" s="968">
        <v>606250</v>
      </c>
      <c r="G274" s="968">
        <v>606250</v>
      </c>
      <c r="H274" s="968">
        <v>409375</v>
      </c>
      <c r="I274" s="968">
        <v>409375</v>
      </c>
      <c r="J274" s="968">
        <v>373375</v>
      </c>
      <c r="K274" s="968">
        <v>135000</v>
      </c>
      <c r="L274" s="968">
        <v>135000</v>
      </c>
      <c r="M274" s="968">
        <v>0</v>
      </c>
    </row>
    <row r="275" spans="1:13" s="1022" customFormat="1">
      <c r="A275" s="791" t="s">
        <v>180</v>
      </c>
      <c r="B275" s="792"/>
      <c r="C275" s="1023">
        <v>36000</v>
      </c>
      <c r="D275" s="1023">
        <v>18000</v>
      </c>
      <c r="E275" s="1023">
        <v>0</v>
      </c>
      <c r="F275" s="1023">
        <v>18000</v>
      </c>
      <c r="G275" s="1023">
        <v>18000</v>
      </c>
      <c r="H275" s="1023">
        <v>0</v>
      </c>
      <c r="I275" s="1023">
        <v>0</v>
      </c>
      <c r="J275" s="1023">
        <v>0</v>
      </c>
      <c r="K275" s="1023">
        <v>33000</v>
      </c>
      <c r="L275" s="1023">
        <v>18000</v>
      </c>
      <c r="M275" s="1023">
        <v>0</v>
      </c>
    </row>
    <row r="276" spans="1:13" s="685" customFormat="1">
      <c r="A276" s="791"/>
      <c r="B276" s="792"/>
      <c r="C276" s="968">
        <v>141000</v>
      </c>
      <c r="D276" s="968">
        <v>105000</v>
      </c>
      <c r="E276" s="968">
        <v>87000</v>
      </c>
      <c r="F276" s="968">
        <v>87000</v>
      </c>
      <c r="G276" s="968">
        <v>69000</v>
      </c>
      <c r="H276" s="968">
        <v>51000</v>
      </c>
      <c r="I276" s="968">
        <v>51000</v>
      </c>
      <c r="J276" s="968">
        <v>51000</v>
      </c>
      <c r="K276" s="968">
        <v>51000</v>
      </c>
      <c r="L276" s="968">
        <v>18000</v>
      </c>
      <c r="M276" s="968">
        <v>0</v>
      </c>
    </row>
    <row r="277" spans="1:13" s="685" customFormat="1">
      <c r="A277" s="791" t="s">
        <v>59</v>
      </c>
      <c r="B277" s="792"/>
      <c r="C277" s="880">
        <v>1618000</v>
      </c>
      <c r="D277" s="880">
        <v>18000</v>
      </c>
      <c r="E277" s="880">
        <v>0</v>
      </c>
      <c r="F277" s="880">
        <v>18000</v>
      </c>
      <c r="G277" s="880">
        <v>214875</v>
      </c>
      <c r="H277" s="880">
        <v>0</v>
      </c>
      <c r="I277" s="880">
        <v>45000</v>
      </c>
      <c r="J277" s="880">
        <v>238375</v>
      </c>
      <c r="K277" s="880">
        <v>133000</v>
      </c>
      <c r="L277" s="880">
        <v>254400</v>
      </c>
      <c r="M277" s="880">
        <v>0</v>
      </c>
    </row>
    <row r="278" spans="1:13" s="685" customFormat="1">
      <c r="A278" s="791"/>
      <c r="B278" s="792"/>
      <c r="C278" s="702">
        <v>2539650</v>
      </c>
      <c r="D278" s="702">
        <v>921650</v>
      </c>
      <c r="E278" s="702">
        <v>903650</v>
      </c>
      <c r="F278" s="702">
        <v>903650</v>
      </c>
      <c r="G278" s="702">
        <v>885650</v>
      </c>
      <c r="H278" s="702">
        <v>670775</v>
      </c>
      <c r="I278" s="702">
        <v>670775</v>
      </c>
      <c r="J278" s="702">
        <v>625775</v>
      </c>
      <c r="K278" s="702">
        <v>387400</v>
      </c>
      <c r="L278" s="702">
        <v>254400</v>
      </c>
      <c r="M278" s="702">
        <v>0</v>
      </c>
    </row>
    <row r="279" spans="1:13" s="685" customFormat="1">
      <c r="A279" s="793" t="s">
        <v>350</v>
      </c>
      <c r="B279" s="794"/>
      <c r="C279" s="882">
        <v>-225002</v>
      </c>
      <c r="D279" s="882">
        <v>1403479</v>
      </c>
      <c r="E279" s="882">
        <v>60950</v>
      </c>
      <c r="F279" s="882">
        <v>426406</v>
      </c>
      <c r="G279" s="882">
        <v>216688</v>
      </c>
      <c r="H279" s="882">
        <v>662042</v>
      </c>
      <c r="I279" s="882">
        <v>1237580</v>
      </c>
      <c r="J279" s="882">
        <v>3561588</v>
      </c>
      <c r="K279" s="882">
        <v>1292882</v>
      </c>
      <c r="L279" s="882">
        <v>1091595</v>
      </c>
      <c r="M279" s="882">
        <v>0</v>
      </c>
    </row>
    <row r="280" spans="1:13" s="685" customFormat="1">
      <c r="A280" s="793"/>
      <c r="B280" s="794"/>
      <c r="C280" s="702">
        <v>9728208</v>
      </c>
      <c r="D280" s="702">
        <v>9953210</v>
      </c>
      <c r="E280" s="702">
        <v>8549731</v>
      </c>
      <c r="F280" s="702">
        <v>8488781</v>
      </c>
      <c r="G280" s="702">
        <v>8062375</v>
      </c>
      <c r="H280" s="702">
        <v>7845687</v>
      </c>
      <c r="I280" s="702">
        <v>7183645</v>
      </c>
      <c r="J280" s="702">
        <v>5946065</v>
      </c>
      <c r="K280" s="702">
        <v>2384477</v>
      </c>
      <c r="L280" s="702">
        <v>1091595</v>
      </c>
      <c r="M280" s="702">
        <v>0</v>
      </c>
    </row>
    <row r="281" spans="1:13" s="685" customFormat="1">
      <c r="A281" s="795"/>
      <c r="B281" s="748"/>
      <c r="C281" s="704"/>
      <c r="D281" s="704"/>
      <c r="E281" s="704"/>
      <c r="F281" s="704"/>
      <c r="G281" s="704"/>
      <c r="H281" s="704"/>
      <c r="I281" s="704"/>
      <c r="J281" s="704"/>
      <c r="K281" s="704"/>
      <c r="L281" s="704"/>
      <c r="M281" s="704"/>
    </row>
    <row r="282" spans="1:13" s="685" customFormat="1">
      <c r="A282" s="796" t="s">
        <v>228</v>
      </c>
      <c r="B282" s="788" t="s">
        <v>289</v>
      </c>
      <c r="C282" s="880">
        <v>851159</v>
      </c>
      <c r="D282" s="880">
        <v>710158</v>
      </c>
      <c r="E282" s="880">
        <v>0</v>
      </c>
      <c r="F282" s="880">
        <v>355308</v>
      </c>
      <c r="G282" s="880">
        <v>199211</v>
      </c>
      <c r="H282" s="880">
        <v>548596</v>
      </c>
      <c r="I282" s="880">
        <v>897134</v>
      </c>
      <c r="J282" s="880">
        <v>3635431</v>
      </c>
      <c r="K282" s="880">
        <v>806989</v>
      </c>
      <c r="L282" s="880">
        <v>737051</v>
      </c>
      <c r="M282" s="880">
        <v>0</v>
      </c>
    </row>
    <row r="283" spans="1:13" s="685" customFormat="1">
      <c r="A283" s="787"/>
      <c r="B283" s="788"/>
      <c r="C283" s="702">
        <v>8741037</v>
      </c>
      <c r="D283" s="702">
        <v>7889878</v>
      </c>
      <c r="E283" s="702">
        <v>7179720</v>
      </c>
      <c r="F283" s="702">
        <v>7179720</v>
      </c>
      <c r="G283" s="702">
        <v>6824412</v>
      </c>
      <c r="H283" s="702">
        <v>6625201</v>
      </c>
      <c r="I283" s="702">
        <v>6076605</v>
      </c>
      <c r="J283" s="702">
        <v>5179471</v>
      </c>
      <c r="K283" s="702">
        <v>1544040</v>
      </c>
      <c r="L283" s="702">
        <v>737051</v>
      </c>
      <c r="M283" s="702">
        <v>0</v>
      </c>
    </row>
    <row r="284" spans="1:13" s="685" customFormat="1">
      <c r="A284" s="789" t="s">
        <v>100</v>
      </c>
      <c r="B284" s="790"/>
      <c r="C284" s="879"/>
      <c r="D284" s="879"/>
      <c r="E284" s="879"/>
      <c r="F284" s="879"/>
      <c r="G284" s="879"/>
      <c r="H284" s="879"/>
      <c r="I284" s="879"/>
      <c r="J284" s="879"/>
      <c r="K284" s="879"/>
      <c r="L284" s="879"/>
      <c r="M284" s="879"/>
    </row>
    <row r="285" spans="1:13" s="685" customFormat="1">
      <c r="A285" s="791" t="s">
        <v>337</v>
      </c>
      <c r="B285" s="792" t="s">
        <v>510</v>
      </c>
      <c r="C285" s="880"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  <c r="J285" s="880">
        <v>0</v>
      </c>
      <c r="K285" s="880">
        <v>0</v>
      </c>
      <c r="L285" s="880">
        <v>0</v>
      </c>
      <c r="M285" s="880">
        <v>0</v>
      </c>
    </row>
    <row r="286" spans="1:13" s="685" customFormat="1">
      <c r="A286" s="791"/>
      <c r="B286" s="792"/>
      <c r="C286" s="702">
        <v>0</v>
      </c>
      <c r="D286" s="702">
        <v>0</v>
      </c>
      <c r="E286" s="702">
        <v>0</v>
      </c>
      <c r="F286" s="702">
        <v>0</v>
      </c>
      <c r="G286" s="702">
        <v>0</v>
      </c>
      <c r="H286" s="702">
        <v>0</v>
      </c>
      <c r="I286" s="702">
        <v>0</v>
      </c>
      <c r="J286" s="702">
        <v>0</v>
      </c>
      <c r="K286" s="702">
        <v>0</v>
      </c>
      <c r="L286" s="702">
        <v>0</v>
      </c>
      <c r="M286" s="702">
        <v>0</v>
      </c>
    </row>
    <row r="287" spans="1:13" s="685" customFormat="1">
      <c r="A287" s="791" t="s">
        <v>353</v>
      </c>
      <c r="B287" s="792" t="s">
        <v>511</v>
      </c>
      <c r="C287" s="880">
        <v>0</v>
      </c>
      <c r="D287" s="880">
        <v>0</v>
      </c>
      <c r="E287" s="880">
        <v>0</v>
      </c>
      <c r="F287" s="880">
        <v>0</v>
      </c>
      <c r="G287" s="880">
        <v>0</v>
      </c>
      <c r="H287" s="880">
        <v>0</v>
      </c>
      <c r="I287" s="880">
        <v>9000</v>
      </c>
      <c r="J287" s="880">
        <v>0</v>
      </c>
      <c r="K287" s="880">
        <v>0</v>
      </c>
      <c r="L287" s="880">
        <v>0</v>
      </c>
      <c r="M287" s="880">
        <v>0</v>
      </c>
    </row>
    <row r="288" spans="1:13" s="685" customFormat="1">
      <c r="A288" s="791"/>
      <c r="B288" s="792"/>
      <c r="C288" s="702">
        <v>9000</v>
      </c>
      <c r="D288" s="702">
        <v>9000</v>
      </c>
      <c r="E288" s="702">
        <v>9000</v>
      </c>
      <c r="F288" s="702">
        <v>9000</v>
      </c>
      <c r="G288" s="702">
        <v>9000</v>
      </c>
      <c r="H288" s="702">
        <v>9000</v>
      </c>
      <c r="I288" s="702">
        <v>9000</v>
      </c>
      <c r="J288" s="702">
        <v>0</v>
      </c>
      <c r="K288" s="702">
        <v>0</v>
      </c>
      <c r="L288" s="702">
        <v>0</v>
      </c>
      <c r="M288" s="702">
        <v>0</v>
      </c>
    </row>
    <row r="289" spans="1:13" s="685" customFormat="1">
      <c r="A289" s="791" t="s">
        <v>245</v>
      </c>
      <c r="B289" s="792" t="s">
        <v>512</v>
      </c>
      <c r="C289" s="880">
        <v>0</v>
      </c>
      <c r="D289" s="880">
        <v>0</v>
      </c>
      <c r="E289" s="880">
        <v>0</v>
      </c>
      <c r="F289" s="880">
        <v>0</v>
      </c>
      <c r="G289" s="880">
        <v>0</v>
      </c>
      <c r="H289" s="880">
        <v>0</v>
      </c>
      <c r="I289" s="880">
        <v>0</v>
      </c>
      <c r="J289" s="880">
        <v>152498</v>
      </c>
      <c r="K289" s="880">
        <v>0</v>
      </c>
      <c r="L289" s="880">
        <v>0</v>
      </c>
      <c r="M289" s="880">
        <v>0</v>
      </c>
    </row>
    <row r="290" spans="1:13" s="685" customFormat="1">
      <c r="A290" s="791"/>
      <c r="B290" s="792"/>
      <c r="C290" s="702">
        <v>152498</v>
      </c>
      <c r="D290" s="702">
        <v>152498</v>
      </c>
      <c r="E290" s="702">
        <v>152498</v>
      </c>
      <c r="F290" s="702">
        <v>152498</v>
      </c>
      <c r="G290" s="702">
        <v>152498</v>
      </c>
      <c r="H290" s="702">
        <v>152498</v>
      </c>
      <c r="I290" s="702">
        <v>152498</v>
      </c>
      <c r="J290" s="702">
        <v>152498</v>
      </c>
      <c r="K290" s="702">
        <v>0</v>
      </c>
      <c r="L290" s="702">
        <v>0</v>
      </c>
      <c r="M290" s="702">
        <v>0</v>
      </c>
    </row>
    <row r="291" spans="1:13" s="685" customFormat="1">
      <c r="A291" s="791" t="s">
        <v>349</v>
      </c>
      <c r="B291" s="792" t="s">
        <v>513</v>
      </c>
      <c r="C291" s="880">
        <v>0</v>
      </c>
      <c r="D291" s="880">
        <v>0</v>
      </c>
      <c r="E291" s="880">
        <v>0</v>
      </c>
      <c r="F291" s="880">
        <v>0</v>
      </c>
      <c r="G291" s="880">
        <v>0</v>
      </c>
      <c r="H291" s="880">
        <v>0</v>
      </c>
      <c r="I291" s="880">
        <v>0</v>
      </c>
      <c r="J291" s="880">
        <v>0</v>
      </c>
      <c r="K291" s="880">
        <v>0</v>
      </c>
      <c r="L291" s="880">
        <v>0</v>
      </c>
      <c r="M291" s="880">
        <v>0</v>
      </c>
    </row>
    <row r="292" spans="1:13" s="685" customFormat="1">
      <c r="A292" s="791"/>
      <c r="B292" s="792"/>
      <c r="C292" s="702">
        <v>0</v>
      </c>
      <c r="D292" s="702">
        <v>0</v>
      </c>
      <c r="E292" s="702">
        <v>0</v>
      </c>
      <c r="F292" s="702">
        <v>0</v>
      </c>
      <c r="G292" s="702">
        <v>0</v>
      </c>
      <c r="H292" s="702">
        <v>0</v>
      </c>
      <c r="I292" s="702">
        <v>0</v>
      </c>
      <c r="J292" s="702">
        <v>0</v>
      </c>
      <c r="K292" s="702">
        <v>0</v>
      </c>
      <c r="L292" s="702">
        <v>0</v>
      </c>
      <c r="M292" s="702">
        <v>0</v>
      </c>
    </row>
    <row r="293" spans="1:13" s="685" customFormat="1">
      <c r="A293" s="791" t="s">
        <v>247</v>
      </c>
      <c r="B293" s="792" t="s">
        <v>514</v>
      </c>
      <c r="C293" s="880">
        <v>0</v>
      </c>
      <c r="D293" s="880">
        <v>0</v>
      </c>
      <c r="E293" s="880">
        <v>0</v>
      </c>
      <c r="F293" s="880">
        <v>0</v>
      </c>
      <c r="G293" s="880">
        <v>0</v>
      </c>
      <c r="H293" s="880">
        <v>0</v>
      </c>
      <c r="I293" s="880">
        <v>0</v>
      </c>
      <c r="J293" s="880">
        <v>0</v>
      </c>
      <c r="K293" s="880">
        <v>0</v>
      </c>
      <c r="L293" s="880">
        <v>201400</v>
      </c>
      <c r="M293" s="880">
        <v>0</v>
      </c>
    </row>
    <row r="294" spans="1:13" s="685" customFormat="1">
      <c r="A294" s="791"/>
      <c r="B294" s="792"/>
      <c r="C294" s="702">
        <v>201400</v>
      </c>
      <c r="D294" s="702">
        <v>201400</v>
      </c>
      <c r="E294" s="702">
        <v>201400</v>
      </c>
      <c r="F294" s="702">
        <v>201400</v>
      </c>
      <c r="G294" s="702">
        <v>201400</v>
      </c>
      <c r="H294" s="702">
        <v>201400</v>
      </c>
      <c r="I294" s="702">
        <v>201400</v>
      </c>
      <c r="J294" s="702">
        <v>201400</v>
      </c>
      <c r="K294" s="702">
        <v>201400</v>
      </c>
      <c r="L294" s="702">
        <v>201400</v>
      </c>
      <c r="M294" s="702">
        <v>0</v>
      </c>
    </row>
    <row r="295" spans="1:13" s="685" customFormat="1">
      <c r="A295" s="791" t="s">
        <v>187</v>
      </c>
      <c r="B295" s="792" t="s">
        <v>515</v>
      </c>
      <c r="C295" s="880">
        <v>2130000</v>
      </c>
      <c r="D295" s="880">
        <v>0</v>
      </c>
      <c r="E295" s="880">
        <v>0</v>
      </c>
      <c r="F295" s="880">
        <v>0</v>
      </c>
      <c r="G295" s="880">
        <v>0</v>
      </c>
      <c r="H295" s="880">
        <v>0</v>
      </c>
      <c r="I295" s="880">
        <v>0</v>
      </c>
      <c r="J295" s="880">
        <v>0</v>
      </c>
      <c r="K295" s="880">
        <v>0</v>
      </c>
      <c r="L295" s="880">
        <v>0</v>
      </c>
      <c r="M295" s="880">
        <v>0</v>
      </c>
    </row>
    <row r="296" spans="1:13" s="685" customFormat="1">
      <c r="A296" s="791"/>
      <c r="B296" s="792"/>
      <c r="C296" s="702">
        <v>2130000</v>
      </c>
      <c r="D296" s="702">
        <v>0</v>
      </c>
      <c r="E296" s="702">
        <v>0</v>
      </c>
      <c r="F296" s="702">
        <v>0</v>
      </c>
      <c r="G296" s="702">
        <v>0</v>
      </c>
      <c r="H296" s="702">
        <v>0</v>
      </c>
      <c r="I296" s="702">
        <v>0</v>
      </c>
      <c r="J296" s="702">
        <v>0</v>
      </c>
      <c r="K296" s="702">
        <v>0</v>
      </c>
      <c r="L296" s="702">
        <v>0</v>
      </c>
      <c r="M296" s="702">
        <v>0</v>
      </c>
    </row>
    <row r="297" spans="1:13" s="685" customFormat="1">
      <c r="A297" s="791" t="s">
        <v>246</v>
      </c>
      <c r="B297" s="792" t="s">
        <v>516</v>
      </c>
      <c r="C297" s="880">
        <v>0</v>
      </c>
      <c r="D297" s="880">
        <v>0</v>
      </c>
      <c r="E297" s="880">
        <v>0</v>
      </c>
      <c r="F297" s="880">
        <v>0</v>
      </c>
      <c r="G297" s="880">
        <v>0</v>
      </c>
      <c r="H297" s="880">
        <v>0</v>
      </c>
      <c r="I297" s="880">
        <v>0</v>
      </c>
      <c r="J297" s="880">
        <v>0</v>
      </c>
      <c r="K297" s="880">
        <v>0</v>
      </c>
      <c r="L297" s="880">
        <v>0</v>
      </c>
      <c r="M297" s="880">
        <v>0</v>
      </c>
    </row>
    <row r="298" spans="1:13" s="685" customFormat="1">
      <c r="A298" s="791"/>
      <c r="B298" s="792"/>
      <c r="C298" s="702">
        <v>0</v>
      </c>
      <c r="D298" s="702">
        <v>0</v>
      </c>
      <c r="E298" s="702">
        <v>0</v>
      </c>
      <c r="F298" s="702">
        <v>0</v>
      </c>
      <c r="G298" s="702">
        <v>0</v>
      </c>
      <c r="H298" s="702">
        <v>0</v>
      </c>
      <c r="I298" s="702">
        <v>0</v>
      </c>
      <c r="J298" s="702">
        <v>0</v>
      </c>
      <c r="K298" s="702">
        <v>0</v>
      </c>
      <c r="L298" s="702">
        <v>0</v>
      </c>
      <c r="M298" s="702">
        <v>0</v>
      </c>
    </row>
    <row r="299" spans="1:13" s="685" customFormat="1">
      <c r="A299" s="791" t="s">
        <v>334</v>
      </c>
      <c r="B299" s="792" t="s">
        <v>517</v>
      </c>
      <c r="C299" s="880">
        <v>0</v>
      </c>
      <c r="D299" s="880">
        <v>0</v>
      </c>
      <c r="E299" s="880">
        <v>0</v>
      </c>
      <c r="F299" s="880">
        <v>0</v>
      </c>
      <c r="G299" s="880">
        <v>0</v>
      </c>
      <c r="H299" s="880">
        <v>0</v>
      </c>
      <c r="I299" s="880">
        <v>0</v>
      </c>
      <c r="J299" s="880">
        <v>0</v>
      </c>
      <c r="K299" s="880">
        <v>0</v>
      </c>
      <c r="L299" s="880">
        <v>0</v>
      </c>
      <c r="M299" s="880">
        <v>0</v>
      </c>
    </row>
    <row r="300" spans="1:13" s="685" customFormat="1">
      <c r="A300" s="791"/>
      <c r="B300" s="792"/>
      <c r="C300" s="702">
        <v>0</v>
      </c>
      <c r="D300" s="702">
        <v>0</v>
      </c>
      <c r="E300" s="702">
        <v>0</v>
      </c>
      <c r="F300" s="702">
        <v>0</v>
      </c>
      <c r="G300" s="702">
        <v>0</v>
      </c>
      <c r="H300" s="702">
        <v>0</v>
      </c>
      <c r="I300" s="702">
        <v>0</v>
      </c>
      <c r="J300" s="702">
        <v>0</v>
      </c>
      <c r="K300" s="702">
        <v>0</v>
      </c>
      <c r="L300" s="702">
        <v>0</v>
      </c>
      <c r="M300" s="702">
        <v>0</v>
      </c>
    </row>
    <row r="301" spans="1:13" s="685" customFormat="1">
      <c r="A301" s="791" t="s">
        <v>27</v>
      </c>
      <c r="B301" s="792" t="s">
        <v>303</v>
      </c>
      <c r="C301" s="880">
        <v>0</v>
      </c>
      <c r="D301" s="880">
        <v>0</v>
      </c>
      <c r="E301" s="880">
        <v>0</v>
      </c>
      <c r="F301" s="880">
        <v>0</v>
      </c>
      <c r="G301" s="880">
        <v>244875</v>
      </c>
      <c r="H301" s="880">
        <v>0</v>
      </c>
      <c r="I301" s="880">
        <v>36000</v>
      </c>
      <c r="J301" s="880">
        <v>238375</v>
      </c>
      <c r="K301" s="880">
        <v>0</v>
      </c>
      <c r="L301" s="880">
        <v>0</v>
      </c>
      <c r="M301" s="880">
        <v>0</v>
      </c>
    </row>
    <row r="302" spans="1:13" s="685" customFormat="1">
      <c r="A302" s="791"/>
      <c r="B302" s="792"/>
      <c r="C302" s="702">
        <v>519250</v>
      </c>
      <c r="D302" s="702">
        <v>519250</v>
      </c>
      <c r="E302" s="702">
        <v>519250</v>
      </c>
      <c r="F302" s="702">
        <v>519250</v>
      </c>
      <c r="G302" s="702">
        <v>519250</v>
      </c>
      <c r="H302" s="702">
        <v>274375</v>
      </c>
      <c r="I302" s="702">
        <v>274375</v>
      </c>
      <c r="J302" s="702">
        <v>238375</v>
      </c>
      <c r="K302" s="702">
        <v>0</v>
      </c>
      <c r="L302" s="702">
        <v>0</v>
      </c>
      <c r="M302" s="702">
        <v>0</v>
      </c>
    </row>
    <row r="303" spans="1:13" s="685" customFormat="1">
      <c r="A303" s="791" t="s">
        <v>180</v>
      </c>
      <c r="B303" s="792"/>
      <c r="C303" s="1021">
        <v>36000</v>
      </c>
      <c r="D303" s="1021">
        <v>18000</v>
      </c>
      <c r="E303" s="1021">
        <v>0</v>
      </c>
      <c r="F303" s="1021">
        <v>18000</v>
      </c>
      <c r="G303" s="1021">
        <v>18000</v>
      </c>
      <c r="H303" s="1021">
        <v>0</v>
      </c>
      <c r="I303" s="1021">
        <v>0</v>
      </c>
      <c r="J303" s="1021">
        <v>0</v>
      </c>
      <c r="K303" s="1021">
        <v>18000</v>
      </c>
      <c r="L303" s="1021">
        <v>18000</v>
      </c>
      <c r="M303" s="1021">
        <v>0</v>
      </c>
    </row>
    <row r="304" spans="1:13" s="685" customFormat="1">
      <c r="A304" s="791"/>
      <c r="B304" s="792"/>
      <c r="C304" s="702">
        <v>126000</v>
      </c>
      <c r="D304" s="702">
        <v>90000</v>
      </c>
      <c r="E304" s="702">
        <v>72000</v>
      </c>
      <c r="F304" s="702">
        <v>72000</v>
      </c>
      <c r="G304" s="702">
        <v>54000</v>
      </c>
      <c r="H304" s="702">
        <v>36000</v>
      </c>
      <c r="I304" s="702">
        <v>36000</v>
      </c>
      <c r="J304" s="702">
        <v>36000</v>
      </c>
      <c r="K304" s="702">
        <v>36000</v>
      </c>
      <c r="L304" s="702">
        <v>18000</v>
      </c>
      <c r="M304" s="702">
        <v>0</v>
      </c>
    </row>
    <row r="305" spans="1:13" s="685" customFormat="1">
      <c r="A305" s="791" t="s">
        <v>59</v>
      </c>
      <c r="B305" s="792"/>
      <c r="C305" s="880">
        <v>2166000</v>
      </c>
      <c r="D305" s="880">
        <v>18000</v>
      </c>
      <c r="E305" s="880">
        <v>0</v>
      </c>
      <c r="F305" s="880">
        <v>18000</v>
      </c>
      <c r="G305" s="880">
        <v>262875</v>
      </c>
      <c r="H305" s="880">
        <v>0</v>
      </c>
      <c r="I305" s="880">
        <v>45000</v>
      </c>
      <c r="J305" s="880">
        <v>390873</v>
      </c>
      <c r="K305" s="880">
        <v>18000</v>
      </c>
      <c r="L305" s="880">
        <v>219400</v>
      </c>
      <c r="M305" s="880">
        <v>0</v>
      </c>
    </row>
    <row r="306" spans="1:13" s="685" customFormat="1">
      <c r="A306" s="791"/>
      <c r="B306" s="792"/>
      <c r="C306" s="702">
        <v>3138148</v>
      </c>
      <c r="D306" s="702">
        <v>972148</v>
      </c>
      <c r="E306" s="702">
        <v>954148</v>
      </c>
      <c r="F306" s="702">
        <v>954148</v>
      </c>
      <c r="G306" s="702">
        <v>936148</v>
      </c>
      <c r="H306" s="702">
        <v>673273</v>
      </c>
      <c r="I306" s="702">
        <v>673273</v>
      </c>
      <c r="J306" s="702">
        <v>628273</v>
      </c>
      <c r="K306" s="702">
        <v>237400</v>
      </c>
      <c r="L306" s="702">
        <v>219400</v>
      </c>
      <c r="M306" s="702">
        <v>0</v>
      </c>
    </row>
    <row r="307" spans="1:13" s="685" customFormat="1">
      <c r="A307" s="793" t="s">
        <v>350</v>
      </c>
      <c r="B307" s="794"/>
      <c r="C307" s="882">
        <v>-1314841</v>
      </c>
      <c r="D307" s="882">
        <v>692158</v>
      </c>
      <c r="E307" s="882">
        <v>0</v>
      </c>
      <c r="F307" s="882">
        <v>337308</v>
      </c>
      <c r="G307" s="882">
        <v>-63664</v>
      </c>
      <c r="H307" s="882">
        <v>548596</v>
      </c>
      <c r="I307" s="882">
        <v>852134</v>
      </c>
      <c r="J307" s="882">
        <v>3244558</v>
      </c>
      <c r="K307" s="882">
        <v>788989</v>
      </c>
      <c r="L307" s="882">
        <v>517651</v>
      </c>
      <c r="M307" s="882">
        <v>0</v>
      </c>
    </row>
    <row r="308" spans="1:13" s="685" customFormat="1">
      <c r="A308" s="793"/>
      <c r="B308" s="794"/>
      <c r="C308" s="702">
        <v>5602889</v>
      </c>
      <c r="D308" s="702">
        <v>6917730</v>
      </c>
      <c r="E308" s="702">
        <v>6225572</v>
      </c>
      <c r="F308" s="702">
        <v>6225572</v>
      </c>
      <c r="G308" s="702">
        <v>5888264</v>
      </c>
      <c r="H308" s="702">
        <v>5951928</v>
      </c>
      <c r="I308" s="702">
        <v>5403332</v>
      </c>
      <c r="J308" s="702">
        <v>4551198</v>
      </c>
      <c r="K308" s="702">
        <v>1306640</v>
      </c>
      <c r="L308" s="702">
        <v>517651</v>
      </c>
      <c r="M308" s="702">
        <v>0</v>
      </c>
    </row>
    <row r="309" spans="1:13" s="685" customFormat="1">
      <c r="A309" s="797"/>
      <c r="B309" s="748"/>
      <c r="C309" s="879"/>
      <c r="D309" s="879"/>
      <c r="E309" s="879"/>
      <c r="F309" s="879"/>
      <c r="G309" s="879"/>
      <c r="H309" s="879"/>
      <c r="I309" s="879"/>
      <c r="J309" s="879"/>
      <c r="K309" s="879"/>
      <c r="L309" s="879"/>
      <c r="M309" s="879"/>
    </row>
    <row r="310" spans="1:13" s="685" customFormat="1">
      <c r="A310" s="796" t="s">
        <v>345</v>
      </c>
      <c r="B310" s="788" t="s">
        <v>518</v>
      </c>
      <c r="C310" s="880">
        <v>1027759</v>
      </c>
      <c r="D310" s="880">
        <v>884675</v>
      </c>
      <c r="E310" s="880">
        <v>72737</v>
      </c>
      <c r="F310" s="880">
        <v>426604</v>
      </c>
      <c r="G310" s="880">
        <v>280951</v>
      </c>
      <c r="H310" s="880">
        <v>542890</v>
      </c>
      <c r="I310" s="880">
        <v>1097665</v>
      </c>
      <c r="J310" s="880">
        <v>4136046</v>
      </c>
      <c r="K310" s="880">
        <v>1254916</v>
      </c>
      <c r="L310" s="880">
        <v>1029880</v>
      </c>
      <c r="M310" s="880">
        <v>0</v>
      </c>
    </row>
    <row r="311" spans="1:13" s="685" customFormat="1">
      <c r="A311" s="787"/>
      <c r="B311" s="788"/>
      <c r="C311" s="702">
        <v>10754123</v>
      </c>
      <c r="D311" s="702">
        <v>9726364</v>
      </c>
      <c r="E311" s="702">
        <v>8841689</v>
      </c>
      <c r="F311" s="702">
        <v>8768952</v>
      </c>
      <c r="G311" s="702">
        <v>8342348</v>
      </c>
      <c r="H311" s="702">
        <v>8061397</v>
      </c>
      <c r="I311" s="702">
        <v>7518507</v>
      </c>
      <c r="J311" s="702">
        <v>6420842</v>
      </c>
      <c r="K311" s="702">
        <v>2284796</v>
      </c>
      <c r="L311" s="702">
        <v>1029880</v>
      </c>
      <c r="M311" s="702">
        <v>0</v>
      </c>
    </row>
    <row r="312" spans="1:13" s="685" customFormat="1">
      <c r="A312" s="789" t="s">
        <v>100</v>
      </c>
      <c r="B312" s="790"/>
      <c r="C312" s="879"/>
      <c r="D312" s="879"/>
      <c r="E312" s="879"/>
      <c r="F312" s="879"/>
      <c r="G312" s="879"/>
      <c r="H312" s="879"/>
      <c r="I312" s="879"/>
      <c r="J312" s="879"/>
      <c r="K312" s="879"/>
      <c r="L312" s="879"/>
      <c r="M312" s="879"/>
    </row>
    <row r="313" spans="1:13" s="685" customFormat="1">
      <c r="A313" s="791" t="s">
        <v>337</v>
      </c>
      <c r="B313" s="792" t="s">
        <v>519</v>
      </c>
      <c r="C313" s="880">
        <v>0</v>
      </c>
      <c r="D313" s="880">
        <v>0</v>
      </c>
      <c r="E313" s="880">
        <v>0</v>
      </c>
      <c r="F313" s="880">
        <v>0</v>
      </c>
      <c r="G313" s="880">
        <v>0</v>
      </c>
      <c r="H313" s="880">
        <v>0</v>
      </c>
      <c r="I313" s="880">
        <v>0</v>
      </c>
      <c r="J313" s="880">
        <v>0</v>
      </c>
      <c r="K313" s="880">
        <v>0</v>
      </c>
      <c r="L313" s="880">
        <v>0</v>
      </c>
      <c r="M313" s="880">
        <v>0</v>
      </c>
    </row>
    <row r="314" spans="1:13" s="685" customFormat="1">
      <c r="A314" s="791"/>
      <c r="B314" s="792"/>
      <c r="C314" s="702">
        <v>0</v>
      </c>
      <c r="D314" s="702">
        <v>0</v>
      </c>
      <c r="E314" s="702">
        <v>0</v>
      </c>
      <c r="F314" s="702">
        <v>0</v>
      </c>
      <c r="G314" s="702">
        <v>0</v>
      </c>
      <c r="H314" s="702">
        <v>0</v>
      </c>
      <c r="I314" s="702">
        <v>0</v>
      </c>
      <c r="J314" s="702">
        <v>0</v>
      </c>
      <c r="K314" s="702">
        <v>0</v>
      </c>
      <c r="L314" s="702">
        <v>0</v>
      </c>
      <c r="M314" s="702">
        <v>0</v>
      </c>
    </row>
    <row r="315" spans="1:13" s="685" customFormat="1">
      <c r="A315" s="791" t="s">
        <v>353</v>
      </c>
      <c r="B315" s="792" t="s">
        <v>520</v>
      </c>
      <c r="C315" s="880">
        <v>0</v>
      </c>
      <c r="D315" s="880">
        <v>0</v>
      </c>
      <c r="E315" s="880">
        <v>0</v>
      </c>
      <c r="F315" s="880">
        <v>15386</v>
      </c>
      <c r="G315" s="880">
        <v>0</v>
      </c>
      <c r="H315" s="880">
        <v>0</v>
      </c>
      <c r="I315" s="880">
        <v>0</v>
      </c>
      <c r="J315" s="880">
        <v>0</v>
      </c>
      <c r="K315" s="880">
        <v>0</v>
      </c>
      <c r="L315" s="880">
        <v>0</v>
      </c>
      <c r="M315" s="880">
        <v>0</v>
      </c>
    </row>
    <row r="316" spans="1:13" s="685" customFormat="1">
      <c r="A316" s="791"/>
      <c r="B316" s="792"/>
      <c r="C316" s="702">
        <v>15386</v>
      </c>
      <c r="D316" s="702">
        <v>15386</v>
      </c>
      <c r="E316" s="702">
        <v>15386</v>
      </c>
      <c r="F316" s="702">
        <v>15386</v>
      </c>
      <c r="G316" s="702">
        <v>0</v>
      </c>
      <c r="H316" s="702">
        <v>0</v>
      </c>
      <c r="I316" s="702">
        <v>0</v>
      </c>
      <c r="J316" s="702">
        <v>0</v>
      </c>
      <c r="K316" s="702">
        <v>0</v>
      </c>
      <c r="L316" s="702">
        <v>0</v>
      </c>
      <c r="M316" s="702">
        <v>0</v>
      </c>
    </row>
    <row r="317" spans="1:13" s="685" customFormat="1">
      <c r="A317" s="791" t="s">
        <v>245</v>
      </c>
      <c r="B317" s="792" t="s">
        <v>521</v>
      </c>
      <c r="C317" s="880">
        <v>0</v>
      </c>
      <c r="D317" s="880">
        <v>0</v>
      </c>
      <c r="E317" s="880">
        <v>0</v>
      </c>
      <c r="F317" s="880">
        <v>0</v>
      </c>
      <c r="G317" s="880">
        <v>0</v>
      </c>
      <c r="H317" s="880">
        <v>137500</v>
      </c>
      <c r="I317" s="880">
        <v>0</v>
      </c>
      <c r="J317" s="880">
        <v>0</v>
      </c>
      <c r="K317" s="880">
        <v>0</v>
      </c>
      <c r="L317" s="880">
        <v>0</v>
      </c>
      <c r="M317" s="880">
        <v>0</v>
      </c>
    </row>
    <row r="318" spans="1:13" s="685" customFormat="1">
      <c r="A318" s="791"/>
      <c r="B318" s="792"/>
      <c r="C318" s="702">
        <v>137500</v>
      </c>
      <c r="D318" s="702">
        <v>137500</v>
      </c>
      <c r="E318" s="702">
        <v>137500</v>
      </c>
      <c r="F318" s="702">
        <v>137500</v>
      </c>
      <c r="G318" s="702">
        <v>137500</v>
      </c>
      <c r="H318" s="702">
        <v>137500</v>
      </c>
      <c r="I318" s="702">
        <v>0</v>
      </c>
      <c r="J318" s="702">
        <v>0</v>
      </c>
      <c r="K318" s="702">
        <v>0</v>
      </c>
      <c r="L318" s="702">
        <v>0</v>
      </c>
      <c r="M318" s="702">
        <v>0</v>
      </c>
    </row>
    <row r="319" spans="1:13" s="685" customFormat="1">
      <c r="A319" s="791" t="s">
        <v>349</v>
      </c>
      <c r="B319" s="792" t="s">
        <v>522</v>
      </c>
      <c r="C319" s="880">
        <v>0</v>
      </c>
      <c r="D319" s="880">
        <v>0</v>
      </c>
      <c r="E319" s="880">
        <v>0</v>
      </c>
      <c r="F319" s="880">
        <v>0</v>
      </c>
      <c r="G319" s="880">
        <v>0</v>
      </c>
      <c r="H319" s="880">
        <v>0</v>
      </c>
      <c r="I319" s="880">
        <v>0</v>
      </c>
      <c r="J319" s="880">
        <v>0</v>
      </c>
      <c r="K319" s="880">
        <v>0</v>
      </c>
      <c r="L319" s="880">
        <v>0</v>
      </c>
      <c r="M319" s="880">
        <v>0</v>
      </c>
    </row>
    <row r="320" spans="1:13" s="685" customFormat="1">
      <c r="A320" s="791"/>
      <c r="B320" s="792"/>
      <c r="C320" s="702">
        <v>0</v>
      </c>
      <c r="D320" s="702">
        <v>0</v>
      </c>
      <c r="E320" s="702">
        <v>0</v>
      </c>
      <c r="F320" s="702">
        <v>0</v>
      </c>
      <c r="G320" s="702">
        <v>0</v>
      </c>
      <c r="H320" s="702">
        <v>0</v>
      </c>
      <c r="I320" s="702">
        <v>0</v>
      </c>
      <c r="J320" s="702">
        <v>0</v>
      </c>
      <c r="K320" s="702">
        <v>0</v>
      </c>
      <c r="L320" s="702">
        <v>0</v>
      </c>
      <c r="M320" s="702">
        <v>0</v>
      </c>
    </row>
    <row r="321" spans="1:13" s="685" customFormat="1">
      <c r="A321" s="791" t="s">
        <v>247</v>
      </c>
      <c r="B321" s="792" t="s">
        <v>523</v>
      </c>
      <c r="C321" s="880">
        <v>0</v>
      </c>
      <c r="D321" s="880">
        <v>0</v>
      </c>
      <c r="E321" s="880">
        <v>0</v>
      </c>
      <c r="F321" s="880">
        <v>0</v>
      </c>
      <c r="G321" s="880">
        <v>0</v>
      </c>
      <c r="H321" s="880">
        <v>0</v>
      </c>
      <c r="I321" s="880">
        <v>0</v>
      </c>
      <c r="J321" s="880">
        <v>0</v>
      </c>
      <c r="K321" s="880">
        <v>0</v>
      </c>
      <c r="L321" s="880">
        <v>101400</v>
      </c>
      <c r="M321" s="880">
        <v>0</v>
      </c>
    </row>
    <row r="322" spans="1:13" s="685" customFormat="1">
      <c r="A322" s="791"/>
      <c r="B322" s="792"/>
      <c r="C322" s="702">
        <v>101400</v>
      </c>
      <c r="D322" s="702">
        <v>101400</v>
      </c>
      <c r="E322" s="702">
        <v>101400</v>
      </c>
      <c r="F322" s="702">
        <v>101400</v>
      </c>
      <c r="G322" s="702">
        <v>101400</v>
      </c>
      <c r="H322" s="702">
        <v>101400</v>
      </c>
      <c r="I322" s="702">
        <v>101400</v>
      </c>
      <c r="J322" s="702">
        <v>101400</v>
      </c>
      <c r="K322" s="702">
        <v>101400</v>
      </c>
      <c r="L322" s="702">
        <v>101400</v>
      </c>
      <c r="M322" s="702">
        <v>0</v>
      </c>
    </row>
    <row r="323" spans="1:13" s="685" customFormat="1">
      <c r="A323" s="791" t="s">
        <v>187</v>
      </c>
      <c r="B323" s="792" t="s">
        <v>524</v>
      </c>
      <c r="C323" s="880">
        <v>1526000</v>
      </c>
      <c r="D323" s="880">
        <v>0</v>
      </c>
      <c r="E323" s="880">
        <v>0</v>
      </c>
      <c r="F323" s="880">
        <v>0</v>
      </c>
      <c r="G323" s="880">
        <v>0</v>
      </c>
      <c r="H323" s="880">
        <v>0</v>
      </c>
      <c r="I323" s="880">
        <v>0</v>
      </c>
      <c r="J323" s="880">
        <v>0</v>
      </c>
      <c r="K323" s="880">
        <v>100000</v>
      </c>
      <c r="L323" s="880">
        <v>0</v>
      </c>
      <c r="M323" s="880">
        <v>0</v>
      </c>
    </row>
    <row r="324" spans="1:13" s="685" customFormat="1">
      <c r="A324" s="791"/>
      <c r="B324" s="792"/>
      <c r="C324" s="702">
        <v>1626000</v>
      </c>
      <c r="D324" s="702">
        <v>100000</v>
      </c>
      <c r="E324" s="702">
        <v>100000</v>
      </c>
      <c r="F324" s="702">
        <v>100000</v>
      </c>
      <c r="G324" s="702">
        <v>100000</v>
      </c>
      <c r="H324" s="702">
        <v>100000</v>
      </c>
      <c r="I324" s="702">
        <v>100000</v>
      </c>
      <c r="J324" s="702">
        <v>100000</v>
      </c>
      <c r="K324" s="702">
        <v>100000</v>
      </c>
      <c r="L324" s="702">
        <v>0</v>
      </c>
      <c r="M324" s="702">
        <v>0</v>
      </c>
    </row>
    <row r="325" spans="1:13" s="685" customFormat="1">
      <c r="A325" s="791" t="s">
        <v>246</v>
      </c>
      <c r="B325" s="792" t="s">
        <v>525</v>
      </c>
      <c r="C325" s="880">
        <v>0</v>
      </c>
      <c r="D325" s="880">
        <v>0</v>
      </c>
      <c r="E325" s="880">
        <v>0</v>
      </c>
      <c r="F325" s="880">
        <v>0</v>
      </c>
      <c r="G325" s="880">
        <v>0</v>
      </c>
      <c r="H325" s="880">
        <v>0</v>
      </c>
      <c r="I325" s="880">
        <v>0</v>
      </c>
      <c r="J325" s="880">
        <v>0</v>
      </c>
      <c r="K325" s="880">
        <v>0</v>
      </c>
      <c r="L325" s="880">
        <v>0</v>
      </c>
      <c r="M325" s="880">
        <v>0</v>
      </c>
    </row>
    <row r="326" spans="1:13" s="685" customFormat="1">
      <c r="A326" s="791"/>
      <c r="B326" s="792"/>
      <c r="C326" s="702">
        <v>0</v>
      </c>
      <c r="D326" s="702">
        <v>0</v>
      </c>
      <c r="E326" s="702">
        <v>0</v>
      </c>
      <c r="F326" s="702">
        <v>0</v>
      </c>
      <c r="G326" s="702">
        <v>0</v>
      </c>
      <c r="H326" s="702">
        <v>0</v>
      </c>
      <c r="I326" s="702">
        <v>0</v>
      </c>
      <c r="J326" s="702">
        <v>0</v>
      </c>
      <c r="K326" s="702">
        <v>0</v>
      </c>
      <c r="L326" s="702">
        <v>0</v>
      </c>
      <c r="M326" s="702">
        <v>0</v>
      </c>
    </row>
    <row r="327" spans="1:13" s="685" customFormat="1">
      <c r="A327" s="791" t="s">
        <v>334</v>
      </c>
      <c r="B327" s="792" t="s">
        <v>526</v>
      </c>
      <c r="C327" s="880">
        <v>0</v>
      </c>
      <c r="D327" s="880">
        <v>0</v>
      </c>
      <c r="E327" s="880">
        <v>0</v>
      </c>
      <c r="F327" s="880">
        <v>0</v>
      </c>
      <c r="G327" s="880">
        <v>0</v>
      </c>
      <c r="H327" s="880">
        <v>0</v>
      </c>
      <c r="I327" s="880">
        <v>0</v>
      </c>
      <c r="J327" s="880">
        <v>0</v>
      </c>
      <c r="K327" s="880">
        <v>0</v>
      </c>
      <c r="L327" s="880">
        <v>0</v>
      </c>
      <c r="M327" s="880">
        <v>0</v>
      </c>
    </row>
    <row r="328" spans="1:13" s="685" customFormat="1">
      <c r="A328" s="791"/>
      <c r="B328" s="792"/>
      <c r="C328" s="702">
        <v>0</v>
      </c>
      <c r="D328" s="702">
        <v>0</v>
      </c>
      <c r="E328" s="702">
        <v>0</v>
      </c>
      <c r="F328" s="702">
        <v>0</v>
      </c>
      <c r="G328" s="702">
        <v>0</v>
      </c>
      <c r="H328" s="702">
        <v>0</v>
      </c>
      <c r="I328" s="702">
        <v>0</v>
      </c>
      <c r="J328" s="702">
        <v>0</v>
      </c>
      <c r="K328" s="702">
        <v>0</v>
      </c>
      <c r="L328" s="702">
        <v>0</v>
      </c>
      <c r="M328" s="702">
        <v>0</v>
      </c>
    </row>
    <row r="329" spans="1:13" s="685" customFormat="1">
      <c r="A329" s="791" t="s">
        <v>27</v>
      </c>
      <c r="B329" s="792" t="s">
        <v>527</v>
      </c>
      <c r="C329" s="880">
        <v>0</v>
      </c>
      <c r="D329" s="880">
        <v>0</v>
      </c>
      <c r="E329" s="880">
        <v>0</v>
      </c>
      <c r="F329" s="880">
        <v>0</v>
      </c>
      <c r="G329" s="880">
        <v>196875</v>
      </c>
      <c r="H329" s="880">
        <v>0</v>
      </c>
      <c r="I329" s="880">
        <v>36602</v>
      </c>
      <c r="J329" s="880">
        <v>238375</v>
      </c>
      <c r="K329" s="880">
        <v>0</v>
      </c>
      <c r="L329" s="880">
        <v>0</v>
      </c>
      <c r="M329" s="880">
        <v>0</v>
      </c>
    </row>
    <row r="330" spans="1:13" s="685" customFormat="1">
      <c r="A330" s="791"/>
      <c r="B330" s="792"/>
      <c r="C330" s="702">
        <v>471852</v>
      </c>
      <c r="D330" s="702">
        <v>471852</v>
      </c>
      <c r="E330" s="702">
        <v>471852</v>
      </c>
      <c r="F330" s="702">
        <v>471852</v>
      </c>
      <c r="G330" s="702">
        <v>471852</v>
      </c>
      <c r="H330" s="702">
        <v>274977</v>
      </c>
      <c r="I330" s="702">
        <v>274977</v>
      </c>
      <c r="J330" s="702">
        <v>238375</v>
      </c>
      <c r="K330" s="702">
        <v>0</v>
      </c>
      <c r="L330" s="702">
        <v>0</v>
      </c>
      <c r="M330" s="702">
        <v>0</v>
      </c>
    </row>
    <row r="331" spans="1:13" s="685" customFormat="1">
      <c r="A331" s="791" t="s">
        <v>180</v>
      </c>
      <c r="B331" s="792"/>
      <c r="C331" s="1021">
        <v>36000</v>
      </c>
      <c r="D331" s="1021">
        <v>18000</v>
      </c>
      <c r="E331" s="1021">
        <v>0</v>
      </c>
      <c r="F331" s="1021">
        <v>18000</v>
      </c>
      <c r="G331" s="1021">
        <v>18000</v>
      </c>
      <c r="H331" s="1021">
        <v>0</v>
      </c>
      <c r="I331" s="1021">
        <v>0</v>
      </c>
      <c r="J331" s="1021">
        <v>0</v>
      </c>
      <c r="K331" s="1021">
        <v>33000</v>
      </c>
      <c r="L331" s="1021">
        <v>18000</v>
      </c>
      <c r="M331" s="1021">
        <v>0</v>
      </c>
    </row>
    <row r="332" spans="1:13" s="685" customFormat="1">
      <c r="A332" s="791"/>
      <c r="B332" s="792"/>
      <c r="C332" s="702">
        <v>141000</v>
      </c>
      <c r="D332" s="702">
        <v>105000</v>
      </c>
      <c r="E332" s="702">
        <v>87000</v>
      </c>
      <c r="F332" s="702">
        <v>87000</v>
      </c>
      <c r="G332" s="702">
        <v>69000</v>
      </c>
      <c r="H332" s="702">
        <v>51000</v>
      </c>
      <c r="I332" s="702">
        <v>51000</v>
      </c>
      <c r="J332" s="702">
        <v>51000</v>
      </c>
      <c r="K332" s="702">
        <v>51000</v>
      </c>
      <c r="L332" s="702">
        <v>18000</v>
      </c>
      <c r="M332" s="702">
        <v>0</v>
      </c>
    </row>
    <row r="333" spans="1:13" s="685" customFormat="1">
      <c r="A333" s="791" t="s">
        <v>59</v>
      </c>
      <c r="B333" s="792"/>
      <c r="C333" s="880">
        <v>1562000</v>
      </c>
      <c r="D333" s="880">
        <v>18000</v>
      </c>
      <c r="E333" s="880">
        <v>0</v>
      </c>
      <c r="F333" s="880">
        <v>33386</v>
      </c>
      <c r="G333" s="880">
        <v>214875</v>
      </c>
      <c r="H333" s="880">
        <v>137500</v>
      </c>
      <c r="I333" s="880">
        <v>36602</v>
      </c>
      <c r="J333" s="880">
        <v>238375</v>
      </c>
      <c r="K333" s="880">
        <v>133000</v>
      </c>
      <c r="L333" s="880">
        <v>119400</v>
      </c>
      <c r="M333" s="880">
        <v>0</v>
      </c>
    </row>
    <row r="334" spans="1:13" s="685" customFormat="1">
      <c r="A334" s="791"/>
      <c r="B334" s="792"/>
      <c r="C334" s="702">
        <v>2493138</v>
      </c>
      <c r="D334" s="702">
        <v>931138</v>
      </c>
      <c r="E334" s="702">
        <v>913138</v>
      </c>
      <c r="F334" s="702">
        <v>913138</v>
      </c>
      <c r="G334" s="702">
        <v>879752</v>
      </c>
      <c r="H334" s="702">
        <v>664877</v>
      </c>
      <c r="I334" s="702">
        <v>527377</v>
      </c>
      <c r="J334" s="702">
        <v>490775</v>
      </c>
      <c r="K334" s="702">
        <v>252400</v>
      </c>
      <c r="L334" s="702">
        <v>119400</v>
      </c>
      <c r="M334" s="702">
        <v>0</v>
      </c>
    </row>
    <row r="335" spans="1:13" s="685" customFormat="1">
      <c r="A335" s="793" t="s">
        <v>350</v>
      </c>
      <c r="B335" s="794"/>
      <c r="C335" s="882">
        <v>-534241</v>
      </c>
      <c r="D335" s="882">
        <v>866675</v>
      </c>
      <c r="E335" s="882">
        <v>72737</v>
      </c>
      <c r="F335" s="882">
        <v>393218</v>
      </c>
      <c r="G335" s="882">
        <v>66076</v>
      </c>
      <c r="H335" s="882">
        <v>405390</v>
      </c>
      <c r="I335" s="882">
        <v>1061063</v>
      </c>
      <c r="J335" s="882">
        <v>3897671</v>
      </c>
      <c r="K335" s="882">
        <v>1121916</v>
      </c>
      <c r="L335" s="882">
        <v>910480</v>
      </c>
      <c r="M335" s="882">
        <v>0</v>
      </c>
    </row>
    <row r="336" spans="1:13" s="685" customFormat="1">
      <c r="A336" s="793"/>
      <c r="B336" s="794"/>
      <c r="C336" s="702">
        <v>8260985</v>
      </c>
      <c r="D336" s="702">
        <v>8795226</v>
      </c>
      <c r="E336" s="702">
        <v>7928551</v>
      </c>
      <c r="F336" s="702">
        <v>7855814</v>
      </c>
      <c r="G336" s="702">
        <v>7462596</v>
      </c>
      <c r="H336" s="702">
        <v>7396520</v>
      </c>
      <c r="I336" s="702">
        <v>6991130</v>
      </c>
      <c r="J336" s="702">
        <v>5930067</v>
      </c>
      <c r="K336" s="702">
        <v>2032396</v>
      </c>
      <c r="L336" s="702">
        <v>910480</v>
      </c>
      <c r="M336" s="702">
        <v>0</v>
      </c>
    </row>
    <row r="337" spans="1:13" s="685" customFormat="1">
      <c r="A337" s="797"/>
      <c r="B337" s="748"/>
      <c r="C337" s="879"/>
      <c r="D337" s="879"/>
      <c r="E337" s="879"/>
      <c r="F337" s="879"/>
      <c r="G337" s="879"/>
      <c r="H337" s="879"/>
      <c r="I337" s="879"/>
      <c r="J337" s="879"/>
      <c r="K337" s="879"/>
      <c r="L337" s="879"/>
      <c r="M337" s="879"/>
    </row>
    <row r="338" spans="1:13" s="685" customFormat="1" ht="18">
      <c r="A338" s="787" t="s">
        <v>151</v>
      </c>
      <c r="B338" s="788"/>
      <c r="C338" s="883">
        <v>4843927</v>
      </c>
      <c r="D338" s="883">
        <v>4536348</v>
      </c>
      <c r="E338" s="883">
        <v>635803</v>
      </c>
      <c r="F338" s="883">
        <v>1762949</v>
      </c>
      <c r="G338" s="883">
        <v>1555688</v>
      </c>
      <c r="H338" s="883">
        <v>2745421</v>
      </c>
      <c r="I338" s="883">
        <v>4868604</v>
      </c>
      <c r="J338" s="883">
        <v>16202213</v>
      </c>
      <c r="K338" s="883">
        <v>4867404</v>
      </c>
      <c r="L338" s="883">
        <v>4950915</v>
      </c>
      <c r="M338" s="883">
        <v>0</v>
      </c>
    </row>
    <row r="339" spans="1:13" s="707" customFormat="1" ht="21.6" thickBot="1">
      <c r="A339" s="798" t="s">
        <v>48</v>
      </c>
      <c r="B339" s="799"/>
      <c r="C339" s="706">
        <v>46969272</v>
      </c>
      <c r="D339" s="706">
        <v>42125345</v>
      </c>
      <c r="E339" s="706">
        <v>37588997</v>
      </c>
      <c r="F339" s="706">
        <v>36953194</v>
      </c>
      <c r="G339" s="706">
        <v>35190245</v>
      </c>
      <c r="H339" s="706">
        <v>33634557</v>
      </c>
      <c r="I339" s="706">
        <v>30889136</v>
      </c>
      <c r="J339" s="706">
        <v>26020532</v>
      </c>
      <c r="K339" s="706">
        <v>9818319</v>
      </c>
      <c r="L339" s="706">
        <v>4950915</v>
      </c>
      <c r="M339" s="706">
        <v>0</v>
      </c>
    </row>
    <row r="340" spans="1:13" ht="15" thickTop="1">
      <c r="A340" s="25"/>
      <c r="B340" s="735"/>
      <c r="C340" s="884"/>
      <c r="D340" s="884"/>
      <c r="E340" s="884"/>
      <c r="F340" s="884"/>
      <c r="G340" s="884"/>
      <c r="H340" s="884"/>
      <c r="I340" s="884"/>
      <c r="J340" s="884"/>
      <c r="K340" s="884"/>
      <c r="L340" s="884"/>
      <c r="M340" s="884"/>
    </row>
    <row r="341" spans="1:13">
      <c r="A341" s="800" t="s">
        <v>351</v>
      </c>
      <c r="B341" s="801"/>
      <c r="C341" s="885">
        <v>6671000</v>
      </c>
      <c r="D341" s="885">
        <v>72000</v>
      </c>
      <c r="E341" s="885">
        <v>0</v>
      </c>
      <c r="F341" s="885">
        <v>69386</v>
      </c>
      <c r="G341" s="885">
        <v>889500</v>
      </c>
      <c r="H341" s="885">
        <v>137500</v>
      </c>
      <c r="I341" s="885">
        <v>410502</v>
      </c>
      <c r="J341" s="885">
        <v>1087998</v>
      </c>
      <c r="K341" s="885">
        <v>494000</v>
      </c>
      <c r="L341" s="885">
        <v>721200</v>
      </c>
      <c r="M341" s="885">
        <v>0</v>
      </c>
    </row>
    <row r="342" spans="1:13">
      <c r="A342" s="800"/>
      <c r="B342" s="801"/>
      <c r="C342" s="708">
        <v>10553086</v>
      </c>
      <c r="D342" s="708">
        <v>3882086</v>
      </c>
      <c r="E342" s="708">
        <v>3810086</v>
      </c>
      <c r="F342" s="708">
        <v>3810086</v>
      </c>
      <c r="G342" s="708">
        <v>3740700</v>
      </c>
      <c r="H342" s="708">
        <v>2851200</v>
      </c>
      <c r="I342" s="708">
        <v>2713700</v>
      </c>
      <c r="J342" s="708">
        <v>2303198</v>
      </c>
      <c r="K342" s="708">
        <v>1215200</v>
      </c>
      <c r="L342" s="708">
        <v>721200</v>
      </c>
      <c r="M342" s="708">
        <v>0</v>
      </c>
    </row>
    <row r="343" spans="1:13">
      <c r="A343" s="25"/>
      <c r="B343" s="735"/>
      <c r="C343" s="884"/>
      <c r="D343" s="884"/>
      <c r="E343" s="884"/>
      <c r="F343" s="884"/>
      <c r="G343" s="884"/>
      <c r="H343" s="884"/>
      <c r="I343" s="884"/>
      <c r="J343" s="884"/>
      <c r="K343" s="884"/>
      <c r="L343" s="884"/>
      <c r="M343" s="884"/>
    </row>
    <row r="344" spans="1:13" ht="21">
      <c r="A344" s="802" t="s">
        <v>352</v>
      </c>
      <c r="B344" s="803"/>
      <c r="C344" s="886">
        <v>-1827073</v>
      </c>
      <c r="D344" s="886">
        <v>4464348</v>
      </c>
      <c r="E344" s="886">
        <v>635803</v>
      </c>
      <c r="F344" s="886">
        <v>1693563</v>
      </c>
      <c r="G344" s="886">
        <v>666188</v>
      </c>
      <c r="H344" s="886">
        <v>2607921</v>
      </c>
      <c r="I344" s="886">
        <v>4458102</v>
      </c>
      <c r="J344" s="886">
        <v>15114215</v>
      </c>
      <c r="K344" s="886">
        <v>4373404</v>
      </c>
      <c r="L344" s="886">
        <v>4229715</v>
      </c>
      <c r="M344" s="886">
        <v>0</v>
      </c>
    </row>
    <row r="345" spans="1:13" ht="21">
      <c r="A345" s="804"/>
      <c r="B345" s="803"/>
      <c r="C345" s="709">
        <v>36416186</v>
      </c>
      <c r="D345" s="709">
        <v>38243259</v>
      </c>
      <c r="E345" s="709">
        <v>33778911</v>
      </c>
      <c r="F345" s="709">
        <v>33143108</v>
      </c>
      <c r="G345" s="709">
        <v>31449545</v>
      </c>
      <c r="H345" s="709">
        <v>30783357</v>
      </c>
      <c r="I345" s="709">
        <v>28175436</v>
      </c>
      <c r="J345" s="709">
        <v>23717334</v>
      </c>
      <c r="K345" s="709">
        <v>8603119</v>
      </c>
      <c r="L345" s="709">
        <v>4229715</v>
      </c>
      <c r="M345" s="709">
        <v>0</v>
      </c>
    </row>
    <row r="346" spans="1:13" ht="15" thickBot="1">
      <c r="A346" s="5"/>
      <c r="B346" s="16"/>
      <c r="C346" s="710"/>
      <c r="D346" s="710"/>
      <c r="E346" s="710"/>
      <c r="F346" s="710"/>
      <c r="G346" s="710"/>
      <c r="H346" s="710"/>
      <c r="I346" s="710"/>
      <c r="J346" s="710"/>
      <c r="K346" s="710"/>
      <c r="L346" s="710"/>
      <c r="M346" s="710"/>
    </row>
    <row r="347" spans="1:13" s="685" customFormat="1">
      <c r="A347" s="805" t="s">
        <v>194</v>
      </c>
      <c r="B347" s="806" t="s">
        <v>290</v>
      </c>
      <c r="C347" s="887">
        <v>0</v>
      </c>
      <c r="D347" s="887">
        <v>0</v>
      </c>
      <c r="E347" s="887">
        <v>0</v>
      </c>
      <c r="F347" s="887">
        <v>0</v>
      </c>
      <c r="G347" s="887">
        <v>0</v>
      </c>
      <c r="H347" s="887">
        <v>0</v>
      </c>
      <c r="I347" s="887">
        <v>0</v>
      </c>
      <c r="J347" s="887">
        <v>0</v>
      </c>
      <c r="K347" s="887">
        <v>0</v>
      </c>
      <c r="L347" s="887">
        <v>0</v>
      </c>
      <c r="M347" s="887">
        <v>0</v>
      </c>
    </row>
    <row r="348" spans="1:13" s="685" customFormat="1">
      <c r="A348" s="807" t="s">
        <v>196</v>
      </c>
      <c r="B348" s="808"/>
      <c r="C348" s="705">
        <v>0</v>
      </c>
      <c r="D348" s="705">
        <v>0</v>
      </c>
      <c r="E348" s="705">
        <v>0</v>
      </c>
      <c r="F348" s="705">
        <v>0</v>
      </c>
      <c r="G348" s="705">
        <v>0</v>
      </c>
      <c r="H348" s="705">
        <v>0</v>
      </c>
      <c r="I348" s="705">
        <v>0</v>
      </c>
      <c r="J348" s="705">
        <v>0</v>
      </c>
      <c r="K348" s="705">
        <v>0</v>
      </c>
      <c r="L348" s="705">
        <v>0</v>
      </c>
      <c r="M348" s="705">
        <v>0</v>
      </c>
    </row>
    <row r="349" spans="1:13" s="712" customFormat="1" ht="15" thickBot="1">
      <c r="A349" s="809"/>
      <c r="B349" s="810"/>
      <c r="C349" s="711">
        <v>0</v>
      </c>
      <c r="D349" s="711">
        <v>0</v>
      </c>
      <c r="E349" s="711">
        <v>0</v>
      </c>
      <c r="F349" s="711">
        <v>0</v>
      </c>
      <c r="G349" s="711">
        <v>0</v>
      </c>
      <c r="H349" s="711">
        <v>0</v>
      </c>
      <c r="I349" s="711">
        <v>0</v>
      </c>
      <c r="J349" s="711">
        <v>0</v>
      </c>
      <c r="K349" s="711">
        <v>0</v>
      </c>
      <c r="L349" s="711">
        <v>0</v>
      </c>
      <c r="M349" s="711">
        <v>0</v>
      </c>
    </row>
    <row r="350" spans="1:13" s="685" customFormat="1">
      <c r="A350" s="805" t="s">
        <v>195</v>
      </c>
      <c r="B350" s="806" t="s">
        <v>277</v>
      </c>
      <c r="C350" s="887">
        <v>0</v>
      </c>
      <c r="D350" s="887">
        <v>0</v>
      </c>
      <c r="E350" s="887">
        <v>0</v>
      </c>
      <c r="F350" s="887">
        <v>0</v>
      </c>
      <c r="G350" s="887">
        <v>0</v>
      </c>
      <c r="H350" s="887">
        <v>0</v>
      </c>
      <c r="I350" s="887">
        <v>0</v>
      </c>
      <c r="J350" s="887">
        <v>0</v>
      </c>
      <c r="K350" s="887">
        <v>0</v>
      </c>
      <c r="L350" s="887">
        <v>0</v>
      </c>
      <c r="M350" s="887">
        <v>0</v>
      </c>
    </row>
    <row r="351" spans="1:13" s="685" customFormat="1">
      <c r="A351" s="807" t="s">
        <v>196</v>
      </c>
      <c r="B351" s="808"/>
      <c r="C351" s="705">
        <v>0</v>
      </c>
      <c r="D351" s="705">
        <v>0</v>
      </c>
      <c r="E351" s="705">
        <v>0</v>
      </c>
      <c r="F351" s="705">
        <v>0</v>
      </c>
      <c r="G351" s="705">
        <v>0</v>
      </c>
      <c r="H351" s="705">
        <v>0</v>
      </c>
      <c r="I351" s="705">
        <v>0</v>
      </c>
      <c r="J351" s="705">
        <v>0</v>
      </c>
      <c r="K351" s="705">
        <v>0</v>
      </c>
      <c r="L351" s="705">
        <v>0</v>
      </c>
      <c r="M351" s="705">
        <v>0</v>
      </c>
    </row>
    <row r="352" spans="1:13" s="712" customFormat="1" ht="15" thickBot="1">
      <c r="A352" s="809"/>
      <c r="B352" s="810"/>
      <c r="C352" s="711">
        <v>0</v>
      </c>
      <c r="D352" s="711">
        <v>0</v>
      </c>
      <c r="E352" s="711">
        <v>0</v>
      </c>
      <c r="F352" s="711">
        <v>0</v>
      </c>
      <c r="G352" s="711">
        <v>0</v>
      </c>
      <c r="H352" s="711">
        <v>0</v>
      </c>
      <c r="I352" s="711">
        <v>0</v>
      </c>
      <c r="J352" s="711">
        <v>0</v>
      </c>
      <c r="K352" s="711">
        <v>0</v>
      </c>
      <c r="L352" s="711">
        <v>0</v>
      </c>
      <c r="M352" s="711">
        <v>0</v>
      </c>
    </row>
    <row r="353" spans="1:13" s="685" customFormat="1">
      <c r="A353" s="811" t="s">
        <v>341</v>
      </c>
      <c r="B353" s="806" t="s">
        <v>342</v>
      </c>
      <c r="C353" s="887">
        <v>0</v>
      </c>
      <c r="D353" s="887">
        <v>0</v>
      </c>
      <c r="E353" s="887">
        <v>0</v>
      </c>
      <c r="F353" s="887">
        <v>0</v>
      </c>
      <c r="G353" s="887">
        <v>0</v>
      </c>
      <c r="H353" s="887">
        <v>0</v>
      </c>
      <c r="I353" s="887">
        <v>0</v>
      </c>
      <c r="J353" s="887">
        <v>0</v>
      </c>
      <c r="K353" s="887">
        <v>0</v>
      </c>
      <c r="L353" s="887">
        <v>0</v>
      </c>
      <c r="M353" s="887">
        <v>0</v>
      </c>
    </row>
    <row r="354" spans="1:13" s="685" customFormat="1">
      <c r="A354" s="807" t="s">
        <v>196</v>
      </c>
      <c r="B354" s="808"/>
      <c r="C354" s="705">
        <v>0</v>
      </c>
      <c r="D354" s="705">
        <v>0</v>
      </c>
      <c r="E354" s="705">
        <v>0</v>
      </c>
      <c r="F354" s="705">
        <v>0</v>
      </c>
      <c r="G354" s="705">
        <v>0</v>
      </c>
      <c r="H354" s="705">
        <v>0</v>
      </c>
      <c r="I354" s="705">
        <v>0</v>
      </c>
      <c r="J354" s="705">
        <v>0</v>
      </c>
      <c r="K354" s="705">
        <v>0</v>
      </c>
      <c r="L354" s="705">
        <v>0</v>
      </c>
      <c r="M354" s="705">
        <v>0</v>
      </c>
    </row>
    <row r="355" spans="1:13" s="712" customFormat="1" ht="15" thickBot="1">
      <c r="A355" s="809"/>
      <c r="B355" s="810"/>
      <c r="C355" s="711">
        <v>0</v>
      </c>
      <c r="D355" s="711">
        <v>0</v>
      </c>
      <c r="E355" s="711">
        <v>0</v>
      </c>
      <c r="F355" s="711">
        <v>0</v>
      </c>
      <c r="G355" s="711">
        <v>0</v>
      </c>
      <c r="H355" s="711">
        <v>0</v>
      </c>
      <c r="I355" s="711">
        <v>0</v>
      </c>
      <c r="J355" s="711">
        <v>0</v>
      </c>
      <c r="K355" s="711">
        <v>0</v>
      </c>
      <c r="L355" s="711">
        <v>0</v>
      </c>
      <c r="M355" s="711">
        <v>0</v>
      </c>
    </row>
    <row r="356" spans="1:13" s="713" customFormat="1" ht="18">
      <c r="A356" s="812" t="s">
        <v>362</v>
      </c>
      <c r="B356" s="813"/>
      <c r="C356" s="958">
        <v>0</v>
      </c>
      <c r="D356" s="958">
        <v>0</v>
      </c>
      <c r="E356" s="958">
        <v>0</v>
      </c>
      <c r="F356" s="958">
        <v>0</v>
      </c>
      <c r="G356" s="958">
        <v>0</v>
      </c>
      <c r="H356" s="958">
        <v>0</v>
      </c>
      <c r="I356" s="958">
        <v>0</v>
      </c>
      <c r="J356" s="958">
        <v>0</v>
      </c>
      <c r="K356" s="958">
        <v>0</v>
      </c>
      <c r="L356" s="958">
        <v>0</v>
      </c>
      <c r="M356" s="958">
        <v>0</v>
      </c>
    </row>
    <row r="357" spans="1:13" s="715" customFormat="1" ht="18">
      <c r="A357" s="814" t="s">
        <v>85</v>
      </c>
      <c r="B357" s="815"/>
      <c r="C357" s="714">
        <v>0</v>
      </c>
      <c r="D357" s="714">
        <v>0</v>
      </c>
      <c r="E357" s="714">
        <v>0</v>
      </c>
      <c r="F357" s="714">
        <v>0</v>
      </c>
      <c r="G357" s="714">
        <v>0</v>
      </c>
      <c r="H357" s="714">
        <v>0</v>
      </c>
      <c r="I357" s="714">
        <v>0</v>
      </c>
      <c r="J357" s="714">
        <v>0</v>
      </c>
      <c r="K357" s="714">
        <v>0</v>
      </c>
      <c r="L357" s="714">
        <v>0</v>
      </c>
      <c r="M357" s="714">
        <v>0</v>
      </c>
    </row>
    <row r="358" spans="1:13" s="426" customFormat="1" ht="15" thickBot="1">
      <c r="A358" s="65"/>
      <c r="B358" s="753"/>
      <c r="C358" s="971"/>
      <c r="D358" s="971"/>
      <c r="E358" s="971"/>
      <c r="F358" s="971"/>
      <c r="G358" s="971"/>
      <c r="H358" s="971"/>
      <c r="I358" s="971"/>
      <c r="J358" s="971"/>
      <c r="K358" s="971"/>
      <c r="L358" s="971"/>
      <c r="M358" s="971"/>
    </row>
    <row r="359" spans="1:13" s="426" customFormat="1">
      <c r="A359" s="3" t="s">
        <v>576</v>
      </c>
      <c r="B359" s="734"/>
      <c r="C359" s="974"/>
      <c r="D359" s="974"/>
      <c r="E359" s="974"/>
      <c r="F359" s="974"/>
      <c r="G359" s="974"/>
      <c r="H359" s="974"/>
      <c r="I359" s="974"/>
      <c r="J359" s="974"/>
      <c r="K359" s="974"/>
      <c r="L359" s="974"/>
      <c r="M359" s="974"/>
    </row>
    <row r="360" spans="1:13">
      <c r="A360" s="1" t="s">
        <v>573</v>
      </c>
      <c r="B360" s="736"/>
      <c r="C360" s="876">
        <v>248000</v>
      </c>
      <c r="D360" s="876">
        <v>0</v>
      </c>
      <c r="E360" s="876">
        <v>0</v>
      </c>
      <c r="F360" s="876">
        <v>0</v>
      </c>
      <c r="G360" s="876">
        <v>917700</v>
      </c>
      <c r="H360" s="876">
        <v>0</v>
      </c>
      <c r="I360" s="876">
        <v>94000</v>
      </c>
      <c r="J360" s="876">
        <v>0</v>
      </c>
      <c r="K360" s="876">
        <v>10843000</v>
      </c>
      <c r="L360" s="876">
        <v>0</v>
      </c>
      <c r="M360" s="876">
        <v>0</v>
      </c>
    </row>
    <row r="361" spans="1:13" s="426" customFormat="1">
      <c r="A361" s="969" t="s">
        <v>13</v>
      </c>
      <c r="B361" s="748"/>
      <c r="C361" s="970">
        <v>12102700</v>
      </c>
      <c r="D361" s="970">
        <v>11854700</v>
      </c>
      <c r="E361" s="970">
        <v>11854700</v>
      </c>
      <c r="F361" s="970">
        <v>11854700</v>
      </c>
      <c r="G361" s="970">
        <v>11854700</v>
      </c>
      <c r="H361" s="970">
        <v>10937000</v>
      </c>
      <c r="I361" s="970">
        <v>10937000</v>
      </c>
      <c r="J361" s="970">
        <v>10843000</v>
      </c>
      <c r="K361" s="970">
        <v>10843000</v>
      </c>
      <c r="L361" s="970">
        <v>0</v>
      </c>
      <c r="M361" s="970">
        <v>0</v>
      </c>
    </row>
    <row r="362" spans="1:13">
      <c r="A362" s="1" t="s">
        <v>574</v>
      </c>
      <c r="B362" s="736"/>
      <c r="C362" s="876">
        <v>0</v>
      </c>
      <c r="D362" s="876">
        <v>0</v>
      </c>
      <c r="E362" s="876">
        <v>0</v>
      </c>
      <c r="F362" s="876">
        <v>0</v>
      </c>
      <c r="G362" s="876">
        <v>0</v>
      </c>
      <c r="H362" s="876">
        <v>0</v>
      </c>
      <c r="I362" s="876">
        <v>0</v>
      </c>
      <c r="J362" s="876">
        <v>300000</v>
      </c>
      <c r="K362" s="876">
        <v>0</v>
      </c>
      <c r="L362" s="876">
        <v>0</v>
      </c>
      <c r="M362" s="876">
        <v>0</v>
      </c>
    </row>
    <row r="363" spans="1:13" s="426" customFormat="1">
      <c r="A363" s="969" t="s">
        <v>13</v>
      </c>
      <c r="B363" s="748"/>
      <c r="C363" s="970">
        <v>300000</v>
      </c>
      <c r="D363" s="970">
        <v>300000</v>
      </c>
      <c r="E363" s="970">
        <v>300000</v>
      </c>
      <c r="F363" s="970">
        <v>300000</v>
      </c>
      <c r="G363" s="970">
        <v>300000</v>
      </c>
      <c r="H363" s="970">
        <v>300000</v>
      </c>
      <c r="I363" s="970">
        <v>300000</v>
      </c>
      <c r="J363" s="970">
        <v>300000</v>
      </c>
      <c r="K363" s="970">
        <v>0</v>
      </c>
      <c r="L363" s="970">
        <v>0</v>
      </c>
      <c r="M363" s="970">
        <v>0</v>
      </c>
    </row>
    <row r="364" spans="1:13">
      <c r="A364" s="1" t="s">
        <v>575</v>
      </c>
      <c r="B364" s="736"/>
      <c r="C364" s="876">
        <v>0</v>
      </c>
      <c r="D364" s="876">
        <v>0</v>
      </c>
      <c r="E364" s="876">
        <v>0</v>
      </c>
      <c r="F364" s="876">
        <v>0</v>
      </c>
      <c r="G364" s="876">
        <v>0</v>
      </c>
      <c r="H364" s="876">
        <v>0</v>
      </c>
      <c r="I364" s="876">
        <v>0</v>
      </c>
      <c r="J364" s="876">
        <v>100000</v>
      </c>
      <c r="K364" s="876">
        <v>100000</v>
      </c>
      <c r="L364" s="876">
        <v>0</v>
      </c>
      <c r="M364" s="876">
        <v>0</v>
      </c>
    </row>
    <row r="365" spans="1:13" s="426" customFormat="1">
      <c r="A365" s="969" t="s">
        <v>13</v>
      </c>
      <c r="B365" s="748"/>
      <c r="C365" s="970">
        <v>200000</v>
      </c>
      <c r="D365" s="970">
        <v>200000</v>
      </c>
      <c r="E365" s="970">
        <v>200000</v>
      </c>
      <c r="F365" s="970">
        <v>200000</v>
      </c>
      <c r="G365" s="970">
        <v>200000</v>
      </c>
      <c r="H365" s="970">
        <v>200000</v>
      </c>
      <c r="I365" s="970">
        <v>200000</v>
      </c>
      <c r="J365" s="970">
        <v>200000</v>
      </c>
      <c r="K365" s="970">
        <v>100000</v>
      </c>
      <c r="L365" s="970">
        <v>0</v>
      </c>
      <c r="M365" s="970">
        <v>0</v>
      </c>
    </row>
    <row r="366" spans="1:13">
      <c r="A366" s="965" t="s">
        <v>27</v>
      </c>
      <c r="B366" s="736"/>
      <c r="C366" s="876">
        <v>460000</v>
      </c>
      <c r="D366" s="876">
        <v>219195</v>
      </c>
      <c r="E366" s="876">
        <v>0</v>
      </c>
      <c r="F366" s="876">
        <v>0</v>
      </c>
      <c r="G366" s="876">
        <v>0</v>
      </c>
      <c r="H366" s="876">
        <v>0</v>
      </c>
      <c r="I366" s="876">
        <v>0</v>
      </c>
      <c r="J366" s="876">
        <v>436000</v>
      </c>
      <c r="K366" s="876">
        <v>3317000</v>
      </c>
      <c r="L366" s="876">
        <v>40000</v>
      </c>
      <c r="M366" s="876">
        <v>0</v>
      </c>
    </row>
    <row r="367" spans="1:13" s="426" customFormat="1">
      <c r="A367" s="969" t="s">
        <v>13</v>
      </c>
      <c r="B367" s="748"/>
      <c r="C367" s="970">
        <v>4472195</v>
      </c>
      <c r="D367" s="970">
        <v>4012195</v>
      </c>
      <c r="E367" s="970">
        <v>3793000</v>
      </c>
      <c r="F367" s="970">
        <v>3793000</v>
      </c>
      <c r="G367" s="970">
        <v>3793000</v>
      </c>
      <c r="H367" s="970">
        <v>3793000</v>
      </c>
      <c r="I367" s="970">
        <v>3793000</v>
      </c>
      <c r="J367" s="970">
        <v>3793000</v>
      </c>
      <c r="K367" s="970">
        <v>3357000</v>
      </c>
      <c r="L367" s="970">
        <v>40000</v>
      </c>
      <c r="M367" s="970">
        <v>0</v>
      </c>
    </row>
    <row r="368" spans="1:13" s="426" customFormat="1">
      <c r="A368" s="965" t="s">
        <v>180</v>
      </c>
      <c r="B368" s="748"/>
      <c r="C368" s="892">
        <v>0</v>
      </c>
      <c r="D368" s="892">
        <v>0</v>
      </c>
      <c r="E368" s="892">
        <v>0</v>
      </c>
      <c r="F368" s="892">
        <v>0</v>
      </c>
      <c r="G368" s="892">
        <v>0</v>
      </c>
      <c r="H368" s="892">
        <v>0</v>
      </c>
      <c r="I368" s="892">
        <v>0</v>
      </c>
      <c r="J368" s="892">
        <v>0</v>
      </c>
      <c r="K368" s="892">
        <v>0</v>
      </c>
      <c r="L368" s="892">
        <v>100000</v>
      </c>
      <c r="M368" s="892">
        <v>0</v>
      </c>
    </row>
    <row r="369" spans="1:13" s="426" customFormat="1">
      <c r="A369" s="969" t="s">
        <v>13</v>
      </c>
      <c r="B369" s="748"/>
      <c r="C369" s="970">
        <v>100000</v>
      </c>
      <c r="D369" s="970">
        <v>100000</v>
      </c>
      <c r="E369" s="970">
        <v>100000</v>
      </c>
      <c r="F369" s="970">
        <v>100000</v>
      </c>
      <c r="G369" s="970">
        <v>100000</v>
      </c>
      <c r="H369" s="970">
        <v>100000</v>
      </c>
      <c r="I369" s="970">
        <v>100000</v>
      </c>
      <c r="J369" s="970">
        <v>100000</v>
      </c>
      <c r="K369" s="970">
        <v>100000</v>
      </c>
      <c r="L369" s="970">
        <v>100000</v>
      </c>
      <c r="M369" s="970">
        <v>0</v>
      </c>
    </row>
    <row r="370" spans="1:13" s="426" customFormat="1">
      <c r="A370" s="29" t="s">
        <v>151</v>
      </c>
      <c r="B370" s="748"/>
      <c r="C370" s="892">
        <v>708000</v>
      </c>
      <c r="D370" s="892">
        <v>219195</v>
      </c>
      <c r="E370" s="892">
        <v>0</v>
      </c>
      <c r="F370" s="892">
        <v>0</v>
      </c>
      <c r="G370" s="892">
        <v>917700</v>
      </c>
      <c r="H370" s="892">
        <v>0</v>
      </c>
      <c r="I370" s="892">
        <v>94000</v>
      </c>
      <c r="J370" s="892">
        <v>836000</v>
      </c>
      <c r="K370" s="892">
        <v>14260000</v>
      </c>
      <c r="L370" s="892">
        <v>140000</v>
      </c>
      <c r="M370" s="892">
        <v>0</v>
      </c>
    </row>
    <row r="371" spans="1:13" s="426" customFormat="1" ht="15" thickBot="1">
      <c r="A371" s="975" t="s">
        <v>13</v>
      </c>
      <c r="B371" s="976"/>
      <c r="C371" s="977">
        <v>17174895</v>
      </c>
      <c r="D371" s="977">
        <v>16466895</v>
      </c>
      <c r="E371" s="977">
        <v>16247700</v>
      </c>
      <c r="F371" s="977">
        <v>16247700</v>
      </c>
      <c r="G371" s="977">
        <v>16247700</v>
      </c>
      <c r="H371" s="977">
        <v>15330000</v>
      </c>
      <c r="I371" s="977">
        <v>15330000</v>
      </c>
      <c r="J371" s="977">
        <v>15236000</v>
      </c>
      <c r="K371" s="977">
        <v>14400000</v>
      </c>
      <c r="L371" s="977">
        <v>140000</v>
      </c>
      <c r="M371" s="977">
        <v>0</v>
      </c>
    </row>
    <row r="372" spans="1:13" s="426" customFormat="1">
      <c r="A372" s="972"/>
      <c r="B372" s="735"/>
      <c r="C372" s="973"/>
      <c r="D372" s="973"/>
      <c r="E372" s="973"/>
      <c r="F372" s="973"/>
      <c r="G372" s="973"/>
      <c r="H372" s="973"/>
      <c r="I372" s="973"/>
      <c r="J372" s="973"/>
      <c r="K372" s="973"/>
      <c r="L372" s="973"/>
      <c r="M372" s="973"/>
    </row>
    <row r="373" spans="1:13" s="685" customFormat="1">
      <c r="A373" s="73" t="s">
        <v>49</v>
      </c>
      <c r="B373" s="808" t="s">
        <v>291</v>
      </c>
      <c r="C373" s="875">
        <v>4267300</v>
      </c>
      <c r="D373" s="875">
        <v>1722000</v>
      </c>
      <c r="E373" s="875">
        <v>510000</v>
      </c>
      <c r="F373" s="875">
        <v>58000</v>
      </c>
      <c r="G373" s="875">
        <v>525000</v>
      </c>
      <c r="H373" s="875">
        <v>272500</v>
      </c>
      <c r="I373" s="875">
        <v>288000</v>
      </c>
      <c r="J373" s="875">
        <v>2969000</v>
      </c>
      <c r="K373" s="875">
        <v>828000</v>
      </c>
      <c r="L373" s="875">
        <v>463000</v>
      </c>
      <c r="M373" s="875">
        <v>0</v>
      </c>
    </row>
    <row r="374" spans="1:13" s="426" customFormat="1">
      <c r="A374" s="816" t="s">
        <v>109</v>
      </c>
      <c r="B374" s="746"/>
      <c r="C374" s="702">
        <v>11902800</v>
      </c>
      <c r="D374" s="702">
        <v>7635500</v>
      </c>
      <c r="E374" s="702">
        <v>5913500</v>
      </c>
      <c r="F374" s="702">
        <v>5403500</v>
      </c>
      <c r="G374" s="702">
        <v>5345500</v>
      </c>
      <c r="H374" s="702">
        <v>4820500</v>
      </c>
      <c r="I374" s="702">
        <v>4548000</v>
      </c>
      <c r="J374" s="702">
        <v>4260000</v>
      </c>
      <c r="K374" s="702">
        <v>1291000</v>
      </c>
      <c r="L374" s="702">
        <v>463000</v>
      </c>
      <c r="M374" s="702">
        <v>0</v>
      </c>
    </row>
    <row r="375" spans="1:13" s="426" customFormat="1">
      <c r="A375" s="817"/>
      <c r="B375" s="748"/>
      <c r="C375" s="879"/>
      <c r="D375" s="879"/>
      <c r="E375" s="879"/>
      <c r="F375" s="879"/>
      <c r="G375" s="879"/>
      <c r="H375" s="879"/>
      <c r="I375" s="879"/>
      <c r="J375" s="879"/>
      <c r="K375" s="879"/>
      <c r="L375" s="879"/>
      <c r="M375" s="879"/>
    </row>
    <row r="376" spans="1:13" s="426" customFormat="1">
      <c r="A376" s="817" t="s">
        <v>154</v>
      </c>
      <c r="B376" s="748"/>
      <c r="C376" s="879"/>
      <c r="D376" s="879"/>
      <c r="E376" s="879"/>
      <c r="F376" s="879"/>
      <c r="G376" s="879"/>
      <c r="H376" s="879"/>
      <c r="I376" s="879"/>
      <c r="J376" s="879"/>
      <c r="K376" s="879"/>
      <c r="L376" s="879"/>
      <c r="M376" s="879"/>
    </row>
    <row r="377" spans="1:13" s="426" customFormat="1">
      <c r="A377" s="818" t="s">
        <v>138</v>
      </c>
      <c r="B377" s="746" t="s">
        <v>292</v>
      </c>
      <c r="C377" s="888">
        <v>0</v>
      </c>
      <c r="D377" s="888">
        <v>0</v>
      </c>
      <c r="E377" s="888">
        <v>0</v>
      </c>
      <c r="F377" s="888">
        <v>0</v>
      </c>
      <c r="G377" s="888">
        <v>0</v>
      </c>
      <c r="H377" s="888">
        <v>0</v>
      </c>
      <c r="I377" s="888">
        <v>0</v>
      </c>
      <c r="J377" s="888">
        <v>0</v>
      </c>
      <c r="K377" s="888">
        <v>250000</v>
      </c>
      <c r="L377" s="888">
        <v>0</v>
      </c>
      <c r="M377" s="888">
        <v>0</v>
      </c>
    </row>
    <row r="378" spans="1:13" s="426" customFormat="1">
      <c r="A378" s="819" t="s">
        <v>13</v>
      </c>
      <c r="B378" s="746"/>
      <c r="C378" s="702">
        <v>250000</v>
      </c>
      <c r="D378" s="702">
        <v>250000</v>
      </c>
      <c r="E378" s="702">
        <v>250000</v>
      </c>
      <c r="F378" s="702">
        <v>250000</v>
      </c>
      <c r="G378" s="702">
        <v>250000</v>
      </c>
      <c r="H378" s="702">
        <v>250000</v>
      </c>
      <c r="I378" s="702">
        <v>250000</v>
      </c>
      <c r="J378" s="702">
        <v>250000</v>
      </c>
      <c r="K378" s="702">
        <v>250000</v>
      </c>
      <c r="L378" s="702">
        <v>0</v>
      </c>
      <c r="M378" s="702">
        <v>0</v>
      </c>
    </row>
    <row r="379" spans="1:13" s="426" customFormat="1">
      <c r="A379" s="818" t="s">
        <v>139</v>
      </c>
      <c r="B379" s="746" t="s">
        <v>293</v>
      </c>
      <c r="C379" s="889">
        <v>0</v>
      </c>
      <c r="D379" s="889">
        <v>0</v>
      </c>
      <c r="E379" s="889">
        <v>0</v>
      </c>
      <c r="F379" s="889">
        <v>0</v>
      </c>
      <c r="G379" s="889">
        <v>0</v>
      </c>
      <c r="H379" s="889">
        <v>0</v>
      </c>
      <c r="I379" s="889">
        <v>0</v>
      </c>
      <c r="J379" s="889">
        <v>0</v>
      </c>
      <c r="K379" s="889">
        <v>0</v>
      </c>
      <c r="L379" s="889">
        <v>0</v>
      </c>
      <c r="M379" s="889">
        <v>0</v>
      </c>
    </row>
    <row r="380" spans="1:13" s="426" customFormat="1">
      <c r="A380" s="819" t="s">
        <v>13</v>
      </c>
      <c r="B380" s="746"/>
      <c r="C380" s="702">
        <v>0</v>
      </c>
      <c r="D380" s="702">
        <v>0</v>
      </c>
      <c r="E380" s="702">
        <v>0</v>
      </c>
      <c r="F380" s="702">
        <v>0</v>
      </c>
      <c r="G380" s="702">
        <v>0</v>
      </c>
      <c r="H380" s="702">
        <v>0</v>
      </c>
      <c r="I380" s="702">
        <v>0</v>
      </c>
      <c r="J380" s="702">
        <v>0</v>
      </c>
      <c r="K380" s="702">
        <v>0</v>
      </c>
      <c r="L380" s="702">
        <v>0</v>
      </c>
      <c r="M380" s="702">
        <v>0</v>
      </c>
    </row>
    <row r="381" spans="1:13" s="426" customFormat="1">
      <c r="A381" s="818" t="s">
        <v>27</v>
      </c>
      <c r="B381" s="746" t="s">
        <v>294</v>
      </c>
      <c r="C381" s="889">
        <v>0</v>
      </c>
      <c r="D381" s="889">
        <v>0</v>
      </c>
      <c r="E381" s="889">
        <v>0</v>
      </c>
      <c r="F381" s="889">
        <v>0</v>
      </c>
      <c r="G381" s="889">
        <v>0</v>
      </c>
      <c r="H381" s="889">
        <v>0</v>
      </c>
      <c r="I381" s="889">
        <v>0</v>
      </c>
      <c r="J381" s="889">
        <v>0</v>
      </c>
      <c r="K381" s="889">
        <v>0</v>
      </c>
      <c r="L381" s="889">
        <v>0</v>
      </c>
      <c r="M381" s="889">
        <v>0</v>
      </c>
    </row>
    <row r="382" spans="1:13" s="426" customFormat="1">
      <c r="A382" s="819" t="s">
        <v>13</v>
      </c>
      <c r="B382" s="746"/>
      <c r="C382" s="702">
        <v>0</v>
      </c>
      <c r="D382" s="702">
        <v>0</v>
      </c>
      <c r="E382" s="702">
        <v>0</v>
      </c>
      <c r="F382" s="702">
        <v>0</v>
      </c>
      <c r="G382" s="702">
        <v>0</v>
      </c>
      <c r="H382" s="702">
        <v>0</v>
      </c>
      <c r="I382" s="702">
        <v>0</v>
      </c>
      <c r="J382" s="702">
        <v>0</v>
      </c>
      <c r="K382" s="702">
        <v>0</v>
      </c>
      <c r="L382" s="702">
        <v>0</v>
      </c>
      <c r="M382" s="702">
        <v>0</v>
      </c>
    </row>
    <row r="383" spans="1:13" s="426" customFormat="1">
      <c r="A383" s="820" t="s">
        <v>151</v>
      </c>
      <c r="B383" s="746"/>
      <c r="C383" s="889">
        <v>0</v>
      </c>
      <c r="D383" s="889">
        <v>0</v>
      </c>
      <c r="E383" s="889">
        <v>0</v>
      </c>
      <c r="F383" s="889">
        <v>0</v>
      </c>
      <c r="G383" s="889">
        <v>0</v>
      </c>
      <c r="H383" s="889">
        <v>0</v>
      </c>
      <c r="I383" s="889">
        <v>0</v>
      </c>
      <c r="J383" s="889">
        <v>0</v>
      </c>
      <c r="K383" s="889">
        <v>250000</v>
      </c>
      <c r="L383" s="889">
        <v>0</v>
      </c>
      <c r="M383" s="889">
        <v>0</v>
      </c>
    </row>
    <row r="384" spans="1:13" s="426" customFormat="1">
      <c r="A384" s="821" t="s">
        <v>13</v>
      </c>
      <c r="B384" s="792"/>
      <c r="C384" s="702">
        <v>250000</v>
      </c>
      <c r="D384" s="702">
        <v>250000</v>
      </c>
      <c r="E384" s="702">
        <v>250000</v>
      </c>
      <c r="F384" s="702">
        <v>250000</v>
      </c>
      <c r="G384" s="702">
        <v>250000</v>
      </c>
      <c r="H384" s="702">
        <v>250000</v>
      </c>
      <c r="I384" s="702">
        <v>250000</v>
      </c>
      <c r="J384" s="702">
        <v>250000</v>
      </c>
      <c r="K384" s="702">
        <v>250000</v>
      </c>
      <c r="L384" s="702">
        <v>0</v>
      </c>
      <c r="M384" s="702">
        <v>0</v>
      </c>
    </row>
    <row r="385" spans="1:13">
      <c r="A385" s="1"/>
      <c r="B385" s="748"/>
      <c r="C385" s="890"/>
      <c r="D385" s="890"/>
      <c r="E385" s="890"/>
      <c r="F385" s="890"/>
      <c r="G385" s="890"/>
      <c r="H385" s="890"/>
      <c r="I385" s="890"/>
      <c r="J385" s="890"/>
      <c r="K385" s="890"/>
      <c r="L385" s="890"/>
      <c r="M385" s="890"/>
    </row>
    <row r="386" spans="1:13">
      <c r="A386" s="822" t="s">
        <v>61</v>
      </c>
      <c r="B386" s="748"/>
      <c r="C386" s="890"/>
      <c r="D386" s="890"/>
      <c r="E386" s="890"/>
      <c r="F386" s="890"/>
      <c r="G386" s="890"/>
      <c r="H386" s="890"/>
      <c r="I386" s="890"/>
      <c r="J386" s="890"/>
      <c r="K386" s="890"/>
      <c r="L386" s="890"/>
      <c r="M386" s="890"/>
    </row>
    <row r="387" spans="1:13">
      <c r="A387" s="28" t="s">
        <v>135</v>
      </c>
      <c r="B387" s="746" t="s">
        <v>295</v>
      </c>
      <c r="C387" s="875">
        <v>0</v>
      </c>
      <c r="D387" s="875">
        <v>0</v>
      </c>
      <c r="E387" s="875">
        <v>0</v>
      </c>
      <c r="F387" s="875">
        <v>0</v>
      </c>
      <c r="G387" s="875">
        <v>0</v>
      </c>
      <c r="H387" s="875">
        <v>0</v>
      </c>
      <c r="I387" s="875">
        <v>0</v>
      </c>
      <c r="J387" s="875">
        <v>42999</v>
      </c>
      <c r="K387" s="875">
        <v>0</v>
      </c>
      <c r="L387" s="875">
        <v>0</v>
      </c>
      <c r="M387" s="875">
        <v>0</v>
      </c>
    </row>
    <row r="388" spans="1:13" s="717" customFormat="1" ht="15.6">
      <c r="A388" s="823" t="s">
        <v>13</v>
      </c>
      <c r="B388" s="824"/>
      <c r="C388" s="716">
        <v>42999</v>
      </c>
      <c r="D388" s="716">
        <v>42999</v>
      </c>
      <c r="E388" s="716">
        <v>42999</v>
      </c>
      <c r="F388" s="716">
        <v>42999</v>
      </c>
      <c r="G388" s="716">
        <v>42999</v>
      </c>
      <c r="H388" s="716">
        <v>42999</v>
      </c>
      <c r="I388" s="716">
        <v>42999</v>
      </c>
      <c r="J388" s="716">
        <v>42999</v>
      </c>
      <c r="K388" s="716">
        <v>0</v>
      </c>
      <c r="L388" s="716">
        <v>0</v>
      </c>
      <c r="M388" s="716">
        <v>0</v>
      </c>
    </row>
    <row r="389" spans="1:13">
      <c r="A389" s="28" t="s">
        <v>4</v>
      </c>
      <c r="B389" s="746" t="s">
        <v>296</v>
      </c>
      <c r="C389" s="875">
        <v>137000</v>
      </c>
      <c r="D389" s="875">
        <v>0</v>
      </c>
      <c r="E389" s="875">
        <v>9998</v>
      </c>
      <c r="F389" s="875">
        <v>0</v>
      </c>
      <c r="G389" s="875">
        <v>0</v>
      </c>
      <c r="H389" s="875">
        <v>54500</v>
      </c>
      <c r="I389" s="875">
        <v>0</v>
      </c>
      <c r="J389" s="875">
        <v>36499</v>
      </c>
      <c r="K389" s="875">
        <v>0</v>
      </c>
      <c r="L389" s="875">
        <v>10830</v>
      </c>
      <c r="M389" s="875">
        <v>0</v>
      </c>
    </row>
    <row r="390" spans="1:13" s="717" customFormat="1" ht="15.6">
      <c r="A390" s="823" t="s">
        <v>13</v>
      </c>
      <c r="B390" s="824"/>
      <c r="C390" s="716">
        <v>248827</v>
      </c>
      <c r="D390" s="716">
        <v>111827</v>
      </c>
      <c r="E390" s="716">
        <v>111827</v>
      </c>
      <c r="F390" s="716">
        <v>101829</v>
      </c>
      <c r="G390" s="716">
        <v>101829</v>
      </c>
      <c r="H390" s="716">
        <v>101829</v>
      </c>
      <c r="I390" s="716">
        <v>47329</v>
      </c>
      <c r="J390" s="716">
        <v>47329</v>
      </c>
      <c r="K390" s="716">
        <v>10830</v>
      </c>
      <c r="L390" s="716">
        <v>10830</v>
      </c>
      <c r="M390" s="716">
        <v>0</v>
      </c>
    </row>
    <row r="391" spans="1:13">
      <c r="A391" s="28" t="s">
        <v>136</v>
      </c>
      <c r="B391" s="746" t="s">
        <v>297</v>
      </c>
      <c r="C391" s="875">
        <v>0</v>
      </c>
      <c r="D391" s="875">
        <v>0</v>
      </c>
      <c r="E391" s="875">
        <v>0</v>
      </c>
      <c r="F391" s="875">
        <v>0</v>
      </c>
      <c r="G391" s="875">
        <v>0</v>
      </c>
      <c r="H391" s="875">
        <v>0</v>
      </c>
      <c r="I391" s="875">
        <v>0</v>
      </c>
      <c r="J391" s="875">
        <v>0</v>
      </c>
      <c r="K391" s="875">
        <v>0</v>
      </c>
      <c r="L391" s="875">
        <v>0</v>
      </c>
      <c r="M391" s="875">
        <v>0</v>
      </c>
    </row>
    <row r="392" spans="1:13" s="717" customFormat="1" ht="15.6">
      <c r="A392" s="823" t="s">
        <v>13</v>
      </c>
      <c r="B392" s="824"/>
      <c r="C392" s="716">
        <v>0</v>
      </c>
      <c r="D392" s="716">
        <v>0</v>
      </c>
      <c r="E392" s="716">
        <v>0</v>
      </c>
      <c r="F392" s="716">
        <v>0</v>
      </c>
      <c r="G392" s="716">
        <v>0</v>
      </c>
      <c r="H392" s="716">
        <v>0</v>
      </c>
      <c r="I392" s="716">
        <v>0</v>
      </c>
      <c r="J392" s="716">
        <v>0</v>
      </c>
      <c r="K392" s="716">
        <v>0</v>
      </c>
      <c r="L392" s="716">
        <v>0</v>
      </c>
      <c r="M392" s="716">
        <v>0</v>
      </c>
    </row>
    <row r="393" spans="1:13">
      <c r="A393" s="28" t="s">
        <v>137</v>
      </c>
      <c r="B393" s="746" t="s">
        <v>298</v>
      </c>
      <c r="C393" s="875">
        <v>0</v>
      </c>
      <c r="D393" s="875">
        <v>0</v>
      </c>
      <c r="E393" s="875">
        <v>0</v>
      </c>
      <c r="F393" s="875">
        <v>0</v>
      </c>
      <c r="G393" s="875">
        <v>0</v>
      </c>
      <c r="H393" s="875">
        <v>0</v>
      </c>
      <c r="I393" s="875">
        <v>0</v>
      </c>
      <c r="J393" s="875">
        <v>0</v>
      </c>
      <c r="K393" s="875">
        <v>0</v>
      </c>
      <c r="L393" s="875">
        <v>0</v>
      </c>
      <c r="M393" s="875">
        <v>0</v>
      </c>
    </row>
    <row r="394" spans="1:13" s="717" customFormat="1" ht="15.6">
      <c r="A394" s="823" t="s">
        <v>13</v>
      </c>
      <c r="B394" s="824"/>
      <c r="C394" s="716">
        <v>0</v>
      </c>
      <c r="D394" s="716">
        <v>0</v>
      </c>
      <c r="E394" s="716">
        <v>0</v>
      </c>
      <c r="F394" s="716">
        <v>0</v>
      </c>
      <c r="G394" s="716">
        <v>0</v>
      </c>
      <c r="H394" s="716">
        <v>0</v>
      </c>
      <c r="I394" s="716">
        <v>0</v>
      </c>
      <c r="J394" s="716">
        <v>0</v>
      </c>
      <c r="K394" s="716">
        <v>0</v>
      </c>
      <c r="L394" s="716">
        <v>0</v>
      </c>
      <c r="M394" s="716">
        <v>0</v>
      </c>
    </row>
    <row r="395" spans="1:13">
      <c r="A395" s="28" t="s">
        <v>27</v>
      </c>
      <c r="B395" s="746" t="s">
        <v>299</v>
      </c>
      <c r="C395" s="875">
        <v>0</v>
      </c>
      <c r="D395" s="875">
        <v>0</v>
      </c>
      <c r="E395" s="875">
        <v>0</v>
      </c>
      <c r="F395" s="875">
        <v>0</v>
      </c>
      <c r="G395" s="875">
        <v>0</v>
      </c>
      <c r="H395" s="875">
        <v>0</v>
      </c>
      <c r="I395" s="875">
        <v>0</v>
      </c>
      <c r="J395" s="875">
        <v>0</v>
      </c>
      <c r="K395" s="875">
        <v>0</v>
      </c>
      <c r="L395" s="875">
        <v>0</v>
      </c>
      <c r="M395" s="875">
        <v>0</v>
      </c>
    </row>
    <row r="396" spans="1:13" s="717" customFormat="1" ht="15.6">
      <c r="A396" s="823" t="s">
        <v>13</v>
      </c>
      <c r="B396" s="824"/>
      <c r="C396" s="716">
        <v>0</v>
      </c>
      <c r="D396" s="716">
        <v>0</v>
      </c>
      <c r="E396" s="716">
        <v>0</v>
      </c>
      <c r="F396" s="716">
        <v>0</v>
      </c>
      <c r="G396" s="716">
        <v>0</v>
      </c>
      <c r="H396" s="716">
        <v>0</v>
      </c>
      <c r="I396" s="716">
        <v>0</v>
      </c>
      <c r="J396" s="716">
        <v>0</v>
      </c>
      <c r="K396" s="716">
        <v>0</v>
      </c>
      <c r="L396" s="716">
        <v>0</v>
      </c>
      <c r="M396" s="716">
        <v>0</v>
      </c>
    </row>
    <row r="397" spans="1:13">
      <c r="A397" s="825" t="s">
        <v>151</v>
      </c>
      <c r="B397" s="746"/>
      <c r="C397" s="875">
        <v>137000</v>
      </c>
      <c r="D397" s="875">
        <v>0</v>
      </c>
      <c r="E397" s="875">
        <v>9998</v>
      </c>
      <c r="F397" s="875">
        <v>0</v>
      </c>
      <c r="G397" s="875">
        <v>0</v>
      </c>
      <c r="H397" s="875">
        <v>54500</v>
      </c>
      <c r="I397" s="875">
        <v>0</v>
      </c>
      <c r="J397" s="875">
        <v>79498</v>
      </c>
      <c r="K397" s="875">
        <v>0</v>
      </c>
      <c r="L397" s="875">
        <v>10830</v>
      </c>
      <c r="M397" s="875">
        <v>0</v>
      </c>
    </row>
    <row r="398" spans="1:13" s="718" customFormat="1" ht="15.6">
      <c r="A398" s="826" t="s">
        <v>13</v>
      </c>
      <c r="B398" s="827"/>
      <c r="C398" s="716">
        <v>291826</v>
      </c>
      <c r="D398" s="716">
        <v>154826</v>
      </c>
      <c r="E398" s="716">
        <v>154826</v>
      </c>
      <c r="F398" s="716">
        <v>144828</v>
      </c>
      <c r="G398" s="716">
        <v>144828</v>
      </c>
      <c r="H398" s="716">
        <v>144828</v>
      </c>
      <c r="I398" s="716">
        <v>90328</v>
      </c>
      <c r="J398" s="716">
        <v>90328</v>
      </c>
      <c r="K398" s="716">
        <v>10830</v>
      </c>
      <c r="L398" s="716">
        <v>10830</v>
      </c>
      <c r="M398" s="716">
        <v>0</v>
      </c>
    </row>
    <row r="399" spans="1:13" s="426" customFormat="1">
      <c r="A399" s="29"/>
      <c r="B399" s="748"/>
      <c r="C399" s="719"/>
      <c r="D399" s="719"/>
      <c r="E399" s="719"/>
      <c r="F399" s="719"/>
      <c r="G399" s="719"/>
      <c r="H399" s="719"/>
      <c r="I399" s="719"/>
      <c r="J399" s="719"/>
      <c r="K399" s="719"/>
      <c r="L399" s="719"/>
      <c r="M399" s="719"/>
    </row>
    <row r="400" spans="1:13">
      <c r="A400" s="28" t="s">
        <v>107</v>
      </c>
      <c r="B400" s="746" t="s">
        <v>300</v>
      </c>
      <c r="C400" s="875">
        <v>0</v>
      </c>
      <c r="D400" s="875">
        <v>0</v>
      </c>
      <c r="E400" s="875">
        <v>0</v>
      </c>
      <c r="F400" s="875">
        <v>0</v>
      </c>
      <c r="G400" s="875">
        <v>0</v>
      </c>
      <c r="H400" s="875">
        <v>0</v>
      </c>
      <c r="I400" s="875">
        <v>0</v>
      </c>
      <c r="J400" s="875">
        <v>0</v>
      </c>
      <c r="K400" s="875">
        <v>0</v>
      </c>
      <c r="L400" s="875">
        <v>0</v>
      </c>
      <c r="M400" s="875">
        <v>0</v>
      </c>
    </row>
    <row r="401" spans="1:13" s="426" customFormat="1">
      <c r="A401" s="828" t="s">
        <v>108</v>
      </c>
      <c r="B401" s="792"/>
      <c r="C401" s="702">
        <v>0</v>
      </c>
      <c r="D401" s="702">
        <v>0</v>
      </c>
      <c r="E401" s="702">
        <v>0</v>
      </c>
      <c r="F401" s="702">
        <v>0</v>
      </c>
      <c r="G401" s="702">
        <v>0</v>
      </c>
      <c r="H401" s="702">
        <v>0</v>
      </c>
      <c r="I401" s="702">
        <v>0</v>
      </c>
      <c r="J401" s="702">
        <v>0</v>
      </c>
      <c r="K401" s="702">
        <v>0</v>
      </c>
      <c r="L401" s="702">
        <v>0</v>
      </c>
      <c r="M401" s="702">
        <v>0</v>
      </c>
    </row>
    <row r="402" spans="1:13" s="426" customFormat="1">
      <c r="A402" s="29"/>
      <c r="B402" s="748"/>
      <c r="C402" s="891"/>
      <c r="D402" s="891"/>
      <c r="E402" s="891"/>
      <c r="F402" s="891"/>
      <c r="G402" s="891"/>
      <c r="H402" s="891"/>
      <c r="I402" s="891"/>
      <c r="J402" s="891"/>
      <c r="K402" s="891"/>
      <c r="L402" s="891"/>
      <c r="M402" s="891"/>
    </row>
    <row r="403" spans="1:13" s="426" customFormat="1">
      <c r="A403" s="29" t="s">
        <v>97</v>
      </c>
      <c r="B403" s="748"/>
      <c r="C403" s="891"/>
      <c r="D403" s="891"/>
      <c r="E403" s="891"/>
      <c r="F403" s="891"/>
      <c r="G403" s="891"/>
      <c r="H403" s="891"/>
      <c r="I403" s="891"/>
      <c r="J403" s="891"/>
      <c r="K403" s="891"/>
      <c r="L403" s="891"/>
      <c r="M403" s="891"/>
    </row>
    <row r="404" spans="1:13">
      <c r="A404" s="28" t="s">
        <v>24</v>
      </c>
      <c r="B404" s="746" t="s">
        <v>301</v>
      </c>
      <c r="C404" s="875">
        <v>0</v>
      </c>
      <c r="D404" s="875">
        <v>0</v>
      </c>
      <c r="E404" s="875">
        <v>0</v>
      </c>
      <c r="F404" s="875">
        <v>0</v>
      </c>
      <c r="G404" s="875">
        <v>0</v>
      </c>
      <c r="H404" s="875">
        <v>0</v>
      </c>
      <c r="I404" s="875">
        <v>0</v>
      </c>
      <c r="J404" s="875">
        <v>0</v>
      </c>
      <c r="K404" s="875">
        <v>0</v>
      </c>
      <c r="L404" s="875">
        <v>0</v>
      </c>
      <c r="M404" s="875">
        <v>0</v>
      </c>
    </row>
    <row r="405" spans="1:13" s="712" customFormat="1">
      <c r="A405" s="819" t="s">
        <v>13</v>
      </c>
      <c r="B405" s="780"/>
      <c r="C405" s="702">
        <v>0</v>
      </c>
      <c r="D405" s="702">
        <v>0</v>
      </c>
      <c r="E405" s="702">
        <v>0</v>
      </c>
      <c r="F405" s="702">
        <v>0</v>
      </c>
      <c r="G405" s="702">
        <v>0</v>
      </c>
      <c r="H405" s="702">
        <v>0</v>
      </c>
      <c r="I405" s="702">
        <v>0</v>
      </c>
      <c r="J405" s="702">
        <v>0</v>
      </c>
      <c r="K405" s="702">
        <v>0</v>
      </c>
      <c r="L405" s="702">
        <v>0</v>
      </c>
      <c r="M405" s="702">
        <v>0</v>
      </c>
    </row>
    <row r="406" spans="1:13">
      <c r="A406" s="28" t="s">
        <v>138</v>
      </c>
      <c r="B406" s="746" t="s">
        <v>302</v>
      </c>
      <c r="C406" s="875">
        <v>0</v>
      </c>
      <c r="D406" s="875">
        <v>51400</v>
      </c>
      <c r="E406" s="875">
        <v>0</v>
      </c>
      <c r="F406" s="875">
        <v>0</v>
      </c>
      <c r="G406" s="875">
        <v>0</v>
      </c>
      <c r="H406" s="875">
        <v>0</v>
      </c>
      <c r="I406" s="875">
        <v>0</v>
      </c>
      <c r="J406" s="875">
        <v>101400</v>
      </c>
      <c r="K406" s="875">
        <v>101400</v>
      </c>
      <c r="L406" s="875">
        <v>0</v>
      </c>
      <c r="M406" s="875">
        <v>0</v>
      </c>
    </row>
    <row r="407" spans="1:13" s="712" customFormat="1">
      <c r="A407" s="819" t="s">
        <v>13</v>
      </c>
      <c r="B407" s="780"/>
      <c r="C407" s="702">
        <v>254200</v>
      </c>
      <c r="D407" s="702">
        <v>254200</v>
      </c>
      <c r="E407" s="702">
        <v>202800</v>
      </c>
      <c r="F407" s="702">
        <v>202800</v>
      </c>
      <c r="G407" s="702">
        <v>202800</v>
      </c>
      <c r="H407" s="702">
        <v>202800</v>
      </c>
      <c r="I407" s="702">
        <v>202800</v>
      </c>
      <c r="J407" s="702">
        <v>202800</v>
      </c>
      <c r="K407" s="702">
        <v>101400</v>
      </c>
      <c r="L407" s="702">
        <v>0</v>
      </c>
      <c r="M407" s="702">
        <v>0</v>
      </c>
    </row>
    <row r="408" spans="1:13">
      <c r="A408" s="28" t="s">
        <v>139</v>
      </c>
      <c r="B408" s="746" t="s">
        <v>303</v>
      </c>
      <c r="C408" s="875">
        <v>0</v>
      </c>
      <c r="D408" s="875">
        <v>0</v>
      </c>
      <c r="E408" s="875">
        <v>0</v>
      </c>
      <c r="F408" s="875">
        <v>0</v>
      </c>
      <c r="G408" s="875">
        <v>0</v>
      </c>
      <c r="H408" s="875">
        <v>0</v>
      </c>
      <c r="I408" s="875">
        <v>0</v>
      </c>
      <c r="J408" s="875">
        <v>0</v>
      </c>
      <c r="K408" s="875">
        <v>0</v>
      </c>
      <c r="L408" s="875">
        <v>0</v>
      </c>
      <c r="M408" s="875">
        <v>0</v>
      </c>
    </row>
    <row r="409" spans="1:13" s="712" customFormat="1">
      <c r="A409" s="819" t="s">
        <v>13</v>
      </c>
      <c r="B409" s="780"/>
      <c r="C409" s="702">
        <v>0</v>
      </c>
      <c r="D409" s="702">
        <v>0</v>
      </c>
      <c r="E409" s="702">
        <v>0</v>
      </c>
      <c r="F409" s="702">
        <v>0</v>
      </c>
      <c r="G409" s="702">
        <v>0</v>
      </c>
      <c r="H409" s="702">
        <v>0</v>
      </c>
      <c r="I409" s="702">
        <v>0</v>
      </c>
      <c r="J409" s="702">
        <v>0</v>
      </c>
      <c r="K409" s="702">
        <v>0</v>
      </c>
      <c r="L409" s="702">
        <v>0</v>
      </c>
      <c r="M409" s="702">
        <v>0</v>
      </c>
    </row>
    <row r="410" spans="1:13" s="712" customFormat="1">
      <c r="A410" s="820" t="s">
        <v>172</v>
      </c>
      <c r="B410" s="780" t="s">
        <v>304</v>
      </c>
      <c r="C410" s="889">
        <v>0</v>
      </c>
      <c r="D410" s="889">
        <v>0</v>
      </c>
      <c r="E410" s="889">
        <v>0</v>
      </c>
      <c r="F410" s="889">
        <v>0</v>
      </c>
      <c r="G410" s="889">
        <v>0</v>
      </c>
      <c r="H410" s="889">
        <v>0</v>
      </c>
      <c r="I410" s="889">
        <v>0</v>
      </c>
      <c r="J410" s="889">
        <v>0</v>
      </c>
      <c r="K410" s="889">
        <v>0</v>
      </c>
      <c r="L410" s="889">
        <v>0</v>
      </c>
      <c r="M410" s="889">
        <v>0</v>
      </c>
    </row>
    <row r="411" spans="1:13" s="712" customFormat="1">
      <c r="A411" s="819" t="s">
        <v>13</v>
      </c>
      <c r="B411" s="780"/>
      <c r="C411" s="702">
        <v>0</v>
      </c>
      <c r="D411" s="702">
        <v>0</v>
      </c>
      <c r="E411" s="702">
        <v>0</v>
      </c>
      <c r="F411" s="702">
        <v>0</v>
      </c>
      <c r="G411" s="702">
        <v>0</v>
      </c>
      <c r="H411" s="702">
        <v>0</v>
      </c>
      <c r="I411" s="702">
        <v>0</v>
      </c>
      <c r="J411" s="702">
        <v>0</v>
      </c>
      <c r="K411" s="702">
        <v>0</v>
      </c>
      <c r="L411" s="702">
        <v>0</v>
      </c>
      <c r="M411" s="702">
        <v>0</v>
      </c>
    </row>
    <row r="412" spans="1:13" s="712" customFormat="1">
      <c r="A412" s="820" t="s">
        <v>193</v>
      </c>
      <c r="B412" s="780" t="s">
        <v>305</v>
      </c>
      <c r="C412" s="889">
        <v>0</v>
      </c>
      <c r="D412" s="889">
        <v>0</v>
      </c>
      <c r="E412" s="889">
        <v>0</v>
      </c>
      <c r="F412" s="889">
        <v>0</v>
      </c>
      <c r="G412" s="889">
        <v>0</v>
      </c>
      <c r="H412" s="889">
        <v>0</v>
      </c>
      <c r="I412" s="889">
        <v>0</v>
      </c>
      <c r="J412" s="889">
        <v>0</v>
      </c>
      <c r="K412" s="889">
        <v>0</v>
      </c>
      <c r="L412" s="889">
        <v>0</v>
      </c>
      <c r="M412" s="889">
        <v>0</v>
      </c>
    </row>
    <row r="413" spans="1:13" s="712" customFormat="1">
      <c r="A413" s="819" t="s">
        <v>13</v>
      </c>
      <c r="B413" s="780"/>
      <c r="C413" s="702">
        <v>0</v>
      </c>
      <c r="D413" s="702">
        <v>0</v>
      </c>
      <c r="E413" s="702">
        <v>0</v>
      </c>
      <c r="F413" s="702">
        <v>0</v>
      </c>
      <c r="G413" s="702">
        <v>0</v>
      </c>
      <c r="H413" s="702">
        <v>0</v>
      </c>
      <c r="I413" s="702">
        <v>0</v>
      </c>
      <c r="J413" s="702">
        <v>0</v>
      </c>
      <c r="K413" s="702">
        <v>0</v>
      </c>
      <c r="L413" s="702">
        <v>0</v>
      </c>
      <c r="M413" s="702">
        <v>0</v>
      </c>
    </row>
    <row r="414" spans="1:13">
      <c r="A414" s="825" t="s">
        <v>151</v>
      </c>
      <c r="B414" s="746"/>
      <c r="C414" s="875">
        <v>0</v>
      </c>
      <c r="D414" s="875">
        <v>51400</v>
      </c>
      <c r="E414" s="875">
        <v>0</v>
      </c>
      <c r="F414" s="875">
        <v>0</v>
      </c>
      <c r="G414" s="875">
        <v>0</v>
      </c>
      <c r="H414" s="875">
        <v>0</v>
      </c>
      <c r="I414" s="875">
        <v>0</v>
      </c>
      <c r="J414" s="875">
        <v>101400</v>
      </c>
      <c r="K414" s="875">
        <v>101400</v>
      </c>
      <c r="L414" s="875">
        <v>0</v>
      </c>
      <c r="M414" s="875">
        <v>0</v>
      </c>
    </row>
    <row r="415" spans="1:13" s="426" customFormat="1">
      <c r="A415" s="821" t="s">
        <v>13</v>
      </c>
      <c r="B415" s="792"/>
      <c r="C415" s="702">
        <v>254200</v>
      </c>
      <c r="D415" s="702">
        <v>254200</v>
      </c>
      <c r="E415" s="702">
        <v>202800</v>
      </c>
      <c r="F415" s="702">
        <v>202800</v>
      </c>
      <c r="G415" s="702">
        <v>202800</v>
      </c>
      <c r="H415" s="702">
        <v>202800</v>
      </c>
      <c r="I415" s="702">
        <v>202800</v>
      </c>
      <c r="J415" s="702">
        <v>202800</v>
      </c>
      <c r="K415" s="702">
        <v>101400</v>
      </c>
      <c r="L415" s="702">
        <v>0</v>
      </c>
      <c r="M415" s="702">
        <v>0</v>
      </c>
    </row>
    <row r="416" spans="1:13" s="426" customFormat="1">
      <c r="A416" s="817"/>
      <c r="B416" s="748"/>
      <c r="C416" s="879"/>
      <c r="D416" s="879"/>
      <c r="E416" s="879"/>
      <c r="F416" s="879"/>
      <c r="G416" s="879"/>
      <c r="H416" s="879"/>
      <c r="I416" s="879"/>
      <c r="J416" s="879"/>
      <c r="K416" s="879"/>
      <c r="L416" s="879"/>
      <c r="M416" s="879"/>
    </row>
    <row r="417" spans="1:13" s="426" customFormat="1">
      <c r="A417" s="817" t="s">
        <v>140</v>
      </c>
      <c r="B417" s="748"/>
      <c r="C417" s="879"/>
      <c r="D417" s="879"/>
      <c r="E417" s="879"/>
      <c r="F417" s="879"/>
      <c r="G417" s="879"/>
      <c r="H417" s="879"/>
      <c r="I417" s="879"/>
      <c r="J417" s="879"/>
      <c r="K417" s="879"/>
      <c r="L417" s="879"/>
      <c r="M417" s="879"/>
    </row>
    <row r="418" spans="1:13" s="426" customFormat="1">
      <c r="A418" s="818" t="s">
        <v>141</v>
      </c>
      <c r="B418" s="746" t="s">
        <v>306</v>
      </c>
      <c r="C418" s="888">
        <v>0</v>
      </c>
      <c r="D418" s="888">
        <v>0</v>
      </c>
      <c r="E418" s="888">
        <v>0</v>
      </c>
      <c r="F418" s="888">
        <v>0</v>
      </c>
      <c r="G418" s="888">
        <v>0</v>
      </c>
      <c r="H418" s="888">
        <v>0</v>
      </c>
      <c r="I418" s="888">
        <v>0</v>
      </c>
      <c r="J418" s="888">
        <v>0</v>
      </c>
      <c r="K418" s="888">
        <v>0</v>
      </c>
      <c r="L418" s="888">
        <v>0</v>
      </c>
      <c r="M418" s="888">
        <v>0</v>
      </c>
    </row>
    <row r="419" spans="1:13" s="426" customFormat="1">
      <c r="A419" s="829" t="s">
        <v>13</v>
      </c>
      <c r="B419" s="746"/>
      <c r="C419" s="702">
        <v>0</v>
      </c>
      <c r="D419" s="702">
        <v>0</v>
      </c>
      <c r="E419" s="702">
        <v>0</v>
      </c>
      <c r="F419" s="702">
        <v>0</v>
      </c>
      <c r="G419" s="702">
        <v>0</v>
      </c>
      <c r="H419" s="702">
        <v>0</v>
      </c>
      <c r="I419" s="702">
        <v>0</v>
      </c>
      <c r="J419" s="702">
        <v>0</v>
      </c>
      <c r="K419" s="702">
        <v>0</v>
      </c>
      <c r="L419" s="702">
        <v>0</v>
      </c>
      <c r="M419" s="702">
        <v>0</v>
      </c>
    </row>
    <row r="420" spans="1:13" s="426" customFormat="1">
      <c r="A420" s="818" t="s">
        <v>142</v>
      </c>
      <c r="B420" s="746" t="s">
        <v>307</v>
      </c>
      <c r="C420" s="888">
        <v>0</v>
      </c>
      <c r="D420" s="888">
        <v>0</v>
      </c>
      <c r="E420" s="888">
        <v>0</v>
      </c>
      <c r="F420" s="888">
        <v>18030</v>
      </c>
      <c r="G420" s="888">
        <v>0</v>
      </c>
      <c r="H420" s="888">
        <v>0</v>
      </c>
      <c r="I420" s="888">
        <v>0</v>
      </c>
      <c r="J420" s="888">
        <v>0</v>
      </c>
      <c r="K420" s="888">
        <v>0</v>
      </c>
      <c r="L420" s="888">
        <v>0</v>
      </c>
      <c r="M420" s="888">
        <v>0</v>
      </c>
    </row>
    <row r="421" spans="1:13" s="426" customFormat="1">
      <c r="A421" s="829" t="s">
        <v>13</v>
      </c>
      <c r="B421" s="746"/>
      <c r="C421" s="702">
        <v>18030</v>
      </c>
      <c r="D421" s="702">
        <v>18030</v>
      </c>
      <c r="E421" s="702">
        <v>18030</v>
      </c>
      <c r="F421" s="702">
        <v>18030</v>
      </c>
      <c r="G421" s="702">
        <v>0</v>
      </c>
      <c r="H421" s="702">
        <v>0</v>
      </c>
      <c r="I421" s="702">
        <v>0</v>
      </c>
      <c r="J421" s="702">
        <v>0</v>
      </c>
      <c r="K421" s="702">
        <v>0</v>
      </c>
      <c r="L421" s="702">
        <v>0</v>
      </c>
      <c r="M421" s="702">
        <v>0</v>
      </c>
    </row>
    <row r="422" spans="1:13" s="426" customFormat="1">
      <c r="A422" s="818" t="s">
        <v>143</v>
      </c>
      <c r="B422" s="746" t="s">
        <v>308</v>
      </c>
      <c r="C422" s="888">
        <v>0</v>
      </c>
      <c r="D422" s="888">
        <v>0</v>
      </c>
      <c r="E422" s="888">
        <v>0</v>
      </c>
      <c r="F422" s="888">
        <v>0</v>
      </c>
      <c r="G422" s="888">
        <v>0</v>
      </c>
      <c r="H422" s="888">
        <v>0</v>
      </c>
      <c r="I422" s="888">
        <v>0</v>
      </c>
      <c r="J422" s="888">
        <v>0</v>
      </c>
      <c r="K422" s="888">
        <v>0</v>
      </c>
      <c r="L422" s="888">
        <v>0</v>
      </c>
      <c r="M422" s="888">
        <v>0</v>
      </c>
    </row>
    <row r="423" spans="1:13" s="426" customFormat="1">
      <c r="A423" s="829" t="s">
        <v>13</v>
      </c>
      <c r="B423" s="746"/>
      <c r="C423" s="702">
        <v>0</v>
      </c>
      <c r="D423" s="702">
        <v>0</v>
      </c>
      <c r="E423" s="702">
        <v>0</v>
      </c>
      <c r="F423" s="702">
        <v>0</v>
      </c>
      <c r="G423" s="702">
        <v>0</v>
      </c>
      <c r="H423" s="702">
        <v>0</v>
      </c>
      <c r="I423" s="702">
        <v>0</v>
      </c>
      <c r="J423" s="702">
        <v>0</v>
      </c>
      <c r="K423" s="702">
        <v>0</v>
      </c>
      <c r="L423" s="702">
        <v>0</v>
      </c>
      <c r="M423" s="702">
        <v>0</v>
      </c>
    </row>
    <row r="424" spans="1:13" s="426" customFormat="1">
      <c r="A424" s="820" t="s">
        <v>242</v>
      </c>
      <c r="B424" s="746" t="s">
        <v>309</v>
      </c>
      <c r="C424" s="889">
        <v>0</v>
      </c>
      <c r="D424" s="889">
        <v>0</v>
      </c>
      <c r="E424" s="889">
        <v>0</v>
      </c>
      <c r="F424" s="889">
        <v>0</v>
      </c>
      <c r="G424" s="889">
        <v>0</v>
      </c>
      <c r="H424" s="889">
        <v>0</v>
      </c>
      <c r="I424" s="889">
        <v>0</v>
      </c>
      <c r="J424" s="889">
        <v>0</v>
      </c>
      <c r="K424" s="889">
        <v>0</v>
      </c>
      <c r="L424" s="889">
        <v>0</v>
      </c>
      <c r="M424" s="889">
        <v>0</v>
      </c>
    </row>
    <row r="425" spans="1:13" s="426" customFormat="1">
      <c r="A425" s="829" t="s">
        <v>13</v>
      </c>
      <c r="B425" s="746"/>
      <c r="C425" s="702">
        <v>0</v>
      </c>
      <c r="D425" s="702">
        <v>0</v>
      </c>
      <c r="E425" s="702">
        <v>0</v>
      </c>
      <c r="F425" s="702">
        <v>0</v>
      </c>
      <c r="G425" s="702">
        <v>0</v>
      </c>
      <c r="H425" s="702">
        <v>0</v>
      </c>
      <c r="I425" s="702">
        <v>0</v>
      </c>
      <c r="J425" s="702">
        <v>0</v>
      </c>
      <c r="K425" s="702">
        <v>0</v>
      </c>
      <c r="L425" s="702">
        <v>0</v>
      </c>
      <c r="M425" s="702">
        <v>0</v>
      </c>
    </row>
    <row r="426" spans="1:13" s="426" customFormat="1">
      <c r="A426" s="820" t="s">
        <v>241</v>
      </c>
      <c r="B426" s="746" t="s">
        <v>310</v>
      </c>
      <c r="C426" s="889">
        <v>0</v>
      </c>
      <c r="D426" s="889">
        <v>0</v>
      </c>
      <c r="E426" s="889">
        <v>0</v>
      </c>
      <c r="F426" s="889">
        <v>0</v>
      </c>
      <c r="G426" s="889">
        <v>0</v>
      </c>
      <c r="H426" s="889">
        <v>0</v>
      </c>
      <c r="I426" s="889">
        <v>0</v>
      </c>
      <c r="J426" s="889">
        <v>0</v>
      </c>
      <c r="K426" s="889">
        <v>0</v>
      </c>
      <c r="L426" s="889">
        <v>0</v>
      </c>
      <c r="M426" s="889">
        <v>0</v>
      </c>
    </row>
    <row r="427" spans="1:13" s="426" customFormat="1">
      <c r="A427" s="829" t="s">
        <v>13</v>
      </c>
      <c r="B427" s="746"/>
      <c r="C427" s="702">
        <v>0</v>
      </c>
      <c r="D427" s="702">
        <v>0</v>
      </c>
      <c r="E427" s="702">
        <v>0</v>
      </c>
      <c r="F427" s="702">
        <v>0</v>
      </c>
      <c r="G427" s="702">
        <v>0</v>
      </c>
      <c r="H427" s="702">
        <v>0</v>
      </c>
      <c r="I427" s="702">
        <v>0</v>
      </c>
      <c r="J427" s="702">
        <v>0</v>
      </c>
      <c r="K427" s="702">
        <v>0</v>
      </c>
      <c r="L427" s="702">
        <v>0</v>
      </c>
      <c r="M427" s="702">
        <v>0</v>
      </c>
    </row>
    <row r="428" spans="1:13" s="426" customFormat="1">
      <c r="A428" s="818" t="s">
        <v>144</v>
      </c>
      <c r="B428" s="746" t="s">
        <v>311</v>
      </c>
      <c r="C428" s="875">
        <v>0</v>
      </c>
      <c r="D428" s="875">
        <v>0</v>
      </c>
      <c r="E428" s="875">
        <v>0</v>
      </c>
      <c r="F428" s="875">
        <v>0</v>
      </c>
      <c r="G428" s="875">
        <v>0</v>
      </c>
      <c r="H428" s="875">
        <v>0</v>
      </c>
      <c r="I428" s="875">
        <v>0</v>
      </c>
      <c r="J428" s="875">
        <v>0</v>
      </c>
      <c r="K428" s="875">
        <v>0</v>
      </c>
      <c r="L428" s="875">
        <v>0</v>
      </c>
      <c r="M428" s="875">
        <v>0</v>
      </c>
    </row>
    <row r="429" spans="1:13" s="426" customFormat="1">
      <c r="A429" s="829" t="s">
        <v>13</v>
      </c>
      <c r="B429" s="746"/>
      <c r="C429" s="702">
        <v>0</v>
      </c>
      <c r="D429" s="702">
        <v>0</v>
      </c>
      <c r="E429" s="702">
        <v>0</v>
      </c>
      <c r="F429" s="702">
        <v>0</v>
      </c>
      <c r="G429" s="702">
        <v>0</v>
      </c>
      <c r="H429" s="702">
        <v>0</v>
      </c>
      <c r="I429" s="702">
        <v>0</v>
      </c>
      <c r="J429" s="702">
        <v>0</v>
      </c>
      <c r="K429" s="702">
        <v>0</v>
      </c>
      <c r="L429" s="702">
        <v>0</v>
      </c>
      <c r="M429" s="702">
        <v>0</v>
      </c>
    </row>
    <row r="430" spans="1:13" s="426" customFormat="1">
      <c r="A430" s="818" t="s">
        <v>145</v>
      </c>
      <c r="B430" s="746" t="s">
        <v>312</v>
      </c>
      <c r="C430" s="875">
        <v>0</v>
      </c>
      <c r="D430" s="875">
        <v>0</v>
      </c>
      <c r="E430" s="875">
        <v>0</v>
      </c>
      <c r="F430" s="875">
        <v>0</v>
      </c>
      <c r="G430" s="875">
        <v>0</v>
      </c>
      <c r="H430" s="875">
        <v>0</v>
      </c>
      <c r="I430" s="875">
        <v>0</v>
      </c>
      <c r="J430" s="875">
        <v>0</v>
      </c>
      <c r="K430" s="875">
        <v>0</v>
      </c>
      <c r="L430" s="875">
        <v>0</v>
      </c>
      <c r="M430" s="875">
        <v>0</v>
      </c>
    </row>
    <row r="431" spans="1:13" s="426" customFormat="1">
      <c r="A431" s="829" t="s">
        <v>13</v>
      </c>
      <c r="B431" s="746"/>
      <c r="C431" s="702">
        <v>0</v>
      </c>
      <c r="D431" s="702">
        <v>0</v>
      </c>
      <c r="E431" s="702">
        <v>0</v>
      </c>
      <c r="F431" s="702">
        <v>0</v>
      </c>
      <c r="G431" s="702">
        <v>0</v>
      </c>
      <c r="H431" s="702">
        <v>0</v>
      </c>
      <c r="I431" s="702">
        <v>0</v>
      </c>
      <c r="J431" s="702">
        <v>0</v>
      </c>
      <c r="K431" s="702">
        <v>0</v>
      </c>
      <c r="L431" s="702">
        <v>0</v>
      </c>
      <c r="M431" s="702">
        <v>0</v>
      </c>
    </row>
    <row r="432" spans="1:13" s="426" customFormat="1">
      <c r="A432" s="820" t="s">
        <v>346</v>
      </c>
      <c r="B432" s="746" t="s">
        <v>528</v>
      </c>
      <c r="C432" s="875">
        <v>0</v>
      </c>
      <c r="D432" s="875">
        <v>0</v>
      </c>
      <c r="E432" s="875">
        <v>0</v>
      </c>
      <c r="F432" s="875">
        <v>0</v>
      </c>
      <c r="G432" s="875">
        <v>0</v>
      </c>
      <c r="H432" s="875">
        <v>0</v>
      </c>
      <c r="I432" s="875">
        <v>0</v>
      </c>
      <c r="J432" s="875">
        <v>0</v>
      </c>
      <c r="K432" s="875">
        <v>0</v>
      </c>
      <c r="L432" s="875">
        <v>0</v>
      </c>
      <c r="M432" s="875">
        <v>0</v>
      </c>
    </row>
    <row r="433" spans="1:13" s="426" customFormat="1">
      <c r="A433" s="829" t="s">
        <v>13</v>
      </c>
      <c r="B433" s="746"/>
      <c r="C433" s="702">
        <v>0</v>
      </c>
      <c r="D433" s="702">
        <v>0</v>
      </c>
      <c r="E433" s="702">
        <v>0</v>
      </c>
      <c r="F433" s="702">
        <v>0</v>
      </c>
      <c r="G433" s="702">
        <v>0</v>
      </c>
      <c r="H433" s="702">
        <v>0</v>
      </c>
      <c r="I433" s="702">
        <v>0</v>
      </c>
      <c r="J433" s="702">
        <v>0</v>
      </c>
      <c r="K433" s="702">
        <v>0</v>
      </c>
      <c r="L433" s="702">
        <v>0</v>
      </c>
      <c r="M433" s="702">
        <v>0</v>
      </c>
    </row>
    <row r="434" spans="1:13" s="426" customFormat="1">
      <c r="A434" s="818" t="s">
        <v>146</v>
      </c>
      <c r="B434" s="746" t="s">
        <v>313</v>
      </c>
      <c r="C434" s="875">
        <v>0</v>
      </c>
      <c r="D434" s="875">
        <v>0</v>
      </c>
      <c r="E434" s="875">
        <v>0</v>
      </c>
      <c r="F434" s="875">
        <v>0</v>
      </c>
      <c r="G434" s="875">
        <v>0</v>
      </c>
      <c r="H434" s="875">
        <v>0</v>
      </c>
      <c r="I434" s="875">
        <v>0</v>
      </c>
      <c r="J434" s="875">
        <v>0</v>
      </c>
      <c r="K434" s="875">
        <v>0</v>
      </c>
      <c r="L434" s="875">
        <v>0</v>
      </c>
      <c r="M434" s="875">
        <v>0</v>
      </c>
    </row>
    <row r="435" spans="1:13" s="426" customFormat="1">
      <c r="A435" s="830" t="s">
        <v>13</v>
      </c>
      <c r="B435" s="746"/>
      <c r="C435" s="720">
        <v>0</v>
      </c>
      <c r="D435" s="720">
        <v>0</v>
      </c>
      <c r="E435" s="720">
        <v>0</v>
      </c>
      <c r="F435" s="720">
        <v>0</v>
      </c>
      <c r="G435" s="720">
        <v>0</v>
      </c>
      <c r="H435" s="720">
        <v>0</v>
      </c>
      <c r="I435" s="720">
        <v>0</v>
      </c>
      <c r="J435" s="720">
        <v>0</v>
      </c>
      <c r="K435" s="720">
        <v>0</v>
      </c>
      <c r="L435" s="720">
        <v>0</v>
      </c>
      <c r="M435" s="720">
        <v>0</v>
      </c>
    </row>
    <row r="436" spans="1:13">
      <c r="A436" s="28" t="s">
        <v>147</v>
      </c>
      <c r="B436" s="746" t="s">
        <v>314</v>
      </c>
      <c r="C436" s="875">
        <v>0</v>
      </c>
      <c r="D436" s="875">
        <v>0</v>
      </c>
      <c r="E436" s="875">
        <v>0</v>
      </c>
      <c r="F436" s="875">
        <v>0</v>
      </c>
      <c r="G436" s="875">
        <v>0</v>
      </c>
      <c r="H436" s="875">
        <v>0</v>
      </c>
      <c r="I436" s="875">
        <v>0</v>
      </c>
      <c r="J436" s="875">
        <v>0</v>
      </c>
      <c r="K436" s="875">
        <v>0</v>
      </c>
      <c r="L436" s="875">
        <v>0</v>
      </c>
      <c r="M436" s="875">
        <v>0</v>
      </c>
    </row>
    <row r="437" spans="1:13" s="426" customFormat="1">
      <c r="A437" s="830" t="s">
        <v>13</v>
      </c>
      <c r="B437" s="746"/>
      <c r="C437" s="702">
        <v>0</v>
      </c>
      <c r="D437" s="702">
        <v>0</v>
      </c>
      <c r="E437" s="702">
        <v>0</v>
      </c>
      <c r="F437" s="702">
        <v>0</v>
      </c>
      <c r="G437" s="702">
        <v>0</v>
      </c>
      <c r="H437" s="702">
        <v>0</v>
      </c>
      <c r="I437" s="702">
        <v>0</v>
      </c>
      <c r="J437" s="702">
        <v>0</v>
      </c>
      <c r="K437" s="702">
        <v>0</v>
      </c>
      <c r="L437" s="702">
        <v>0</v>
      </c>
      <c r="M437" s="702">
        <v>0</v>
      </c>
    </row>
    <row r="438" spans="1:13" s="426" customFormat="1">
      <c r="A438" s="825" t="s">
        <v>230</v>
      </c>
      <c r="B438" s="746" t="s">
        <v>315</v>
      </c>
      <c r="C438" s="875">
        <v>0</v>
      </c>
      <c r="D438" s="875">
        <v>0</v>
      </c>
      <c r="E438" s="875">
        <v>0</v>
      </c>
      <c r="F438" s="875">
        <v>19000</v>
      </c>
      <c r="G438" s="875">
        <v>0</v>
      </c>
      <c r="H438" s="875">
        <v>0</v>
      </c>
      <c r="I438" s="875">
        <v>0</v>
      </c>
      <c r="J438" s="875">
        <v>0</v>
      </c>
      <c r="K438" s="875">
        <v>0</v>
      </c>
      <c r="L438" s="875">
        <v>0</v>
      </c>
      <c r="M438" s="875">
        <v>0</v>
      </c>
    </row>
    <row r="439" spans="1:13" s="426" customFormat="1">
      <c r="A439" s="830" t="s">
        <v>13</v>
      </c>
      <c r="B439" s="746"/>
      <c r="C439" s="702">
        <v>19000</v>
      </c>
      <c r="D439" s="702">
        <v>19000</v>
      </c>
      <c r="E439" s="702">
        <v>19000</v>
      </c>
      <c r="F439" s="702">
        <v>19000</v>
      </c>
      <c r="G439" s="702">
        <v>0</v>
      </c>
      <c r="H439" s="702">
        <v>0</v>
      </c>
      <c r="I439" s="702">
        <v>0</v>
      </c>
      <c r="J439" s="702">
        <v>0</v>
      </c>
      <c r="K439" s="702">
        <v>0</v>
      </c>
      <c r="L439" s="702">
        <v>0</v>
      </c>
      <c r="M439" s="702">
        <v>0</v>
      </c>
    </row>
    <row r="440" spans="1:13" s="426" customFormat="1">
      <c r="A440" s="825" t="s">
        <v>231</v>
      </c>
      <c r="B440" s="746" t="s">
        <v>316</v>
      </c>
      <c r="C440" s="875">
        <v>0</v>
      </c>
      <c r="D440" s="875">
        <v>0</v>
      </c>
      <c r="E440" s="875">
        <v>0</v>
      </c>
      <c r="F440" s="875">
        <v>0</v>
      </c>
      <c r="G440" s="875">
        <v>0</v>
      </c>
      <c r="H440" s="875">
        <v>0</v>
      </c>
      <c r="I440" s="875">
        <v>0</v>
      </c>
      <c r="J440" s="875">
        <v>0</v>
      </c>
      <c r="K440" s="875">
        <v>0</v>
      </c>
      <c r="L440" s="875">
        <v>0</v>
      </c>
      <c r="M440" s="875">
        <v>0</v>
      </c>
    </row>
    <row r="441" spans="1:13" s="426" customFormat="1">
      <c r="A441" s="830" t="s">
        <v>13</v>
      </c>
      <c r="B441" s="746"/>
      <c r="C441" s="702">
        <v>0</v>
      </c>
      <c r="D441" s="702">
        <v>0</v>
      </c>
      <c r="E441" s="702">
        <v>0</v>
      </c>
      <c r="F441" s="702">
        <v>0</v>
      </c>
      <c r="G441" s="702">
        <v>0</v>
      </c>
      <c r="H441" s="702">
        <v>0</v>
      </c>
      <c r="I441" s="702">
        <v>0</v>
      </c>
      <c r="J441" s="702">
        <v>0</v>
      </c>
      <c r="K441" s="702">
        <v>0</v>
      </c>
      <c r="L441" s="702">
        <v>0</v>
      </c>
      <c r="M441" s="702">
        <v>0</v>
      </c>
    </row>
    <row r="442" spans="1:13" s="426" customFormat="1">
      <c r="A442" s="825" t="s">
        <v>232</v>
      </c>
      <c r="B442" s="746" t="s">
        <v>317</v>
      </c>
      <c r="C442" s="875">
        <v>0</v>
      </c>
      <c r="D442" s="875">
        <v>0</v>
      </c>
      <c r="E442" s="875">
        <v>0</v>
      </c>
      <c r="F442" s="875">
        <v>0</v>
      </c>
      <c r="G442" s="875">
        <v>0</v>
      </c>
      <c r="H442" s="875">
        <v>0</v>
      </c>
      <c r="I442" s="875">
        <v>0</v>
      </c>
      <c r="J442" s="875">
        <v>0</v>
      </c>
      <c r="K442" s="875">
        <v>0</v>
      </c>
      <c r="L442" s="875">
        <v>0</v>
      </c>
      <c r="M442" s="875">
        <v>0</v>
      </c>
    </row>
    <row r="443" spans="1:13" s="426" customFormat="1">
      <c r="A443" s="830" t="s">
        <v>13</v>
      </c>
      <c r="B443" s="746"/>
      <c r="C443" s="702">
        <v>0</v>
      </c>
      <c r="D443" s="702">
        <v>0</v>
      </c>
      <c r="E443" s="702">
        <v>0</v>
      </c>
      <c r="F443" s="702">
        <v>0</v>
      </c>
      <c r="G443" s="702">
        <v>0</v>
      </c>
      <c r="H443" s="702">
        <v>0</v>
      </c>
      <c r="I443" s="702">
        <v>0</v>
      </c>
      <c r="J443" s="702">
        <v>0</v>
      </c>
      <c r="K443" s="702">
        <v>0</v>
      </c>
      <c r="L443" s="702">
        <v>0</v>
      </c>
      <c r="M443" s="702">
        <v>0</v>
      </c>
    </row>
    <row r="444" spans="1:13" s="426" customFormat="1">
      <c r="A444" s="825" t="s">
        <v>233</v>
      </c>
      <c r="B444" s="746" t="s">
        <v>318</v>
      </c>
      <c r="C444" s="875">
        <v>0</v>
      </c>
      <c r="D444" s="875">
        <v>0</v>
      </c>
      <c r="E444" s="875">
        <v>0</v>
      </c>
      <c r="F444" s="875">
        <v>0</v>
      </c>
      <c r="G444" s="875">
        <v>0</v>
      </c>
      <c r="H444" s="875">
        <v>0</v>
      </c>
      <c r="I444" s="875">
        <v>0</v>
      </c>
      <c r="J444" s="875">
        <v>0</v>
      </c>
      <c r="K444" s="875">
        <v>0</v>
      </c>
      <c r="L444" s="875">
        <v>0</v>
      </c>
      <c r="M444" s="875">
        <v>0</v>
      </c>
    </row>
    <row r="445" spans="1:13" s="426" customFormat="1">
      <c r="A445" s="830" t="s">
        <v>13</v>
      </c>
      <c r="B445" s="746"/>
      <c r="C445" s="702">
        <v>0</v>
      </c>
      <c r="D445" s="702">
        <v>0</v>
      </c>
      <c r="E445" s="702">
        <v>0</v>
      </c>
      <c r="F445" s="702">
        <v>0</v>
      </c>
      <c r="G445" s="702">
        <v>0</v>
      </c>
      <c r="H445" s="702">
        <v>0</v>
      </c>
      <c r="I445" s="702">
        <v>0</v>
      </c>
      <c r="J445" s="702">
        <v>0</v>
      </c>
      <c r="K445" s="702">
        <v>0</v>
      </c>
      <c r="L445" s="702">
        <v>0</v>
      </c>
      <c r="M445" s="702">
        <v>0</v>
      </c>
    </row>
    <row r="446" spans="1:13" s="426" customFormat="1">
      <c r="A446" s="825" t="s">
        <v>234</v>
      </c>
      <c r="B446" s="746" t="s">
        <v>319</v>
      </c>
      <c r="C446" s="875">
        <v>0</v>
      </c>
      <c r="D446" s="875">
        <v>0</v>
      </c>
      <c r="E446" s="875">
        <v>0</v>
      </c>
      <c r="F446" s="875">
        <v>0</v>
      </c>
      <c r="G446" s="875">
        <v>0</v>
      </c>
      <c r="H446" s="875">
        <v>0</v>
      </c>
      <c r="I446" s="875">
        <v>0</v>
      </c>
      <c r="J446" s="875">
        <v>0</v>
      </c>
      <c r="K446" s="875">
        <v>0</v>
      </c>
      <c r="L446" s="875">
        <v>0</v>
      </c>
      <c r="M446" s="875">
        <v>0</v>
      </c>
    </row>
    <row r="447" spans="1:13" s="426" customFormat="1">
      <c r="A447" s="830" t="s">
        <v>13</v>
      </c>
      <c r="B447" s="746"/>
      <c r="C447" s="702">
        <v>0</v>
      </c>
      <c r="D447" s="702">
        <v>0</v>
      </c>
      <c r="E447" s="702">
        <v>0</v>
      </c>
      <c r="F447" s="702">
        <v>0</v>
      </c>
      <c r="G447" s="702">
        <v>0</v>
      </c>
      <c r="H447" s="702">
        <v>0</v>
      </c>
      <c r="I447" s="702">
        <v>0</v>
      </c>
      <c r="J447" s="702">
        <v>0</v>
      </c>
      <c r="K447" s="702">
        <v>0</v>
      </c>
      <c r="L447" s="702">
        <v>0</v>
      </c>
      <c r="M447" s="702">
        <v>0</v>
      </c>
    </row>
    <row r="448" spans="1:13" s="426" customFormat="1">
      <c r="A448" s="825" t="s">
        <v>235</v>
      </c>
      <c r="B448" s="746" t="s">
        <v>320</v>
      </c>
      <c r="C448" s="875">
        <v>0</v>
      </c>
      <c r="D448" s="875">
        <v>0</v>
      </c>
      <c r="E448" s="875">
        <v>0</v>
      </c>
      <c r="F448" s="875">
        <v>0</v>
      </c>
      <c r="G448" s="875">
        <v>0</v>
      </c>
      <c r="H448" s="875">
        <v>0</v>
      </c>
      <c r="I448" s="875">
        <v>0</v>
      </c>
      <c r="J448" s="875">
        <v>0</v>
      </c>
      <c r="K448" s="875">
        <v>0</v>
      </c>
      <c r="L448" s="875">
        <v>0</v>
      </c>
      <c r="M448" s="875">
        <v>0</v>
      </c>
    </row>
    <row r="449" spans="1:13" s="426" customFormat="1">
      <c r="A449" s="830" t="s">
        <v>13</v>
      </c>
      <c r="B449" s="746"/>
      <c r="C449" s="702">
        <v>0</v>
      </c>
      <c r="D449" s="702">
        <v>0</v>
      </c>
      <c r="E449" s="702">
        <v>0</v>
      </c>
      <c r="F449" s="702">
        <v>0</v>
      </c>
      <c r="G449" s="702">
        <v>0</v>
      </c>
      <c r="H449" s="702">
        <v>0</v>
      </c>
      <c r="I449" s="702">
        <v>0</v>
      </c>
      <c r="J449" s="702">
        <v>0</v>
      </c>
      <c r="K449" s="702">
        <v>0</v>
      </c>
      <c r="L449" s="702">
        <v>0</v>
      </c>
      <c r="M449" s="702">
        <v>0</v>
      </c>
    </row>
    <row r="450" spans="1:13" s="426" customFormat="1">
      <c r="A450" s="825" t="s">
        <v>236</v>
      </c>
      <c r="B450" s="746" t="s">
        <v>321</v>
      </c>
      <c r="C450" s="875">
        <v>0</v>
      </c>
      <c r="D450" s="875">
        <v>0</v>
      </c>
      <c r="E450" s="875">
        <v>0</v>
      </c>
      <c r="F450" s="875">
        <v>0</v>
      </c>
      <c r="G450" s="875">
        <v>0</v>
      </c>
      <c r="H450" s="875">
        <v>0</v>
      </c>
      <c r="I450" s="875">
        <v>0</v>
      </c>
      <c r="J450" s="875">
        <v>0</v>
      </c>
      <c r="K450" s="875">
        <v>0</v>
      </c>
      <c r="L450" s="875">
        <v>0</v>
      </c>
      <c r="M450" s="875">
        <v>0</v>
      </c>
    </row>
    <row r="451" spans="1:13" s="426" customFormat="1">
      <c r="A451" s="830" t="s">
        <v>13</v>
      </c>
      <c r="B451" s="746"/>
      <c r="C451" s="702">
        <v>0</v>
      </c>
      <c r="D451" s="702">
        <v>0</v>
      </c>
      <c r="E451" s="702">
        <v>0</v>
      </c>
      <c r="F451" s="702">
        <v>0</v>
      </c>
      <c r="G451" s="702">
        <v>0</v>
      </c>
      <c r="H451" s="702">
        <v>0</v>
      </c>
      <c r="I451" s="702">
        <v>0</v>
      </c>
      <c r="J451" s="702">
        <v>0</v>
      </c>
      <c r="K451" s="702">
        <v>0</v>
      </c>
      <c r="L451" s="702">
        <v>0</v>
      </c>
      <c r="M451" s="702">
        <v>0</v>
      </c>
    </row>
    <row r="452" spans="1:13">
      <c r="A452" s="825" t="s">
        <v>151</v>
      </c>
      <c r="B452" s="746"/>
      <c r="C452" s="875">
        <v>0</v>
      </c>
      <c r="D452" s="875">
        <v>0</v>
      </c>
      <c r="E452" s="875">
        <v>0</v>
      </c>
      <c r="F452" s="875">
        <v>37030</v>
      </c>
      <c r="G452" s="875">
        <v>0</v>
      </c>
      <c r="H452" s="875">
        <v>0</v>
      </c>
      <c r="I452" s="875">
        <v>0</v>
      </c>
      <c r="J452" s="875">
        <v>0</v>
      </c>
      <c r="K452" s="875">
        <v>0</v>
      </c>
      <c r="L452" s="875">
        <v>0</v>
      </c>
      <c r="M452" s="875">
        <v>0</v>
      </c>
    </row>
    <row r="453" spans="1:13" s="426" customFormat="1">
      <c r="A453" s="831" t="s">
        <v>13</v>
      </c>
      <c r="B453" s="792"/>
      <c r="C453" s="702">
        <v>37030</v>
      </c>
      <c r="D453" s="702">
        <v>37030</v>
      </c>
      <c r="E453" s="702">
        <v>37030</v>
      </c>
      <c r="F453" s="702">
        <v>37030</v>
      </c>
      <c r="G453" s="702">
        <v>0</v>
      </c>
      <c r="H453" s="702">
        <v>0</v>
      </c>
      <c r="I453" s="702">
        <v>0</v>
      </c>
      <c r="J453" s="702">
        <v>0</v>
      </c>
      <c r="K453" s="702">
        <v>0</v>
      </c>
      <c r="L453" s="702">
        <v>0</v>
      </c>
      <c r="M453" s="702">
        <v>0</v>
      </c>
    </row>
    <row r="454" spans="1:13">
      <c r="A454" s="1"/>
      <c r="B454" s="748"/>
      <c r="C454" s="890"/>
      <c r="D454" s="890"/>
      <c r="E454" s="890"/>
      <c r="F454" s="890"/>
      <c r="G454" s="890"/>
      <c r="H454" s="890"/>
      <c r="I454" s="890"/>
      <c r="J454" s="890"/>
      <c r="K454" s="890"/>
      <c r="L454" s="890"/>
      <c r="M454" s="890"/>
    </row>
    <row r="455" spans="1:13" s="426" customFormat="1">
      <c r="A455" s="29" t="s">
        <v>156</v>
      </c>
      <c r="B455" s="748"/>
      <c r="C455" s="891"/>
      <c r="D455" s="891"/>
      <c r="E455" s="891"/>
      <c r="F455" s="891"/>
      <c r="G455" s="891"/>
      <c r="H455" s="891"/>
      <c r="I455" s="891"/>
      <c r="J455" s="891"/>
      <c r="K455" s="891"/>
      <c r="L455" s="891"/>
      <c r="M455" s="891"/>
    </row>
    <row r="456" spans="1:13">
      <c r="A456" s="28" t="s">
        <v>157</v>
      </c>
      <c r="B456" s="746"/>
      <c r="C456" s="875"/>
      <c r="D456" s="875"/>
      <c r="E456" s="875"/>
      <c r="F456" s="875"/>
      <c r="G456" s="875"/>
      <c r="H456" s="875"/>
      <c r="I456" s="875"/>
      <c r="J456" s="875"/>
      <c r="K456" s="875"/>
      <c r="L456" s="875"/>
      <c r="M456" s="875"/>
    </row>
    <row r="457" spans="1:13">
      <c r="A457" s="28" t="s">
        <v>158</v>
      </c>
      <c r="B457" s="746" t="s">
        <v>322</v>
      </c>
      <c r="C457" s="875">
        <v>0</v>
      </c>
      <c r="D457" s="875">
        <v>0</v>
      </c>
      <c r="E457" s="875">
        <v>0</v>
      </c>
      <c r="F457" s="875">
        <v>0</v>
      </c>
      <c r="G457" s="875">
        <v>0</v>
      </c>
      <c r="H457" s="875">
        <v>0</v>
      </c>
      <c r="I457" s="875">
        <v>0</v>
      </c>
      <c r="J457" s="875">
        <v>3894000</v>
      </c>
      <c r="K457" s="875">
        <v>0</v>
      </c>
      <c r="L457" s="875">
        <v>0</v>
      </c>
      <c r="M457" s="875">
        <v>0</v>
      </c>
    </row>
    <row r="458" spans="1:13" s="712" customFormat="1">
      <c r="A458" s="829" t="s">
        <v>13</v>
      </c>
      <c r="B458" s="780"/>
      <c r="C458" s="702">
        <v>3894000</v>
      </c>
      <c r="D458" s="702">
        <v>3894000</v>
      </c>
      <c r="E458" s="702">
        <v>3894000</v>
      </c>
      <c r="F458" s="702">
        <v>3894000</v>
      </c>
      <c r="G458" s="702">
        <v>3894000</v>
      </c>
      <c r="H458" s="702">
        <v>3894000</v>
      </c>
      <c r="I458" s="702">
        <v>3894000</v>
      </c>
      <c r="J458" s="702">
        <v>3894000</v>
      </c>
      <c r="K458" s="702">
        <v>0</v>
      </c>
      <c r="L458" s="702">
        <v>0</v>
      </c>
      <c r="M458" s="702">
        <v>0</v>
      </c>
    </row>
    <row r="459" spans="1:13">
      <c r="A459" s="28" t="s">
        <v>159</v>
      </c>
      <c r="B459" s="746" t="s">
        <v>323</v>
      </c>
      <c r="C459" s="875">
        <v>0</v>
      </c>
      <c r="D459" s="875">
        <v>0</v>
      </c>
      <c r="E459" s="875">
        <v>0</v>
      </c>
      <c r="F459" s="875">
        <v>0</v>
      </c>
      <c r="G459" s="875">
        <v>0</v>
      </c>
      <c r="H459" s="875">
        <v>0</v>
      </c>
      <c r="I459" s="875">
        <v>0</v>
      </c>
      <c r="J459" s="875">
        <v>0</v>
      </c>
      <c r="K459" s="875">
        <v>0</v>
      </c>
      <c r="L459" s="875">
        <v>0</v>
      </c>
      <c r="M459" s="875">
        <v>0</v>
      </c>
    </row>
    <row r="460" spans="1:13" s="712" customFormat="1">
      <c r="A460" s="829" t="s">
        <v>13</v>
      </c>
      <c r="B460" s="780"/>
      <c r="C460" s="702">
        <v>0</v>
      </c>
      <c r="D460" s="702">
        <v>0</v>
      </c>
      <c r="E460" s="702">
        <v>0</v>
      </c>
      <c r="F460" s="702">
        <v>0</v>
      </c>
      <c r="G460" s="702">
        <v>0</v>
      </c>
      <c r="H460" s="702">
        <v>0</v>
      </c>
      <c r="I460" s="702">
        <v>0</v>
      </c>
      <c r="J460" s="702">
        <v>0</v>
      </c>
      <c r="K460" s="702">
        <v>0</v>
      </c>
      <c r="L460" s="702">
        <v>0</v>
      </c>
      <c r="M460" s="702">
        <v>0</v>
      </c>
    </row>
    <row r="461" spans="1:13" s="265" customFormat="1">
      <c r="A461" s="820" t="s">
        <v>151</v>
      </c>
      <c r="B461" s="832"/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3894000</v>
      </c>
      <c r="K461" s="875">
        <v>0</v>
      </c>
      <c r="L461" s="875">
        <v>0</v>
      </c>
      <c r="M461" s="875">
        <v>0</v>
      </c>
    </row>
    <row r="462" spans="1:13">
      <c r="A462" s="830" t="s">
        <v>13</v>
      </c>
      <c r="B462" s="746"/>
      <c r="C462" s="720">
        <v>3894000</v>
      </c>
      <c r="D462" s="720">
        <v>3894000</v>
      </c>
      <c r="E462" s="720">
        <v>3894000</v>
      </c>
      <c r="F462" s="720">
        <v>3894000</v>
      </c>
      <c r="G462" s="720">
        <v>3894000</v>
      </c>
      <c r="H462" s="720">
        <v>3894000</v>
      </c>
      <c r="I462" s="720">
        <v>3894000</v>
      </c>
      <c r="J462" s="720">
        <v>3894000</v>
      </c>
      <c r="K462" s="720">
        <v>0</v>
      </c>
      <c r="L462" s="720">
        <v>0</v>
      </c>
      <c r="M462" s="720">
        <v>0</v>
      </c>
    </row>
    <row r="463" spans="1:13">
      <c r="A463" s="833" t="s">
        <v>167</v>
      </c>
      <c r="B463" s="746"/>
      <c r="C463" s="720">
        <v>-3894000</v>
      </c>
      <c r="D463" s="720">
        <v>-3894000</v>
      </c>
      <c r="E463" s="720">
        <v>-3894000</v>
      </c>
      <c r="F463" s="720">
        <v>-3894000</v>
      </c>
      <c r="G463" s="720">
        <v>-3894000</v>
      </c>
      <c r="H463" s="720">
        <v>-3894000</v>
      </c>
      <c r="I463" s="720">
        <v>-3894000</v>
      </c>
      <c r="J463" s="720">
        <v>-3894000</v>
      </c>
      <c r="K463" s="720">
        <v>0</v>
      </c>
      <c r="L463" s="720">
        <v>0</v>
      </c>
      <c r="M463" s="720">
        <v>0</v>
      </c>
    </row>
    <row r="464" spans="1:13">
      <c r="A464" s="834"/>
      <c r="B464" s="748"/>
      <c r="C464" s="892"/>
      <c r="D464" s="892"/>
      <c r="E464" s="892"/>
      <c r="F464" s="892"/>
      <c r="G464" s="892"/>
      <c r="H464" s="892"/>
      <c r="I464" s="892"/>
      <c r="J464" s="892"/>
      <c r="K464" s="892"/>
      <c r="L464" s="892"/>
      <c r="M464" s="892"/>
    </row>
    <row r="465" spans="1:13">
      <c r="A465" s="834" t="s">
        <v>364</v>
      </c>
      <c r="B465" s="748"/>
      <c r="C465" s="892">
        <v>0</v>
      </c>
      <c r="D465" s="892">
        <v>0</v>
      </c>
      <c r="E465" s="892">
        <v>0</v>
      </c>
      <c r="F465" s="892">
        <v>0</v>
      </c>
      <c r="G465" s="892">
        <v>0</v>
      </c>
      <c r="H465" s="892">
        <v>0</v>
      </c>
      <c r="I465" s="892">
        <v>0</v>
      </c>
      <c r="J465" s="892">
        <v>0</v>
      </c>
      <c r="K465" s="892">
        <v>0</v>
      </c>
      <c r="L465" s="892">
        <v>0</v>
      </c>
      <c r="M465" s="892">
        <v>0</v>
      </c>
    </row>
    <row r="466" spans="1:13">
      <c r="A466" s="835" t="s">
        <v>13</v>
      </c>
      <c r="B466" s="748"/>
      <c r="C466" s="720">
        <v>0</v>
      </c>
      <c r="D466" s="720">
        <v>0</v>
      </c>
      <c r="E466" s="720">
        <v>0</v>
      </c>
      <c r="F466" s="720">
        <v>0</v>
      </c>
      <c r="G466" s="720">
        <v>0</v>
      </c>
      <c r="H466" s="720">
        <v>0</v>
      </c>
      <c r="I466" s="720">
        <v>0</v>
      </c>
      <c r="J466" s="720">
        <v>0</v>
      </c>
      <c r="K466" s="720">
        <v>0</v>
      </c>
      <c r="L466" s="720">
        <v>0</v>
      </c>
      <c r="M466" s="720">
        <v>0</v>
      </c>
    </row>
    <row r="467" spans="1:13">
      <c r="A467" s="836" t="s">
        <v>365</v>
      </c>
      <c r="B467" s="748" t="s">
        <v>529</v>
      </c>
      <c r="C467" s="892">
        <v>0</v>
      </c>
      <c r="D467" s="892">
        <v>0</v>
      </c>
      <c r="E467" s="892">
        <v>0</v>
      </c>
      <c r="F467" s="892">
        <v>0</v>
      </c>
      <c r="G467" s="892">
        <v>0</v>
      </c>
      <c r="H467" s="892">
        <v>0</v>
      </c>
      <c r="I467" s="892">
        <v>0</v>
      </c>
      <c r="J467" s="892">
        <v>0</v>
      </c>
      <c r="K467" s="892">
        <v>0</v>
      </c>
      <c r="L467" s="892">
        <v>0</v>
      </c>
      <c r="M467" s="892">
        <v>0</v>
      </c>
    </row>
    <row r="468" spans="1:13">
      <c r="A468" s="835" t="s">
        <v>13</v>
      </c>
      <c r="B468" s="748"/>
      <c r="C468" s="720">
        <v>0</v>
      </c>
      <c r="D468" s="720">
        <v>0</v>
      </c>
      <c r="E468" s="720">
        <v>0</v>
      </c>
      <c r="F468" s="720">
        <v>0</v>
      </c>
      <c r="G468" s="720">
        <v>0</v>
      </c>
      <c r="H468" s="720">
        <v>0</v>
      </c>
      <c r="I468" s="720">
        <v>0</v>
      </c>
      <c r="J468" s="720">
        <v>0</v>
      </c>
      <c r="K468" s="720">
        <v>0</v>
      </c>
      <c r="L468" s="720">
        <v>0</v>
      </c>
      <c r="M468" s="720">
        <v>0</v>
      </c>
    </row>
    <row r="469" spans="1:13">
      <c r="A469" s="836" t="s">
        <v>366</v>
      </c>
      <c r="B469" s="748" t="s">
        <v>530</v>
      </c>
      <c r="C469" s="892">
        <v>0</v>
      </c>
      <c r="D469" s="892">
        <v>0</v>
      </c>
      <c r="E469" s="892">
        <v>0</v>
      </c>
      <c r="F469" s="892">
        <v>0</v>
      </c>
      <c r="G469" s="892">
        <v>0</v>
      </c>
      <c r="H469" s="892">
        <v>0</v>
      </c>
      <c r="I469" s="892">
        <v>0</v>
      </c>
      <c r="J469" s="892">
        <v>0</v>
      </c>
      <c r="K469" s="892">
        <v>0</v>
      </c>
      <c r="L469" s="892">
        <v>0</v>
      </c>
      <c r="M469" s="892">
        <v>0</v>
      </c>
    </row>
    <row r="470" spans="1:13">
      <c r="A470" s="835" t="s">
        <v>13</v>
      </c>
      <c r="B470" s="748"/>
      <c r="C470" s="720">
        <v>0</v>
      </c>
      <c r="D470" s="720">
        <v>0</v>
      </c>
      <c r="E470" s="720">
        <v>0</v>
      </c>
      <c r="F470" s="720">
        <v>0</v>
      </c>
      <c r="G470" s="720">
        <v>0</v>
      </c>
      <c r="H470" s="720">
        <v>0</v>
      </c>
      <c r="I470" s="720">
        <v>0</v>
      </c>
      <c r="J470" s="720">
        <v>0</v>
      </c>
      <c r="K470" s="720">
        <v>0</v>
      </c>
      <c r="L470" s="720">
        <v>0</v>
      </c>
      <c r="M470" s="720">
        <v>0</v>
      </c>
    </row>
    <row r="471" spans="1:13">
      <c r="A471" s="834"/>
      <c r="B471" s="748"/>
      <c r="C471" s="892"/>
      <c r="D471" s="892"/>
      <c r="E471" s="892"/>
      <c r="F471" s="892"/>
      <c r="G471" s="892"/>
      <c r="H471" s="892"/>
      <c r="I471" s="892"/>
      <c r="J471" s="892"/>
      <c r="K471" s="892"/>
      <c r="L471" s="892"/>
      <c r="M471" s="892"/>
    </row>
    <row r="472" spans="1:13">
      <c r="A472" s="834" t="s">
        <v>187</v>
      </c>
      <c r="B472" s="748" t="s">
        <v>531</v>
      </c>
      <c r="C472" s="892">
        <v>0</v>
      </c>
      <c r="D472" s="892">
        <v>0</v>
      </c>
      <c r="E472" s="892">
        <v>0</v>
      </c>
      <c r="F472" s="892">
        <v>0</v>
      </c>
      <c r="G472" s="892">
        <v>0</v>
      </c>
      <c r="H472" s="892">
        <v>0</v>
      </c>
      <c r="I472" s="892">
        <v>0</v>
      </c>
      <c r="J472" s="892">
        <v>0</v>
      </c>
      <c r="K472" s="892">
        <v>0</v>
      </c>
      <c r="L472" s="892">
        <v>0</v>
      </c>
      <c r="M472" s="892">
        <v>0</v>
      </c>
    </row>
    <row r="473" spans="1:13">
      <c r="A473" s="834" t="s">
        <v>13</v>
      </c>
      <c r="B473" s="748"/>
      <c r="C473" s="720">
        <v>0</v>
      </c>
      <c r="D473" s="720">
        <v>0</v>
      </c>
      <c r="E473" s="720">
        <v>0</v>
      </c>
      <c r="F473" s="720">
        <v>0</v>
      </c>
      <c r="G473" s="720">
        <v>0</v>
      </c>
      <c r="H473" s="720">
        <v>0</v>
      </c>
      <c r="I473" s="720">
        <v>0</v>
      </c>
      <c r="J473" s="720">
        <v>0</v>
      </c>
      <c r="K473" s="720">
        <v>0</v>
      </c>
      <c r="L473" s="720">
        <v>0</v>
      </c>
      <c r="M473" s="720">
        <v>0</v>
      </c>
    </row>
    <row r="474" spans="1:13">
      <c r="A474" s="1"/>
      <c r="B474" s="748"/>
      <c r="C474" s="890"/>
      <c r="D474" s="890"/>
      <c r="E474" s="890"/>
      <c r="F474" s="890"/>
      <c r="G474" s="890"/>
      <c r="H474" s="890"/>
      <c r="I474" s="890"/>
      <c r="J474" s="890"/>
      <c r="K474" s="890"/>
      <c r="L474" s="890"/>
      <c r="M474" s="890"/>
    </row>
    <row r="475" spans="1:13">
      <c r="A475" s="11" t="s">
        <v>100</v>
      </c>
      <c r="B475" s="792"/>
      <c r="C475" s="880">
        <v>12033300</v>
      </c>
      <c r="D475" s="880">
        <v>2264595</v>
      </c>
      <c r="E475" s="880">
        <v>594998</v>
      </c>
      <c r="F475" s="880">
        <v>264416</v>
      </c>
      <c r="G475" s="880">
        <v>2332200</v>
      </c>
      <c r="H475" s="880">
        <v>514500</v>
      </c>
      <c r="I475" s="880">
        <v>1052502</v>
      </c>
      <c r="J475" s="880">
        <v>9267896</v>
      </c>
      <c r="K475" s="880">
        <v>16183400</v>
      </c>
      <c r="L475" s="880">
        <v>1635030</v>
      </c>
      <c r="M475" s="880">
        <v>0</v>
      </c>
    </row>
    <row r="476" spans="1:13" s="426" customFormat="1">
      <c r="A476" s="828" t="s">
        <v>59</v>
      </c>
      <c r="B476" s="792"/>
      <c r="C476" s="720">
        <v>46142837</v>
      </c>
      <c r="D476" s="720">
        <v>34109537</v>
      </c>
      <c r="E476" s="720">
        <v>31844942</v>
      </c>
      <c r="F476" s="720">
        <v>31249944</v>
      </c>
      <c r="G476" s="720">
        <v>30985528</v>
      </c>
      <c r="H476" s="720">
        <v>28653328</v>
      </c>
      <c r="I476" s="720">
        <v>28138828</v>
      </c>
      <c r="J476" s="720">
        <v>27086326</v>
      </c>
      <c r="K476" s="720">
        <v>17818430</v>
      </c>
      <c r="L476" s="720">
        <v>1635030</v>
      </c>
      <c r="M476" s="720">
        <v>0</v>
      </c>
    </row>
    <row r="477" spans="1:13">
      <c r="A477" s="11"/>
      <c r="B477" s="837"/>
      <c r="C477" s="893"/>
      <c r="D477" s="893"/>
      <c r="E477" s="893"/>
      <c r="F477" s="893"/>
      <c r="G477" s="893"/>
      <c r="H477" s="893"/>
      <c r="I477" s="893"/>
      <c r="J477" s="893"/>
      <c r="K477" s="893"/>
      <c r="L477" s="893"/>
      <c r="M477" s="893"/>
    </row>
    <row r="478" spans="1:13" s="722" customFormat="1" ht="21">
      <c r="A478" s="838" t="s">
        <v>60</v>
      </c>
      <c r="B478" s="839"/>
      <c r="C478" s="894">
        <v>826435</v>
      </c>
      <c r="D478" s="894">
        <v>8015808</v>
      </c>
      <c r="E478" s="894">
        <v>5744055</v>
      </c>
      <c r="F478" s="894">
        <v>5703250</v>
      </c>
      <c r="G478" s="894">
        <v>4204717</v>
      </c>
      <c r="H478" s="894">
        <v>4981229</v>
      </c>
      <c r="I478" s="894">
        <v>2750308</v>
      </c>
      <c r="J478" s="894">
        <v>-1065794</v>
      </c>
      <c r="K478" s="894">
        <v>-8000111</v>
      </c>
      <c r="L478" s="894">
        <v>3315885</v>
      </c>
      <c r="M478" s="894">
        <v>0</v>
      </c>
    </row>
    <row r="479" spans="1:13">
      <c r="A479" s="1"/>
      <c r="B479" s="736"/>
      <c r="C479" s="736"/>
      <c r="D479" s="736"/>
      <c r="E479" s="736"/>
      <c r="F479" s="736"/>
      <c r="G479" s="736"/>
      <c r="H479" s="736"/>
      <c r="I479" s="736"/>
      <c r="J479" s="736"/>
      <c r="K479" s="736"/>
      <c r="L479" s="736"/>
      <c r="M479" s="736"/>
    </row>
    <row r="480" spans="1:13">
      <c r="A480" s="1"/>
      <c r="B480" s="736"/>
      <c r="C480" s="736"/>
      <c r="D480" s="736"/>
      <c r="E480" s="736"/>
      <c r="F480" s="736"/>
      <c r="G480" s="736"/>
      <c r="H480" s="736"/>
      <c r="I480" s="736"/>
      <c r="J480" s="736"/>
      <c r="K480" s="736"/>
      <c r="L480" s="736"/>
      <c r="M480" s="736"/>
    </row>
    <row r="481" spans="1:13" s="723" customFormat="1" ht="21">
      <c r="A481" s="840" t="s">
        <v>117</v>
      </c>
      <c r="B481" s="841" t="s">
        <v>532</v>
      </c>
      <c r="C481" s="895">
        <v>364743632</v>
      </c>
      <c r="D481" s="895">
        <v>372496504</v>
      </c>
      <c r="E481" s="895">
        <v>219809166</v>
      </c>
      <c r="F481" s="895">
        <v>218842861</v>
      </c>
      <c r="G481" s="895">
        <v>218260828</v>
      </c>
      <c r="H481" s="895">
        <v>358621764</v>
      </c>
      <c r="I481" s="895">
        <v>369541543</v>
      </c>
      <c r="J481" s="895">
        <v>365984950</v>
      </c>
      <c r="K481" s="895">
        <v>358177076</v>
      </c>
      <c r="L481" s="895">
        <v>217588753</v>
      </c>
      <c r="M481" s="895">
        <v>216277168</v>
      </c>
    </row>
    <row r="482" spans="1:13" s="724" customFormat="1" ht="18">
      <c r="A482" s="842" t="s">
        <v>21</v>
      </c>
      <c r="B482" s="843" t="s">
        <v>533</v>
      </c>
      <c r="C482" s="896">
        <v>5709000</v>
      </c>
      <c r="D482" s="896">
        <v>4079000</v>
      </c>
      <c r="E482" s="896">
        <v>4029000</v>
      </c>
      <c r="F482" s="896">
        <v>4129000</v>
      </c>
      <c r="G482" s="896">
        <v>4219000</v>
      </c>
      <c r="H482" s="896">
        <v>14079000</v>
      </c>
      <c r="I482" s="896">
        <v>3979000</v>
      </c>
      <c r="J482" s="896">
        <v>3779000</v>
      </c>
      <c r="K482" s="896">
        <v>3409000</v>
      </c>
      <c r="L482" s="896">
        <v>3409000</v>
      </c>
      <c r="M482" s="896">
        <v>3379000</v>
      </c>
    </row>
    <row r="483" spans="1:13" s="724" customFormat="1" ht="18">
      <c r="A483" s="842" t="s">
        <v>11</v>
      </c>
      <c r="B483" s="843" t="s">
        <v>534</v>
      </c>
      <c r="C483" s="896">
        <v>186600000</v>
      </c>
      <c r="D483" s="896">
        <v>186100000</v>
      </c>
      <c r="E483" s="896">
        <v>36000000</v>
      </c>
      <c r="F483" s="896">
        <v>186787500</v>
      </c>
      <c r="G483" s="896">
        <v>186787500</v>
      </c>
      <c r="H483" s="896">
        <v>186787500</v>
      </c>
      <c r="I483" s="896">
        <v>186787500</v>
      </c>
      <c r="J483" s="896">
        <v>186587500</v>
      </c>
      <c r="K483" s="896">
        <v>34560000</v>
      </c>
      <c r="L483" s="896">
        <v>34560000</v>
      </c>
      <c r="M483" s="896">
        <v>33920000</v>
      </c>
    </row>
    <row r="484" spans="1:13" s="725" customFormat="1" ht="23.4">
      <c r="A484" s="844" t="s">
        <v>162</v>
      </c>
      <c r="B484" s="845"/>
      <c r="C484" s="897">
        <v>183852632</v>
      </c>
      <c r="D484" s="897">
        <v>190475504</v>
      </c>
      <c r="E484" s="897">
        <v>187838166</v>
      </c>
      <c r="F484" s="897">
        <v>36184361</v>
      </c>
      <c r="G484" s="897">
        <v>35692328</v>
      </c>
      <c r="H484" s="897">
        <v>185913264</v>
      </c>
      <c r="I484" s="897">
        <v>186733043</v>
      </c>
      <c r="J484" s="897">
        <v>183176450</v>
      </c>
      <c r="K484" s="897">
        <v>327026076</v>
      </c>
      <c r="L484" s="897">
        <v>186437753</v>
      </c>
      <c r="M484" s="897">
        <v>185736168</v>
      </c>
    </row>
    <row r="485" spans="1:13">
      <c r="A485" s="1"/>
      <c r="B485" s="736"/>
      <c r="C485" s="736"/>
      <c r="D485" s="736"/>
      <c r="E485" s="736"/>
      <c r="F485" s="736"/>
      <c r="G485" s="736"/>
      <c r="H485" s="736"/>
      <c r="I485" s="736"/>
      <c r="J485" s="736"/>
      <c r="K485" s="736"/>
      <c r="L485" s="736"/>
      <c r="M485" s="736"/>
    </row>
    <row r="486" spans="1:13" s="724" customFormat="1" ht="18">
      <c r="A486" s="842" t="s">
        <v>24</v>
      </c>
      <c r="B486" s="843" t="s">
        <v>210</v>
      </c>
      <c r="C486" s="896">
        <v>-2129971</v>
      </c>
      <c r="D486" s="896">
        <v>-2641472</v>
      </c>
      <c r="E486" s="896">
        <v>-3012057</v>
      </c>
      <c r="F486" s="896">
        <v>-3837557</v>
      </c>
      <c r="G486" s="896">
        <v>-2831057</v>
      </c>
      <c r="H486" s="896">
        <v>-3386633</v>
      </c>
      <c r="I486" s="896">
        <v>-335933</v>
      </c>
      <c r="J486" s="896">
        <v>-76424</v>
      </c>
      <c r="K486" s="896">
        <v>-109981</v>
      </c>
      <c r="L486" s="896">
        <v>-1014300</v>
      </c>
      <c r="M486" s="896">
        <v>1011541</v>
      </c>
    </row>
    <row r="487" spans="1:13" s="724" customFormat="1" ht="18">
      <c r="A487" s="846" t="s">
        <v>46</v>
      </c>
      <c r="B487" s="847"/>
      <c r="C487" s="898">
        <v>185982603</v>
      </c>
      <c r="D487" s="898">
        <v>193116976</v>
      </c>
      <c r="E487" s="898">
        <v>190850223</v>
      </c>
      <c r="F487" s="898">
        <v>40021918</v>
      </c>
      <c r="G487" s="898">
        <v>38523385</v>
      </c>
      <c r="H487" s="898">
        <v>189299897</v>
      </c>
      <c r="I487" s="898">
        <v>187068976</v>
      </c>
      <c r="J487" s="898">
        <v>183252874</v>
      </c>
      <c r="K487" s="898">
        <v>327136057</v>
      </c>
      <c r="L487" s="898">
        <v>187452053</v>
      </c>
      <c r="M487" s="898">
        <v>184724627</v>
      </c>
    </row>
    <row r="488" spans="1:13">
      <c r="A488" s="5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ht="15" thickBo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ht="15" thickBot="1">
      <c r="A490" s="5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>
      <c r="A491" s="606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</row>
  </sheetData>
  <mergeCells count="9">
    <mergeCell ref="A123:B123"/>
    <mergeCell ref="A210:B210"/>
    <mergeCell ref="A211:B211"/>
    <mergeCell ref="A33:B33"/>
    <mergeCell ref="A48:B48"/>
    <mergeCell ref="A60:B60"/>
    <mergeCell ref="A73:B73"/>
    <mergeCell ref="A86:B86"/>
    <mergeCell ref="A119:B1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95"/>
  <sheetViews>
    <sheetView topLeftCell="A467" zoomScale="60" zoomScaleNormal="60" workbookViewId="0">
      <selection activeCell="C480" sqref="C480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20" width="25.6640625" style="263" customWidth="1"/>
    <col min="21" max="21" width="8.88671875" style="263"/>
    <col min="22" max="22" width="8.88671875" style="263" customWidth="1"/>
    <col min="23" max="16384" width="8.88671875" style="263"/>
  </cols>
  <sheetData>
    <row r="1" spans="1:20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</row>
    <row r="2" spans="1:20" ht="15" thickBot="1"/>
    <row r="3" spans="1:20">
      <c r="A3" s="727"/>
      <c r="B3" s="726"/>
      <c r="C3" s="679" t="s">
        <v>712</v>
      </c>
      <c r="D3" s="679" t="s">
        <v>710</v>
      </c>
      <c r="E3" s="679" t="s">
        <v>709</v>
      </c>
      <c r="F3" s="679" t="s">
        <v>708</v>
      </c>
      <c r="G3" s="679" t="s">
        <v>696</v>
      </c>
      <c r="H3" s="679" t="s">
        <v>695</v>
      </c>
      <c r="I3" s="679" t="s">
        <v>694</v>
      </c>
      <c r="J3" s="679" t="s">
        <v>693</v>
      </c>
      <c r="K3" s="679" t="s">
        <v>692</v>
      </c>
      <c r="L3" s="679" t="s">
        <v>690</v>
      </c>
      <c r="M3" s="679" t="s">
        <v>689</v>
      </c>
      <c r="N3" s="679" t="s">
        <v>687</v>
      </c>
      <c r="O3" s="679" t="s">
        <v>685</v>
      </c>
      <c r="P3" s="679" t="s">
        <v>684</v>
      </c>
      <c r="Q3" s="679" t="s">
        <v>682</v>
      </c>
      <c r="R3" s="679" t="s">
        <v>675</v>
      </c>
      <c r="S3" s="679" t="s">
        <v>674</v>
      </c>
      <c r="T3" s="679" t="s">
        <v>672</v>
      </c>
    </row>
    <row r="4" spans="1:20" s="267" customFormat="1" ht="15" thickBot="1">
      <c r="A4" s="728"/>
      <c r="B4" s="729"/>
      <c r="C4" s="680" t="s">
        <v>130</v>
      </c>
      <c r="D4" s="680" t="s">
        <v>131</v>
      </c>
      <c r="E4" s="680" t="s">
        <v>132</v>
      </c>
      <c r="F4" s="680" t="s">
        <v>707</v>
      </c>
      <c r="G4" s="680" t="s">
        <v>128</v>
      </c>
      <c r="H4" s="680" t="s">
        <v>130</v>
      </c>
      <c r="I4" s="680" t="s">
        <v>636</v>
      </c>
      <c r="J4" s="680" t="s">
        <v>133</v>
      </c>
      <c r="K4" s="680" t="s">
        <v>134</v>
      </c>
      <c r="L4" s="680" t="s">
        <v>128</v>
      </c>
      <c r="M4" s="680" t="s">
        <v>129</v>
      </c>
      <c r="N4" s="680" t="s">
        <v>686</v>
      </c>
      <c r="O4" s="680" t="s">
        <v>133</v>
      </c>
      <c r="P4" s="680" t="s">
        <v>134</v>
      </c>
      <c r="Q4" s="680" t="s">
        <v>683</v>
      </c>
      <c r="R4" s="680" t="s">
        <v>677</v>
      </c>
      <c r="S4" s="680" t="s">
        <v>132</v>
      </c>
      <c r="T4" s="680" t="s">
        <v>673</v>
      </c>
    </row>
    <row r="5" spans="1:20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</row>
    <row r="6" spans="1:20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</row>
    <row r="7" spans="1:20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</row>
    <row r="8" spans="1:20">
      <c r="A8" s="25" t="s">
        <v>101</v>
      </c>
      <c r="B8" s="735"/>
      <c r="C8" s="641">
        <v>260000</v>
      </c>
      <c r="D8" s="641">
        <v>260000</v>
      </c>
      <c r="E8" s="641">
        <v>250000</v>
      </c>
      <c r="F8" s="641">
        <v>230000</v>
      </c>
      <c r="G8" s="641">
        <v>230000</v>
      </c>
      <c r="H8" s="641">
        <v>230000</v>
      </c>
      <c r="I8" s="641">
        <v>230000</v>
      </c>
      <c r="J8" s="641">
        <v>230000</v>
      </c>
      <c r="K8" s="641">
        <v>230000</v>
      </c>
      <c r="L8" s="641">
        <v>230000</v>
      </c>
      <c r="M8" s="641">
        <v>230000</v>
      </c>
      <c r="N8" s="641">
        <v>230000</v>
      </c>
      <c r="O8" s="641">
        <v>230000</v>
      </c>
      <c r="P8" s="641">
        <v>230000</v>
      </c>
      <c r="Q8" s="641">
        <v>1073000</v>
      </c>
      <c r="R8" s="641">
        <v>1052000</v>
      </c>
      <c r="S8" s="641">
        <v>1037000</v>
      </c>
      <c r="T8" s="641">
        <v>1037000</v>
      </c>
    </row>
    <row r="9" spans="1:20">
      <c r="A9" s="25" t="s">
        <v>336</v>
      </c>
      <c r="B9" s="735"/>
      <c r="C9" s="641">
        <v>1410000</v>
      </c>
      <c r="D9" s="641">
        <v>1410000</v>
      </c>
      <c r="E9" s="641">
        <v>1410000</v>
      </c>
      <c r="F9" s="641">
        <v>1410000</v>
      </c>
      <c r="G9" s="641">
        <v>1410000</v>
      </c>
      <c r="H9" s="641">
        <v>1410000</v>
      </c>
      <c r="I9" s="641">
        <v>1410000</v>
      </c>
      <c r="J9" s="641">
        <v>1410000</v>
      </c>
      <c r="K9" s="641">
        <v>1410000</v>
      </c>
      <c r="L9" s="641">
        <v>1410000</v>
      </c>
      <c r="M9" s="641">
        <v>1410000</v>
      </c>
      <c r="N9" s="641">
        <v>1410000</v>
      </c>
      <c r="O9" s="641">
        <v>1410000</v>
      </c>
      <c r="P9" s="641">
        <v>1410000</v>
      </c>
      <c r="Q9" s="641">
        <v>1410000</v>
      </c>
      <c r="R9" s="641">
        <v>1410000</v>
      </c>
      <c r="S9" s="641">
        <v>1410000</v>
      </c>
      <c r="T9" s="641">
        <v>1410000</v>
      </c>
    </row>
    <row r="10" spans="1:20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  <c r="T10" s="641">
        <v>0</v>
      </c>
    </row>
    <row r="11" spans="1:20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  <c r="T11" s="641">
        <v>0</v>
      </c>
    </row>
    <row r="12" spans="1:20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</row>
    <row r="13" spans="1:20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  <c r="T13" s="641">
        <v>0</v>
      </c>
    </row>
    <row r="14" spans="1:20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</row>
    <row r="15" spans="1:20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  <c r="T15" s="641">
        <v>0</v>
      </c>
    </row>
    <row r="16" spans="1:20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  <c r="T16" s="641">
        <v>0</v>
      </c>
    </row>
    <row r="17" spans="1:23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  <c r="T17" s="642">
        <v>0</v>
      </c>
    </row>
    <row r="18" spans="1:23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  <c r="T18" s="642">
        <v>0</v>
      </c>
    </row>
    <row r="19" spans="1:23" ht="16.2" thickBot="1">
      <c r="A19" s="737"/>
      <c r="B19" s="738"/>
      <c r="C19" s="848">
        <v>1670000</v>
      </c>
      <c r="D19" s="848">
        <v>1670000</v>
      </c>
      <c r="E19" s="848">
        <v>1660000</v>
      </c>
      <c r="F19" s="848">
        <v>1640000</v>
      </c>
      <c r="G19" s="848">
        <v>1640000</v>
      </c>
      <c r="H19" s="848">
        <v>1640000</v>
      </c>
      <c r="I19" s="848">
        <v>1640000</v>
      </c>
      <c r="J19" s="848">
        <v>1640000</v>
      </c>
      <c r="K19" s="848">
        <v>1640000</v>
      </c>
      <c r="L19" s="848">
        <v>1640000</v>
      </c>
      <c r="M19" s="848">
        <v>1640000</v>
      </c>
      <c r="N19" s="848">
        <v>1640000</v>
      </c>
      <c r="O19" s="848">
        <v>1640000</v>
      </c>
      <c r="P19" s="848">
        <v>1640000</v>
      </c>
      <c r="Q19" s="848">
        <v>2483000</v>
      </c>
      <c r="R19" s="848">
        <v>2462000</v>
      </c>
      <c r="S19" s="848">
        <v>2447000</v>
      </c>
      <c r="T19" s="848">
        <v>2447000</v>
      </c>
      <c r="W19"/>
    </row>
    <row r="20" spans="1:23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  <c r="T20" s="852"/>
    </row>
    <row r="21" spans="1:23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</row>
    <row r="22" spans="1:23">
      <c r="A22" s="739" t="s">
        <v>0</v>
      </c>
      <c r="B22" s="740"/>
      <c r="C22" s="956">
        <v>90400000</v>
      </c>
      <c r="D22" s="956">
        <v>143600000</v>
      </c>
      <c r="E22" s="956">
        <v>130500000</v>
      </c>
      <c r="F22" s="956">
        <v>132750000</v>
      </c>
      <c r="G22" s="956">
        <v>101400000</v>
      </c>
      <c r="H22" s="956">
        <v>81805000</v>
      </c>
      <c r="I22" s="956">
        <v>160383000</v>
      </c>
      <c r="J22" s="956">
        <v>160200000</v>
      </c>
      <c r="K22" s="956">
        <v>145250000</v>
      </c>
      <c r="L22" s="956">
        <v>131222000</v>
      </c>
      <c r="M22" s="956">
        <v>186270000</v>
      </c>
      <c r="N22" s="956">
        <v>133250000</v>
      </c>
      <c r="O22" s="956">
        <v>115300000</v>
      </c>
      <c r="P22" s="956">
        <v>136100000</v>
      </c>
      <c r="Q22" s="956">
        <v>127226000</v>
      </c>
      <c r="R22" s="956">
        <v>70200000</v>
      </c>
      <c r="S22" s="956">
        <v>205344000</v>
      </c>
      <c r="T22" s="956">
        <v>160190000</v>
      </c>
    </row>
    <row r="23" spans="1:23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  <c r="T23" s="686">
        <v>0</v>
      </c>
    </row>
    <row r="24" spans="1:23">
      <c r="A24" s="25" t="s">
        <v>555</v>
      </c>
      <c r="B24" s="741"/>
      <c r="C24" s="686">
        <v>66500</v>
      </c>
      <c r="D24" s="686">
        <v>17500</v>
      </c>
      <c r="E24" s="686">
        <v>88500</v>
      </c>
      <c r="F24" s="686">
        <v>52500</v>
      </c>
      <c r="G24" s="686">
        <v>65000</v>
      </c>
      <c r="H24" s="686">
        <v>99000</v>
      </c>
      <c r="I24" s="686">
        <v>128000</v>
      </c>
      <c r="J24" s="686">
        <v>60000</v>
      </c>
      <c r="K24" s="686">
        <v>146000</v>
      </c>
      <c r="L24" s="686">
        <v>116000</v>
      </c>
      <c r="M24" s="686">
        <v>107000</v>
      </c>
      <c r="N24" s="686">
        <v>110000</v>
      </c>
      <c r="O24" s="686">
        <v>73500</v>
      </c>
      <c r="P24" s="686">
        <v>44500</v>
      </c>
      <c r="Q24" s="686">
        <v>104500</v>
      </c>
      <c r="R24" s="686">
        <v>214000</v>
      </c>
      <c r="S24" s="686">
        <v>82500</v>
      </c>
      <c r="T24" s="686">
        <v>24000</v>
      </c>
    </row>
    <row r="25" spans="1:23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0</v>
      </c>
      <c r="O25" s="686">
        <v>0</v>
      </c>
      <c r="P25" s="686">
        <v>0</v>
      </c>
      <c r="Q25" s="686">
        <v>0</v>
      </c>
      <c r="R25" s="686">
        <v>6197000</v>
      </c>
      <c r="S25" s="686">
        <v>0</v>
      </c>
      <c r="T25" s="686">
        <v>0</v>
      </c>
    </row>
    <row r="26" spans="1:23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0</v>
      </c>
      <c r="O26" s="686">
        <v>0</v>
      </c>
      <c r="P26" s="686">
        <v>0</v>
      </c>
      <c r="Q26" s="686">
        <v>0</v>
      </c>
      <c r="R26" s="686">
        <v>13630000</v>
      </c>
      <c r="S26" s="686">
        <v>0</v>
      </c>
      <c r="T26" s="686">
        <v>0</v>
      </c>
    </row>
    <row r="27" spans="1:23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0</v>
      </c>
      <c r="O27" s="686">
        <v>0</v>
      </c>
      <c r="P27" s="686">
        <v>0</v>
      </c>
      <c r="Q27" s="686">
        <v>0</v>
      </c>
      <c r="R27" s="686">
        <v>9837000</v>
      </c>
      <c r="S27" s="686">
        <v>0</v>
      </c>
      <c r="T27" s="686">
        <v>0</v>
      </c>
    </row>
    <row r="28" spans="1:23">
      <c r="A28" s="25" t="s">
        <v>333</v>
      </c>
      <c r="B28" s="741"/>
      <c r="C28" s="686">
        <v>18338000</v>
      </c>
      <c r="D28" s="686">
        <v>23414000</v>
      </c>
      <c r="E28" s="686">
        <v>0</v>
      </c>
      <c r="F28" s="686">
        <v>0</v>
      </c>
      <c r="G28" s="686">
        <v>0</v>
      </c>
      <c r="H28" s="686">
        <v>21333000</v>
      </c>
      <c r="I28" s="686">
        <v>0</v>
      </c>
      <c r="J28" s="686">
        <v>0</v>
      </c>
      <c r="K28" s="686">
        <v>28612000</v>
      </c>
      <c r="L28" s="686">
        <v>28321000</v>
      </c>
      <c r="M28" s="686">
        <v>0</v>
      </c>
      <c r="N28" s="686">
        <v>0</v>
      </c>
      <c r="O28" s="686">
        <v>0</v>
      </c>
      <c r="P28" s="686">
        <v>23702000</v>
      </c>
      <c r="Q28" s="686">
        <v>1667000</v>
      </c>
      <c r="R28" s="686">
        <v>10665000</v>
      </c>
      <c r="S28" s="686">
        <v>0</v>
      </c>
      <c r="T28" s="686">
        <v>0</v>
      </c>
    </row>
    <row r="29" spans="1:23">
      <c r="A29" s="1" t="s">
        <v>562</v>
      </c>
      <c r="B29" s="736"/>
      <c r="C29" s="641">
        <v>0</v>
      </c>
      <c r="D29" s="641">
        <v>0</v>
      </c>
      <c r="E29" s="641">
        <v>0</v>
      </c>
      <c r="F29" s="641">
        <v>8000000</v>
      </c>
      <c r="G29" s="641">
        <v>0</v>
      </c>
      <c r="H29" s="641">
        <v>0</v>
      </c>
      <c r="I29" s="641">
        <v>0</v>
      </c>
      <c r="J29" s="641">
        <v>0</v>
      </c>
      <c r="K29" s="641">
        <v>90000</v>
      </c>
      <c r="L29" s="641">
        <v>90000</v>
      </c>
      <c r="M29" s="641">
        <v>100000</v>
      </c>
      <c r="N29" s="641">
        <v>200000</v>
      </c>
      <c r="O29" s="641">
        <v>0</v>
      </c>
      <c r="P29" s="641">
        <v>0</v>
      </c>
      <c r="Q29" s="641">
        <v>0</v>
      </c>
      <c r="R29" s="641">
        <v>0</v>
      </c>
      <c r="S29" s="641">
        <v>0</v>
      </c>
      <c r="T29" s="641">
        <v>0</v>
      </c>
    </row>
    <row r="30" spans="1:23">
      <c r="A30" s="1" t="s">
        <v>563</v>
      </c>
      <c r="B30" s="736"/>
      <c r="C30" s="641">
        <v>0</v>
      </c>
      <c r="D30" s="641">
        <v>0</v>
      </c>
      <c r="E30" s="641">
        <v>0</v>
      </c>
      <c r="F30" s="641">
        <v>0</v>
      </c>
      <c r="G30" s="641">
        <v>0</v>
      </c>
      <c r="H30" s="641">
        <v>0</v>
      </c>
      <c r="I30" s="641">
        <v>0</v>
      </c>
      <c r="J30" s="641">
        <v>0</v>
      </c>
      <c r="K30" s="641">
        <v>0</v>
      </c>
      <c r="L30" s="641">
        <v>0</v>
      </c>
      <c r="M30" s="641">
        <v>0</v>
      </c>
      <c r="N30" s="641">
        <v>0</v>
      </c>
      <c r="O30" s="641">
        <v>0</v>
      </c>
      <c r="P30" s="641">
        <v>0</v>
      </c>
      <c r="Q30" s="641">
        <v>0</v>
      </c>
      <c r="R30" s="641">
        <v>0</v>
      </c>
      <c r="S30" s="641">
        <v>0</v>
      </c>
      <c r="T30" s="641">
        <v>44691000</v>
      </c>
    </row>
    <row r="31" spans="1:23" s="687" customFormat="1" ht="15" thickBot="1">
      <c r="A31" s="742"/>
      <c r="B31" s="743"/>
      <c r="C31" s="849">
        <v>108804500</v>
      </c>
      <c r="D31" s="849">
        <v>167031500</v>
      </c>
      <c r="E31" s="849">
        <v>130588500</v>
      </c>
      <c r="F31" s="849">
        <v>140802500</v>
      </c>
      <c r="G31" s="849">
        <v>101465000</v>
      </c>
      <c r="H31" s="849">
        <v>103237000</v>
      </c>
      <c r="I31" s="849">
        <v>160511000</v>
      </c>
      <c r="J31" s="849">
        <v>160260000</v>
      </c>
      <c r="K31" s="849">
        <v>174098000</v>
      </c>
      <c r="L31" s="849">
        <v>159749000</v>
      </c>
      <c r="M31" s="849">
        <v>186477000</v>
      </c>
      <c r="N31" s="849">
        <v>133560000</v>
      </c>
      <c r="O31" s="849">
        <v>115373500</v>
      </c>
      <c r="P31" s="849">
        <v>159846500</v>
      </c>
      <c r="Q31" s="849">
        <v>128997500</v>
      </c>
      <c r="R31" s="849">
        <v>110743000</v>
      </c>
      <c r="S31" s="849">
        <v>205426500</v>
      </c>
      <c r="T31" s="849">
        <v>204905000</v>
      </c>
    </row>
    <row r="32" spans="1:23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  <c r="T32" s="851"/>
    </row>
    <row r="33" spans="1:20" s="688" customFormat="1" ht="21">
      <c r="A33" s="1446" t="s">
        <v>225</v>
      </c>
      <c r="B33" s="1446"/>
      <c r="C33" s="850">
        <v>110474500</v>
      </c>
      <c r="D33" s="850">
        <v>168701500</v>
      </c>
      <c r="E33" s="850">
        <v>132248500</v>
      </c>
      <c r="F33" s="850">
        <v>142442500</v>
      </c>
      <c r="G33" s="850">
        <v>103105000</v>
      </c>
      <c r="H33" s="850">
        <v>104877000</v>
      </c>
      <c r="I33" s="850">
        <v>162151000</v>
      </c>
      <c r="J33" s="850">
        <v>161900000</v>
      </c>
      <c r="K33" s="850">
        <v>175738000</v>
      </c>
      <c r="L33" s="850">
        <v>161389000</v>
      </c>
      <c r="M33" s="850">
        <v>188117000</v>
      </c>
      <c r="N33" s="850">
        <v>135200000</v>
      </c>
      <c r="O33" s="850">
        <v>117013500</v>
      </c>
      <c r="P33" s="850">
        <v>161486500</v>
      </c>
      <c r="Q33" s="850">
        <v>131480500</v>
      </c>
      <c r="R33" s="850">
        <v>113205000</v>
      </c>
      <c r="S33" s="850">
        <v>207873500</v>
      </c>
      <c r="T33" s="850">
        <v>207352000</v>
      </c>
    </row>
    <row r="34" spans="1:20" s="688" customFormat="1" ht="21">
      <c r="A34" s="744"/>
      <c r="B34" s="744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  <c r="T34" s="850"/>
    </row>
    <row r="35" spans="1:20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  <c r="T35" s="851"/>
    </row>
    <row r="36" spans="1:20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4"/>
    </row>
    <row r="37" spans="1:20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</row>
    <row r="38" spans="1:20">
      <c r="A38" s="28" t="s">
        <v>69</v>
      </c>
      <c r="B38" s="747" t="s">
        <v>266</v>
      </c>
      <c r="C38" s="855">
        <v>5000000</v>
      </c>
      <c r="D38" s="855">
        <v>5000000</v>
      </c>
      <c r="E38" s="855">
        <v>5000000</v>
      </c>
      <c r="F38" s="855">
        <v>5000000</v>
      </c>
      <c r="G38" s="855">
        <v>5000000</v>
      </c>
      <c r="H38" s="855">
        <v>5000000</v>
      </c>
      <c r="I38" s="855">
        <v>5000000</v>
      </c>
      <c r="J38" s="855">
        <v>5000000</v>
      </c>
      <c r="K38" s="855">
        <v>5000000</v>
      </c>
      <c r="L38" s="855">
        <v>5000000</v>
      </c>
      <c r="M38" s="855">
        <v>5000000</v>
      </c>
      <c r="N38" s="855">
        <v>5000000</v>
      </c>
      <c r="O38" s="855">
        <v>5000000</v>
      </c>
      <c r="P38" s="855">
        <v>5000000</v>
      </c>
      <c r="Q38" s="855">
        <v>5000000</v>
      </c>
      <c r="R38" s="855">
        <v>5000000</v>
      </c>
      <c r="S38" s="855">
        <v>5000000</v>
      </c>
      <c r="T38" s="855">
        <v>100000000</v>
      </c>
    </row>
    <row r="39" spans="1:20">
      <c r="A39" s="28" t="s">
        <v>74</v>
      </c>
      <c r="B39" s="746" t="s">
        <v>267</v>
      </c>
      <c r="C39" s="855">
        <v>293147</v>
      </c>
      <c r="D39" s="855">
        <v>981447</v>
      </c>
      <c r="E39" s="855">
        <v>981447</v>
      </c>
      <c r="F39" s="855">
        <v>440947</v>
      </c>
      <c r="G39" s="855">
        <v>787797</v>
      </c>
      <c r="H39" s="855">
        <v>787797</v>
      </c>
      <c r="I39" s="855">
        <v>870047</v>
      </c>
      <c r="J39" s="855">
        <v>870047</v>
      </c>
      <c r="K39" s="855">
        <v>139247</v>
      </c>
      <c r="L39" s="855">
        <v>139247</v>
      </c>
      <c r="M39" s="855">
        <v>241247</v>
      </c>
      <c r="N39" s="855">
        <v>241247</v>
      </c>
      <c r="O39" s="855">
        <v>241247</v>
      </c>
      <c r="P39" s="855">
        <v>266997</v>
      </c>
      <c r="Q39" s="855">
        <v>671597</v>
      </c>
      <c r="R39" s="855">
        <v>779147</v>
      </c>
      <c r="S39" s="855">
        <v>130947</v>
      </c>
      <c r="T39" s="855">
        <v>65297</v>
      </c>
    </row>
    <row r="40" spans="1:20">
      <c r="A40" s="28" t="s">
        <v>1</v>
      </c>
      <c r="B40" s="746" t="s">
        <v>268</v>
      </c>
      <c r="C40" s="855">
        <v>211778</v>
      </c>
      <c r="D40" s="855">
        <v>538965</v>
      </c>
      <c r="E40" s="855">
        <v>1113651</v>
      </c>
      <c r="F40" s="855">
        <v>380347</v>
      </c>
      <c r="G40" s="855">
        <v>464520</v>
      </c>
      <c r="H40" s="855">
        <v>755709</v>
      </c>
      <c r="I40" s="855">
        <v>81142</v>
      </c>
      <c r="J40" s="855">
        <v>785692</v>
      </c>
      <c r="K40" s="855">
        <v>1327581</v>
      </c>
      <c r="L40" s="855">
        <v>1928670</v>
      </c>
      <c r="M40" s="855">
        <v>403760</v>
      </c>
      <c r="N40" s="855">
        <v>652956</v>
      </c>
      <c r="O40" s="855">
        <v>97429</v>
      </c>
      <c r="P40" s="855">
        <v>288319</v>
      </c>
      <c r="Q40" s="855">
        <v>1243297</v>
      </c>
      <c r="R40" s="855">
        <v>613139</v>
      </c>
      <c r="S40" s="855">
        <v>74858</v>
      </c>
      <c r="T40" s="855">
        <v>294252</v>
      </c>
    </row>
    <row r="41" spans="1:20">
      <c r="A41" s="28" t="s">
        <v>111</v>
      </c>
      <c r="B41" s="746" t="s">
        <v>269</v>
      </c>
      <c r="C41" s="855">
        <v>530238</v>
      </c>
      <c r="D41" s="855">
        <v>675938</v>
      </c>
      <c r="E41" s="855">
        <v>844938</v>
      </c>
      <c r="F41" s="855">
        <v>916313</v>
      </c>
      <c r="G41" s="855">
        <v>1253368</v>
      </c>
      <c r="H41" s="855">
        <v>1562348</v>
      </c>
      <c r="I41" s="855">
        <v>1680503</v>
      </c>
      <c r="J41" s="855">
        <v>1819763</v>
      </c>
      <c r="K41" s="855">
        <v>1940458</v>
      </c>
      <c r="L41" s="855">
        <v>2086808</v>
      </c>
      <c r="M41" s="855">
        <v>2460168</v>
      </c>
      <c r="N41" s="855">
        <v>2713268</v>
      </c>
      <c r="O41" s="855">
        <v>3299808</v>
      </c>
      <c r="P41" s="855">
        <v>3467508</v>
      </c>
      <c r="Q41" s="855">
        <v>3755178</v>
      </c>
      <c r="R41" s="855">
        <v>4848403</v>
      </c>
      <c r="S41" s="855">
        <v>77683</v>
      </c>
      <c r="T41" s="855">
        <v>226983</v>
      </c>
    </row>
    <row r="42" spans="1:20">
      <c r="A42" s="28" t="s">
        <v>168</v>
      </c>
      <c r="B42" s="746" t="s">
        <v>204</v>
      </c>
      <c r="C42" s="855">
        <v>555770</v>
      </c>
      <c r="D42" s="855">
        <v>568770</v>
      </c>
      <c r="E42" s="855">
        <v>568770</v>
      </c>
      <c r="F42" s="855">
        <v>586770</v>
      </c>
      <c r="G42" s="855">
        <v>115070</v>
      </c>
      <c r="H42" s="855">
        <v>115070</v>
      </c>
      <c r="I42" s="855">
        <v>146070</v>
      </c>
      <c r="J42" s="855">
        <v>194320</v>
      </c>
      <c r="K42" s="855">
        <v>194320</v>
      </c>
      <c r="L42" s="855">
        <v>382320</v>
      </c>
      <c r="M42" s="855">
        <v>395820</v>
      </c>
      <c r="N42" s="855">
        <v>413320</v>
      </c>
      <c r="O42" s="855">
        <v>255920</v>
      </c>
      <c r="P42" s="855">
        <v>255920</v>
      </c>
      <c r="Q42" s="855">
        <v>265420</v>
      </c>
      <c r="R42" s="855">
        <v>388920</v>
      </c>
      <c r="S42" s="855">
        <v>447420</v>
      </c>
      <c r="T42" s="855">
        <v>493420</v>
      </c>
    </row>
    <row r="43" spans="1:20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  <c r="T43" s="855">
        <v>0</v>
      </c>
    </row>
    <row r="44" spans="1:20">
      <c r="A44" s="28" t="s">
        <v>9</v>
      </c>
      <c r="B44" s="746" t="s">
        <v>270</v>
      </c>
      <c r="C44" s="855">
        <v>177638</v>
      </c>
      <c r="D44" s="855">
        <v>386364</v>
      </c>
      <c r="E44" s="855">
        <v>461064</v>
      </c>
      <c r="F44" s="855">
        <v>461064</v>
      </c>
      <c r="G44" s="855">
        <v>461064</v>
      </c>
      <c r="H44" s="855">
        <v>461064</v>
      </c>
      <c r="I44" s="855">
        <v>484827</v>
      </c>
      <c r="J44" s="855">
        <v>484827</v>
      </c>
      <c r="K44" s="855">
        <v>484827</v>
      </c>
      <c r="L44" s="855">
        <v>484827</v>
      </c>
      <c r="M44" s="855">
        <v>484827</v>
      </c>
      <c r="N44" s="855">
        <v>482390</v>
      </c>
      <c r="O44" s="855">
        <v>657279</v>
      </c>
      <c r="P44" s="855">
        <v>846779</v>
      </c>
      <c r="Q44" s="855">
        <v>952568</v>
      </c>
      <c r="R44" s="855">
        <v>281472</v>
      </c>
      <c r="S44" s="855">
        <v>1053298</v>
      </c>
      <c r="T44" s="855">
        <v>1053298</v>
      </c>
    </row>
    <row r="45" spans="1:20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  <c r="N45" s="641">
        <v>4149</v>
      </c>
      <c r="O45" s="641">
        <v>4149</v>
      </c>
      <c r="P45" s="641">
        <v>4149</v>
      </c>
      <c r="Q45" s="641">
        <v>4149</v>
      </c>
      <c r="R45" s="641">
        <v>4149</v>
      </c>
      <c r="S45" s="641">
        <v>4149</v>
      </c>
      <c r="T45" s="641">
        <v>4149</v>
      </c>
    </row>
    <row r="46" spans="1:20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  <c r="N46" s="641">
        <v>22000</v>
      </c>
      <c r="O46" s="641">
        <v>22000</v>
      </c>
      <c r="P46" s="641">
        <v>22000</v>
      </c>
      <c r="Q46" s="641">
        <v>22000</v>
      </c>
      <c r="R46" s="641">
        <v>22000</v>
      </c>
      <c r="S46" s="641">
        <v>22000</v>
      </c>
      <c r="T46" s="641">
        <v>22000</v>
      </c>
    </row>
    <row r="47" spans="1:20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</row>
    <row r="48" spans="1:20" s="687" customFormat="1" ht="15" thickBot="1">
      <c r="A48" s="1447" t="s">
        <v>224</v>
      </c>
      <c r="B48" s="1448"/>
      <c r="C48" s="856">
        <v>6794720</v>
      </c>
      <c r="D48" s="856">
        <v>8177633</v>
      </c>
      <c r="E48" s="856">
        <v>8996019</v>
      </c>
      <c r="F48" s="856">
        <v>7811590</v>
      </c>
      <c r="G48" s="856">
        <v>8107968</v>
      </c>
      <c r="H48" s="856">
        <v>8708137</v>
      </c>
      <c r="I48" s="856">
        <v>8288738</v>
      </c>
      <c r="J48" s="856">
        <v>9180798</v>
      </c>
      <c r="K48" s="856">
        <v>9112582</v>
      </c>
      <c r="L48" s="856">
        <v>10048021</v>
      </c>
      <c r="M48" s="856">
        <v>9011971</v>
      </c>
      <c r="N48" s="856">
        <v>9529330</v>
      </c>
      <c r="O48" s="856">
        <v>9577832</v>
      </c>
      <c r="P48" s="856">
        <v>10151672</v>
      </c>
      <c r="Q48" s="856">
        <v>11914209</v>
      </c>
      <c r="R48" s="856">
        <v>11937230</v>
      </c>
      <c r="S48" s="856">
        <v>6810355</v>
      </c>
      <c r="T48" s="856">
        <v>102159399</v>
      </c>
    </row>
    <row r="49" spans="1:20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</row>
    <row r="50" spans="1:20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  <c r="T50" s="854"/>
    </row>
    <row r="51" spans="1:20">
      <c r="A51" s="28" t="s">
        <v>90</v>
      </c>
      <c r="B51" s="747" t="s">
        <v>206</v>
      </c>
      <c r="C51" s="855">
        <v>5000000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5000000</v>
      </c>
      <c r="P51" s="855">
        <v>5000000</v>
      </c>
      <c r="Q51" s="855">
        <v>5000000</v>
      </c>
      <c r="R51" s="855">
        <v>5000000</v>
      </c>
      <c r="S51" s="855">
        <v>5000000</v>
      </c>
      <c r="T51" s="855">
        <v>23000000</v>
      </c>
    </row>
    <row r="52" spans="1:20">
      <c r="A52" s="28" t="s">
        <v>73</v>
      </c>
      <c r="B52" s="746" t="s">
        <v>81</v>
      </c>
      <c r="C52" s="855">
        <v>391431</v>
      </c>
      <c r="D52" s="855">
        <v>138431</v>
      </c>
      <c r="E52" s="855">
        <v>285431</v>
      </c>
      <c r="F52" s="855">
        <v>285431</v>
      </c>
      <c r="G52" s="855">
        <v>336431</v>
      </c>
      <c r="H52" s="855">
        <v>538431</v>
      </c>
      <c r="I52" s="855">
        <v>732681</v>
      </c>
      <c r="J52" s="855">
        <v>813681</v>
      </c>
      <c r="K52" s="855">
        <v>570981</v>
      </c>
      <c r="L52" s="855">
        <v>596231</v>
      </c>
      <c r="M52" s="855">
        <v>596231</v>
      </c>
      <c r="N52" s="855">
        <v>762931</v>
      </c>
      <c r="O52" s="855">
        <v>118781</v>
      </c>
      <c r="P52" s="855">
        <v>118781</v>
      </c>
      <c r="Q52" s="855">
        <v>189781</v>
      </c>
      <c r="R52" s="855">
        <v>841281</v>
      </c>
      <c r="S52" s="855">
        <v>844656</v>
      </c>
      <c r="T52" s="855">
        <v>809656</v>
      </c>
    </row>
    <row r="53" spans="1:20">
      <c r="A53" s="28" t="s">
        <v>1</v>
      </c>
      <c r="B53" s="746" t="s">
        <v>271</v>
      </c>
      <c r="C53" s="855">
        <v>302375</v>
      </c>
      <c r="D53" s="855">
        <v>745065</v>
      </c>
      <c r="E53" s="855">
        <v>1129251</v>
      </c>
      <c r="F53" s="855">
        <v>1129251</v>
      </c>
      <c r="G53" s="855">
        <v>366237</v>
      </c>
      <c r="H53" s="855">
        <v>877830</v>
      </c>
      <c r="I53" s="855">
        <v>424504</v>
      </c>
      <c r="J53" s="855">
        <v>827192</v>
      </c>
      <c r="K53" s="855">
        <v>1115442</v>
      </c>
      <c r="L53" s="855">
        <v>1483730</v>
      </c>
      <c r="M53" s="855">
        <v>337322</v>
      </c>
      <c r="N53" s="855">
        <v>757414</v>
      </c>
      <c r="O53" s="855">
        <v>337942</v>
      </c>
      <c r="P53" s="855">
        <v>974527</v>
      </c>
      <c r="Q53" s="855">
        <v>247502</v>
      </c>
      <c r="R53" s="855">
        <v>1487506</v>
      </c>
      <c r="S53" s="855">
        <v>1672936</v>
      </c>
      <c r="T53" s="855">
        <v>1672936</v>
      </c>
    </row>
    <row r="54" spans="1:20">
      <c r="A54" s="28" t="s">
        <v>111</v>
      </c>
      <c r="B54" s="746" t="s">
        <v>83</v>
      </c>
      <c r="C54" s="855">
        <v>428265</v>
      </c>
      <c r="D54" s="855">
        <v>487265</v>
      </c>
      <c r="E54" s="855">
        <v>64965</v>
      </c>
      <c r="F54" s="855">
        <v>64965</v>
      </c>
      <c r="G54" s="855">
        <v>265910</v>
      </c>
      <c r="H54" s="855">
        <v>306910</v>
      </c>
      <c r="I54" s="855">
        <v>355910</v>
      </c>
      <c r="J54" s="855">
        <v>419910</v>
      </c>
      <c r="K54" s="855">
        <v>485975</v>
      </c>
      <c r="L54" s="855">
        <v>503975</v>
      </c>
      <c r="M54" s="855">
        <v>3975</v>
      </c>
      <c r="N54" s="855">
        <v>3975</v>
      </c>
      <c r="O54" s="855">
        <v>26975</v>
      </c>
      <c r="P54" s="855">
        <v>26975</v>
      </c>
      <c r="Q54" s="855">
        <v>130675</v>
      </c>
      <c r="R54" s="855">
        <v>370950</v>
      </c>
      <c r="S54" s="855">
        <v>516390</v>
      </c>
      <c r="T54" s="855">
        <v>516390</v>
      </c>
    </row>
    <row r="55" spans="1:20">
      <c r="A55" s="28" t="s">
        <v>168</v>
      </c>
      <c r="B55" s="746" t="s">
        <v>272</v>
      </c>
      <c r="C55" s="855">
        <v>486583</v>
      </c>
      <c r="D55" s="855">
        <v>486583</v>
      </c>
      <c r="E55" s="855">
        <v>486583</v>
      </c>
      <c r="F55" s="855">
        <v>486583</v>
      </c>
      <c r="G55" s="855">
        <v>92583</v>
      </c>
      <c r="H55" s="855">
        <v>148583</v>
      </c>
      <c r="I55" s="855">
        <v>148583</v>
      </c>
      <c r="J55" s="855">
        <v>148583</v>
      </c>
      <c r="K55" s="855">
        <v>271083</v>
      </c>
      <c r="L55" s="855">
        <v>271083</v>
      </c>
      <c r="M55" s="855">
        <v>321583</v>
      </c>
      <c r="N55" s="855">
        <v>321583</v>
      </c>
      <c r="O55" s="855">
        <v>349331</v>
      </c>
      <c r="P55" s="855">
        <v>361083</v>
      </c>
      <c r="Q55" s="855">
        <v>361083</v>
      </c>
      <c r="R55" s="855">
        <v>475083</v>
      </c>
      <c r="S55" s="855">
        <v>515583</v>
      </c>
      <c r="T55" s="855">
        <v>515583</v>
      </c>
    </row>
    <row r="56" spans="1:20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  <c r="T56" s="855">
        <v>0</v>
      </c>
    </row>
    <row r="57" spans="1:20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  <c r="T57" s="855">
        <v>208871</v>
      </c>
    </row>
    <row r="58" spans="1:20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  <c r="T58" s="855">
        <v>4634</v>
      </c>
    </row>
    <row r="59" spans="1:20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</row>
    <row r="60" spans="1:20" s="687" customFormat="1" ht="15" thickBot="1">
      <c r="A60" s="1447" t="s">
        <v>224</v>
      </c>
      <c r="B60" s="1448"/>
      <c r="C60" s="856">
        <v>6822159</v>
      </c>
      <c r="D60" s="856">
        <v>7070849</v>
      </c>
      <c r="E60" s="856">
        <v>7179735</v>
      </c>
      <c r="F60" s="856">
        <v>7179735</v>
      </c>
      <c r="G60" s="856">
        <v>6274666</v>
      </c>
      <c r="H60" s="856">
        <v>7085259</v>
      </c>
      <c r="I60" s="856">
        <v>6875183</v>
      </c>
      <c r="J60" s="856">
        <v>7422871</v>
      </c>
      <c r="K60" s="856">
        <v>7656986</v>
      </c>
      <c r="L60" s="856">
        <v>8068524</v>
      </c>
      <c r="M60" s="856">
        <v>6472616</v>
      </c>
      <c r="N60" s="856">
        <v>7059408</v>
      </c>
      <c r="O60" s="856">
        <v>6046534</v>
      </c>
      <c r="P60" s="856">
        <v>6694871</v>
      </c>
      <c r="Q60" s="856">
        <v>6142546</v>
      </c>
      <c r="R60" s="856">
        <v>8388325</v>
      </c>
      <c r="S60" s="856">
        <v>8763070</v>
      </c>
      <c r="T60" s="856">
        <v>26728070</v>
      </c>
    </row>
    <row r="61" spans="1:20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</row>
    <row r="62" spans="1:20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  <c r="T62" s="858"/>
    </row>
    <row r="63" spans="1:20">
      <c r="A63" s="751" t="s">
        <v>1</v>
      </c>
      <c r="B63" s="752" t="s">
        <v>275</v>
      </c>
      <c r="C63" s="859">
        <v>285115</v>
      </c>
      <c r="D63" s="859">
        <v>746405</v>
      </c>
      <c r="E63" s="859">
        <v>982183</v>
      </c>
      <c r="F63" s="859">
        <v>1004583</v>
      </c>
      <c r="G63" s="859">
        <v>1213380</v>
      </c>
      <c r="H63" s="859">
        <v>72856</v>
      </c>
      <c r="I63" s="859">
        <v>141730</v>
      </c>
      <c r="J63" s="859">
        <v>359724</v>
      </c>
      <c r="K63" s="859">
        <v>663782</v>
      </c>
      <c r="L63" s="859">
        <v>976874</v>
      </c>
      <c r="M63" s="859">
        <v>1870758</v>
      </c>
      <c r="N63" s="859">
        <v>21252</v>
      </c>
      <c r="O63" s="859">
        <v>878023</v>
      </c>
      <c r="P63" s="859">
        <v>1280911</v>
      </c>
      <c r="Q63" s="859">
        <v>80436</v>
      </c>
      <c r="R63" s="859">
        <v>758882</v>
      </c>
      <c r="S63" s="859">
        <v>1689064</v>
      </c>
      <c r="T63" s="859">
        <v>1689064</v>
      </c>
    </row>
    <row r="64" spans="1:20">
      <c r="A64" s="751" t="s">
        <v>212</v>
      </c>
      <c r="B64" s="752" t="s">
        <v>274</v>
      </c>
      <c r="C64" s="859">
        <v>766174</v>
      </c>
      <c r="D64" s="859">
        <v>65674</v>
      </c>
      <c r="E64" s="859">
        <v>85174</v>
      </c>
      <c r="F64" s="859">
        <v>85174</v>
      </c>
      <c r="G64" s="859">
        <v>259674</v>
      </c>
      <c r="H64" s="859">
        <v>409999</v>
      </c>
      <c r="I64" s="859">
        <v>1977699</v>
      </c>
      <c r="J64" s="859">
        <v>150199</v>
      </c>
      <c r="K64" s="859">
        <v>225199</v>
      </c>
      <c r="L64" s="859">
        <v>1084199</v>
      </c>
      <c r="M64" s="859">
        <v>609599</v>
      </c>
      <c r="N64" s="859">
        <v>589599</v>
      </c>
      <c r="O64" s="859">
        <v>27599</v>
      </c>
      <c r="P64" s="859">
        <v>5058099</v>
      </c>
      <c r="Q64" s="859">
        <v>612099</v>
      </c>
      <c r="R64" s="859">
        <v>167149</v>
      </c>
      <c r="S64" s="859">
        <v>926549</v>
      </c>
      <c r="T64" s="859">
        <v>176249</v>
      </c>
    </row>
    <row r="65" spans="1:20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  <c r="T65" s="859">
        <v>159814</v>
      </c>
    </row>
    <row r="66" spans="1:20">
      <c r="A66" s="751" t="s">
        <v>262</v>
      </c>
      <c r="B66" s="752" t="s">
        <v>277</v>
      </c>
      <c r="C66" s="859">
        <v>48991</v>
      </c>
      <c r="D66" s="859">
        <v>278991</v>
      </c>
      <c r="E66" s="859">
        <v>45250</v>
      </c>
      <c r="F66" s="859">
        <v>27799</v>
      </c>
      <c r="G66" s="859">
        <v>482799</v>
      </c>
      <c r="H66" s="859">
        <v>957799</v>
      </c>
      <c r="I66" s="859">
        <v>4059299</v>
      </c>
      <c r="J66" s="859">
        <v>1357221</v>
      </c>
      <c r="K66" s="859">
        <v>1038783</v>
      </c>
      <c r="L66" s="859">
        <v>881283</v>
      </c>
      <c r="M66" s="859">
        <v>5178783</v>
      </c>
      <c r="N66" s="859">
        <v>5756283</v>
      </c>
      <c r="O66" s="859">
        <v>5052783</v>
      </c>
      <c r="P66" s="859">
        <v>192783</v>
      </c>
      <c r="Q66" s="859">
        <v>1032711</v>
      </c>
      <c r="R66" s="859">
        <v>810507</v>
      </c>
      <c r="S66" s="859">
        <v>1303388</v>
      </c>
      <c r="T66" s="859">
        <v>1303388</v>
      </c>
    </row>
    <row r="67" spans="1:20">
      <c r="A67" s="751" t="s">
        <v>200</v>
      </c>
      <c r="B67" s="752" t="s">
        <v>278</v>
      </c>
      <c r="C67" s="859">
        <v>36907</v>
      </c>
      <c r="D67" s="859">
        <v>36907</v>
      </c>
      <c r="E67" s="859">
        <v>36907</v>
      </c>
      <c r="F67" s="859">
        <v>36907</v>
      </c>
      <c r="G67" s="859">
        <v>36907</v>
      </c>
      <c r="H67" s="859">
        <v>36907</v>
      </c>
      <c r="I67" s="859">
        <v>36907</v>
      </c>
      <c r="J67" s="859">
        <v>36907</v>
      </c>
      <c r="K67" s="859">
        <v>36907</v>
      </c>
      <c r="L67" s="859">
        <v>36907</v>
      </c>
      <c r="M67" s="859">
        <v>36907</v>
      </c>
      <c r="N67" s="859">
        <v>36907</v>
      </c>
      <c r="O67" s="859">
        <v>36907</v>
      </c>
      <c r="P67" s="859">
        <v>36907</v>
      </c>
      <c r="Q67" s="859">
        <v>36907</v>
      </c>
      <c r="R67" s="859">
        <v>36907</v>
      </c>
      <c r="S67" s="859">
        <v>36907</v>
      </c>
      <c r="T67" s="859">
        <v>39907</v>
      </c>
    </row>
    <row r="68" spans="1:20">
      <c r="A68" s="751" t="s">
        <v>201</v>
      </c>
      <c r="B68" s="752" t="s">
        <v>279</v>
      </c>
      <c r="C68" s="859">
        <v>27000</v>
      </c>
      <c r="D68" s="859">
        <v>27000</v>
      </c>
      <c r="E68" s="859">
        <v>27000</v>
      </c>
      <c r="F68" s="859">
        <v>27000</v>
      </c>
      <c r="G68" s="859">
        <v>27000</v>
      </c>
      <c r="H68" s="859">
        <v>27000</v>
      </c>
      <c r="I68" s="859">
        <v>35000</v>
      </c>
      <c r="J68" s="859">
        <v>35000</v>
      </c>
      <c r="K68" s="859">
        <v>35000</v>
      </c>
      <c r="L68" s="859">
        <v>35000</v>
      </c>
      <c r="M68" s="859">
        <v>35000</v>
      </c>
      <c r="N68" s="859">
        <v>35000</v>
      </c>
      <c r="O68" s="859">
        <v>35000</v>
      </c>
      <c r="P68" s="859">
        <v>35000</v>
      </c>
      <c r="Q68" s="859">
        <v>35000</v>
      </c>
      <c r="R68" s="859">
        <v>35000</v>
      </c>
      <c r="S68" s="859">
        <v>35000</v>
      </c>
      <c r="T68" s="859">
        <v>35000</v>
      </c>
    </row>
    <row r="69" spans="1:20">
      <c r="A69" s="751" t="s">
        <v>202</v>
      </c>
      <c r="B69" s="752" t="s">
        <v>280</v>
      </c>
      <c r="C69" s="859">
        <v>44500</v>
      </c>
      <c r="D69" s="859">
        <v>44500</v>
      </c>
      <c r="E69" s="859">
        <v>44500</v>
      </c>
      <c r="F69" s="859">
        <v>44500</v>
      </c>
      <c r="G69" s="859">
        <v>44500</v>
      </c>
      <c r="H69" s="859">
        <v>44500</v>
      </c>
      <c r="I69" s="859">
        <v>44500</v>
      </c>
      <c r="J69" s="859">
        <v>44500</v>
      </c>
      <c r="K69" s="859">
        <v>44500</v>
      </c>
      <c r="L69" s="859">
        <v>44500</v>
      </c>
      <c r="M69" s="859">
        <v>44500</v>
      </c>
      <c r="N69" s="859">
        <v>44500</v>
      </c>
      <c r="O69" s="859">
        <v>44500</v>
      </c>
      <c r="P69" s="859">
        <v>48500</v>
      </c>
      <c r="Q69" s="859">
        <v>48500</v>
      </c>
      <c r="R69" s="859">
        <v>48500</v>
      </c>
      <c r="S69" s="859">
        <v>48500</v>
      </c>
      <c r="T69" s="859">
        <v>53500</v>
      </c>
    </row>
    <row r="70" spans="1:20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  <c r="T70" s="859">
        <v>69862</v>
      </c>
    </row>
    <row r="71" spans="1:20">
      <c r="A71" s="751" t="s">
        <v>535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  <c r="R71" s="859">
        <v>0</v>
      </c>
      <c r="S71" s="859">
        <v>0</v>
      </c>
      <c r="T71" s="859">
        <v>0</v>
      </c>
    </row>
    <row r="72" spans="1:20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0"/>
      <c r="R72" s="860"/>
      <c r="S72" s="860"/>
      <c r="T72" s="860"/>
    </row>
    <row r="73" spans="1:20" s="687" customFormat="1" ht="15" thickBot="1">
      <c r="A73" s="1447" t="s">
        <v>224</v>
      </c>
      <c r="B73" s="1448"/>
      <c r="C73" s="856">
        <v>1438363</v>
      </c>
      <c r="D73" s="856">
        <v>1429153</v>
      </c>
      <c r="E73" s="856">
        <v>1450690</v>
      </c>
      <c r="F73" s="856">
        <v>1455639</v>
      </c>
      <c r="G73" s="856">
        <v>2293936</v>
      </c>
      <c r="H73" s="856">
        <v>1778737</v>
      </c>
      <c r="I73" s="856">
        <v>6524811</v>
      </c>
      <c r="J73" s="856">
        <v>2213227</v>
      </c>
      <c r="K73" s="856">
        <v>2273847</v>
      </c>
      <c r="L73" s="856">
        <v>3288439</v>
      </c>
      <c r="M73" s="856">
        <v>8005223</v>
      </c>
      <c r="N73" s="856">
        <v>6713217</v>
      </c>
      <c r="O73" s="856">
        <v>6304488</v>
      </c>
      <c r="P73" s="856">
        <v>6881876</v>
      </c>
      <c r="Q73" s="856">
        <v>2075329</v>
      </c>
      <c r="R73" s="856">
        <v>2086621</v>
      </c>
      <c r="S73" s="856">
        <v>4269084</v>
      </c>
      <c r="T73" s="856">
        <v>3526784</v>
      </c>
    </row>
    <row r="74" spans="1:20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  <c r="T74" s="861"/>
    </row>
    <row r="75" spans="1:20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  <c r="T75" s="848"/>
    </row>
    <row r="76" spans="1:20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  <c r="T76" s="852"/>
    </row>
    <row r="77" spans="1:20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</row>
    <row r="78" spans="1:20">
      <c r="A78" s="28" t="s">
        <v>90</v>
      </c>
      <c r="B78" s="747" t="s">
        <v>266</v>
      </c>
      <c r="C78" s="855">
        <v>5000000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5000000</v>
      </c>
      <c r="T78" s="855">
        <v>20000000</v>
      </c>
    </row>
    <row r="79" spans="1:20">
      <c r="A79" s="28" t="s">
        <v>73</v>
      </c>
      <c r="B79" s="746" t="s">
        <v>485</v>
      </c>
      <c r="C79" s="855">
        <v>87813</v>
      </c>
      <c r="D79" s="855">
        <v>920912</v>
      </c>
      <c r="E79" s="855">
        <v>920912</v>
      </c>
      <c r="F79" s="855">
        <v>920912</v>
      </c>
      <c r="G79" s="855">
        <v>115037</v>
      </c>
      <c r="H79" s="855">
        <v>135787</v>
      </c>
      <c r="I79" s="855">
        <v>135787</v>
      </c>
      <c r="J79" s="855">
        <v>237287</v>
      </c>
      <c r="K79" s="855">
        <v>288037</v>
      </c>
      <c r="L79" s="855">
        <v>359537</v>
      </c>
      <c r="M79" s="855">
        <v>380287</v>
      </c>
      <c r="N79" s="855">
        <v>209037</v>
      </c>
      <c r="O79" s="855">
        <v>280537</v>
      </c>
      <c r="P79" s="855">
        <v>331537</v>
      </c>
      <c r="Q79" s="855">
        <v>648062</v>
      </c>
      <c r="R79" s="855">
        <v>224062</v>
      </c>
      <c r="S79" s="855">
        <v>475604</v>
      </c>
      <c r="T79" s="855">
        <v>468604</v>
      </c>
    </row>
    <row r="80" spans="1:20">
      <c r="A80" s="28" t="s">
        <v>1</v>
      </c>
      <c r="B80" s="746" t="s">
        <v>486</v>
      </c>
      <c r="C80" s="855">
        <v>428188</v>
      </c>
      <c r="D80" s="855">
        <v>1069028</v>
      </c>
      <c r="E80" s="855">
        <v>1340716</v>
      </c>
      <c r="F80" s="855">
        <v>1340716</v>
      </c>
      <c r="G80" s="855">
        <v>1320694</v>
      </c>
      <c r="H80" s="855">
        <v>177983</v>
      </c>
      <c r="I80" s="855">
        <v>1002162</v>
      </c>
      <c r="J80" s="855">
        <v>1306449</v>
      </c>
      <c r="K80" s="855">
        <v>1680441</v>
      </c>
      <c r="L80" s="855">
        <v>604333</v>
      </c>
      <c r="M80" s="855">
        <v>95519</v>
      </c>
      <c r="N80" s="855">
        <v>421812</v>
      </c>
      <c r="O80" s="855">
        <v>794079</v>
      </c>
      <c r="P80" s="855">
        <v>251858</v>
      </c>
      <c r="Q80" s="855">
        <v>1329</v>
      </c>
      <c r="R80" s="855">
        <v>1251989</v>
      </c>
      <c r="S80" s="855">
        <v>1171149</v>
      </c>
      <c r="T80" s="855">
        <v>1171149</v>
      </c>
    </row>
    <row r="81" spans="1:20">
      <c r="A81" s="28" t="s">
        <v>111</v>
      </c>
      <c r="B81" s="746" t="s">
        <v>487</v>
      </c>
      <c r="C81" s="855">
        <v>433127</v>
      </c>
      <c r="D81" s="855">
        <v>499637</v>
      </c>
      <c r="E81" s="855">
        <v>114297</v>
      </c>
      <c r="F81" s="855">
        <v>114297</v>
      </c>
      <c r="G81" s="855">
        <v>350942</v>
      </c>
      <c r="H81" s="855">
        <v>473532</v>
      </c>
      <c r="I81" s="855">
        <v>381932</v>
      </c>
      <c r="J81" s="855">
        <v>381932</v>
      </c>
      <c r="K81" s="855">
        <v>407622</v>
      </c>
      <c r="L81" s="855">
        <v>503022</v>
      </c>
      <c r="M81" s="855">
        <v>3022</v>
      </c>
      <c r="N81" s="855">
        <v>3022</v>
      </c>
      <c r="O81" s="855">
        <v>154042</v>
      </c>
      <c r="P81" s="855">
        <v>326452</v>
      </c>
      <c r="Q81" s="855">
        <v>375452</v>
      </c>
      <c r="R81" s="855">
        <v>187177</v>
      </c>
      <c r="S81" s="855">
        <v>351677</v>
      </c>
      <c r="T81" s="855">
        <v>351677</v>
      </c>
    </row>
    <row r="82" spans="1:20">
      <c r="A82" s="28" t="s">
        <v>168</v>
      </c>
      <c r="B82" s="746" t="s">
        <v>488</v>
      </c>
      <c r="C82" s="855">
        <v>500800</v>
      </c>
      <c r="D82" s="855">
        <v>500800</v>
      </c>
      <c r="E82" s="855">
        <v>551300</v>
      </c>
      <c r="F82" s="855">
        <v>551300</v>
      </c>
      <c r="G82" s="855">
        <v>168800</v>
      </c>
      <c r="H82" s="855">
        <v>168800</v>
      </c>
      <c r="I82" s="855">
        <v>196300</v>
      </c>
      <c r="J82" s="855">
        <v>209800</v>
      </c>
      <c r="K82" s="855">
        <v>360300</v>
      </c>
      <c r="L82" s="855">
        <v>360300</v>
      </c>
      <c r="M82" s="855">
        <v>360300</v>
      </c>
      <c r="N82" s="855">
        <v>360300</v>
      </c>
      <c r="O82" s="855">
        <v>123800</v>
      </c>
      <c r="P82" s="855">
        <v>136800</v>
      </c>
      <c r="Q82" s="855">
        <v>157800</v>
      </c>
      <c r="R82" s="855">
        <v>373550</v>
      </c>
      <c r="S82" s="855">
        <v>385300</v>
      </c>
      <c r="T82" s="855">
        <v>385300</v>
      </c>
    </row>
    <row r="83" spans="1:20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  <c r="T83" s="855">
        <v>0</v>
      </c>
    </row>
    <row r="84" spans="1:20">
      <c r="A84" s="28" t="s">
        <v>9</v>
      </c>
      <c r="B84" s="746" t="s">
        <v>490</v>
      </c>
      <c r="C84" s="855">
        <v>452263</v>
      </c>
      <c r="D84" s="855">
        <v>452263</v>
      </c>
      <c r="E84" s="855">
        <v>452263</v>
      </c>
      <c r="F84" s="855">
        <v>452263</v>
      </c>
      <c r="G84" s="855">
        <v>452263</v>
      </c>
      <c r="H84" s="855">
        <v>452263</v>
      </c>
      <c r="I84" s="855">
        <v>452263</v>
      </c>
      <c r="J84" s="855">
        <v>452263</v>
      </c>
      <c r="K84" s="855">
        <v>452263</v>
      </c>
      <c r="L84" s="855">
        <v>452263</v>
      </c>
      <c r="M84" s="855">
        <v>452263</v>
      </c>
      <c r="N84" s="855">
        <v>451321</v>
      </c>
      <c r="O84" s="855">
        <v>451321</v>
      </c>
      <c r="P84" s="855">
        <v>448884</v>
      </c>
      <c r="Q84" s="855">
        <v>475884</v>
      </c>
      <c r="R84" s="855">
        <v>475884</v>
      </c>
      <c r="S84" s="855">
        <v>475884</v>
      </c>
      <c r="T84" s="855">
        <v>475884</v>
      </c>
    </row>
    <row r="85" spans="1:20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</row>
    <row r="86" spans="1:20" s="687" customFormat="1" ht="15" thickBot="1">
      <c r="A86" s="1447" t="s">
        <v>224</v>
      </c>
      <c r="B86" s="1448"/>
      <c r="C86" s="856">
        <v>6902191</v>
      </c>
      <c r="D86" s="856">
        <v>8442640</v>
      </c>
      <c r="E86" s="856">
        <v>8379488</v>
      </c>
      <c r="F86" s="856">
        <v>8379488</v>
      </c>
      <c r="G86" s="856">
        <v>7407736</v>
      </c>
      <c r="H86" s="856">
        <v>6408365</v>
      </c>
      <c r="I86" s="856">
        <v>7168444</v>
      </c>
      <c r="J86" s="856">
        <v>7587731</v>
      </c>
      <c r="K86" s="856">
        <v>8188663</v>
      </c>
      <c r="L86" s="856">
        <v>7279455</v>
      </c>
      <c r="M86" s="856">
        <v>6291391</v>
      </c>
      <c r="N86" s="856">
        <v>6445492</v>
      </c>
      <c r="O86" s="856">
        <v>6803779</v>
      </c>
      <c r="P86" s="856">
        <v>6495531</v>
      </c>
      <c r="Q86" s="856">
        <v>6658527</v>
      </c>
      <c r="R86" s="856">
        <v>7512662</v>
      </c>
      <c r="S86" s="856">
        <v>7859614</v>
      </c>
      <c r="T86" s="856">
        <v>22852614</v>
      </c>
    </row>
    <row r="87" spans="1:20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  <c r="T87" s="852"/>
    </row>
    <row r="88" spans="1:20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  <c r="T88" s="852"/>
    </row>
    <row r="89" spans="1:20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  <c r="T89" s="862"/>
    </row>
    <row r="90" spans="1:20">
      <c r="A90" s="28" t="s">
        <v>95</v>
      </c>
      <c r="B90" s="747" t="s">
        <v>207</v>
      </c>
      <c r="C90" s="855">
        <v>6561736</v>
      </c>
      <c r="D90" s="855">
        <v>9561736</v>
      </c>
      <c r="E90" s="855">
        <v>14715736</v>
      </c>
      <c r="F90" s="855">
        <v>14618986</v>
      </c>
      <c r="G90" s="855">
        <v>17018043</v>
      </c>
      <c r="H90" s="855">
        <v>4521043</v>
      </c>
      <c r="I90" s="855">
        <v>7700121</v>
      </c>
      <c r="J90" s="855">
        <v>20129221</v>
      </c>
      <c r="K90" s="855">
        <v>5416837</v>
      </c>
      <c r="L90" s="855">
        <v>11073337</v>
      </c>
      <c r="M90" s="855">
        <v>4165734</v>
      </c>
      <c r="N90" s="855">
        <v>4237534</v>
      </c>
      <c r="O90" s="855">
        <v>647922</v>
      </c>
      <c r="P90" s="855">
        <v>647922</v>
      </c>
      <c r="Q90" s="855">
        <v>12597422</v>
      </c>
      <c r="R90" s="855">
        <v>532672</v>
      </c>
      <c r="S90" s="855">
        <v>959866</v>
      </c>
      <c r="T90" s="855">
        <v>959866</v>
      </c>
    </row>
    <row r="91" spans="1:20">
      <c r="A91" s="28" t="s">
        <v>96</v>
      </c>
      <c r="B91" s="747" t="s">
        <v>208</v>
      </c>
      <c r="C91" s="855">
        <v>50870</v>
      </c>
      <c r="D91" s="855">
        <v>50870</v>
      </c>
      <c r="E91" s="855">
        <v>50870</v>
      </c>
      <c r="F91" s="855">
        <v>50870</v>
      </c>
      <c r="G91" s="855">
        <v>50870</v>
      </c>
      <c r="H91" s="855">
        <v>50870</v>
      </c>
      <c r="I91" s="855">
        <v>50870</v>
      </c>
      <c r="J91" s="855">
        <v>50870</v>
      </c>
      <c r="K91" s="855">
        <v>50870</v>
      </c>
      <c r="L91" s="855">
        <v>50870</v>
      </c>
      <c r="M91" s="855">
        <v>50870</v>
      </c>
      <c r="N91" s="855">
        <v>50870</v>
      </c>
      <c r="O91" s="855">
        <v>50870</v>
      </c>
      <c r="P91" s="855">
        <v>50870</v>
      </c>
      <c r="Q91" s="855">
        <v>50870</v>
      </c>
      <c r="R91" s="855">
        <v>50870</v>
      </c>
      <c r="S91" s="855">
        <v>50870</v>
      </c>
      <c r="T91" s="855">
        <v>50870</v>
      </c>
    </row>
    <row r="92" spans="1:20">
      <c r="A92" s="28" t="s">
        <v>94</v>
      </c>
      <c r="B92" s="747" t="s">
        <v>82</v>
      </c>
      <c r="C92" s="855">
        <v>152777</v>
      </c>
      <c r="D92" s="855">
        <v>152777</v>
      </c>
      <c r="E92" s="855">
        <v>152777</v>
      </c>
      <c r="F92" s="855">
        <v>152777</v>
      </c>
      <c r="G92" s="855">
        <v>102777</v>
      </c>
      <c r="H92" s="855">
        <v>102777</v>
      </c>
      <c r="I92" s="855">
        <v>102777</v>
      </c>
      <c r="J92" s="855">
        <v>102777</v>
      </c>
      <c r="K92" s="855">
        <v>102777</v>
      </c>
      <c r="L92" s="855">
        <v>102777</v>
      </c>
      <c r="M92" s="855">
        <v>102777</v>
      </c>
      <c r="N92" s="855">
        <v>102777</v>
      </c>
      <c r="O92" s="855">
        <v>102777</v>
      </c>
      <c r="P92" s="855">
        <v>102777</v>
      </c>
      <c r="Q92" s="855">
        <v>102777</v>
      </c>
      <c r="R92" s="855">
        <v>102777</v>
      </c>
      <c r="S92" s="855">
        <v>52777</v>
      </c>
      <c r="T92" s="855">
        <v>52777</v>
      </c>
    </row>
    <row r="93" spans="1:20">
      <c r="A93" s="28" t="s">
        <v>103</v>
      </c>
      <c r="B93" s="747" t="s">
        <v>209</v>
      </c>
      <c r="C93" s="855">
        <v>102500</v>
      </c>
      <c r="D93" s="855">
        <v>102500</v>
      </c>
      <c r="E93" s="855">
        <v>102500</v>
      </c>
      <c r="F93" s="855">
        <v>102500</v>
      </c>
      <c r="G93" s="855">
        <v>102500</v>
      </c>
      <c r="H93" s="855">
        <v>102500</v>
      </c>
      <c r="I93" s="855">
        <v>102500</v>
      </c>
      <c r="J93" s="855">
        <v>102500</v>
      </c>
      <c r="K93" s="855">
        <v>102500</v>
      </c>
      <c r="L93" s="855">
        <v>102500</v>
      </c>
      <c r="M93" s="855">
        <v>102500</v>
      </c>
      <c r="N93" s="855">
        <v>102500</v>
      </c>
      <c r="O93" s="855">
        <v>102500</v>
      </c>
      <c r="P93" s="855">
        <v>102500</v>
      </c>
      <c r="Q93" s="855">
        <v>102500</v>
      </c>
      <c r="R93" s="855">
        <v>102500</v>
      </c>
      <c r="S93" s="855">
        <v>52500</v>
      </c>
      <c r="T93" s="855">
        <v>52500</v>
      </c>
    </row>
    <row r="94" spans="1:20">
      <c r="A94" s="28" t="s">
        <v>70</v>
      </c>
      <c r="B94" s="747" t="s">
        <v>210</v>
      </c>
      <c r="C94" s="855">
        <v>29123</v>
      </c>
      <c r="D94" s="855">
        <v>29123</v>
      </c>
      <c r="E94" s="855">
        <v>29123</v>
      </c>
      <c r="F94" s="855">
        <v>29123</v>
      </c>
      <c r="G94" s="855">
        <v>29123</v>
      </c>
      <c r="H94" s="855">
        <v>29123</v>
      </c>
      <c r="I94" s="855">
        <v>29123</v>
      </c>
      <c r="J94" s="855">
        <v>29123</v>
      </c>
      <c r="K94" s="855">
        <v>29123</v>
      </c>
      <c r="L94" s="855">
        <v>49123</v>
      </c>
      <c r="M94" s="855">
        <v>49123</v>
      </c>
      <c r="N94" s="855">
        <v>49123</v>
      </c>
      <c r="O94" s="855">
        <v>49123</v>
      </c>
      <c r="P94" s="855">
        <v>49123</v>
      </c>
      <c r="Q94" s="855">
        <v>49123</v>
      </c>
      <c r="R94" s="855">
        <v>49123</v>
      </c>
      <c r="S94" s="855">
        <v>49123</v>
      </c>
      <c r="T94" s="855">
        <v>49123</v>
      </c>
    </row>
    <row r="95" spans="1:20">
      <c r="A95" s="28" t="s">
        <v>220</v>
      </c>
      <c r="B95" s="747" t="s">
        <v>204</v>
      </c>
      <c r="C95" s="855">
        <v>42222</v>
      </c>
      <c r="D95" s="855">
        <v>42222</v>
      </c>
      <c r="E95" s="855">
        <v>42222</v>
      </c>
      <c r="F95" s="855">
        <v>42222</v>
      </c>
      <c r="G95" s="855">
        <v>42222</v>
      </c>
      <c r="H95" s="855">
        <v>42222</v>
      </c>
      <c r="I95" s="855">
        <v>42222</v>
      </c>
      <c r="J95" s="855">
        <v>42222</v>
      </c>
      <c r="K95" s="855">
        <v>42222</v>
      </c>
      <c r="L95" s="855">
        <v>42222</v>
      </c>
      <c r="M95" s="855">
        <v>42222</v>
      </c>
      <c r="N95" s="855">
        <v>42222</v>
      </c>
      <c r="O95" s="855">
        <v>42222</v>
      </c>
      <c r="P95" s="855">
        <v>42222</v>
      </c>
      <c r="Q95" s="855">
        <v>42222</v>
      </c>
      <c r="R95" s="855">
        <v>42222</v>
      </c>
      <c r="S95" s="855">
        <v>42222</v>
      </c>
      <c r="T95" s="855">
        <v>42222</v>
      </c>
    </row>
    <row r="96" spans="1:20">
      <c r="A96" s="28" t="s">
        <v>221</v>
      </c>
      <c r="B96" s="747" t="s">
        <v>205</v>
      </c>
      <c r="C96" s="855">
        <v>41499</v>
      </c>
      <c r="D96" s="855">
        <v>41499</v>
      </c>
      <c r="E96" s="855">
        <v>41499</v>
      </c>
      <c r="F96" s="855">
        <v>41499</v>
      </c>
      <c r="G96" s="855">
        <v>41499</v>
      </c>
      <c r="H96" s="855">
        <v>41499</v>
      </c>
      <c r="I96" s="855">
        <v>41499</v>
      </c>
      <c r="J96" s="855">
        <v>41499</v>
      </c>
      <c r="K96" s="855">
        <v>41499</v>
      </c>
      <c r="L96" s="855">
        <v>52499</v>
      </c>
      <c r="M96" s="855">
        <v>52499</v>
      </c>
      <c r="N96" s="855">
        <v>52499</v>
      </c>
      <c r="O96" s="855">
        <v>52499</v>
      </c>
      <c r="P96" s="855">
        <v>52499</v>
      </c>
      <c r="Q96" s="855">
        <v>52499</v>
      </c>
      <c r="R96" s="855">
        <v>52499</v>
      </c>
      <c r="S96" s="855">
        <v>52499</v>
      </c>
      <c r="T96" s="855">
        <v>52499</v>
      </c>
    </row>
    <row r="97" spans="1:20">
      <c r="A97" s="1" t="s">
        <v>5</v>
      </c>
      <c r="B97" s="756"/>
      <c r="C97" s="641">
        <v>0</v>
      </c>
      <c r="D97" s="641">
        <v>0</v>
      </c>
      <c r="E97" s="641">
        <v>0</v>
      </c>
      <c r="F97" s="641">
        <v>0</v>
      </c>
      <c r="G97" s="641">
        <v>0</v>
      </c>
      <c r="H97" s="641">
        <v>0</v>
      </c>
      <c r="I97" s="641">
        <v>0</v>
      </c>
      <c r="J97" s="641">
        <v>0</v>
      </c>
      <c r="K97" s="641">
        <v>0</v>
      </c>
      <c r="L97" s="641">
        <v>0</v>
      </c>
      <c r="M97" s="641">
        <v>0</v>
      </c>
      <c r="N97" s="641">
        <v>0</v>
      </c>
      <c r="O97" s="641">
        <v>0</v>
      </c>
      <c r="P97" s="641">
        <v>0</v>
      </c>
      <c r="Q97" s="641">
        <v>0</v>
      </c>
      <c r="R97" s="641">
        <v>0</v>
      </c>
      <c r="S97" s="641">
        <v>0</v>
      </c>
      <c r="T97" s="641">
        <v>0</v>
      </c>
    </row>
    <row r="98" spans="1:20">
      <c r="A98" s="1" t="s">
        <v>6</v>
      </c>
      <c r="B98" s="756"/>
      <c r="C98" s="641">
        <v>0</v>
      </c>
      <c r="D98" s="641">
        <v>0</v>
      </c>
      <c r="E98" s="641">
        <v>0</v>
      </c>
      <c r="F98" s="641">
        <v>0</v>
      </c>
      <c r="G98" s="641">
        <v>0</v>
      </c>
      <c r="H98" s="641">
        <v>0</v>
      </c>
      <c r="I98" s="641">
        <v>0</v>
      </c>
      <c r="J98" s="641">
        <v>0</v>
      </c>
      <c r="K98" s="641">
        <v>0</v>
      </c>
      <c r="L98" s="641">
        <v>0</v>
      </c>
      <c r="M98" s="641">
        <v>0</v>
      </c>
      <c r="N98" s="641">
        <v>0</v>
      </c>
      <c r="O98" s="641">
        <v>0</v>
      </c>
      <c r="P98" s="641">
        <v>0</v>
      </c>
      <c r="Q98" s="641">
        <v>0</v>
      </c>
      <c r="R98" s="641">
        <v>0</v>
      </c>
      <c r="S98" s="641">
        <v>0</v>
      </c>
      <c r="T98" s="641">
        <v>0</v>
      </c>
    </row>
    <row r="99" spans="1:20">
      <c r="A99" s="1" t="s">
        <v>7</v>
      </c>
      <c r="B99" s="756"/>
      <c r="C99" s="641">
        <v>5000</v>
      </c>
      <c r="D99" s="641">
        <v>5000</v>
      </c>
      <c r="E99" s="641">
        <v>5000</v>
      </c>
      <c r="F99" s="641">
        <v>5000</v>
      </c>
      <c r="G99" s="641">
        <v>5000</v>
      </c>
      <c r="H99" s="641">
        <v>5000</v>
      </c>
      <c r="I99" s="641">
        <v>5000</v>
      </c>
      <c r="J99" s="641">
        <v>5000</v>
      </c>
      <c r="K99" s="641">
        <v>5000</v>
      </c>
      <c r="L99" s="641">
        <v>5000</v>
      </c>
      <c r="M99" s="641">
        <v>5000</v>
      </c>
      <c r="N99" s="641">
        <v>5000</v>
      </c>
      <c r="O99" s="641">
        <v>5000</v>
      </c>
      <c r="P99" s="641">
        <v>5000</v>
      </c>
      <c r="Q99" s="641">
        <v>5000</v>
      </c>
      <c r="R99" s="641">
        <v>5000</v>
      </c>
      <c r="S99" s="641">
        <v>5000</v>
      </c>
      <c r="T99" s="641">
        <v>5000</v>
      </c>
    </row>
    <row r="100" spans="1:20">
      <c r="A100" s="4" t="s">
        <v>565</v>
      </c>
      <c r="B100" s="757"/>
      <c r="C100" s="689">
        <v>0</v>
      </c>
      <c r="D100" s="689">
        <v>0</v>
      </c>
      <c r="E100" s="689">
        <v>0</v>
      </c>
      <c r="F100" s="689">
        <v>0</v>
      </c>
      <c r="G100" s="689">
        <v>0</v>
      </c>
      <c r="H100" s="689">
        <v>0</v>
      </c>
      <c r="I100" s="689">
        <v>0</v>
      </c>
      <c r="J100" s="689">
        <v>0</v>
      </c>
      <c r="K100" s="689">
        <v>0</v>
      </c>
      <c r="L100" s="689">
        <v>0</v>
      </c>
      <c r="M100" s="689">
        <v>0</v>
      </c>
      <c r="N100" s="689">
        <v>0</v>
      </c>
      <c r="O100" s="689">
        <v>0</v>
      </c>
      <c r="P100" s="689">
        <v>0</v>
      </c>
      <c r="Q100" s="689">
        <v>0</v>
      </c>
      <c r="R100" s="689">
        <v>0</v>
      </c>
      <c r="S100" s="689">
        <v>0</v>
      </c>
      <c r="T100" s="689">
        <v>0</v>
      </c>
    </row>
    <row r="101" spans="1:20">
      <c r="A101" s="4" t="s">
        <v>566</v>
      </c>
      <c r="B101" s="757"/>
      <c r="C101" s="689">
        <v>8000</v>
      </c>
      <c r="D101" s="689">
        <v>8000</v>
      </c>
      <c r="E101" s="689">
        <v>8000</v>
      </c>
      <c r="F101" s="689">
        <v>8000</v>
      </c>
      <c r="G101" s="689">
        <v>8000</v>
      </c>
      <c r="H101" s="689">
        <v>8000</v>
      </c>
      <c r="I101" s="689">
        <v>8000</v>
      </c>
      <c r="J101" s="689">
        <v>8000</v>
      </c>
      <c r="K101" s="689">
        <v>8000</v>
      </c>
      <c r="L101" s="689">
        <v>8000</v>
      </c>
      <c r="M101" s="689">
        <v>8000</v>
      </c>
      <c r="N101" s="689">
        <v>8000</v>
      </c>
      <c r="O101" s="689">
        <v>8000</v>
      </c>
      <c r="P101" s="689">
        <v>8000</v>
      </c>
      <c r="Q101" s="689">
        <v>8000</v>
      </c>
      <c r="R101" s="689">
        <v>8000</v>
      </c>
      <c r="S101" s="689">
        <v>8000</v>
      </c>
      <c r="T101" s="689">
        <v>8000</v>
      </c>
    </row>
    <row r="102" spans="1:20">
      <c r="A102" s="4" t="s">
        <v>567</v>
      </c>
      <c r="B102" s="757"/>
      <c r="C102" s="689">
        <v>3845</v>
      </c>
      <c r="D102" s="689">
        <v>3845</v>
      </c>
      <c r="E102" s="689">
        <v>3845</v>
      </c>
      <c r="F102" s="689">
        <v>3845</v>
      </c>
      <c r="G102" s="689">
        <v>3845</v>
      </c>
      <c r="H102" s="689">
        <v>3845</v>
      </c>
      <c r="I102" s="689">
        <v>3845</v>
      </c>
      <c r="J102" s="689">
        <v>3845</v>
      </c>
      <c r="K102" s="689">
        <v>3845</v>
      </c>
      <c r="L102" s="689">
        <v>3845</v>
      </c>
      <c r="M102" s="689">
        <v>3845</v>
      </c>
      <c r="N102" s="689">
        <v>3845</v>
      </c>
      <c r="O102" s="689">
        <v>3845</v>
      </c>
      <c r="P102" s="689">
        <v>3845</v>
      </c>
      <c r="Q102" s="689">
        <v>3845</v>
      </c>
      <c r="R102" s="689">
        <v>3845</v>
      </c>
      <c r="S102" s="689">
        <v>3845</v>
      </c>
      <c r="T102" s="689">
        <v>3845</v>
      </c>
    </row>
    <row r="103" spans="1:20">
      <c r="A103" s="4" t="s">
        <v>568</v>
      </c>
      <c r="B103" s="757"/>
      <c r="C103" s="689">
        <v>3500</v>
      </c>
      <c r="D103" s="689">
        <v>3500</v>
      </c>
      <c r="E103" s="689">
        <v>3500</v>
      </c>
      <c r="F103" s="689">
        <v>3500</v>
      </c>
      <c r="G103" s="689">
        <v>3500</v>
      </c>
      <c r="H103" s="689">
        <v>3500</v>
      </c>
      <c r="I103" s="689">
        <v>3500</v>
      </c>
      <c r="J103" s="689">
        <v>3500</v>
      </c>
      <c r="K103" s="689">
        <v>3500</v>
      </c>
      <c r="L103" s="689">
        <v>3500</v>
      </c>
      <c r="M103" s="689">
        <v>3500</v>
      </c>
      <c r="N103" s="689">
        <v>3500</v>
      </c>
      <c r="O103" s="689">
        <v>3500</v>
      </c>
      <c r="P103" s="689">
        <v>3500</v>
      </c>
      <c r="Q103" s="689">
        <v>3500</v>
      </c>
      <c r="R103" s="689">
        <v>3500</v>
      </c>
      <c r="S103" s="689">
        <v>3500</v>
      </c>
      <c r="T103" s="689">
        <v>3500</v>
      </c>
    </row>
    <row r="104" spans="1:20">
      <c r="A104" s="4" t="s">
        <v>569</v>
      </c>
      <c r="B104" s="757"/>
      <c r="C104" s="689">
        <v>0</v>
      </c>
      <c r="D104" s="689">
        <v>0</v>
      </c>
      <c r="E104" s="689">
        <v>0</v>
      </c>
      <c r="F104" s="689">
        <v>45250</v>
      </c>
      <c r="G104" s="689">
        <v>45250</v>
      </c>
      <c r="H104" s="689">
        <v>81250</v>
      </c>
      <c r="I104" s="689">
        <v>81250</v>
      </c>
      <c r="J104" s="689">
        <v>81250</v>
      </c>
      <c r="K104" s="689">
        <v>81250</v>
      </c>
      <c r="L104" s="689">
        <v>81250</v>
      </c>
      <c r="M104" s="689">
        <v>81250</v>
      </c>
      <c r="N104" s="689">
        <v>81250</v>
      </c>
      <c r="O104" s="689">
        <v>85250</v>
      </c>
      <c r="P104" s="689">
        <v>85250</v>
      </c>
      <c r="Q104" s="689">
        <v>85250</v>
      </c>
      <c r="R104" s="689">
        <v>85250</v>
      </c>
      <c r="S104" s="689">
        <v>85250</v>
      </c>
      <c r="T104" s="689">
        <v>85250</v>
      </c>
    </row>
    <row r="105" spans="1:20">
      <c r="A105" s="4"/>
      <c r="B105" s="757"/>
      <c r="C105" s="689"/>
      <c r="D105" s="689"/>
      <c r="E105" s="689"/>
      <c r="F105" s="689"/>
      <c r="G105" s="689"/>
      <c r="H105" s="689"/>
      <c r="I105" s="689"/>
      <c r="J105" s="689"/>
      <c r="K105" s="689"/>
      <c r="L105" s="689"/>
      <c r="M105" s="689"/>
      <c r="N105" s="689"/>
      <c r="O105" s="689"/>
      <c r="P105" s="689"/>
      <c r="Q105" s="689"/>
      <c r="R105" s="689"/>
      <c r="S105" s="689"/>
      <c r="T105" s="689"/>
    </row>
    <row r="106" spans="1:20" ht="16.2" thickBot="1">
      <c r="A106" s="737"/>
      <c r="B106" s="738"/>
      <c r="C106" s="848">
        <v>7001072</v>
      </c>
      <c r="D106" s="848">
        <v>10001072</v>
      </c>
      <c r="E106" s="848">
        <v>15155072</v>
      </c>
      <c r="F106" s="848">
        <v>15103572</v>
      </c>
      <c r="G106" s="848">
        <v>17452629</v>
      </c>
      <c r="H106" s="848">
        <v>4991629</v>
      </c>
      <c r="I106" s="848">
        <v>8170707</v>
      </c>
      <c r="J106" s="848">
        <v>20599807</v>
      </c>
      <c r="K106" s="848">
        <v>5887423</v>
      </c>
      <c r="L106" s="848">
        <v>11574923</v>
      </c>
      <c r="M106" s="848">
        <v>4667320</v>
      </c>
      <c r="N106" s="848">
        <v>4739120</v>
      </c>
      <c r="O106" s="848">
        <v>1153508</v>
      </c>
      <c r="P106" s="848">
        <v>1153508</v>
      </c>
      <c r="Q106" s="848">
        <v>13103008</v>
      </c>
      <c r="R106" s="848">
        <v>1038258</v>
      </c>
      <c r="S106" s="848">
        <v>1365452</v>
      </c>
      <c r="T106" s="848">
        <v>1365452</v>
      </c>
    </row>
    <row r="107" spans="1:20">
      <c r="A107" s="5"/>
      <c r="B107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685"/>
      <c r="Q107" s="685"/>
      <c r="R107" s="685"/>
      <c r="S107" s="685"/>
      <c r="T107" s="685"/>
    </row>
    <row r="108" spans="1:20">
      <c r="A108" s="5"/>
      <c r="B108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685"/>
      <c r="Q108" s="685"/>
      <c r="R108" s="685"/>
      <c r="S108" s="685"/>
      <c r="T108" s="685"/>
    </row>
    <row r="109" spans="1:20">
      <c r="A109" s="754" t="s">
        <v>3</v>
      </c>
      <c r="B109" s="755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90"/>
      <c r="P109" s="690"/>
      <c r="Q109" s="690"/>
      <c r="R109" s="690"/>
      <c r="S109" s="690"/>
      <c r="T109" s="690"/>
    </row>
    <row r="110" spans="1:20">
      <c r="A110" s="28" t="s">
        <v>223</v>
      </c>
      <c r="B110" s="747" t="s">
        <v>282</v>
      </c>
      <c r="C110" s="855">
        <v>75278621</v>
      </c>
      <c r="D110" s="855">
        <v>14281621</v>
      </c>
      <c r="E110" s="855">
        <v>46230371</v>
      </c>
      <c r="F110" s="855">
        <v>37024921</v>
      </c>
      <c r="G110" s="855">
        <v>71205253</v>
      </c>
      <c r="H110" s="855">
        <v>84034470</v>
      </c>
      <c r="I110" s="855">
        <v>17972637</v>
      </c>
      <c r="J110" s="855">
        <v>7636937</v>
      </c>
      <c r="K110" s="855">
        <v>6737646</v>
      </c>
      <c r="L110" s="855">
        <v>16155126</v>
      </c>
      <c r="M110" s="855">
        <v>57122</v>
      </c>
      <c r="N110" s="855">
        <v>54711122</v>
      </c>
      <c r="O110" s="855">
        <v>72469251</v>
      </c>
      <c r="P110" s="855">
        <v>24988198</v>
      </c>
      <c r="Q110" s="855">
        <v>45237621</v>
      </c>
      <c r="R110" s="855">
        <v>74467312</v>
      </c>
      <c r="S110" s="855">
        <v>128771011</v>
      </c>
      <c r="T110" s="855">
        <v>506011</v>
      </c>
    </row>
    <row r="111" spans="1:20">
      <c r="A111" s="1" t="s">
        <v>5</v>
      </c>
      <c r="B111" s="756"/>
      <c r="C111" s="641">
        <v>5</v>
      </c>
      <c r="D111" s="641">
        <v>5</v>
      </c>
      <c r="E111" s="641">
        <v>5</v>
      </c>
      <c r="F111" s="641">
        <v>5</v>
      </c>
      <c r="G111" s="641">
        <v>5</v>
      </c>
      <c r="H111" s="641">
        <v>5</v>
      </c>
      <c r="I111" s="641">
        <v>5</v>
      </c>
      <c r="J111" s="641">
        <v>5</v>
      </c>
      <c r="K111" s="641">
        <v>5</v>
      </c>
      <c r="L111" s="641">
        <v>5</v>
      </c>
      <c r="M111" s="641">
        <v>5</v>
      </c>
      <c r="N111" s="641">
        <v>5</v>
      </c>
      <c r="O111" s="641">
        <v>5</v>
      </c>
      <c r="P111" s="641">
        <v>5</v>
      </c>
      <c r="Q111" s="641">
        <v>5</v>
      </c>
      <c r="R111" s="641">
        <v>5</v>
      </c>
      <c r="S111" s="641">
        <v>5</v>
      </c>
      <c r="T111" s="641">
        <v>5</v>
      </c>
    </row>
    <row r="112" spans="1:20">
      <c r="A112" s="1" t="s">
        <v>6</v>
      </c>
      <c r="B112" s="756"/>
      <c r="C112" s="641">
        <v>3148</v>
      </c>
      <c r="D112" s="641">
        <v>3148</v>
      </c>
      <c r="E112" s="641">
        <v>3148</v>
      </c>
      <c r="F112" s="641">
        <v>3148</v>
      </c>
      <c r="G112" s="641">
        <v>3148</v>
      </c>
      <c r="H112" s="641">
        <v>3148</v>
      </c>
      <c r="I112" s="641">
        <v>3148</v>
      </c>
      <c r="J112" s="641">
        <v>3148</v>
      </c>
      <c r="K112" s="641">
        <v>3148</v>
      </c>
      <c r="L112" s="641">
        <v>3148</v>
      </c>
      <c r="M112" s="641">
        <v>3148</v>
      </c>
      <c r="N112" s="641">
        <v>3148</v>
      </c>
      <c r="O112" s="641">
        <v>3148</v>
      </c>
      <c r="P112" s="641">
        <v>3148</v>
      </c>
      <c r="Q112" s="641">
        <v>3148</v>
      </c>
      <c r="R112" s="641">
        <v>3148</v>
      </c>
      <c r="S112" s="641">
        <v>3148</v>
      </c>
      <c r="T112" s="641">
        <v>3148</v>
      </c>
    </row>
    <row r="113" spans="1:20">
      <c r="A113" s="1" t="s">
        <v>7</v>
      </c>
      <c r="B113" s="756"/>
      <c r="C113" s="641">
        <v>149</v>
      </c>
      <c r="D113" s="641">
        <v>149</v>
      </c>
      <c r="E113" s="641">
        <v>149</v>
      </c>
      <c r="F113" s="641">
        <v>149</v>
      </c>
      <c r="G113" s="641">
        <v>149</v>
      </c>
      <c r="H113" s="641">
        <v>149</v>
      </c>
      <c r="I113" s="641">
        <v>149</v>
      </c>
      <c r="J113" s="641">
        <v>149</v>
      </c>
      <c r="K113" s="641">
        <v>149</v>
      </c>
      <c r="L113" s="641">
        <v>149</v>
      </c>
      <c r="M113" s="641">
        <v>149</v>
      </c>
      <c r="N113" s="641">
        <v>149</v>
      </c>
      <c r="O113" s="641">
        <v>149</v>
      </c>
      <c r="P113" s="641">
        <v>149</v>
      </c>
      <c r="Q113" s="641">
        <v>149</v>
      </c>
      <c r="R113" s="641">
        <v>149</v>
      </c>
      <c r="S113" s="641">
        <v>149</v>
      </c>
      <c r="T113" s="641">
        <v>149</v>
      </c>
    </row>
    <row r="114" spans="1:20">
      <c r="A114" s="1" t="s">
        <v>8</v>
      </c>
      <c r="B114" s="756"/>
      <c r="C114" s="641">
        <v>250000</v>
      </c>
      <c r="D114" s="641">
        <v>250000</v>
      </c>
      <c r="E114" s="641">
        <v>250000</v>
      </c>
      <c r="F114" s="641">
        <v>250000</v>
      </c>
      <c r="G114" s="641">
        <v>250000</v>
      </c>
      <c r="H114" s="641">
        <v>250000</v>
      </c>
      <c r="I114" s="641">
        <v>250000</v>
      </c>
      <c r="J114" s="641">
        <v>250000</v>
      </c>
      <c r="K114" s="641">
        <v>250000</v>
      </c>
      <c r="L114" s="641">
        <v>250000</v>
      </c>
      <c r="M114" s="641">
        <v>250000</v>
      </c>
      <c r="N114" s="641">
        <v>250000</v>
      </c>
      <c r="O114" s="641">
        <v>250000</v>
      </c>
      <c r="P114" s="641">
        <v>250000</v>
      </c>
      <c r="Q114" s="641">
        <v>250000</v>
      </c>
      <c r="R114" s="641">
        <v>250000</v>
      </c>
      <c r="S114" s="641">
        <v>250000</v>
      </c>
      <c r="T114" s="641">
        <v>250000</v>
      </c>
    </row>
    <row r="115" spans="1:20">
      <c r="A115" s="1"/>
      <c r="B115" s="736"/>
      <c r="C115" s="641"/>
      <c r="D115" s="641"/>
      <c r="E115" s="641"/>
      <c r="F115" s="641"/>
      <c r="G115" s="641"/>
      <c r="H115" s="641"/>
      <c r="I115" s="641"/>
      <c r="J115" s="641"/>
      <c r="K115" s="641"/>
      <c r="L115" s="641"/>
      <c r="M115" s="641"/>
      <c r="N115" s="641"/>
      <c r="O115" s="641"/>
      <c r="P115" s="641"/>
      <c r="Q115" s="641"/>
      <c r="R115" s="641"/>
      <c r="S115" s="641"/>
      <c r="T115" s="641"/>
    </row>
    <row r="116" spans="1:20" ht="15.6">
      <c r="A116" s="1"/>
      <c r="B116" s="736"/>
      <c r="C116" s="863">
        <v>75531923</v>
      </c>
      <c r="D116" s="863">
        <v>14534923</v>
      </c>
      <c r="E116" s="863">
        <v>46483673</v>
      </c>
      <c r="F116" s="863">
        <v>37278223</v>
      </c>
      <c r="G116" s="863">
        <v>71458555</v>
      </c>
      <c r="H116" s="863">
        <v>84287772</v>
      </c>
      <c r="I116" s="863">
        <v>18225939</v>
      </c>
      <c r="J116" s="863">
        <v>7890239</v>
      </c>
      <c r="K116" s="863">
        <v>6990948</v>
      </c>
      <c r="L116" s="863">
        <v>16408428</v>
      </c>
      <c r="M116" s="863">
        <v>310424</v>
      </c>
      <c r="N116" s="863">
        <v>54964424</v>
      </c>
      <c r="O116" s="863">
        <v>72722553</v>
      </c>
      <c r="P116" s="863">
        <v>25241500</v>
      </c>
      <c r="Q116" s="863">
        <v>45490923</v>
      </c>
      <c r="R116" s="863">
        <v>74720614</v>
      </c>
      <c r="S116" s="863">
        <v>129024313</v>
      </c>
      <c r="T116" s="863">
        <v>759313</v>
      </c>
    </row>
    <row r="117" spans="1:20">
      <c r="A117" s="4"/>
      <c r="B117" s="15"/>
      <c r="C117" s="865"/>
      <c r="D117" s="865"/>
      <c r="E117" s="865"/>
      <c r="F117" s="865"/>
      <c r="G117" s="865"/>
      <c r="H117" s="865"/>
      <c r="I117" s="865"/>
      <c r="J117" s="865"/>
      <c r="K117" s="865"/>
      <c r="L117" s="865"/>
      <c r="M117" s="865"/>
      <c r="N117" s="865"/>
      <c r="O117" s="865"/>
      <c r="P117" s="865"/>
      <c r="Q117" s="865"/>
      <c r="R117" s="865"/>
      <c r="S117" s="865"/>
      <c r="T117" s="865"/>
    </row>
    <row r="118" spans="1:20">
      <c r="A118" s="5"/>
      <c r="B118"/>
      <c r="C118" s="864"/>
      <c r="D118" s="864"/>
      <c r="E118" s="864"/>
      <c r="F118" s="864"/>
      <c r="G118" s="864"/>
      <c r="H118" s="864"/>
      <c r="I118" s="864"/>
      <c r="J118" s="864"/>
      <c r="K118" s="864"/>
      <c r="L118" s="864"/>
      <c r="M118" s="864"/>
      <c r="N118" s="864"/>
      <c r="O118" s="864"/>
      <c r="P118" s="864"/>
      <c r="Q118" s="864"/>
      <c r="R118" s="864"/>
      <c r="S118" s="864"/>
      <c r="T118" s="864"/>
    </row>
    <row r="119" spans="1:20" s="688" customFormat="1" ht="21">
      <c r="A119" s="1449" t="s">
        <v>226</v>
      </c>
      <c r="B119" s="1446"/>
      <c r="C119" s="850">
        <v>104490428</v>
      </c>
      <c r="D119" s="850">
        <v>49656270</v>
      </c>
      <c r="E119" s="850">
        <v>87644677</v>
      </c>
      <c r="F119" s="850">
        <v>77208247</v>
      </c>
      <c r="G119" s="850">
        <v>112995490</v>
      </c>
      <c r="H119" s="850">
        <v>113259899</v>
      </c>
      <c r="I119" s="850">
        <v>55253822</v>
      </c>
      <c r="J119" s="850">
        <v>54894673</v>
      </c>
      <c r="K119" s="850">
        <v>40110449</v>
      </c>
      <c r="L119" s="850">
        <v>56667790</v>
      </c>
      <c r="M119" s="850">
        <v>34758945</v>
      </c>
      <c r="N119" s="850">
        <v>89450991</v>
      </c>
      <c r="O119" s="850">
        <v>102608694</v>
      </c>
      <c r="P119" s="850">
        <v>56618958</v>
      </c>
      <c r="Q119" s="850">
        <v>85384542</v>
      </c>
      <c r="R119" s="850">
        <v>105683710</v>
      </c>
      <c r="S119" s="850">
        <v>158091888</v>
      </c>
      <c r="T119" s="850">
        <v>157391632</v>
      </c>
    </row>
    <row r="120" spans="1:20">
      <c r="A120" s="5"/>
      <c r="B120"/>
      <c r="C120" s="864"/>
      <c r="D120" s="864"/>
      <c r="E120" s="864"/>
      <c r="F120" s="864"/>
      <c r="G120" s="864"/>
      <c r="H120" s="864"/>
      <c r="I120" s="864"/>
      <c r="J120" s="864"/>
      <c r="K120" s="864"/>
      <c r="L120" s="864"/>
      <c r="M120" s="864"/>
      <c r="N120" s="864"/>
      <c r="O120" s="864"/>
      <c r="P120" s="864"/>
      <c r="Q120" s="864"/>
      <c r="R120" s="864"/>
      <c r="S120" s="864"/>
      <c r="T120" s="864"/>
    </row>
    <row r="121" spans="1:20" ht="16.2" thickBot="1">
      <c r="A121" s="758"/>
      <c r="B121" s="759"/>
      <c r="C121" s="866"/>
      <c r="D121" s="866"/>
      <c r="E121" s="866"/>
      <c r="F121" s="866"/>
      <c r="G121" s="866"/>
      <c r="H121" s="866"/>
      <c r="I121" s="866"/>
      <c r="J121" s="866"/>
      <c r="K121" s="866"/>
      <c r="L121" s="866"/>
      <c r="M121" s="866"/>
      <c r="N121" s="866"/>
      <c r="O121" s="866"/>
      <c r="P121" s="866"/>
      <c r="Q121" s="866"/>
      <c r="R121" s="866"/>
      <c r="S121" s="866"/>
      <c r="T121" s="866"/>
    </row>
    <row r="122" spans="1:20" ht="15" thickTop="1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  <c r="R122" s="864"/>
      <c r="S122" s="864"/>
      <c r="T122" s="864"/>
    </row>
    <row r="123" spans="1:20" s="691" customFormat="1" ht="21">
      <c r="A123" s="1442" t="s">
        <v>227</v>
      </c>
      <c r="B123" s="1443"/>
      <c r="C123" s="867">
        <v>214964928</v>
      </c>
      <c r="D123" s="867">
        <v>218357770</v>
      </c>
      <c r="E123" s="867">
        <v>219893177</v>
      </c>
      <c r="F123" s="867">
        <v>219650747</v>
      </c>
      <c r="G123" s="867">
        <v>216100490</v>
      </c>
      <c r="H123" s="867">
        <v>218136899</v>
      </c>
      <c r="I123" s="867">
        <v>217404822</v>
      </c>
      <c r="J123" s="867">
        <v>216794673</v>
      </c>
      <c r="K123" s="867">
        <v>215848449</v>
      </c>
      <c r="L123" s="867">
        <v>218056790</v>
      </c>
      <c r="M123" s="867">
        <v>222875945</v>
      </c>
      <c r="N123" s="867">
        <v>224650991</v>
      </c>
      <c r="O123" s="867">
        <v>219622194</v>
      </c>
      <c r="P123" s="867">
        <v>218105458</v>
      </c>
      <c r="Q123" s="867">
        <v>216865042</v>
      </c>
      <c r="R123" s="867">
        <v>218888710</v>
      </c>
      <c r="S123" s="867">
        <v>365965388</v>
      </c>
      <c r="T123" s="867">
        <v>364743632</v>
      </c>
    </row>
    <row r="124" spans="1:20">
      <c r="A124" s="5"/>
      <c r="B124"/>
      <c r="C124" s="852"/>
      <c r="D124" s="852"/>
      <c r="E124" s="852"/>
      <c r="F124" s="852"/>
      <c r="G124" s="852"/>
      <c r="H124" s="852"/>
      <c r="I124" s="852"/>
      <c r="J124" s="852"/>
      <c r="K124" s="852"/>
      <c r="L124" s="852"/>
      <c r="M124" s="852"/>
      <c r="N124" s="852"/>
      <c r="O124" s="852"/>
      <c r="P124" s="852"/>
      <c r="Q124" s="852"/>
      <c r="R124" s="852"/>
      <c r="S124" s="852"/>
      <c r="T124" s="852"/>
    </row>
    <row r="125" spans="1:20" ht="18">
      <c r="A125" s="754" t="s">
        <v>21</v>
      </c>
      <c r="B125" s="755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</row>
    <row r="126" spans="1:20">
      <c r="A126" s="1"/>
      <c r="B126" s="736"/>
      <c r="C126" s="641"/>
      <c r="D126" s="641"/>
      <c r="E126" s="641"/>
      <c r="F126" s="641"/>
      <c r="G126" s="641"/>
      <c r="H126" s="641"/>
      <c r="I126" s="641"/>
      <c r="J126" s="641"/>
      <c r="K126" s="641"/>
      <c r="L126" s="641"/>
      <c r="M126" s="641"/>
      <c r="N126" s="641"/>
      <c r="O126" s="641"/>
      <c r="P126" s="641"/>
      <c r="Q126" s="641"/>
      <c r="R126" s="641"/>
      <c r="S126" s="641"/>
      <c r="T126" s="641"/>
    </row>
    <row r="127" spans="1:20">
      <c r="A127" s="4" t="s">
        <v>76</v>
      </c>
      <c r="B127" s="15"/>
      <c r="C127" s="689">
        <v>5000000</v>
      </c>
      <c r="D127" s="689">
        <v>5000000</v>
      </c>
      <c r="E127" s="689">
        <v>5000000</v>
      </c>
      <c r="F127" s="689">
        <v>5000000</v>
      </c>
      <c r="G127" s="689">
        <v>5000000</v>
      </c>
      <c r="H127" s="689">
        <v>5000000</v>
      </c>
      <c r="I127" s="689">
        <v>5000000</v>
      </c>
      <c r="J127" s="689">
        <v>5000000</v>
      </c>
      <c r="K127" s="689">
        <v>5000000</v>
      </c>
      <c r="L127" s="689">
        <v>5000000</v>
      </c>
      <c r="M127" s="689">
        <v>5000000</v>
      </c>
      <c r="N127" s="689">
        <v>5000000</v>
      </c>
      <c r="O127" s="689">
        <v>5000000</v>
      </c>
      <c r="P127" s="689">
        <v>5000000</v>
      </c>
      <c r="Q127" s="689">
        <v>5000000</v>
      </c>
      <c r="R127" s="689">
        <v>5000000</v>
      </c>
      <c r="S127" s="689">
        <v>5000000</v>
      </c>
      <c r="T127" s="689">
        <v>5000000</v>
      </c>
    </row>
    <row r="128" spans="1:20">
      <c r="A128" s="4" t="s">
        <v>186</v>
      </c>
      <c r="B128" s="15"/>
      <c r="C128" s="689">
        <v>679000</v>
      </c>
      <c r="D128" s="689">
        <v>679000</v>
      </c>
      <c r="E128" s="689">
        <v>679000</v>
      </c>
      <c r="F128" s="689">
        <v>679000</v>
      </c>
      <c r="G128" s="689">
        <v>679000</v>
      </c>
      <c r="H128" s="689">
        <v>679000</v>
      </c>
      <c r="I128" s="689">
        <v>679000</v>
      </c>
      <c r="J128" s="689">
        <v>679000</v>
      </c>
      <c r="K128" s="689">
        <v>679000</v>
      </c>
      <c r="L128" s="689">
        <v>679000</v>
      </c>
      <c r="M128" s="689">
        <v>679000</v>
      </c>
      <c r="N128" s="689">
        <v>679000</v>
      </c>
      <c r="O128" s="689">
        <v>679000</v>
      </c>
      <c r="P128" s="689">
        <v>679000</v>
      </c>
      <c r="Q128" s="689">
        <v>679000</v>
      </c>
      <c r="R128" s="689">
        <v>679000</v>
      </c>
      <c r="S128" s="689">
        <v>679000</v>
      </c>
      <c r="T128" s="689">
        <v>679000</v>
      </c>
    </row>
    <row r="129" spans="1:20">
      <c r="A129" s="4" t="s">
        <v>261</v>
      </c>
      <c r="B129" s="15"/>
      <c r="C129" s="689">
        <v>200000</v>
      </c>
      <c r="D129" s="689">
        <v>200000</v>
      </c>
      <c r="E129" s="689">
        <v>200000</v>
      </c>
      <c r="F129" s="689">
        <v>200000</v>
      </c>
      <c r="G129" s="689">
        <v>200000</v>
      </c>
      <c r="H129" s="689">
        <v>200000</v>
      </c>
      <c r="I129" s="689">
        <v>200000</v>
      </c>
      <c r="J129" s="689">
        <v>200000</v>
      </c>
      <c r="K129" s="689">
        <v>200000</v>
      </c>
      <c r="L129" s="689">
        <v>200000</v>
      </c>
      <c r="M129" s="689">
        <v>200000</v>
      </c>
      <c r="N129" s="689">
        <v>200000</v>
      </c>
      <c r="O129" s="689">
        <v>200000</v>
      </c>
      <c r="P129" s="689">
        <v>200000</v>
      </c>
      <c r="Q129" s="689">
        <v>200000</v>
      </c>
      <c r="R129" s="689">
        <v>200000</v>
      </c>
      <c r="S129" s="689">
        <v>200000</v>
      </c>
      <c r="T129" s="689">
        <v>200000</v>
      </c>
    </row>
    <row r="130" spans="1:20">
      <c r="A130" s="4" t="s">
        <v>669</v>
      </c>
      <c r="B130" s="15"/>
      <c r="C130" s="689">
        <v>55000</v>
      </c>
      <c r="D130" s="689">
        <v>55000</v>
      </c>
      <c r="E130" s="689">
        <v>55000</v>
      </c>
      <c r="F130" s="689">
        <v>55000</v>
      </c>
      <c r="G130" s="689">
        <v>55000</v>
      </c>
      <c r="H130" s="689">
        <v>55000</v>
      </c>
      <c r="I130" s="689">
        <v>55000</v>
      </c>
      <c r="J130" s="689">
        <v>55000</v>
      </c>
      <c r="K130" s="689">
        <v>55000</v>
      </c>
      <c r="L130" s="689">
        <v>55000</v>
      </c>
      <c r="M130" s="689">
        <v>55000</v>
      </c>
      <c r="N130" s="689">
        <v>55000</v>
      </c>
      <c r="O130" s="689">
        <v>55000</v>
      </c>
      <c r="P130" s="689">
        <v>55000</v>
      </c>
      <c r="Q130" s="689">
        <v>55000</v>
      </c>
      <c r="R130" s="689">
        <v>55000</v>
      </c>
      <c r="S130" s="689">
        <v>55000</v>
      </c>
      <c r="T130" s="689">
        <v>55000</v>
      </c>
    </row>
    <row r="131" spans="1:20">
      <c r="A131" s="4" t="s">
        <v>667</v>
      </c>
      <c r="B131" s="15"/>
      <c r="C131" s="689">
        <v>0</v>
      </c>
      <c r="D131" s="689">
        <v>0</v>
      </c>
      <c r="E131" s="689">
        <v>0</v>
      </c>
      <c r="F131" s="689">
        <v>0</v>
      </c>
      <c r="G131" s="689">
        <v>0</v>
      </c>
      <c r="H131" s="689">
        <v>0</v>
      </c>
      <c r="I131" s="689">
        <v>0</v>
      </c>
      <c r="J131" s="689">
        <v>0</v>
      </c>
      <c r="K131" s="689">
        <v>0</v>
      </c>
      <c r="L131" s="689">
        <v>0</v>
      </c>
      <c r="M131" s="689">
        <v>0</v>
      </c>
      <c r="N131" s="689">
        <v>0</v>
      </c>
      <c r="O131" s="689">
        <v>0</v>
      </c>
      <c r="P131" s="689">
        <v>0</v>
      </c>
      <c r="Q131" s="689">
        <v>0</v>
      </c>
      <c r="R131" s="689">
        <v>0</v>
      </c>
      <c r="S131" s="689">
        <v>0</v>
      </c>
      <c r="T131" s="689">
        <v>0</v>
      </c>
    </row>
    <row r="132" spans="1:20">
      <c r="A132" s="4" t="s">
        <v>697</v>
      </c>
      <c r="B132" s="15"/>
      <c r="C132" s="689">
        <v>60000</v>
      </c>
      <c r="D132" s="689">
        <v>60000</v>
      </c>
      <c r="E132" s="689">
        <v>60000</v>
      </c>
      <c r="F132" s="689">
        <v>60000</v>
      </c>
      <c r="G132" s="693">
        <v>60000</v>
      </c>
      <c r="H132" s="689">
        <v>0</v>
      </c>
      <c r="I132" s="689">
        <v>0</v>
      </c>
      <c r="J132" s="689">
        <v>0</v>
      </c>
      <c r="K132" s="689">
        <v>0</v>
      </c>
      <c r="L132" s="689">
        <v>0</v>
      </c>
      <c r="M132" s="689">
        <v>0</v>
      </c>
      <c r="N132" s="689">
        <v>0</v>
      </c>
      <c r="O132" s="689">
        <v>0</v>
      </c>
      <c r="P132" s="689">
        <v>0</v>
      </c>
      <c r="Q132" s="689">
        <v>0</v>
      </c>
      <c r="R132" s="689">
        <v>0</v>
      </c>
      <c r="S132" s="689">
        <v>0</v>
      </c>
      <c r="T132" s="689">
        <v>0</v>
      </c>
    </row>
    <row r="133" spans="1:20">
      <c r="A133" s="1" t="s">
        <v>26</v>
      </c>
      <c r="B133" s="736"/>
      <c r="C133" s="641">
        <v>50000</v>
      </c>
      <c r="D133" s="641">
        <v>50000</v>
      </c>
      <c r="E133" s="641">
        <v>50000</v>
      </c>
      <c r="F133" s="641">
        <v>50000</v>
      </c>
      <c r="G133" s="641">
        <v>50000</v>
      </c>
      <c r="H133" s="641">
        <v>50000</v>
      </c>
      <c r="I133" s="641">
        <v>50000</v>
      </c>
      <c r="J133" s="641">
        <v>50000</v>
      </c>
      <c r="K133" s="641">
        <v>50000</v>
      </c>
      <c r="L133" s="641">
        <v>50000</v>
      </c>
      <c r="M133" s="641">
        <v>50000</v>
      </c>
      <c r="N133" s="641">
        <v>50000</v>
      </c>
      <c r="O133" s="641">
        <v>50000</v>
      </c>
      <c r="P133" s="641">
        <v>50000</v>
      </c>
      <c r="Q133" s="641">
        <v>50000</v>
      </c>
      <c r="R133" s="641">
        <v>50000</v>
      </c>
      <c r="S133" s="641">
        <v>50000</v>
      </c>
      <c r="T133" s="641">
        <v>50000</v>
      </c>
    </row>
    <row r="134" spans="1:20">
      <c r="A134" s="1" t="s">
        <v>570</v>
      </c>
      <c r="B134" s="736"/>
      <c r="C134" s="641">
        <v>2250000</v>
      </c>
      <c r="D134" s="641">
        <v>2250000</v>
      </c>
      <c r="E134" s="641">
        <v>2250000</v>
      </c>
      <c r="F134" s="641">
        <v>2250000</v>
      </c>
      <c r="G134" s="641">
        <v>2250000</v>
      </c>
      <c r="H134" s="641">
        <v>2250000</v>
      </c>
      <c r="I134" s="641">
        <v>2250000</v>
      </c>
      <c r="J134" s="641">
        <v>2250000</v>
      </c>
      <c r="K134" s="641">
        <v>2250000</v>
      </c>
      <c r="L134" s="641">
        <v>2250000</v>
      </c>
      <c r="M134" s="641">
        <v>2250000</v>
      </c>
      <c r="N134" s="641">
        <v>2250000</v>
      </c>
      <c r="O134" s="641">
        <v>2250000</v>
      </c>
      <c r="P134" s="641">
        <v>2250000</v>
      </c>
      <c r="Q134" s="641">
        <v>2250000</v>
      </c>
      <c r="R134" s="641">
        <v>2250000</v>
      </c>
      <c r="S134" s="641">
        <v>2250000</v>
      </c>
      <c r="T134" s="641">
        <v>2250000</v>
      </c>
    </row>
    <row r="135" spans="1:20">
      <c r="A135" s="1" t="s">
        <v>571</v>
      </c>
      <c r="B135" s="736"/>
      <c r="C135" s="641">
        <v>190000</v>
      </c>
      <c r="D135" s="641">
        <v>190000</v>
      </c>
      <c r="E135" s="641">
        <v>190000</v>
      </c>
      <c r="F135" s="641">
        <v>190000</v>
      </c>
      <c r="G135" s="641">
        <v>190000</v>
      </c>
      <c r="H135" s="641">
        <v>190000</v>
      </c>
      <c r="I135" s="641">
        <v>190000</v>
      </c>
      <c r="J135" s="641">
        <v>190000</v>
      </c>
      <c r="K135" s="641">
        <v>190000</v>
      </c>
      <c r="L135" s="641">
        <v>190000</v>
      </c>
      <c r="M135" s="641">
        <v>190000</v>
      </c>
      <c r="N135" s="641">
        <v>190000</v>
      </c>
      <c r="O135" s="684">
        <v>190000</v>
      </c>
      <c r="P135" s="641">
        <v>85000</v>
      </c>
      <c r="Q135" s="641">
        <v>85000</v>
      </c>
      <c r="R135" s="641">
        <v>85000</v>
      </c>
      <c r="S135" s="641">
        <v>85000</v>
      </c>
      <c r="T135" s="684">
        <v>85000</v>
      </c>
    </row>
    <row r="136" spans="1:20">
      <c r="A136" s="1" t="s">
        <v>198</v>
      </c>
      <c r="B136" s="736"/>
      <c r="C136" s="641">
        <v>100000</v>
      </c>
      <c r="D136" s="641">
        <v>100000</v>
      </c>
      <c r="E136" s="641">
        <v>100000</v>
      </c>
      <c r="F136" s="641">
        <v>100000</v>
      </c>
      <c r="G136" s="641">
        <v>100000</v>
      </c>
      <c r="H136" s="641">
        <v>100000</v>
      </c>
      <c r="I136" s="641">
        <v>100000</v>
      </c>
      <c r="J136" s="641">
        <v>100000</v>
      </c>
      <c r="K136" s="641">
        <v>100000</v>
      </c>
      <c r="L136" s="641">
        <v>100000</v>
      </c>
      <c r="M136" s="641">
        <v>100000</v>
      </c>
      <c r="N136" s="641">
        <v>100000</v>
      </c>
      <c r="O136" s="641">
        <v>100000</v>
      </c>
      <c r="P136" s="684">
        <v>100000</v>
      </c>
      <c r="Q136" s="684">
        <v>305000</v>
      </c>
      <c r="R136" s="641">
        <v>250000</v>
      </c>
      <c r="S136" s="641">
        <v>250000</v>
      </c>
      <c r="T136" s="641">
        <v>250000</v>
      </c>
    </row>
    <row r="137" spans="1:20">
      <c r="A137" s="1" t="s">
        <v>676</v>
      </c>
      <c r="B137" s="736"/>
      <c r="C137" s="684">
        <v>0</v>
      </c>
      <c r="D137" s="684">
        <v>0</v>
      </c>
      <c r="E137" s="684">
        <v>0</v>
      </c>
      <c r="F137" s="684">
        <v>0</v>
      </c>
      <c r="G137" s="641">
        <v>393750</v>
      </c>
      <c r="H137" s="641">
        <v>393750</v>
      </c>
      <c r="I137" s="641">
        <v>393750</v>
      </c>
      <c r="J137" s="641">
        <v>393750</v>
      </c>
      <c r="K137" s="641">
        <v>393750</v>
      </c>
      <c r="L137" s="641">
        <v>393750</v>
      </c>
      <c r="M137" s="641">
        <v>393750</v>
      </c>
      <c r="N137" s="641">
        <v>393750</v>
      </c>
      <c r="O137" s="641">
        <v>393750</v>
      </c>
      <c r="P137" s="641">
        <v>393750</v>
      </c>
      <c r="Q137" s="642">
        <v>393750</v>
      </c>
      <c r="R137" s="684">
        <v>393750</v>
      </c>
      <c r="S137" s="641">
        <v>0</v>
      </c>
      <c r="T137" s="641">
        <v>0</v>
      </c>
    </row>
    <row r="138" spans="1:20">
      <c r="A138" s="1" t="s">
        <v>627</v>
      </c>
      <c r="B138" s="736"/>
      <c r="C138" s="641">
        <v>0</v>
      </c>
      <c r="D138" s="641">
        <v>0</v>
      </c>
      <c r="E138" s="641">
        <v>0</v>
      </c>
      <c r="F138" s="641">
        <v>0</v>
      </c>
      <c r="G138" s="641">
        <v>0</v>
      </c>
      <c r="H138" s="641">
        <v>0</v>
      </c>
      <c r="I138" s="641">
        <v>0</v>
      </c>
      <c r="J138" s="641">
        <v>0</v>
      </c>
      <c r="K138" s="641">
        <v>0</v>
      </c>
      <c r="L138" s="641">
        <v>0</v>
      </c>
      <c r="M138" s="641">
        <v>0</v>
      </c>
      <c r="N138" s="684">
        <v>0</v>
      </c>
      <c r="O138" s="641">
        <v>100000</v>
      </c>
      <c r="P138" s="641">
        <v>100000</v>
      </c>
      <c r="Q138" s="641">
        <v>100000</v>
      </c>
      <c r="R138" s="641">
        <v>100000</v>
      </c>
      <c r="S138" s="641">
        <v>100000</v>
      </c>
      <c r="T138" s="641">
        <v>100000</v>
      </c>
    </row>
    <row r="139" spans="1:20">
      <c r="A139" s="1" t="s">
        <v>656</v>
      </c>
      <c r="B139" s="736"/>
      <c r="C139" s="684">
        <v>300000</v>
      </c>
      <c r="D139" s="684">
        <v>300000</v>
      </c>
      <c r="E139" s="684">
        <v>300000</v>
      </c>
      <c r="F139" s="684">
        <v>300000</v>
      </c>
      <c r="G139" s="641">
        <v>0</v>
      </c>
      <c r="H139" s="641">
        <v>0</v>
      </c>
      <c r="I139" s="641">
        <v>0</v>
      </c>
      <c r="J139" s="641">
        <v>0</v>
      </c>
      <c r="K139" s="641">
        <v>0</v>
      </c>
      <c r="L139" s="641">
        <v>0</v>
      </c>
      <c r="M139" s="641">
        <v>0</v>
      </c>
      <c r="N139" s="641">
        <v>0</v>
      </c>
      <c r="O139" s="641">
        <v>0</v>
      </c>
      <c r="P139" s="641">
        <v>0</v>
      </c>
      <c r="Q139" s="641">
        <v>0</v>
      </c>
      <c r="R139" s="641">
        <v>0</v>
      </c>
      <c r="S139" s="641">
        <v>0</v>
      </c>
      <c r="T139" s="641">
        <v>0</v>
      </c>
    </row>
    <row r="140" spans="1:20">
      <c r="A140" s="4" t="s">
        <v>660</v>
      </c>
      <c r="B140" s="15"/>
      <c r="C140" s="689">
        <v>400000</v>
      </c>
      <c r="D140" s="689">
        <v>400000</v>
      </c>
      <c r="E140" s="689">
        <v>400000</v>
      </c>
      <c r="F140" s="689">
        <v>400000</v>
      </c>
      <c r="G140" s="689">
        <v>400000</v>
      </c>
      <c r="H140" s="689">
        <v>400000</v>
      </c>
      <c r="I140" s="689">
        <v>400000</v>
      </c>
      <c r="J140" s="689">
        <v>400000</v>
      </c>
      <c r="K140" s="689">
        <v>400000</v>
      </c>
      <c r="L140" s="689">
        <v>400000</v>
      </c>
      <c r="M140" s="689">
        <v>400000</v>
      </c>
      <c r="N140" s="689">
        <v>400000</v>
      </c>
      <c r="O140" s="689">
        <v>400000</v>
      </c>
      <c r="P140" s="689">
        <v>400000</v>
      </c>
      <c r="Q140" s="689">
        <v>400000</v>
      </c>
      <c r="R140" s="689">
        <v>400000</v>
      </c>
      <c r="S140" s="689">
        <v>400000</v>
      </c>
      <c r="T140" s="689">
        <v>400000</v>
      </c>
    </row>
    <row r="141" spans="1:20">
      <c r="A141" s="4" t="s">
        <v>191</v>
      </c>
      <c r="B141" s="15"/>
      <c r="C141" s="689">
        <v>150000</v>
      </c>
      <c r="D141" s="689">
        <v>150000</v>
      </c>
      <c r="E141" s="689">
        <v>150000</v>
      </c>
      <c r="F141" s="689">
        <v>150000</v>
      </c>
      <c r="G141" s="689">
        <v>150000</v>
      </c>
      <c r="H141" s="689">
        <v>150000</v>
      </c>
      <c r="I141" s="689">
        <v>150000</v>
      </c>
      <c r="J141" s="689">
        <v>150000</v>
      </c>
      <c r="K141" s="689">
        <v>150000</v>
      </c>
      <c r="L141" s="689">
        <v>150000</v>
      </c>
      <c r="M141" s="689">
        <v>150000</v>
      </c>
      <c r="N141" s="689">
        <v>150000</v>
      </c>
      <c r="O141" s="689">
        <v>150000</v>
      </c>
      <c r="P141" s="689">
        <v>150000</v>
      </c>
      <c r="Q141" s="689">
        <v>150000</v>
      </c>
      <c r="R141" s="689">
        <v>150000</v>
      </c>
      <c r="S141" s="689">
        <v>150000</v>
      </c>
      <c r="T141" s="689">
        <v>150000</v>
      </c>
    </row>
    <row r="142" spans="1:20">
      <c r="A142" s="4" t="s">
        <v>711</v>
      </c>
      <c r="B142" s="15"/>
      <c r="C142" s="693">
        <v>2500000</v>
      </c>
      <c r="D142" s="693">
        <v>2500000</v>
      </c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  <c r="T142" s="689"/>
    </row>
    <row r="143" spans="1:20">
      <c r="A143" s="4" t="s">
        <v>671</v>
      </c>
      <c r="B143" s="15"/>
      <c r="C143" s="689">
        <v>0</v>
      </c>
      <c r="D143" s="689">
        <v>0</v>
      </c>
      <c r="E143" s="689">
        <v>0</v>
      </c>
      <c r="F143" s="689">
        <v>0</v>
      </c>
      <c r="G143" s="689">
        <v>0</v>
      </c>
      <c r="H143" s="689">
        <v>0</v>
      </c>
      <c r="I143" s="689">
        <v>0</v>
      </c>
      <c r="J143" s="689">
        <v>0</v>
      </c>
      <c r="K143" s="689">
        <v>0</v>
      </c>
      <c r="L143" s="689">
        <v>0</v>
      </c>
      <c r="M143" s="689">
        <v>0</v>
      </c>
      <c r="N143" s="689">
        <v>0</v>
      </c>
      <c r="O143" s="689">
        <v>0</v>
      </c>
      <c r="P143" s="689">
        <v>0</v>
      </c>
      <c r="Q143" s="689">
        <v>0</v>
      </c>
      <c r="R143" s="693">
        <v>0</v>
      </c>
      <c r="S143" s="689">
        <v>1490000</v>
      </c>
      <c r="T143" s="693">
        <v>1490000</v>
      </c>
    </row>
    <row r="144" spans="1:20">
      <c r="A144" s="4"/>
      <c r="B144" s="15"/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689"/>
      <c r="R144" s="689"/>
      <c r="S144" s="689"/>
      <c r="T144" s="689"/>
    </row>
    <row r="145" spans="1:20" ht="16.2" thickBot="1">
      <c r="A145" s="737"/>
      <c r="B145" s="738"/>
      <c r="C145" s="848">
        <v>6934000</v>
      </c>
      <c r="D145" s="848">
        <v>6934000</v>
      </c>
      <c r="E145" s="848">
        <v>4434000</v>
      </c>
      <c r="F145" s="848">
        <v>4434000</v>
      </c>
      <c r="G145" s="848">
        <v>4527750</v>
      </c>
      <c r="H145" s="848">
        <v>4467750</v>
      </c>
      <c r="I145" s="848">
        <v>4467750</v>
      </c>
      <c r="J145" s="848">
        <v>4467750</v>
      </c>
      <c r="K145" s="848">
        <v>4467750</v>
      </c>
      <c r="L145" s="848">
        <v>4467750</v>
      </c>
      <c r="M145" s="848">
        <v>4467750</v>
      </c>
      <c r="N145" s="848">
        <v>4467750</v>
      </c>
      <c r="O145" s="848">
        <v>4567750</v>
      </c>
      <c r="P145" s="848">
        <v>4462750</v>
      </c>
      <c r="Q145" s="848">
        <v>4667750</v>
      </c>
      <c r="R145" s="848">
        <v>4612750</v>
      </c>
      <c r="S145" s="848">
        <v>5709000</v>
      </c>
      <c r="T145" s="848">
        <v>5709000</v>
      </c>
    </row>
    <row r="146" spans="1:20" ht="16.2" thickBot="1">
      <c r="A146" s="5"/>
      <c r="B146"/>
      <c r="C146" s="853"/>
      <c r="D146" s="853"/>
      <c r="E146" s="853"/>
      <c r="F146" s="853"/>
      <c r="G146" s="853"/>
      <c r="H146" s="853"/>
      <c r="I146" s="853"/>
      <c r="J146" s="853"/>
      <c r="K146" s="853"/>
      <c r="L146" s="853"/>
      <c r="M146" s="853"/>
      <c r="N146" s="853"/>
      <c r="O146" s="853"/>
      <c r="P146" s="853"/>
      <c r="Q146" s="853"/>
      <c r="R146" s="853"/>
      <c r="S146" s="853"/>
      <c r="T146" s="853"/>
    </row>
    <row r="147" spans="1:20">
      <c r="A147" s="760" t="s">
        <v>12</v>
      </c>
      <c r="B147" s="761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4"/>
      <c r="N147" s="694"/>
      <c r="O147" s="694"/>
      <c r="P147" s="694"/>
      <c r="Q147" s="694"/>
      <c r="R147" s="694"/>
      <c r="S147" s="694"/>
      <c r="T147" s="694"/>
    </row>
    <row r="148" spans="1:20">
      <c r="A148" s="762"/>
      <c r="B148" s="763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5"/>
      <c r="P148" s="695"/>
      <c r="Q148" s="695"/>
      <c r="R148" s="695"/>
      <c r="S148" s="695"/>
      <c r="T148" s="695"/>
    </row>
    <row r="149" spans="1:20">
      <c r="A149" s="1" t="s">
        <v>22</v>
      </c>
      <c r="B149" s="736"/>
      <c r="C149" s="641">
        <v>192000</v>
      </c>
      <c r="D149" s="641">
        <v>192000</v>
      </c>
      <c r="E149" s="641">
        <v>192000</v>
      </c>
      <c r="F149" s="641">
        <v>192000</v>
      </c>
      <c r="G149" s="641">
        <v>192000</v>
      </c>
      <c r="H149" s="641">
        <v>192000</v>
      </c>
      <c r="I149" s="641">
        <v>192000</v>
      </c>
      <c r="J149" s="641">
        <v>192000</v>
      </c>
      <c r="K149" s="641">
        <v>192000</v>
      </c>
      <c r="L149" s="641">
        <v>192000</v>
      </c>
      <c r="M149" s="641">
        <v>192000</v>
      </c>
      <c r="N149" s="641">
        <v>192000</v>
      </c>
      <c r="O149" s="641">
        <v>192000</v>
      </c>
      <c r="P149" s="641">
        <v>192000</v>
      </c>
      <c r="Q149" s="641">
        <v>192000</v>
      </c>
      <c r="R149" s="641">
        <v>192000</v>
      </c>
      <c r="S149" s="641">
        <v>192000</v>
      </c>
      <c r="T149" s="641">
        <v>192000</v>
      </c>
    </row>
    <row r="150" spans="1:20">
      <c r="A150" s="1"/>
      <c r="B150" s="736"/>
      <c r="C150" s="641"/>
      <c r="D150" s="641"/>
      <c r="E150" s="641"/>
      <c r="F150" s="641"/>
      <c r="G150" s="641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  <c r="T150" s="641"/>
    </row>
    <row r="151" spans="1:20">
      <c r="A151" s="1"/>
      <c r="B151" s="736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  <c r="T151" s="641"/>
    </row>
    <row r="152" spans="1:20">
      <c r="A152" s="1"/>
      <c r="B152" s="736"/>
      <c r="C152" s="641"/>
      <c r="D152" s="641"/>
      <c r="E152" s="641"/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641"/>
      <c r="S152" s="641"/>
      <c r="T152" s="641"/>
    </row>
    <row r="153" spans="1:20">
      <c r="A153" s="1" t="s">
        <v>26</v>
      </c>
      <c r="B153" s="736"/>
      <c r="C153" s="641">
        <v>108000</v>
      </c>
      <c r="D153" s="641">
        <v>108000</v>
      </c>
      <c r="E153" s="641">
        <v>108000</v>
      </c>
      <c r="F153" s="641">
        <v>108000</v>
      </c>
      <c r="G153" s="641">
        <v>108000</v>
      </c>
      <c r="H153" s="641">
        <v>108000</v>
      </c>
      <c r="I153" s="641">
        <v>108000</v>
      </c>
      <c r="J153" s="641">
        <v>108000</v>
      </c>
      <c r="K153" s="641">
        <v>108000</v>
      </c>
      <c r="L153" s="641">
        <v>108000</v>
      </c>
      <c r="M153" s="641">
        <v>108000</v>
      </c>
      <c r="N153" s="641">
        <v>108000</v>
      </c>
      <c r="O153" s="641">
        <v>108000</v>
      </c>
      <c r="P153" s="641">
        <v>108000</v>
      </c>
      <c r="Q153" s="641">
        <v>108000</v>
      </c>
      <c r="R153" s="641">
        <v>108000</v>
      </c>
      <c r="S153" s="641">
        <v>108000</v>
      </c>
      <c r="T153" s="641">
        <v>108000</v>
      </c>
    </row>
    <row r="154" spans="1:20">
      <c r="A154" s="1"/>
      <c r="B154" s="736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</row>
    <row r="155" spans="1:20">
      <c r="A155" s="1"/>
      <c r="B155" s="736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1"/>
      <c r="P155" s="641"/>
      <c r="Q155" s="641"/>
      <c r="R155" s="641"/>
      <c r="S155" s="641"/>
      <c r="T155" s="641"/>
    </row>
    <row r="156" spans="1:20">
      <c r="A156" s="1" t="s">
        <v>571</v>
      </c>
      <c r="B156" s="736"/>
      <c r="C156" s="641">
        <v>100000</v>
      </c>
      <c r="D156" s="641">
        <v>100000</v>
      </c>
      <c r="E156" s="641">
        <v>100000</v>
      </c>
      <c r="F156" s="641">
        <v>100000</v>
      </c>
      <c r="G156" s="641">
        <v>100000</v>
      </c>
      <c r="H156" s="641">
        <v>100000</v>
      </c>
      <c r="I156" s="641">
        <v>100000</v>
      </c>
      <c r="J156" s="641">
        <v>100000</v>
      </c>
      <c r="K156" s="641">
        <v>100000</v>
      </c>
      <c r="L156" s="641">
        <v>100000</v>
      </c>
      <c r="M156" s="641">
        <v>100000</v>
      </c>
      <c r="N156" s="641">
        <v>100000</v>
      </c>
      <c r="O156" s="641">
        <v>100000</v>
      </c>
      <c r="P156" s="641">
        <v>100000</v>
      </c>
      <c r="Q156" s="641">
        <v>100000</v>
      </c>
      <c r="R156" s="641">
        <v>100000</v>
      </c>
      <c r="S156" s="641">
        <v>100000</v>
      </c>
      <c r="T156" s="641">
        <v>100000</v>
      </c>
    </row>
    <row r="157" spans="1:20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  <c r="T157" s="641"/>
    </row>
    <row r="158" spans="1:20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  <c r="T158" s="641"/>
    </row>
    <row r="159" spans="1:20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</row>
    <row r="160" spans="1:20">
      <c r="A160" s="1"/>
      <c r="B160" s="736"/>
      <c r="C160" s="641"/>
      <c r="D160" s="641"/>
      <c r="E160" s="641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</row>
    <row r="161" spans="1:20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</row>
    <row r="162" spans="1:20">
      <c r="A162" s="4"/>
      <c r="B162" s="15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  <c r="T162" s="689"/>
    </row>
    <row r="163" spans="1:20">
      <c r="A163" s="4"/>
      <c r="B163" s="15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  <c r="T163" s="689"/>
    </row>
    <row r="164" spans="1:20">
      <c r="A164" s="4"/>
      <c r="B164" s="15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689"/>
      <c r="R164" s="689"/>
      <c r="S164" s="689"/>
      <c r="T164" s="689"/>
    </row>
    <row r="165" spans="1:20" ht="16.2" thickBot="1">
      <c r="A165" s="737"/>
      <c r="B165" s="738"/>
      <c r="C165" s="848">
        <v>400000</v>
      </c>
      <c r="D165" s="848">
        <v>400000</v>
      </c>
      <c r="E165" s="848">
        <v>400000</v>
      </c>
      <c r="F165" s="848">
        <v>400000</v>
      </c>
      <c r="G165" s="848">
        <v>400000</v>
      </c>
      <c r="H165" s="848">
        <v>400000</v>
      </c>
      <c r="I165" s="848">
        <v>400000</v>
      </c>
      <c r="J165" s="848">
        <v>400000</v>
      </c>
      <c r="K165" s="848">
        <v>400000</v>
      </c>
      <c r="L165" s="848">
        <v>400000</v>
      </c>
      <c r="M165" s="848">
        <v>400000</v>
      </c>
      <c r="N165" s="848">
        <v>400000</v>
      </c>
      <c r="O165" s="848">
        <v>400000</v>
      </c>
      <c r="P165" s="848">
        <v>400000</v>
      </c>
      <c r="Q165" s="848">
        <v>400000</v>
      </c>
      <c r="R165" s="848">
        <v>400000</v>
      </c>
      <c r="S165" s="848">
        <v>400000</v>
      </c>
      <c r="T165" s="848">
        <v>400000</v>
      </c>
    </row>
    <row r="166" spans="1:20" s="697" customFormat="1">
      <c r="A166" s="764" t="s">
        <v>23</v>
      </c>
      <c r="B166" s="765"/>
      <c r="C166" s="696"/>
      <c r="D166" s="696"/>
      <c r="E166" s="696"/>
      <c r="F166" s="696"/>
      <c r="G166" s="696"/>
      <c r="H166" s="696"/>
      <c r="I166" s="696"/>
      <c r="J166" s="696"/>
      <c r="K166" s="696"/>
      <c r="L166" s="696"/>
      <c r="M166" s="696"/>
      <c r="N166" s="696"/>
      <c r="O166" s="696"/>
      <c r="P166" s="696"/>
      <c r="Q166" s="696"/>
      <c r="R166" s="696"/>
      <c r="S166" s="696"/>
      <c r="T166" s="696"/>
    </row>
    <row r="167" spans="1:20" s="697" customFormat="1">
      <c r="A167" s="766"/>
      <c r="B167" s="767"/>
      <c r="C167" s="698"/>
      <c r="D167" s="698"/>
      <c r="E167" s="698"/>
      <c r="F167" s="698"/>
      <c r="G167" s="698"/>
      <c r="H167" s="698"/>
      <c r="I167" s="698"/>
      <c r="J167" s="698"/>
      <c r="K167" s="698"/>
      <c r="L167" s="698"/>
      <c r="M167" s="698"/>
      <c r="N167" s="698"/>
      <c r="O167" s="698"/>
      <c r="P167" s="698"/>
      <c r="Q167" s="698"/>
      <c r="R167" s="698"/>
      <c r="S167" s="698"/>
      <c r="T167" s="698"/>
    </row>
    <row r="168" spans="1:20">
      <c r="A168" s="14" t="s">
        <v>152</v>
      </c>
      <c r="B168" s="15"/>
      <c r="C168" s="693">
        <v>1050000</v>
      </c>
      <c r="D168" s="693">
        <v>1050000</v>
      </c>
      <c r="E168" s="693">
        <v>1050000</v>
      </c>
      <c r="F168" s="693">
        <v>1050000</v>
      </c>
      <c r="G168" s="693">
        <v>550000</v>
      </c>
      <c r="H168" s="693">
        <v>550000</v>
      </c>
      <c r="I168" s="693">
        <v>1050000</v>
      </c>
      <c r="J168" s="693">
        <v>2250000</v>
      </c>
      <c r="K168" s="693">
        <v>2250000</v>
      </c>
      <c r="L168" s="693">
        <v>2400000</v>
      </c>
      <c r="M168" s="689">
        <v>3050000</v>
      </c>
      <c r="N168" s="689">
        <v>3050000</v>
      </c>
      <c r="O168" s="689">
        <v>3050000</v>
      </c>
      <c r="P168" s="689">
        <v>3050000</v>
      </c>
      <c r="Q168" s="693">
        <v>3050000</v>
      </c>
      <c r="R168" s="689">
        <v>1700000</v>
      </c>
      <c r="S168" s="689">
        <v>1700000</v>
      </c>
      <c r="T168" s="693">
        <v>1700000</v>
      </c>
    </row>
    <row r="169" spans="1:20">
      <c r="A169" s="14" t="s">
        <v>646</v>
      </c>
      <c r="B169" s="15"/>
      <c r="C169" s="693">
        <v>2550000</v>
      </c>
      <c r="D169" s="693">
        <v>2550000</v>
      </c>
      <c r="E169" s="689">
        <v>2500000</v>
      </c>
      <c r="F169" s="689">
        <v>2500000</v>
      </c>
      <c r="G169" s="689">
        <v>2500000</v>
      </c>
      <c r="H169" s="689">
        <v>2500000</v>
      </c>
      <c r="I169" s="689">
        <v>2500000</v>
      </c>
      <c r="J169" s="689">
        <v>2500000</v>
      </c>
      <c r="K169" s="689">
        <v>2500000</v>
      </c>
      <c r="L169" s="689">
        <v>2500000</v>
      </c>
      <c r="M169" s="689">
        <v>2500000</v>
      </c>
      <c r="N169" s="689">
        <v>2500000</v>
      </c>
      <c r="O169" s="689">
        <v>2500000</v>
      </c>
      <c r="P169" s="689">
        <v>2500000</v>
      </c>
      <c r="Q169" s="693">
        <v>2500000</v>
      </c>
      <c r="R169" s="693">
        <v>2290000</v>
      </c>
      <c r="S169" s="689">
        <v>2000000</v>
      </c>
      <c r="T169" s="689">
        <v>2000000</v>
      </c>
    </row>
    <row r="170" spans="1:20">
      <c r="A170" s="14" t="s">
        <v>663</v>
      </c>
      <c r="B170" s="15"/>
      <c r="C170" s="689">
        <v>0</v>
      </c>
      <c r="D170" s="689">
        <v>0</v>
      </c>
      <c r="E170" s="689">
        <v>0</v>
      </c>
      <c r="F170" s="689">
        <v>0</v>
      </c>
      <c r="G170" s="689">
        <v>0</v>
      </c>
      <c r="H170" s="689">
        <v>0</v>
      </c>
      <c r="I170" s="689">
        <v>0</v>
      </c>
      <c r="J170" s="689">
        <v>0</v>
      </c>
      <c r="K170" s="689">
        <v>0</v>
      </c>
      <c r="L170" s="689">
        <v>0</v>
      </c>
      <c r="M170" s="689">
        <v>0</v>
      </c>
      <c r="N170" s="689">
        <v>0</v>
      </c>
      <c r="O170" s="689">
        <v>0</v>
      </c>
      <c r="P170" s="689">
        <v>0</v>
      </c>
      <c r="Q170" s="693">
        <v>0</v>
      </c>
      <c r="R170" s="693">
        <v>0</v>
      </c>
      <c r="S170" s="689">
        <v>150000000</v>
      </c>
      <c r="T170" s="689">
        <v>150000000</v>
      </c>
    </row>
    <row r="171" spans="1:20">
      <c r="A171" s="14" t="s">
        <v>691</v>
      </c>
      <c r="B171" s="15"/>
      <c r="C171" s="689">
        <v>102000</v>
      </c>
      <c r="D171" s="689">
        <v>102000</v>
      </c>
      <c r="E171" s="689">
        <v>102000</v>
      </c>
      <c r="F171" s="689">
        <v>102000</v>
      </c>
      <c r="G171" s="689">
        <v>102000</v>
      </c>
      <c r="H171" s="689">
        <v>102000</v>
      </c>
      <c r="I171" s="689">
        <v>102000</v>
      </c>
      <c r="J171" s="689">
        <v>102000</v>
      </c>
      <c r="K171" s="689">
        <v>102000</v>
      </c>
      <c r="L171" s="693">
        <v>102000</v>
      </c>
      <c r="M171" s="689"/>
      <c r="N171" s="689"/>
      <c r="O171" s="689"/>
      <c r="P171" s="689"/>
      <c r="Q171" s="689"/>
      <c r="R171" s="689"/>
      <c r="S171" s="689"/>
      <c r="T171" s="689"/>
    </row>
    <row r="172" spans="1:20">
      <c r="A172" s="1017" t="s">
        <v>625</v>
      </c>
      <c r="B172" s="15"/>
      <c r="C172" s="1019">
        <v>450000</v>
      </c>
      <c r="D172" s="1019">
        <v>450000</v>
      </c>
      <c r="E172" s="1019">
        <v>450000</v>
      </c>
      <c r="F172" s="1019">
        <v>450000</v>
      </c>
      <c r="G172" s="1019">
        <v>450000</v>
      </c>
      <c r="H172" s="1019">
        <v>450000</v>
      </c>
      <c r="I172" s="1019">
        <v>450000</v>
      </c>
      <c r="J172" s="1019">
        <v>450000</v>
      </c>
      <c r="K172" s="1019">
        <v>450000</v>
      </c>
      <c r="L172" s="1019">
        <v>450000</v>
      </c>
      <c r="M172" s="1019">
        <v>450000</v>
      </c>
      <c r="N172" s="1019">
        <v>450000</v>
      </c>
      <c r="O172" s="1019">
        <v>450000</v>
      </c>
      <c r="P172" s="1019">
        <v>450000</v>
      </c>
      <c r="Q172" s="1019">
        <v>450000</v>
      </c>
      <c r="R172" s="1019">
        <v>450000</v>
      </c>
      <c r="S172" s="1019">
        <v>450000</v>
      </c>
      <c r="T172" s="1019">
        <v>450000</v>
      </c>
    </row>
    <row r="173" spans="1:20">
      <c r="A173" s="1018" t="s">
        <v>626</v>
      </c>
      <c r="B173" s="736"/>
      <c r="C173" s="1020">
        <v>350000</v>
      </c>
      <c r="D173" s="1020">
        <v>350000</v>
      </c>
      <c r="E173" s="1020">
        <v>350000</v>
      </c>
      <c r="F173" s="1020">
        <v>350000</v>
      </c>
      <c r="G173" s="1020">
        <v>350000</v>
      </c>
      <c r="H173" s="1020">
        <v>350000</v>
      </c>
      <c r="I173" s="1020">
        <v>350000</v>
      </c>
      <c r="J173" s="1020">
        <v>350000</v>
      </c>
      <c r="K173" s="1020">
        <v>350000</v>
      </c>
      <c r="L173" s="1020">
        <v>350000</v>
      </c>
      <c r="M173" s="1020">
        <v>350000</v>
      </c>
      <c r="N173" s="1020">
        <v>350000</v>
      </c>
      <c r="O173" s="1020">
        <v>350000</v>
      </c>
      <c r="P173" s="1020">
        <v>350000</v>
      </c>
      <c r="Q173" s="1020">
        <v>350000</v>
      </c>
      <c r="R173" s="1020">
        <v>350000</v>
      </c>
      <c r="S173" s="1020">
        <v>350000</v>
      </c>
      <c r="T173" s="1020">
        <v>350000</v>
      </c>
    </row>
    <row r="174" spans="1:20">
      <c r="A174" s="6"/>
      <c r="B174" s="736"/>
      <c r="C174" s="641">
        <v>0</v>
      </c>
      <c r="D174" s="641">
        <v>0</v>
      </c>
      <c r="E174" s="641">
        <v>0</v>
      </c>
      <c r="F174" s="641">
        <v>0</v>
      </c>
      <c r="G174" s="641">
        <v>0</v>
      </c>
      <c r="H174" s="641">
        <v>0</v>
      </c>
      <c r="I174" s="641">
        <v>0</v>
      </c>
      <c r="J174" s="641">
        <v>0</v>
      </c>
      <c r="K174" s="641">
        <v>0</v>
      </c>
      <c r="L174" s="641">
        <v>0</v>
      </c>
      <c r="M174" s="641">
        <v>0</v>
      </c>
      <c r="N174" s="641">
        <v>0</v>
      </c>
      <c r="O174" s="641">
        <v>0</v>
      </c>
      <c r="P174" s="641">
        <v>0</v>
      </c>
      <c r="Q174" s="641">
        <v>0</v>
      </c>
      <c r="R174" s="641">
        <v>0</v>
      </c>
      <c r="S174" s="641">
        <v>0</v>
      </c>
      <c r="T174" s="641">
        <v>0</v>
      </c>
    </row>
    <row r="175" spans="1:20">
      <c r="A175" s="6"/>
      <c r="B175" s="736"/>
      <c r="C175" s="641"/>
      <c r="D175" s="641"/>
      <c r="E175" s="641"/>
      <c r="F175" s="641"/>
      <c r="G175" s="641"/>
      <c r="H175" s="641"/>
      <c r="I175" s="641"/>
      <c r="J175" s="641"/>
      <c r="K175" s="641"/>
      <c r="L175" s="641"/>
      <c r="M175" s="641"/>
      <c r="N175" s="641"/>
      <c r="O175" s="641"/>
      <c r="P175" s="641"/>
      <c r="Q175" s="641"/>
      <c r="R175" s="641"/>
      <c r="S175" s="641"/>
      <c r="T175" s="641"/>
    </row>
    <row r="176" spans="1:20">
      <c r="A176" s="6" t="s">
        <v>628</v>
      </c>
      <c r="B176" s="736"/>
      <c r="C176" s="641">
        <v>0</v>
      </c>
      <c r="D176" s="641">
        <v>0</v>
      </c>
      <c r="E176" s="641">
        <v>0</v>
      </c>
      <c r="F176" s="641">
        <v>0</v>
      </c>
      <c r="G176" s="684">
        <v>0</v>
      </c>
      <c r="H176" s="641">
        <v>190000</v>
      </c>
      <c r="I176" s="684">
        <v>190000</v>
      </c>
      <c r="J176" s="641">
        <v>0</v>
      </c>
      <c r="K176" s="641">
        <v>0</v>
      </c>
      <c r="L176" s="641">
        <v>0</v>
      </c>
      <c r="M176" s="641">
        <v>0</v>
      </c>
      <c r="N176" s="641">
        <v>0</v>
      </c>
      <c r="O176" s="641">
        <v>0</v>
      </c>
      <c r="P176" s="641">
        <v>0</v>
      </c>
      <c r="Q176" s="641">
        <v>0</v>
      </c>
      <c r="R176" s="641">
        <v>0</v>
      </c>
      <c r="S176" s="641">
        <v>0</v>
      </c>
      <c r="T176" s="641">
        <v>0</v>
      </c>
    </row>
    <row r="177" spans="1:20">
      <c r="A177" s="6"/>
      <c r="B177" s="736"/>
      <c r="C177" s="641"/>
      <c r="D177" s="641"/>
      <c r="E177" s="641"/>
      <c r="F177" s="641"/>
      <c r="G177" s="641"/>
      <c r="H177" s="641"/>
      <c r="I177" s="641"/>
      <c r="J177" s="641"/>
      <c r="K177" s="641"/>
      <c r="L177" s="641"/>
      <c r="M177" s="641"/>
      <c r="N177" s="641"/>
      <c r="O177" s="641"/>
      <c r="P177" s="641"/>
      <c r="Q177" s="641"/>
      <c r="R177" s="641"/>
      <c r="S177" s="641"/>
      <c r="T177" s="641"/>
    </row>
    <row r="178" spans="1:20">
      <c r="A178" s="6"/>
      <c r="B178" s="736"/>
      <c r="C178" s="641"/>
      <c r="D178" s="641"/>
      <c r="E178" s="641"/>
      <c r="F178" s="641"/>
      <c r="G178" s="641"/>
      <c r="H178" s="641"/>
      <c r="I178" s="641"/>
      <c r="J178" s="641"/>
      <c r="K178" s="641"/>
      <c r="L178" s="641"/>
      <c r="M178" s="641"/>
      <c r="N178" s="641"/>
      <c r="O178" s="641"/>
      <c r="P178" s="641"/>
      <c r="Q178" s="641"/>
      <c r="R178" s="641"/>
      <c r="S178" s="641"/>
      <c r="T178" s="641"/>
    </row>
    <row r="179" spans="1:20">
      <c r="A179" s="6" t="s">
        <v>624</v>
      </c>
      <c r="B179" s="736"/>
      <c r="C179" s="641">
        <v>3000000</v>
      </c>
      <c r="D179" s="641">
        <v>3000000</v>
      </c>
      <c r="E179" s="641">
        <v>3000000</v>
      </c>
      <c r="F179" s="641">
        <v>3000000</v>
      </c>
      <c r="G179" s="641">
        <v>3000000</v>
      </c>
      <c r="H179" s="641">
        <v>3000000</v>
      </c>
      <c r="I179" s="641">
        <v>3000000</v>
      </c>
      <c r="J179" s="641">
        <v>3000000</v>
      </c>
      <c r="K179" s="641">
        <v>3000000</v>
      </c>
      <c r="L179" s="641">
        <v>3000000</v>
      </c>
      <c r="M179" s="641">
        <v>3000000</v>
      </c>
      <c r="N179" s="641">
        <v>3000000</v>
      </c>
      <c r="O179" s="641">
        <v>3000000</v>
      </c>
      <c r="P179" s="641">
        <v>3000000</v>
      </c>
      <c r="Q179" s="684">
        <v>3000000</v>
      </c>
      <c r="R179" s="641">
        <v>4000000</v>
      </c>
      <c r="S179" s="641">
        <v>4000000</v>
      </c>
      <c r="T179" s="641">
        <v>4000000</v>
      </c>
    </row>
    <row r="180" spans="1:20">
      <c r="A180" s="6" t="s">
        <v>119</v>
      </c>
      <c r="B180" s="736"/>
      <c r="C180" s="641">
        <v>15500000</v>
      </c>
      <c r="D180" s="641">
        <v>15500000</v>
      </c>
      <c r="E180" s="641">
        <v>15500000</v>
      </c>
      <c r="F180" s="641">
        <v>15500000</v>
      </c>
      <c r="G180" s="641">
        <v>15500000</v>
      </c>
      <c r="H180" s="641">
        <v>15500000</v>
      </c>
      <c r="I180" s="641">
        <v>15500000</v>
      </c>
      <c r="J180" s="641">
        <v>15500000</v>
      </c>
      <c r="K180" s="641">
        <v>15500000</v>
      </c>
      <c r="L180" s="641">
        <v>15500000</v>
      </c>
      <c r="M180" s="641">
        <v>15500000</v>
      </c>
      <c r="N180" s="641">
        <v>15500000</v>
      </c>
      <c r="O180" s="641">
        <v>15500000</v>
      </c>
      <c r="P180" s="641">
        <v>15500000</v>
      </c>
      <c r="Q180" s="641">
        <v>15500000</v>
      </c>
      <c r="R180" s="641">
        <v>15500000</v>
      </c>
      <c r="S180" s="641">
        <v>15500000</v>
      </c>
      <c r="T180" s="641">
        <v>15500000</v>
      </c>
    </row>
    <row r="181" spans="1:20">
      <c r="A181" s="6" t="s">
        <v>179</v>
      </c>
      <c r="B181" s="736"/>
      <c r="C181" s="641">
        <v>5500000</v>
      </c>
      <c r="D181" s="641">
        <v>5500000</v>
      </c>
      <c r="E181" s="641">
        <v>5500000</v>
      </c>
      <c r="F181" s="641">
        <v>5500000</v>
      </c>
      <c r="G181" s="641">
        <v>5500000</v>
      </c>
      <c r="H181" s="641">
        <v>5500000</v>
      </c>
      <c r="I181" s="641">
        <v>5500000</v>
      </c>
      <c r="J181" s="641">
        <v>5500000</v>
      </c>
      <c r="K181" s="641">
        <v>5500000</v>
      </c>
      <c r="L181" s="641">
        <v>5500000</v>
      </c>
      <c r="M181" s="641">
        <v>5500000</v>
      </c>
      <c r="N181" s="641">
        <v>5500000</v>
      </c>
      <c r="O181" s="641">
        <v>5500000</v>
      </c>
      <c r="P181" s="641">
        <v>5500000</v>
      </c>
      <c r="Q181" s="641">
        <v>5500000</v>
      </c>
      <c r="R181" s="641">
        <v>5500000</v>
      </c>
      <c r="S181" s="641">
        <v>5500000</v>
      </c>
      <c r="T181" s="641">
        <v>5500000</v>
      </c>
    </row>
    <row r="182" spans="1:20">
      <c r="A182" s="6" t="s">
        <v>161</v>
      </c>
      <c r="B182" s="736"/>
      <c r="C182" s="641">
        <v>7000000</v>
      </c>
      <c r="D182" s="641">
        <v>7000000</v>
      </c>
      <c r="E182" s="641">
        <v>7000000</v>
      </c>
      <c r="F182" s="641">
        <v>7000000</v>
      </c>
      <c r="G182" s="641">
        <v>7000000</v>
      </c>
      <c r="H182" s="641">
        <v>7000000</v>
      </c>
      <c r="I182" s="641">
        <v>7000000</v>
      </c>
      <c r="J182" s="641">
        <v>7000000</v>
      </c>
      <c r="K182" s="641">
        <v>7000000</v>
      </c>
      <c r="L182" s="641">
        <v>7000000</v>
      </c>
      <c r="M182" s="641">
        <v>7000000</v>
      </c>
      <c r="N182" s="641">
        <v>7000000</v>
      </c>
      <c r="O182" s="641">
        <v>7000000</v>
      </c>
      <c r="P182" s="641">
        <v>7000000</v>
      </c>
      <c r="Q182" s="641">
        <v>7000000</v>
      </c>
      <c r="R182" s="641">
        <v>7000000</v>
      </c>
      <c r="S182" s="641">
        <v>7000000</v>
      </c>
      <c r="T182" s="641">
        <v>7000000</v>
      </c>
    </row>
    <row r="183" spans="1:20" ht="16.2" thickBot="1">
      <c r="A183" s="7"/>
      <c r="B183" s="738"/>
      <c r="C183" s="848">
        <v>35502000</v>
      </c>
      <c r="D183" s="848">
        <v>35502000</v>
      </c>
      <c r="E183" s="848">
        <v>35452000</v>
      </c>
      <c r="F183" s="848">
        <v>35452000</v>
      </c>
      <c r="G183" s="848">
        <v>34952000</v>
      </c>
      <c r="H183" s="848">
        <v>35142000</v>
      </c>
      <c r="I183" s="848">
        <v>35642000</v>
      </c>
      <c r="J183" s="848">
        <v>36652000</v>
      </c>
      <c r="K183" s="848">
        <v>36652000</v>
      </c>
      <c r="L183" s="848">
        <v>36802000</v>
      </c>
      <c r="M183" s="848">
        <v>37350000</v>
      </c>
      <c r="N183" s="848">
        <v>37350000</v>
      </c>
      <c r="O183" s="848">
        <v>37350000</v>
      </c>
      <c r="P183" s="848">
        <v>37350000</v>
      </c>
      <c r="Q183" s="848">
        <v>37450000</v>
      </c>
      <c r="R183" s="848">
        <v>36890000</v>
      </c>
      <c r="S183" s="848">
        <v>186600000</v>
      </c>
      <c r="T183" s="848">
        <v>186600000</v>
      </c>
    </row>
    <row r="184" spans="1:20" ht="16.2" thickBot="1">
      <c r="A184" s="9"/>
      <c r="B184" s="10"/>
      <c r="C184" s="869"/>
      <c r="D184" s="869"/>
      <c r="E184" s="869"/>
      <c r="F184" s="869"/>
      <c r="G184" s="869"/>
      <c r="H184" s="869"/>
      <c r="I184" s="869"/>
      <c r="J184" s="869"/>
      <c r="K184" s="869"/>
      <c r="L184" s="869"/>
      <c r="M184" s="869"/>
      <c r="N184" s="869"/>
      <c r="O184" s="869"/>
      <c r="P184" s="869"/>
      <c r="Q184" s="869"/>
      <c r="R184" s="869"/>
      <c r="S184" s="869"/>
      <c r="T184" s="869"/>
    </row>
    <row r="185" spans="1:20" ht="16.2" thickBot="1">
      <c r="A185" s="768"/>
      <c r="B185" s="769"/>
      <c r="C185" s="868"/>
      <c r="D185" s="868"/>
      <c r="E185" s="868"/>
      <c r="F185" s="868"/>
      <c r="G185" s="868"/>
      <c r="H185" s="868"/>
      <c r="I185" s="868"/>
      <c r="J185" s="868"/>
      <c r="K185" s="868"/>
      <c r="L185" s="868"/>
      <c r="M185" s="868"/>
      <c r="N185" s="868"/>
      <c r="O185" s="868"/>
      <c r="P185" s="868"/>
      <c r="Q185" s="868"/>
      <c r="R185" s="868"/>
      <c r="S185" s="868"/>
      <c r="T185" s="868"/>
    </row>
    <row r="186" spans="1:20" s="699" customFormat="1" ht="18.600000000000001" thickBot="1">
      <c r="A186" s="770" t="s">
        <v>35</v>
      </c>
      <c r="B186" s="771"/>
      <c r="C186" s="870">
        <v>186796928</v>
      </c>
      <c r="D186" s="870">
        <v>190189770</v>
      </c>
      <c r="E186" s="870">
        <v>189275177</v>
      </c>
      <c r="F186" s="870">
        <v>189032747</v>
      </c>
      <c r="G186" s="870">
        <v>186076240</v>
      </c>
      <c r="H186" s="870">
        <v>187862649</v>
      </c>
      <c r="I186" s="870">
        <v>186630572</v>
      </c>
      <c r="J186" s="870">
        <v>185010423</v>
      </c>
      <c r="K186" s="870">
        <v>184064199</v>
      </c>
      <c r="L186" s="870">
        <v>186122540</v>
      </c>
      <c r="M186" s="870">
        <v>190393695</v>
      </c>
      <c r="N186" s="870">
        <v>192168741</v>
      </c>
      <c r="O186" s="870">
        <v>187239944</v>
      </c>
      <c r="P186" s="870">
        <v>185618208</v>
      </c>
      <c r="Q186" s="870">
        <v>184482792</v>
      </c>
      <c r="R186" s="870">
        <v>187011460</v>
      </c>
      <c r="S186" s="870">
        <v>185474388</v>
      </c>
      <c r="T186" s="870">
        <v>184252632</v>
      </c>
    </row>
    <row r="187" spans="1:20" s="699" customFormat="1" ht="18">
      <c r="A187" s="772"/>
      <c r="B187" s="773"/>
      <c r="C187" s="871"/>
      <c r="D187" s="871"/>
      <c r="E187" s="871"/>
      <c r="F187" s="871"/>
      <c r="G187" s="871"/>
      <c r="H187" s="871"/>
      <c r="I187" s="871"/>
      <c r="J187" s="871"/>
      <c r="K187" s="871"/>
      <c r="L187" s="871"/>
      <c r="M187" s="871"/>
      <c r="N187" s="871"/>
      <c r="O187" s="871"/>
      <c r="P187" s="871"/>
      <c r="Q187" s="871"/>
      <c r="R187" s="871"/>
      <c r="S187" s="871"/>
      <c r="T187" s="871"/>
    </row>
    <row r="188" spans="1:20">
      <c r="A188" s="5"/>
      <c r="B188"/>
      <c r="C188" s="852"/>
      <c r="D188" s="852"/>
      <c r="E188" s="852"/>
      <c r="F188" s="852"/>
      <c r="G188" s="852"/>
      <c r="H188" s="852"/>
      <c r="I188" s="852"/>
      <c r="J188" s="852"/>
      <c r="K188" s="852"/>
      <c r="L188" s="852"/>
      <c r="M188" s="852"/>
      <c r="N188" s="852"/>
      <c r="O188" s="852"/>
      <c r="P188" s="852"/>
      <c r="Q188" s="852"/>
      <c r="R188" s="852"/>
      <c r="S188" s="852"/>
      <c r="T188" s="852"/>
    </row>
    <row r="189" spans="1:20">
      <c r="A189" s="5" t="s">
        <v>25</v>
      </c>
      <c r="B189"/>
      <c r="C189" s="8">
        <v>214964928</v>
      </c>
      <c r="D189" s="8">
        <v>218357770</v>
      </c>
      <c r="E189" s="8">
        <v>219893177</v>
      </c>
      <c r="F189" s="8">
        <v>219650747</v>
      </c>
      <c r="G189" s="8">
        <v>216100490</v>
      </c>
      <c r="H189" s="8">
        <v>218136899</v>
      </c>
      <c r="I189" s="8">
        <v>217404822</v>
      </c>
      <c r="J189" s="8">
        <v>216794673</v>
      </c>
      <c r="K189" s="8">
        <v>215848449</v>
      </c>
      <c r="L189" s="8">
        <v>218056790</v>
      </c>
      <c r="M189" s="8">
        <v>222875945</v>
      </c>
      <c r="N189" s="8">
        <v>224650991</v>
      </c>
      <c r="O189" s="8">
        <v>219622194</v>
      </c>
      <c r="P189" s="8">
        <v>218105458</v>
      </c>
      <c r="Q189" s="8">
        <v>216865042</v>
      </c>
      <c r="R189" s="8">
        <v>218888710</v>
      </c>
      <c r="S189" s="8">
        <v>365965388</v>
      </c>
      <c r="T189" s="8">
        <v>364743632</v>
      </c>
    </row>
    <row r="190" spans="1:20" ht="18">
      <c r="A190" s="774" t="s">
        <v>13</v>
      </c>
      <c r="B190" s="2"/>
      <c r="C190" s="24">
        <v>186796928</v>
      </c>
      <c r="D190" s="24">
        <v>190189770</v>
      </c>
      <c r="E190" s="24">
        <v>189275177</v>
      </c>
      <c r="F190" s="24">
        <v>189032747</v>
      </c>
      <c r="G190" s="24">
        <v>186076240</v>
      </c>
      <c r="H190" s="24">
        <v>187862649</v>
      </c>
      <c r="I190" s="24">
        <v>186630572</v>
      </c>
      <c r="J190" s="24">
        <v>185010423</v>
      </c>
      <c r="K190" s="24">
        <v>184064199</v>
      </c>
      <c r="L190" s="24">
        <v>186122540</v>
      </c>
      <c r="M190" s="24">
        <v>190393695</v>
      </c>
      <c r="N190" s="24">
        <v>192168741</v>
      </c>
      <c r="O190" s="24">
        <v>187239944</v>
      </c>
      <c r="P190" s="24">
        <v>185618208</v>
      </c>
      <c r="Q190" s="24">
        <v>184482792</v>
      </c>
      <c r="R190" s="24">
        <v>187011460</v>
      </c>
      <c r="S190" s="24">
        <v>185474388</v>
      </c>
      <c r="T190" s="24">
        <v>184252632</v>
      </c>
    </row>
    <row r="191" spans="1:20" ht="18">
      <c r="A191" s="774"/>
      <c r="B191" s="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spans="1:20" ht="15" thickBot="1">
      <c r="A192" s="5"/>
      <c r="B19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3">
      <c r="A193" s="775" t="s">
        <v>18</v>
      </c>
      <c r="B193" s="726"/>
      <c r="C193" s="700">
        <v>-3392842</v>
      </c>
      <c r="D193" s="700">
        <v>-1535407</v>
      </c>
      <c r="E193" s="700">
        <v>242430</v>
      </c>
      <c r="F193" s="700">
        <v>3550257</v>
      </c>
      <c r="G193" s="700">
        <v>-2036409</v>
      </c>
      <c r="H193" s="700">
        <v>732077</v>
      </c>
      <c r="I193" s="700">
        <v>610149</v>
      </c>
      <c r="J193" s="700">
        <v>946224</v>
      </c>
      <c r="K193" s="700">
        <v>-2208341</v>
      </c>
      <c r="L193" s="700">
        <v>-4819155</v>
      </c>
      <c r="M193" s="700">
        <v>-1775046</v>
      </c>
      <c r="N193" s="700">
        <v>5028797</v>
      </c>
      <c r="O193" s="700">
        <v>1516736</v>
      </c>
      <c r="P193" s="700">
        <v>1240416</v>
      </c>
      <c r="Q193" s="700">
        <v>-2023668</v>
      </c>
      <c r="R193" s="700">
        <v>-147076678</v>
      </c>
      <c r="S193" s="700">
        <v>1221756</v>
      </c>
      <c r="T193" s="700">
        <v>0</v>
      </c>
    </row>
    <row r="194" spans="1:23" ht="15" thickBot="1">
      <c r="A194" s="5"/>
      <c r="B194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3">
      <c r="A195" s="776"/>
      <c r="B195" s="777"/>
      <c r="C195" s="872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  <c r="O195" s="872"/>
      <c r="P195" s="872"/>
      <c r="Q195" s="872"/>
      <c r="R195" s="872"/>
      <c r="S195" s="872"/>
      <c r="T195" s="872"/>
    </row>
    <row r="196" spans="1:23">
      <c r="A196" s="20" t="s">
        <v>183</v>
      </c>
      <c r="B196" s="778"/>
      <c r="C196" s="873">
        <v>928500</v>
      </c>
      <c r="D196" s="873">
        <v>697000</v>
      </c>
      <c r="E196" s="873">
        <v>644600</v>
      </c>
      <c r="F196" s="873">
        <v>1725500</v>
      </c>
      <c r="G196" s="873">
        <v>865000</v>
      </c>
      <c r="H196" s="873">
        <v>1266000</v>
      </c>
      <c r="I196" s="873">
        <v>1884500</v>
      </c>
      <c r="J196" s="873">
        <v>465981</v>
      </c>
      <c r="K196" s="873">
        <v>885000</v>
      </c>
      <c r="L196" s="873">
        <v>763001</v>
      </c>
      <c r="M196" s="873">
        <v>422000</v>
      </c>
      <c r="N196" s="873">
        <v>2408064</v>
      </c>
      <c r="O196" s="873">
        <v>905998</v>
      </c>
      <c r="P196" s="873">
        <v>1183000</v>
      </c>
      <c r="Q196" s="873">
        <v>5615727</v>
      </c>
      <c r="R196" s="873">
        <v>1543500</v>
      </c>
      <c r="S196" s="873">
        <v>624000</v>
      </c>
      <c r="T196" s="873">
        <v>0</v>
      </c>
    </row>
    <row r="197" spans="1:23">
      <c r="A197" s="20" t="s">
        <v>24</v>
      </c>
      <c r="B197" s="778"/>
      <c r="C197" s="873">
        <v>862500</v>
      </c>
      <c r="D197" s="873">
        <v>697000</v>
      </c>
      <c r="E197" s="873">
        <v>594600</v>
      </c>
      <c r="F197" s="873">
        <v>1585500</v>
      </c>
      <c r="G197" s="873">
        <v>775000</v>
      </c>
      <c r="H197" s="873">
        <v>1086000</v>
      </c>
      <c r="I197" s="873">
        <v>1740500</v>
      </c>
      <c r="J197" s="873">
        <v>415981</v>
      </c>
      <c r="K197" s="873">
        <v>795000</v>
      </c>
      <c r="L197" s="873">
        <v>723001</v>
      </c>
      <c r="M197" s="873">
        <v>422000</v>
      </c>
      <c r="N197" s="873">
        <v>2328064</v>
      </c>
      <c r="O197" s="873">
        <v>785998</v>
      </c>
      <c r="P197" s="873">
        <v>1183000</v>
      </c>
      <c r="Q197" s="873">
        <v>5115727</v>
      </c>
      <c r="R197" s="873">
        <v>1543500</v>
      </c>
      <c r="S197" s="873">
        <v>624000</v>
      </c>
      <c r="T197" s="873">
        <v>0</v>
      </c>
    </row>
    <row r="198" spans="1:23">
      <c r="A198" s="28" t="s">
        <v>19</v>
      </c>
      <c r="B198" s="746" t="s">
        <v>283</v>
      </c>
      <c r="C198" s="874">
        <v>0</v>
      </c>
      <c r="D198" s="874">
        <v>330000</v>
      </c>
      <c r="E198" s="874">
        <v>595000</v>
      </c>
      <c r="F198" s="874">
        <v>870500</v>
      </c>
      <c r="G198" s="874">
        <v>1278000</v>
      </c>
      <c r="H198" s="874">
        <v>1526000</v>
      </c>
      <c r="I198" s="874">
        <v>524000</v>
      </c>
      <c r="J198" s="874">
        <v>0</v>
      </c>
      <c r="K198" s="874">
        <v>660000</v>
      </c>
      <c r="L198" s="874">
        <v>3335500</v>
      </c>
      <c r="M198" s="874">
        <v>3087000</v>
      </c>
      <c r="N198" s="874">
        <v>0</v>
      </c>
      <c r="O198" s="874">
        <v>478000</v>
      </c>
      <c r="P198" s="874">
        <v>3503000</v>
      </c>
      <c r="Q198" s="874">
        <v>5235000</v>
      </c>
      <c r="R198" s="874">
        <v>1920000</v>
      </c>
      <c r="S198" s="874">
        <v>0</v>
      </c>
      <c r="T198" s="874">
        <v>0</v>
      </c>
    </row>
    <row r="199" spans="1:23" s="265" customFormat="1">
      <c r="A199" s="779" t="s">
        <v>189</v>
      </c>
      <c r="B199" s="780"/>
      <c r="C199" s="701">
        <v>23342000</v>
      </c>
      <c r="D199" s="701">
        <v>23342000</v>
      </c>
      <c r="E199" s="701">
        <v>23012000</v>
      </c>
      <c r="F199" s="701">
        <v>22417000</v>
      </c>
      <c r="G199" s="701">
        <v>21546500</v>
      </c>
      <c r="H199" s="701">
        <v>20268500</v>
      </c>
      <c r="I199" s="701">
        <v>18742500</v>
      </c>
      <c r="J199" s="701">
        <v>18218500</v>
      </c>
      <c r="K199" s="701">
        <v>18218500</v>
      </c>
      <c r="L199" s="701">
        <v>17558500</v>
      </c>
      <c r="M199" s="701">
        <v>14223000</v>
      </c>
      <c r="N199" s="701">
        <v>11136000</v>
      </c>
      <c r="O199" s="701">
        <v>11136000</v>
      </c>
      <c r="P199" s="701">
        <v>10658000</v>
      </c>
      <c r="Q199" s="701">
        <v>7155000</v>
      </c>
      <c r="R199" s="701">
        <v>1920000</v>
      </c>
      <c r="S199" s="701">
        <v>0</v>
      </c>
      <c r="T199" s="701">
        <v>0</v>
      </c>
    </row>
    <row r="200" spans="1:23">
      <c r="A200" s="28" t="s">
        <v>180</v>
      </c>
      <c r="B200" s="746" t="s">
        <v>284</v>
      </c>
      <c r="C200" s="874">
        <v>66000</v>
      </c>
      <c r="D200" s="874">
        <v>0</v>
      </c>
      <c r="E200" s="874">
        <v>50000</v>
      </c>
      <c r="F200" s="874">
        <v>140000</v>
      </c>
      <c r="G200" s="874">
        <v>90000</v>
      </c>
      <c r="H200" s="874">
        <v>180000</v>
      </c>
      <c r="I200" s="874">
        <v>144000</v>
      </c>
      <c r="J200" s="874">
        <v>50000</v>
      </c>
      <c r="K200" s="874">
        <v>90000</v>
      </c>
      <c r="L200" s="874">
        <v>40000</v>
      </c>
      <c r="M200" s="874">
        <v>0</v>
      </c>
      <c r="N200" s="874">
        <v>80000</v>
      </c>
      <c r="O200" s="874">
        <v>120000</v>
      </c>
      <c r="P200" s="874">
        <v>0</v>
      </c>
      <c r="Q200" s="874">
        <v>500000</v>
      </c>
      <c r="R200" s="874">
        <v>0</v>
      </c>
      <c r="S200" s="874">
        <v>0</v>
      </c>
      <c r="T200" s="874">
        <v>0</v>
      </c>
    </row>
    <row r="201" spans="1:23" s="265" customFormat="1">
      <c r="A201" s="779" t="s">
        <v>190</v>
      </c>
      <c r="B201" s="780"/>
      <c r="C201" s="702">
        <v>1550000</v>
      </c>
      <c r="D201" s="702">
        <v>1484000</v>
      </c>
      <c r="E201" s="702">
        <v>1484000</v>
      </c>
      <c r="F201" s="702">
        <v>1434000</v>
      </c>
      <c r="G201" s="702">
        <v>1294000</v>
      </c>
      <c r="H201" s="702">
        <v>1204000</v>
      </c>
      <c r="I201" s="702">
        <v>1024000</v>
      </c>
      <c r="J201" s="702">
        <v>880000</v>
      </c>
      <c r="K201" s="702">
        <v>830000</v>
      </c>
      <c r="L201" s="702">
        <v>740000</v>
      </c>
      <c r="M201" s="702">
        <v>700000</v>
      </c>
      <c r="N201" s="702">
        <v>700000</v>
      </c>
      <c r="O201" s="702">
        <v>620000</v>
      </c>
      <c r="P201" s="702">
        <v>500000</v>
      </c>
      <c r="Q201" s="702">
        <v>500000</v>
      </c>
      <c r="R201" s="702">
        <v>0</v>
      </c>
      <c r="S201" s="702">
        <v>0</v>
      </c>
      <c r="T201" s="702">
        <v>0</v>
      </c>
    </row>
    <row r="202" spans="1:23">
      <c r="A202" s="20"/>
      <c r="B202" s="781"/>
      <c r="C202" s="873"/>
      <c r="D202" s="873"/>
      <c r="E202" s="873"/>
      <c r="F202" s="873"/>
      <c r="G202" s="873"/>
      <c r="H202" s="873"/>
      <c r="I202" s="873"/>
      <c r="J202" s="873"/>
      <c r="K202" s="873"/>
      <c r="L202" s="873"/>
      <c r="M202" s="873"/>
      <c r="N202" s="873"/>
      <c r="O202" s="873"/>
      <c r="P202" s="873"/>
      <c r="Q202" s="873"/>
      <c r="R202" s="873"/>
      <c r="S202" s="873"/>
      <c r="T202" s="873"/>
    </row>
    <row r="203" spans="1:23">
      <c r="A203" s="28" t="s">
        <v>63</v>
      </c>
      <c r="B203" s="746" t="s">
        <v>285</v>
      </c>
      <c r="C203" s="875">
        <v>0</v>
      </c>
      <c r="D203" s="875">
        <v>0</v>
      </c>
      <c r="E203" s="875">
        <v>0</v>
      </c>
      <c r="F203" s="875">
        <v>0</v>
      </c>
      <c r="G203" s="875">
        <v>0</v>
      </c>
      <c r="H203" s="875">
        <v>0</v>
      </c>
      <c r="I203" s="875">
        <v>0</v>
      </c>
      <c r="J203" s="875">
        <v>0</v>
      </c>
      <c r="K203" s="875">
        <v>0</v>
      </c>
      <c r="L203" s="875">
        <v>0</v>
      </c>
      <c r="M203" s="875">
        <v>0</v>
      </c>
      <c r="N203" s="875">
        <v>0</v>
      </c>
      <c r="O203" s="875">
        <v>0</v>
      </c>
      <c r="P203" s="875">
        <v>0</v>
      </c>
      <c r="Q203" s="875">
        <v>0</v>
      </c>
      <c r="R203" s="875">
        <v>0</v>
      </c>
      <c r="S203" s="875">
        <v>0</v>
      </c>
      <c r="T203" s="875">
        <v>0</v>
      </c>
      <c r="W203" s="703"/>
    </row>
    <row r="204" spans="1:23">
      <c r="A204" s="28" t="s">
        <v>12</v>
      </c>
      <c r="B204" s="746" t="s">
        <v>286</v>
      </c>
      <c r="C204" s="875">
        <v>0</v>
      </c>
      <c r="D204" s="875">
        <v>0</v>
      </c>
      <c r="E204" s="875">
        <v>0</v>
      </c>
      <c r="F204" s="875">
        <v>0</v>
      </c>
      <c r="G204" s="875">
        <v>0</v>
      </c>
      <c r="H204" s="875">
        <v>0</v>
      </c>
      <c r="I204" s="875">
        <v>0</v>
      </c>
      <c r="J204" s="875">
        <v>0</v>
      </c>
      <c r="K204" s="875">
        <v>0</v>
      </c>
      <c r="L204" s="875">
        <v>0</v>
      </c>
      <c r="M204" s="875">
        <v>0</v>
      </c>
      <c r="N204" s="875">
        <v>0</v>
      </c>
      <c r="O204" s="875">
        <v>0</v>
      </c>
      <c r="P204" s="875">
        <v>0</v>
      </c>
      <c r="Q204" s="875">
        <v>0</v>
      </c>
      <c r="R204" s="875">
        <v>0</v>
      </c>
      <c r="S204" s="875">
        <v>20000</v>
      </c>
      <c r="T204" s="875">
        <v>0</v>
      </c>
    </row>
    <row r="205" spans="1:23">
      <c r="A205" s="1"/>
      <c r="B205" s="748"/>
      <c r="C205" s="876"/>
      <c r="D205" s="876"/>
      <c r="E205" s="876"/>
      <c r="F205" s="876"/>
      <c r="G205" s="876"/>
      <c r="H205" s="876"/>
      <c r="I205" s="876"/>
      <c r="J205" s="876"/>
      <c r="K205" s="876"/>
      <c r="L205" s="876"/>
      <c r="M205" s="876"/>
      <c r="N205" s="876"/>
      <c r="O205" s="876"/>
      <c r="P205" s="876"/>
      <c r="Q205" s="876"/>
      <c r="R205" s="876"/>
      <c r="S205" s="876"/>
      <c r="T205" s="876"/>
    </row>
    <row r="206" spans="1:23">
      <c r="A206" s="782" t="s">
        <v>47</v>
      </c>
      <c r="B206" s="781"/>
      <c r="C206" s="702">
        <v>-1810354</v>
      </c>
      <c r="D206" s="702">
        <v>-2738854</v>
      </c>
      <c r="E206" s="702">
        <v>-3105854</v>
      </c>
      <c r="F206" s="702">
        <v>-3155454</v>
      </c>
      <c r="G206" s="702">
        <v>-4010454</v>
      </c>
      <c r="H206" s="702">
        <v>-3597454</v>
      </c>
      <c r="I206" s="702">
        <v>-3337454</v>
      </c>
      <c r="J206" s="702">
        <v>-4697954</v>
      </c>
      <c r="K206" s="702">
        <v>-5163935</v>
      </c>
      <c r="L206" s="702">
        <v>-5388935</v>
      </c>
      <c r="M206" s="702">
        <v>-2816436</v>
      </c>
      <c r="N206" s="702">
        <v>-151436</v>
      </c>
      <c r="O206" s="702">
        <v>-2559500</v>
      </c>
      <c r="P206" s="702">
        <v>-1691773</v>
      </c>
      <c r="Q206" s="702">
        <v>628227</v>
      </c>
      <c r="R206" s="702">
        <v>247500</v>
      </c>
      <c r="S206" s="702">
        <v>624000</v>
      </c>
      <c r="T206" s="702">
        <v>0</v>
      </c>
    </row>
    <row r="207" spans="1:23">
      <c r="A207" s="1"/>
      <c r="B207" s="748"/>
      <c r="C207" s="876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  <c r="O207" s="876"/>
      <c r="P207" s="876"/>
      <c r="Q207" s="876"/>
      <c r="R207" s="876"/>
      <c r="S207" s="876"/>
      <c r="T207" s="876"/>
    </row>
    <row r="208" spans="1:23">
      <c r="A208" s="28" t="s">
        <v>21</v>
      </c>
      <c r="B208" s="746" t="s">
        <v>287</v>
      </c>
      <c r="C208" s="875">
        <v>0</v>
      </c>
      <c r="D208" s="875">
        <v>2500000</v>
      </c>
      <c r="E208" s="875">
        <v>0</v>
      </c>
      <c r="F208" s="875">
        <v>300000</v>
      </c>
      <c r="G208" s="875">
        <v>60000</v>
      </c>
      <c r="H208" s="875">
        <v>0</v>
      </c>
      <c r="I208" s="875">
        <v>0</v>
      </c>
      <c r="J208" s="875">
        <v>0</v>
      </c>
      <c r="K208" s="875">
        <v>0</v>
      </c>
      <c r="L208" s="875">
        <v>0</v>
      </c>
      <c r="M208" s="875">
        <v>0</v>
      </c>
      <c r="N208" s="875">
        <v>0</v>
      </c>
      <c r="O208" s="875">
        <v>311500</v>
      </c>
      <c r="P208" s="875">
        <v>0</v>
      </c>
      <c r="Q208" s="875">
        <v>55000</v>
      </c>
      <c r="R208" s="875">
        <v>393750</v>
      </c>
      <c r="S208" s="875">
        <v>0</v>
      </c>
      <c r="T208" s="875">
        <v>0</v>
      </c>
    </row>
    <row r="209" spans="1:20">
      <c r="A209" s="28" t="s">
        <v>64</v>
      </c>
      <c r="B209" s="746" t="s">
        <v>281</v>
      </c>
      <c r="C209" s="875">
        <v>300000</v>
      </c>
      <c r="D209" s="875">
        <v>0</v>
      </c>
      <c r="E209" s="875">
        <v>0</v>
      </c>
      <c r="F209" s="875">
        <v>593750</v>
      </c>
      <c r="G209" s="875">
        <v>0</v>
      </c>
      <c r="H209" s="875">
        <v>0</v>
      </c>
      <c r="I209" s="875">
        <v>0</v>
      </c>
      <c r="J209" s="875">
        <v>0</v>
      </c>
      <c r="K209" s="875">
        <v>0</v>
      </c>
      <c r="L209" s="875">
        <v>0</v>
      </c>
      <c r="M209" s="875">
        <v>0</v>
      </c>
      <c r="N209" s="875">
        <v>0</v>
      </c>
      <c r="O209" s="875">
        <v>0</v>
      </c>
      <c r="P209" s="875">
        <v>205000</v>
      </c>
      <c r="Q209" s="875">
        <v>0</v>
      </c>
      <c r="R209" s="875">
        <v>1490000</v>
      </c>
      <c r="S209" s="875">
        <v>0</v>
      </c>
      <c r="T209" s="875">
        <v>0</v>
      </c>
    </row>
    <row r="210" spans="1:20">
      <c r="A210" s="1"/>
      <c r="B210" s="748"/>
      <c r="C210" s="876"/>
      <c r="D210" s="876"/>
      <c r="E210" s="876"/>
      <c r="F210" s="876"/>
      <c r="G210" s="876"/>
      <c r="H210" s="876"/>
      <c r="I210" s="876"/>
      <c r="J210" s="876"/>
      <c r="K210" s="876"/>
      <c r="L210" s="876"/>
      <c r="M210" s="876"/>
      <c r="N210" s="876"/>
      <c r="O210" s="876"/>
      <c r="P210" s="876"/>
      <c r="Q210" s="876"/>
      <c r="R210" s="876"/>
      <c r="S210" s="876"/>
      <c r="T210" s="876"/>
    </row>
    <row r="211" spans="1:20">
      <c r="A211" s="1444" t="s">
        <v>324</v>
      </c>
      <c r="B211" s="1445"/>
      <c r="C211" s="721">
        <v>56000</v>
      </c>
      <c r="D211" s="721">
        <v>56000</v>
      </c>
      <c r="E211" s="721">
        <v>56000</v>
      </c>
      <c r="F211" s="721">
        <v>56000</v>
      </c>
      <c r="G211" s="721">
        <v>56000</v>
      </c>
      <c r="H211" s="721">
        <v>35000</v>
      </c>
      <c r="I211" s="721">
        <v>35000</v>
      </c>
      <c r="J211" s="721">
        <v>35000</v>
      </c>
      <c r="K211" s="721">
        <v>35000</v>
      </c>
      <c r="L211" s="721">
        <v>35000</v>
      </c>
      <c r="M211" s="721">
        <v>35000</v>
      </c>
      <c r="N211" s="721">
        <v>35000</v>
      </c>
      <c r="O211" s="721">
        <v>35000</v>
      </c>
      <c r="P211" s="721">
        <v>35000</v>
      </c>
      <c r="Q211" s="721">
        <v>35000</v>
      </c>
      <c r="R211" s="721">
        <v>35000</v>
      </c>
      <c r="S211" s="721">
        <v>35000</v>
      </c>
      <c r="T211" s="721">
        <v>0</v>
      </c>
    </row>
    <row r="212" spans="1:20">
      <c r="A212" s="1444" t="s">
        <v>325</v>
      </c>
      <c r="B212" s="1445"/>
      <c r="C212" s="721">
        <v>37500</v>
      </c>
      <c r="D212" s="721">
        <v>37500</v>
      </c>
      <c r="E212" s="721">
        <v>37500</v>
      </c>
      <c r="F212" s="721">
        <v>37500</v>
      </c>
      <c r="G212" s="721">
        <v>37500</v>
      </c>
      <c r="H212" s="721">
        <v>65650</v>
      </c>
      <c r="I212" s="721">
        <v>65650</v>
      </c>
      <c r="J212" s="721">
        <v>65650</v>
      </c>
      <c r="K212" s="721">
        <v>65650</v>
      </c>
      <c r="L212" s="721">
        <v>65650</v>
      </c>
      <c r="M212" s="721">
        <v>65650</v>
      </c>
      <c r="N212" s="721">
        <v>65650</v>
      </c>
      <c r="O212" s="721">
        <v>65650</v>
      </c>
      <c r="P212" s="721">
        <v>65650</v>
      </c>
      <c r="Q212" s="721">
        <v>65650</v>
      </c>
      <c r="R212" s="721">
        <v>65650</v>
      </c>
      <c r="S212" s="721">
        <v>65650</v>
      </c>
      <c r="T212" s="721">
        <v>0</v>
      </c>
    </row>
    <row r="213" spans="1:20">
      <c r="A213" s="783" t="s">
        <v>339</v>
      </c>
      <c r="B213" s="784"/>
      <c r="C213" s="721">
        <v>676000</v>
      </c>
      <c r="D213" s="721">
        <v>635000</v>
      </c>
      <c r="E213" s="721">
        <v>635000</v>
      </c>
      <c r="F213" s="721">
        <v>595500</v>
      </c>
      <c r="G213" s="721">
        <v>595500</v>
      </c>
      <c r="H213" s="721">
        <v>22500</v>
      </c>
      <c r="I213" s="721">
        <v>22500</v>
      </c>
      <c r="J213" s="721">
        <v>22500</v>
      </c>
      <c r="K213" s="721">
        <v>22500</v>
      </c>
      <c r="L213" s="721">
        <v>22500</v>
      </c>
      <c r="M213" s="721">
        <v>22500</v>
      </c>
      <c r="N213" s="721">
        <v>22500</v>
      </c>
      <c r="O213" s="721">
        <v>22500</v>
      </c>
      <c r="P213" s="721">
        <v>22500</v>
      </c>
      <c r="Q213" s="721">
        <v>22500</v>
      </c>
      <c r="R213" s="721">
        <v>22500</v>
      </c>
      <c r="S213" s="721">
        <v>22500</v>
      </c>
      <c r="T213" s="721">
        <v>0</v>
      </c>
    </row>
    <row r="214" spans="1:20">
      <c r="A214" s="783" t="s">
        <v>561</v>
      </c>
      <c r="B214" s="784"/>
      <c r="C214" s="721">
        <v>28000</v>
      </c>
      <c r="D214" s="721">
        <v>7000</v>
      </c>
      <c r="E214" s="721">
        <v>7000</v>
      </c>
      <c r="F214" s="721">
        <v>7000</v>
      </c>
      <c r="G214" s="721">
        <v>7000</v>
      </c>
      <c r="H214" s="721">
        <v>7000</v>
      </c>
      <c r="I214" s="721">
        <v>7000</v>
      </c>
      <c r="J214" s="721">
        <v>7000</v>
      </c>
      <c r="K214" s="721">
        <v>7000</v>
      </c>
      <c r="L214" s="721">
        <v>7000</v>
      </c>
      <c r="M214" s="721">
        <v>7000</v>
      </c>
      <c r="N214" s="721">
        <v>7000</v>
      </c>
      <c r="O214" s="721">
        <v>7000</v>
      </c>
      <c r="P214" s="721">
        <v>7000</v>
      </c>
      <c r="Q214" s="721">
        <v>7000</v>
      </c>
      <c r="R214" s="721">
        <v>7000</v>
      </c>
      <c r="S214" s="721">
        <v>7000</v>
      </c>
      <c r="T214" s="721">
        <v>0</v>
      </c>
    </row>
    <row r="215" spans="1:20">
      <c r="A215" s="965"/>
      <c r="B215" s="966"/>
      <c r="C215" s="967">
        <v>797500</v>
      </c>
      <c r="D215" s="967">
        <v>735500</v>
      </c>
      <c r="E215" s="967">
        <v>735500</v>
      </c>
      <c r="F215" s="967">
        <v>696000</v>
      </c>
      <c r="G215" s="967">
        <v>696000</v>
      </c>
      <c r="H215" s="967">
        <v>130150</v>
      </c>
      <c r="I215" s="967">
        <v>130150</v>
      </c>
      <c r="J215" s="967">
        <v>130150</v>
      </c>
      <c r="K215" s="967">
        <v>130150</v>
      </c>
      <c r="L215" s="967">
        <v>130150</v>
      </c>
      <c r="M215" s="967">
        <v>130150</v>
      </c>
      <c r="N215" s="967">
        <v>130150</v>
      </c>
      <c r="O215" s="967">
        <v>130150</v>
      </c>
      <c r="P215" s="967">
        <v>130150</v>
      </c>
      <c r="Q215" s="967">
        <v>130150</v>
      </c>
      <c r="R215" s="967">
        <v>130150</v>
      </c>
      <c r="S215" s="967">
        <v>130150</v>
      </c>
      <c r="T215" s="967"/>
    </row>
    <row r="216" spans="1:20">
      <c r="A216" s="1"/>
      <c r="B216" s="748"/>
      <c r="C216" s="876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  <c r="O216" s="876"/>
      <c r="P216" s="876"/>
      <c r="Q216" s="876"/>
      <c r="R216" s="876"/>
      <c r="S216" s="876" t="s">
        <v>45</v>
      </c>
      <c r="T216" s="876"/>
    </row>
    <row r="217" spans="1:20">
      <c r="A217" s="1" t="s">
        <v>557</v>
      </c>
      <c r="B217" s="748"/>
      <c r="C217" s="893">
        <v>86450</v>
      </c>
      <c r="D217" s="893">
        <v>86450</v>
      </c>
      <c r="E217" s="893">
        <v>86450</v>
      </c>
      <c r="F217" s="893">
        <v>86450</v>
      </c>
      <c r="G217" s="893">
        <v>74350</v>
      </c>
      <c r="H217" s="893">
        <v>0</v>
      </c>
      <c r="I217" s="893">
        <v>0</v>
      </c>
      <c r="J217" s="893">
        <v>0</v>
      </c>
      <c r="K217" s="893">
        <v>0</v>
      </c>
      <c r="L217" s="893">
        <v>0</v>
      </c>
      <c r="M217" s="893">
        <v>0</v>
      </c>
      <c r="N217" s="893">
        <v>0</v>
      </c>
      <c r="O217" s="893">
        <v>0</v>
      </c>
      <c r="P217" s="893">
        <v>0</v>
      </c>
      <c r="Q217" s="893">
        <v>0</v>
      </c>
      <c r="R217" s="893">
        <v>0</v>
      </c>
      <c r="S217" s="893">
        <v>0</v>
      </c>
      <c r="T217" s="893">
        <v>0</v>
      </c>
    </row>
    <row r="218" spans="1:20">
      <c r="A218" s="1" t="s">
        <v>558</v>
      </c>
      <c r="B218" s="748"/>
      <c r="C218" s="893">
        <v>192250</v>
      </c>
      <c r="D218" s="893">
        <v>192250</v>
      </c>
      <c r="E218" s="893">
        <v>192250</v>
      </c>
      <c r="F218" s="893">
        <v>192250</v>
      </c>
      <c r="G218" s="893">
        <v>90000</v>
      </c>
      <c r="H218" s="893">
        <v>0</v>
      </c>
      <c r="I218" s="893">
        <v>0</v>
      </c>
      <c r="J218" s="893">
        <v>0</v>
      </c>
      <c r="K218" s="893">
        <v>0</v>
      </c>
      <c r="L218" s="893">
        <v>0</v>
      </c>
      <c r="M218" s="893">
        <v>0</v>
      </c>
      <c r="N218" s="893">
        <v>0</v>
      </c>
      <c r="O218" s="893">
        <v>0</v>
      </c>
      <c r="P218" s="893">
        <v>0</v>
      </c>
      <c r="Q218" s="893">
        <v>0</v>
      </c>
      <c r="R218" s="893">
        <v>0</v>
      </c>
      <c r="S218" s="893">
        <v>0</v>
      </c>
      <c r="T218" s="893">
        <v>0</v>
      </c>
    </row>
    <row r="219" spans="1:20">
      <c r="A219" s="1" t="s">
        <v>559</v>
      </c>
      <c r="B219" s="748"/>
      <c r="C219" s="893">
        <v>66750</v>
      </c>
      <c r="D219" s="893">
        <v>66750</v>
      </c>
      <c r="E219" s="893">
        <v>66750</v>
      </c>
      <c r="F219" s="893">
        <v>65000</v>
      </c>
      <c r="G219" s="893">
        <v>65000</v>
      </c>
      <c r="H219" s="893">
        <v>0</v>
      </c>
      <c r="I219" s="893">
        <v>0</v>
      </c>
      <c r="J219" s="893">
        <v>0</v>
      </c>
      <c r="K219" s="893">
        <v>0</v>
      </c>
      <c r="L219" s="893">
        <v>0</v>
      </c>
      <c r="M219" s="893">
        <v>0</v>
      </c>
      <c r="N219" s="893">
        <v>0</v>
      </c>
      <c r="O219" s="893">
        <v>0</v>
      </c>
      <c r="P219" s="893">
        <v>0</v>
      </c>
      <c r="Q219" s="893">
        <v>0</v>
      </c>
      <c r="R219" s="893">
        <v>0</v>
      </c>
      <c r="S219" s="893">
        <v>0</v>
      </c>
      <c r="T219" s="893">
        <v>0</v>
      </c>
    </row>
    <row r="220" spans="1:20">
      <c r="A220" s="1" t="s">
        <v>560</v>
      </c>
      <c r="B220" s="748"/>
      <c r="C220" s="893">
        <v>202950</v>
      </c>
      <c r="D220" s="893">
        <v>202950</v>
      </c>
      <c r="E220" s="893">
        <v>202950</v>
      </c>
      <c r="F220" s="893">
        <v>202950</v>
      </c>
      <c r="G220" s="893">
        <v>194700</v>
      </c>
      <c r="H220" s="893">
        <v>0</v>
      </c>
      <c r="I220" s="893">
        <v>0</v>
      </c>
      <c r="J220" s="893">
        <v>0</v>
      </c>
      <c r="K220" s="893">
        <v>0</v>
      </c>
      <c r="L220" s="893">
        <v>0</v>
      </c>
      <c r="M220" s="893">
        <v>0</v>
      </c>
      <c r="N220" s="893">
        <v>0</v>
      </c>
      <c r="O220" s="893">
        <v>0</v>
      </c>
      <c r="P220" s="893">
        <v>0</v>
      </c>
      <c r="Q220" s="893">
        <v>0</v>
      </c>
      <c r="R220" s="893">
        <v>0</v>
      </c>
      <c r="S220" s="893">
        <v>0</v>
      </c>
      <c r="T220" s="893">
        <v>0</v>
      </c>
    </row>
    <row r="221" spans="1:20">
      <c r="A221" s="1"/>
      <c r="B221" s="748"/>
      <c r="C221" s="892">
        <v>548400</v>
      </c>
      <c r="D221" s="892">
        <v>548400</v>
      </c>
      <c r="E221" s="892">
        <v>548400</v>
      </c>
      <c r="F221" s="892">
        <v>546650</v>
      </c>
      <c r="G221" s="892">
        <v>424050</v>
      </c>
      <c r="H221" s="892">
        <v>0</v>
      </c>
      <c r="I221" s="892">
        <v>0</v>
      </c>
      <c r="J221" s="892">
        <v>0</v>
      </c>
      <c r="K221" s="892">
        <v>0</v>
      </c>
      <c r="L221" s="892">
        <v>0</v>
      </c>
      <c r="M221" s="892">
        <v>0</v>
      </c>
      <c r="N221" s="892">
        <v>0</v>
      </c>
      <c r="O221" s="892">
        <v>0</v>
      </c>
      <c r="P221" s="892">
        <v>0</v>
      </c>
      <c r="Q221" s="892">
        <v>0</v>
      </c>
      <c r="R221" s="892">
        <v>0</v>
      </c>
      <c r="S221" s="892">
        <v>0</v>
      </c>
      <c r="T221" s="892">
        <v>0</v>
      </c>
    </row>
    <row r="222" spans="1:20">
      <c r="A222" s="1"/>
      <c r="B222" s="748"/>
      <c r="C222" s="876"/>
      <c r="D222" s="876"/>
      <c r="E222" s="876"/>
      <c r="F222" s="876"/>
      <c r="G222" s="876"/>
      <c r="H222" s="876"/>
      <c r="I222" s="876"/>
      <c r="J222" s="876"/>
      <c r="K222" s="876"/>
      <c r="L222" s="876"/>
      <c r="M222" s="876"/>
      <c r="N222" s="876"/>
      <c r="O222" s="876"/>
      <c r="P222" s="876"/>
      <c r="Q222" s="876"/>
      <c r="R222" s="876"/>
      <c r="S222" s="876"/>
      <c r="T222" s="876"/>
    </row>
    <row r="223" spans="1:20">
      <c r="A223" s="28" t="s">
        <v>11</v>
      </c>
      <c r="B223" s="746" t="s">
        <v>265</v>
      </c>
      <c r="C223" s="875">
        <v>200000</v>
      </c>
      <c r="D223" s="875">
        <v>50000</v>
      </c>
      <c r="E223" s="875">
        <v>0</v>
      </c>
      <c r="F223" s="875">
        <v>500000</v>
      </c>
      <c r="G223" s="875">
        <v>0</v>
      </c>
      <c r="H223" s="875">
        <v>0</v>
      </c>
      <c r="I223" s="875">
        <v>190000</v>
      </c>
      <c r="J223" s="875">
        <v>0</v>
      </c>
      <c r="K223" s="875">
        <v>100000</v>
      </c>
      <c r="L223" s="875">
        <v>452000</v>
      </c>
      <c r="M223" s="875">
        <v>0</v>
      </c>
      <c r="N223" s="875">
        <v>0</v>
      </c>
      <c r="O223" s="875">
        <v>0</v>
      </c>
      <c r="P223" s="875">
        <v>0</v>
      </c>
      <c r="Q223" s="875">
        <v>1560000</v>
      </c>
      <c r="R223" s="875">
        <v>290000</v>
      </c>
      <c r="S223" s="875">
        <v>700000</v>
      </c>
      <c r="T223" s="875">
        <v>0</v>
      </c>
    </row>
    <row r="224" spans="1:20">
      <c r="A224" s="28" t="s">
        <v>65</v>
      </c>
      <c r="B224" s="746" t="s">
        <v>264</v>
      </c>
      <c r="C224" s="875">
        <v>0</v>
      </c>
      <c r="D224" s="875">
        <v>0</v>
      </c>
      <c r="E224" s="875">
        <v>0</v>
      </c>
      <c r="F224" s="875">
        <v>0</v>
      </c>
      <c r="G224" s="875">
        <v>190000</v>
      </c>
      <c r="H224" s="875">
        <v>500000</v>
      </c>
      <c r="I224" s="875">
        <v>1200000</v>
      </c>
      <c r="J224" s="875">
        <v>0</v>
      </c>
      <c r="K224" s="875">
        <v>250000</v>
      </c>
      <c r="L224" s="875">
        <v>1000000</v>
      </c>
      <c r="M224" s="875">
        <v>0</v>
      </c>
      <c r="N224" s="875">
        <v>0</v>
      </c>
      <c r="O224" s="875">
        <v>0</v>
      </c>
      <c r="P224" s="875">
        <v>0</v>
      </c>
      <c r="Q224" s="875">
        <v>1000000</v>
      </c>
      <c r="R224" s="875">
        <v>151083750</v>
      </c>
      <c r="S224" s="875">
        <v>0</v>
      </c>
      <c r="T224" s="875">
        <v>0</v>
      </c>
    </row>
    <row r="225" spans="1:20">
      <c r="A225" s="1"/>
      <c r="B225" s="748"/>
      <c r="C225" s="876"/>
      <c r="D225" s="876"/>
      <c r="E225" s="876"/>
      <c r="F225" s="876"/>
      <c r="G225" s="876"/>
      <c r="H225" s="876"/>
      <c r="I225" s="876"/>
      <c r="J225" s="876"/>
      <c r="K225" s="876"/>
      <c r="L225" s="876"/>
      <c r="M225" s="876"/>
      <c r="N225" s="876"/>
      <c r="O225" s="876"/>
      <c r="P225" s="876"/>
      <c r="Q225" s="876"/>
      <c r="R225" s="876"/>
      <c r="S225" s="876"/>
      <c r="T225" s="876"/>
    </row>
    <row r="226" spans="1:20" ht="15" thickBot="1">
      <c r="A226" s="4"/>
      <c r="B226" s="753"/>
      <c r="C226" s="877"/>
      <c r="D226" s="877"/>
      <c r="E226" s="877"/>
      <c r="F226" s="877"/>
      <c r="G226" s="877"/>
      <c r="H226" s="877"/>
      <c r="I226" s="877"/>
      <c r="J226" s="877"/>
      <c r="K226" s="877"/>
      <c r="L226" s="877"/>
      <c r="M226" s="877"/>
      <c r="N226" s="877"/>
      <c r="O226" s="877"/>
      <c r="P226" s="877"/>
      <c r="Q226" s="877"/>
      <c r="R226" s="877"/>
      <c r="S226" s="877"/>
      <c r="T226" s="877"/>
    </row>
    <row r="227" spans="1:20" s="685" customFormat="1" ht="15" thickTop="1">
      <c r="A227" s="785" t="s">
        <v>173</v>
      </c>
      <c r="B227" s="786" t="s">
        <v>491</v>
      </c>
      <c r="C227" s="878">
        <v>552587</v>
      </c>
      <c r="D227" s="878">
        <v>274864</v>
      </c>
      <c r="E227" s="878">
        <v>214879</v>
      </c>
      <c r="F227" s="878">
        <v>922622</v>
      </c>
      <c r="G227" s="878">
        <v>497781</v>
      </c>
      <c r="H227" s="878">
        <v>666399</v>
      </c>
      <c r="I227" s="878">
        <v>678940</v>
      </c>
      <c r="J227" s="878">
        <v>420566</v>
      </c>
      <c r="K227" s="878">
        <v>481461</v>
      </c>
      <c r="L227" s="878">
        <v>374600</v>
      </c>
      <c r="M227" s="878">
        <v>371541</v>
      </c>
      <c r="N227" s="878">
        <v>1346170</v>
      </c>
      <c r="O227" s="878">
        <v>351310</v>
      </c>
      <c r="P227" s="878">
        <v>763964</v>
      </c>
      <c r="Q227" s="878">
        <v>2319540</v>
      </c>
      <c r="R227" s="878">
        <v>1580420</v>
      </c>
      <c r="S227" s="878">
        <v>313456</v>
      </c>
      <c r="T227" s="878">
        <v>0</v>
      </c>
    </row>
    <row r="228" spans="1:20" s="685" customFormat="1">
      <c r="A228" s="787"/>
      <c r="B228" s="788"/>
      <c r="C228" s="702">
        <v>12753411</v>
      </c>
      <c r="D228" s="702">
        <v>12200824</v>
      </c>
      <c r="E228" s="702">
        <v>11925960</v>
      </c>
      <c r="F228" s="702">
        <v>11711081</v>
      </c>
      <c r="G228" s="702">
        <v>10788459</v>
      </c>
      <c r="H228" s="702">
        <v>10290678</v>
      </c>
      <c r="I228" s="702">
        <v>9624279</v>
      </c>
      <c r="J228" s="702">
        <v>8945339</v>
      </c>
      <c r="K228" s="702">
        <v>8524773</v>
      </c>
      <c r="L228" s="702">
        <v>8043312</v>
      </c>
      <c r="M228" s="702">
        <v>7668712</v>
      </c>
      <c r="N228" s="702">
        <v>7297171</v>
      </c>
      <c r="O228" s="702">
        <v>5951001</v>
      </c>
      <c r="P228" s="702">
        <v>4977380</v>
      </c>
      <c r="Q228" s="702">
        <v>4213416</v>
      </c>
      <c r="R228" s="702">
        <v>1893876</v>
      </c>
      <c r="S228" s="702">
        <v>313456</v>
      </c>
      <c r="T228" s="702">
        <v>0</v>
      </c>
    </row>
    <row r="229" spans="1:20" s="685" customFormat="1">
      <c r="A229" s="789" t="s">
        <v>100</v>
      </c>
      <c r="B229" s="790"/>
      <c r="C229" s="879"/>
      <c r="D229" s="879"/>
      <c r="E229" s="879"/>
      <c r="F229" s="879"/>
      <c r="G229" s="879"/>
      <c r="H229" s="879"/>
      <c r="I229" s="879"/>
      <c r="J229" s="879"/>
      <c r="K229" s="879"/>
      <c r="L229" s="879"/>
      <c r="M229" s="879"/>
      <c r="N229" s="879"/>
      <c r="O229" s="879"/>
      <c r="P229" s="879"/>
      <c r="Q229" s="879"/>
      <c r="R229" s="879"/>
      <c r="S229" s="879"/>
      <c r="T229" s="879"/>
    </row>
    <row r="230" spans="1:20" s="685" customFormat="1">
      <c r="A230" s="791" t="s">
        <v>337</v>
      </c>
      <c r="B230" s="792" t="s">
        <v>492</v>
      </c>
      <c r="C230" s="880">
        <v>0</v>
      </c>
      <c r="D230" s="880">
        <v>0</v>
      </c>
      <c r="E230" s="880">
        <v>0</v>
      </c>
      <c r="F230" s="880">
        <v>0</v>
      </c>
      <c r="G230" s="880">
        <v>0</v>
      </c>
      <c r="H230" s="880">
        <v>0</v>
      </c>
      <c r="I230" s="880">
        <v>0</v>
      </c>
      <c r="J230" s="880">
        <v>0</v>
      </c>
      <c r="K230" s="880">
        <v>0</v>
      </c>
      <c r="L230" s="880">
        <v>0</v>
      </c>
      <c r="M230" s="880">
        <v>0</v>
      </c>
      <c r="N230" s="880">
        <v>0</v>
      </c>
      <c r="O230" s="880">
        <v>0</v>
      </c>
      <c r="P230" s="880">
        <v>0</v>
      </c>
      <c r="Q230" s="880">
        <v>0</v>
      </c>
      <c r="R230" s="880">
        <v>0</v>
      </c>
      <c r="S230" s="880">
        <v>0</v>
      </c>
      <c r="T230" s="880">
        <v>0</v>
      </c>
    </row>
    <row r="231" spans="1:20" s="685" customFormat="1">
      <c r="A231" s="791"/>
      <c r="B231" s="792"/>
      <c r="C231" s="702">
        <v>0</v>
      </c>
      <c r="D231" s="702">
        <v>0</v>
      </c>
      <c r="E231" s="702">
        <v>0</v>
      </c>
      <c r="F231" s="702">
        <v>0</v>
      </c>
      <c r="G231" s="702">
        <v>0</v>
      </c>
      <c r="H231" s="702">
        <v>0</v>
      </c>
      <c r="I231" s="702">
        <v>0</v>
      </c>
      <c r="J231" s="702">
        <v>0</v>
      </c>
      <c r="K231" s="702">
        <v>0</v>
      </c>
      <c r="L231" s="702">
        <v>0</v>
      </c>
      <c r="M231" s="702">
        <v>0</v>
      </c>
      <c r="N231" s="702">
        <v>0</v>
      </c>
      <c r="O231" s="702">
        <v>0</v>
      </c>
      <c r="P231" s="702">
        <v>0</v>
      </c>
      <c r="Q231" s="702">
        <v>0</v>
      </c>
      <c r="R231" s="702">
        <v>0</v>
      </c>
      <c r="S231" s="702">
        <v>0</v>
      </c>
      <c r="T231" s="702">
        <v>0</v>
      </c>
    </row>
    <row r="232" spans="1:20" s="685" customFormat="1">
      <c r="A232" s="791" t="s">
        <v>353</v>
      </c>
      <c r="B232" s="792" t="s">
        <v>493</v>
      </c>
      <c r="C232" s="880">
        <v>0</v>
      </c>
      <c r="D232" s="880">
        <v>0</v>
      </c>
      <c r="E232" s="880">
        <v>0</v>
      </c>
      <c r="F232" s="880">
        <v>0</v>
      </c>
      <c r="G232" s="880">
        <v>36000</v>
      </c>
      <c r="H232" s="880">
        <v>0</v>
      </c>
      <c r="I232" s="880">
        <v>0</v>
      </c>
      <c r="J232" s="880">
        <v>31481</v>
      </c>
      <c r="K232" s="880">
        <v>0</v>
      </c>
      <c r="L232" s="880">
        <v>0</v>
      </c>
      <c r="M232" s="880">
        <v>0</v>
      </c>
      <c r="N232" s="880">
        <v>0</v>
      </c>
      <c r="O232" s="880">
        <v>0</v>
      </c>
      <c r="P232" s="880">
        <v>0</v>
      </c>
      <c r="Q232" s="880">
        <v>0</v>
      </c>
      <c r="R232" s="880">
        <v>0</v>
      </c>
      <c r="S232" s="880">
        <v>0</v>
      </c>
      <c r="T232" s="880">
        <v>0</v>
      </c>
    </row>
    <row r="233" spans="1:20" s="685" customFormat="1">
      <c r="A233" s="791"/>
      <c r="B233" s="792"/>
      <c r="C233" s="702">
        <v>67481</v>
      </c>
      <c r="D233" s="702">
        <v>67481</v>
      </c>
      <c r="E233" s="702">
        <v>67481</v>
      </c>
      <c r="F233" s="702">
        <v>67481</v>
      </c>
      <c r="G233" s="702">
        <v>67481</v>
      </c>
      <c r="H233" s="702">
        <v>31481</v>
      </c>
      <c r="I233" s="702">
        <v>31481</v>
      </c>
      <c r="J233" s="702">
        <v>31481</v>
      </c>
      <c r="K233" s="702">
        <v>0</v>
      </c>
      <c r="L233" s="702">
        <v>0</v>
      </c>
      <c r="M233" s="702">
        <v>0</v>
      </c>
      <c r="N233" s="702">
        <v>0</v>
      </c>
      <c r="O233" s="702">
        <v>0</v>
      </c>
      <c r="P233" s="702">
        <v>0</v>
      </c>
      <c r="Q233" s="702">
        <v>0</v>
      </c>
      <c r="R233" s="702">
        <v>0</v>
      </c>
      <c r="S233" s="702">
        <v>0</v>
      </c>
      <c r="T233" s="702">
        <v>0</v>
      </c>
    </row>
    <row r="234" spans="1:20" s="685" customFormat="1">
      <c r="A234" s="791" t="s">
        <v>245</v>
      </c>
      <c r="B234" s="792" t="s">
        <v>494</v>
      </c>
      <c r="C234" s="880">
        <v>0</v>
      </c>
      <c r="D234" s="880">
        <v>0</v>
      </c>
      <c r="E234" s="880">
        <v>0</v>
      </c>
      <c r="F234" s="880">
        <v>0</v>
      </c>
      <c r="G234" s="880">
        <v>137500</v>
      </c>
      <c r="H234" s="880">
        <v>0</v>
      </c>
      <c r="I234" s="880">
        <v>0</v>
      </c>
      <c r="J234" s="880">
        <v>0</v>
      </c>
      <c r="K234" s="880">
        <v>0</v>
      </c>
      <c r="L234" s="880">
        <v>0</v>
      </c>
      <c r="M234" s="880">
        <v>0</v>
      </c>
      <c r="N234" s="880">
        <v>0</v>
      </c>
      <c r="O234" s="880">
        <v>0</v>
      </c>
      <c r="P234" s="880">
        <v>0</v>
      </c>
      <c r="Q234" s="880">
        <v>20999</v>
      </c>
      <c r="R234" s="880">
        <v>137500</v>
      </c>
      <c r="S234" s="880">
        <v>0</v>
      </c>
      <c r="T234" s="880">
        <v>0</v>
      </c>
    </row>
    <row r="235" spans="1:20" s="685" customFormat="1">
      <c r="A235" s="791"/>
      <c r="B235" s="792"/>
      <c r="C235" s="702">
        <v>295999</v>
      </c>
      <c r="D235" s="702">
        <v>295999</v>
      </c>
      <c r="E235" s="702">
        <v>295999</v>
      </c>
      <c r="F235" s="702">
        <v>295999</v>
      </c>
      <c r="G235" s="702">
        <v>295999</v>
      </c>
      <c r="H235" s="702">
        <v>158499</v>
      </c>
      <c r="I235" s="702">
        <v>158499</v>
      </c>
      <c r="J235" s="702">
        <v>158499</v>
      </c>
      <c r="K235" s="702">
        <v>158499</v>
      </c>
      <c r="L235" s="702">
        <v>158499</v>
      </c>
      <c r="M235" s="702">
        <v>158499</v>
      </c>
      <c r="N235" s="702">
        <v>158499</v>
      </c>
      <c r="O235" s="702">
        <v>158499</v>
      </c>
      <c r="P235" s="702">
        <v>158499</v>
      </c>
      <c r="Q235" s="702">
        <v>158499</v>
      </c>
      <c r="R235" s="702">
        <v>137500</v>
      </c>
      <c r="S235" s="702">
        <v>0</v>
      </c>
      <c r="T235" s="702">
        <v>0</v>
      </c>
    </row>
    <row r="236" spans="1:20" s="685" customFormat="1">
      <c r="A236" s="791" t="s">
        <v>349</v>
      </c>
      <c r="B236" s="792" t="s">
        <v>495</v>
      </c>
      <c r="C236" s="880">
        <v>0</v>
      </c>
      <c r="D236" s="880">
        <v>0</v>
      </c>
      <c r="E236" s="880">
        <v>0</v>
      </c>
      <c r="F236" s="880">
        <v>0</v>
      </c>
      <c r="G236" s="880">
        <v>0</v>
      </c>
      <c r="H236" s="880">
        <v>0</v>
      </c>
      <c r="I236" s="880">
        <v>0</v>
      </c>
      <c r="J236" s="880">
        <v>0</v>
      </c>
      <c r="K236" s="880">
        <v>0</v>
      </c>
      <c r="L236" s="880">
        <v>0</v>
      </c>
      <c r="M236" s="880">
        <v>0</v>
      </c>
      <c r="N236" s="880">
        <v>0</v>
      </c>
      <c r="O236" s="880">
        <v>0</v>
      </c>
      <c r="P236" s="880">
        <v>0</v>
      </c>
      <c r="Q236" s="880">
        <v>0</v>
      </c>
      <c r="R236" s="880">
        <v>0</v>
      </c>
      <c r="S236" s="880">
        <v>0</v>
      </c>
      <c r="T236" s="880">
        <v>0</v>
      </c>
    </row>
    <row r="237" spans="1:20" s="685" customFormat="1">
      <c r="A237" s="791"/>
      <c r="B237" s="792"/>
      <c r="C237" s="702">
        <v>0</v>
      </c>
      <c r="D237" s="702">
        <v>0</v>
      </c>
      <c r="E237" s="702">
        <v>0</v>
      </c>
      <c r="F237" s="702">
        <v>0</v>
      </c>
      <c r="G237" s="702">
        <v>0</v>
      </c>
      <c r="H237" s="702">
        <v>0</v>
      </c>
      <c r="I237" s="702">
        <v>0</v>
      </c>
      <c r="J237" s="702">
        <v>0</v>
      </c>
      <c r="K237" s="702">
        <v>0</v>
      </c>
      <c r="L237" s="702">
        <v>0</v>
      </c>
      <c r="M237" s="702">
        <v>0</v>
      </c>
      <c r="N237" s="702">
        <v>0</v>
      </c>
      <c r="O237" s="702">
        <v>0</v>
      </c>
      <c r="P237" s="702">
        <v>0</v>
      </c>
      <c r="Q237" s="702">
        <v>0</v>
      </c>
      <c r="R237" s="702">
        <v>0</v>
      </c>
      <c r="S237" s="702">
        <v>0</v>
      </c>
      <c r="T237" s="702">
        <v>0</v>
      </c>
    </row>
    <row r="238" spans="1:20" s="685" customFormat="1">
      <c r="A238" s="791" t="s">
        <v>247</v>
      </c>
      <c r="B238" s="792" t="s">
        <v>496</v>
      </c>
      <c r="C238" s="880">
        <v>0</v>
      </c>
      <c r="D238" s="880">
        <v>0</v>
      </c>
      <c r="E238" s="880">
        <v>0</v>
      </c>
      <c r="F238" s="880">
        <v>0</v>
      </c>
      <c r="G238" s="880">
        <v>0</v>
      </c>
      <c r="H238" s="880">
        <v>0</v>
      </c>
      <c r="I238" s="880">
        <v>0</v>
      </c>
      <c r="J238" s="880">
        <v>102400</v>
      </c>
      <c r="K238" s="880">
        <v>0</v>
      </c>
      <c r="L238" s="880">
        <v>0</v>
      </c>
      <c r="M238" s="880">
        <v>0</v>
      </c>
      <c r="N238" s="880">
        <v>0</v>
      </c>
      <c r="O238" s="880">
        <v>0</v>
      </c>
      <c r="P238" s="880">
        <v>0</v>
      </c>
      <c r="Q238" s="880">
        <v>52400</v>
      </c>
      <c r="R238" s="880">
        <v>0</v>
      </c>
      <c r="S238" s="880">
        <v>0</v>
      </c>
      <c r="T238" s="880">
        <v>0</v>
      </c>
    </row>
    <row r="239" spans="1:20" s="685" customFormat="1">
      <c r="A239" s="791"/>
      <c r="B239" s="792"/>
      <c r="C239" s="702">
        <v>154800</v>
      </c>
      <c r="D239" s="702">
        <v>154800</v>
      </c>
      <c r="E239" s="702">
        <v>154800</v>
      </c>
      <c r="F239" s="702">
        <v>154800</v>
      </c>
      <c r="G239" s="702">
        <v>154800</v>
      </c>
      <c r="H239" s="702">
        <v>154800</v>
      </c>
      <c r="I239" s="702">
        <v>154800</v>
      </c>
      <c r="J239" s="702">
        <v>154800</v>
      </c>
      <c r="K239" s="702">
        <v>52400</v>
      </c>
      <c r="L239" s="702">
        <v>52400</v>
      </c>
      <c r="M239" s="702">
        <v>52400</v>
      </c>
      <c r="N239" s="702">
        <v>52400</v>
      </c>
      <c r="O239" s="702">
        <v>52400</v>
      </c>
      <c r="P239" s="702">
        <v>52400</v>
      </c>
      <c r="Q239" s="702">
        <v>52400</v>
      </c>
      <c r="R239" s="702">
        <v>0</v>
      </c>
      <c r="S239" s="702">
        <v>0</v>
      </c>
      <c r="T239" s="702">
        <v>0</v>
      </c>
    </row>
    <row r="240" spans="1:20" s="685" customFormat="1">
      <c r="A240" s="791" t="s">
        <v>187</v>
      </c>
      <c r="B240" s="792" t="s">
        <v>497</v>
      </c>
      <c r="C240" s="880">
        <v>1658000</v>
      </c>
      <c r="D240" s="880">
        <v>0</v>
      </c>
      <c r="E240" s="880">
        <v>0</v>
      </c>
      <c r="F240" s="880">
        <v>0</v>
      </c>
      <c r="G240" s="880">
        <v>0</v>
      </c>
      <c r="H240" s="880">
        <v>0</v>
      </c>
      <c r="I240" s="880">
        <v>0</v>
      </c>
      <c r="J240" s="880">
        <v>0</v>
      </c>
      <c r="K240" s="880">
        <v>0</v>
      </c>
      <c r="L240" s="880">
        <v>0</v>
      </c>
      <c r="M240" s="880">
        <v>0</v>
      </c>
      <c r="N240" s="880">
        <v>0</v>
      </c>
      <c r="O240" s="880">
        <v>0</v>
      </c>
      <c r="P240" s="880">
        <v>0</v>
      </c>
      <c r="Q240" s="880">
        <v>0</v>
      </c>
      <c r="R240" s="880">
        <v>0</v>
      </c>
      <c r="S240" s="880">
        <v>0</v>
      </c>
      <c r="T240" s="880">
        <v>0</v>
      </c>
    </row>
    <row r="241" spans="1:20" s="685" customFormat="1">
      <c r="A241" s="791"/>
      <c r="B241" s="792"/>
      <c r="C241" s="702">
        <v>1658000</v>
      </c>
      <c r="D241" s="702">
        <v>0</v>
      </c>
      <c r="E241" s="702">
        <v>0</v>
      </c>
      <c r="F241" s="702">
        <v>0</v>
      </c>
      <c r="G241" s="702">
        <v>0</v>
      </c>
      <c r="H241" s="702">
        <v>0</v>
      </c>
      <c r="I241" s="702">
        <v>0</v>
      </c>
      <c r="J241" s="702">
        <v>0</v>
      </c>
      <c r="K241" s="702">
        <v>0</v>
      </c>
      <c r="L241" s="702">
        <v>0</v>
      </c>
      <c r="M241" s="702">
        <v>0</v>
      </c>
      <c r="N241" s="702">
        <v>0</v>
      </c>
      <c r="O241" s="702">
        <v>0</v>
      </c>
      <c r="P241" s="702">
        <v>0</v>
      </c>
      <c r="Q241" s="702">
        <v>0</v>
      </c>
      <c r="R241" s="702">
        <v>0</v>
      </c>
      <c r="S241" s="702">
        <v>0</v>
      </c>
      <c r="T241" s="702">
        <v>0</v>
      </c>
    </row>
    <row r="242" spans="1:20" s="685" customFormat="1">
      <c r="A242" s="791" t="s">
        <v>246</v>
      </c>
      <c r="B242" s="792" t="s">
        <v>498</v>
      </c>
      <c r="C242" s="880">
        <v>0</v>
      </c>
      <c r="D242" s="880">
        <v>0</v>
      </c>
      <c r="E242" s="880">
        <v>0</v>
      </c>
      <c r="F242" s="880">
        <v>0</v>
      </c>
      <c r="G242" s="880">
        <v>0</v>
      </c>
      <c r="H242" s="880">
        <v>0</v>
      </c>
      <c r="I242" s="880">
        <v>0</v>
      </c>
      <c r="J242" s="880">
        <v>0</v>
      </c>
      <c r="K242" s="880">
        <v>0</v>
      </c>
      <c r="L242" s="880">
        <v>0</v>
      </c>
      <c r="M242" s="880">
        <v>0</v>
      </c>
      <c r="N242" s="880">
        <v>0</v>
      </c>
      <c r="O242" s="880">
        <v>0</v>
      </c>
      <c r="P242" s="880">
        <v>0</v>
      </c>
      <c r="Q242" s="880">
        <v>0</v>
      </c>
      <c r="R242" s="880">
        <v>0</v>
      </c>
      <c r="S242" s="880">
        <v>0</v>
      </c>
      <c r="T242" s="880">
        <v>0</v>
      </c>
    </row>
    <row r="243" spans="1:20" s="685" customFormat="1">
      <c r="A243" s="791"/>
      <c r="B243" s="792"/>
      <c r="C243" s="702">
        <v>0</v>
      </c>
      <c r="D243" s="702">
        <v>0</v>
      </c>
      <c r="E243" s="702">
        <v>0</v>
      </c>
      <c r="F243" s="702">
        <v>0</v>
      </c>
      <c r="G243" s="702">
        <v>0</v>
      </c>
      <c r="H243" s="702">
        <v>0</v>
      </c>
      <c r="I243" s="702">
        <v>0</v>
      </c>
      <c r="J243" s="702">
        <v>0</v>
      </c>
      <c r="K243" s="702">
        <v>0</v>
      </c>
      <c r="L243" s="702">
        <v>0</v>
      </c>
      <c r="M243" s="702">
        <v>0</v>
      </c>
      <c r="N243" s="702">
        <v>0</v>
      </c>
      <c r="O243" s="702">
        <v>0</v>
      </c>
      <c r="P243" s="702">
        <v>0</v>
      </c>
      <c r="Q243" s="702">
        <v>0</v>
      </c>
      <c r="R243" s="702">
        <v>0</v>
      </c>
      <c r="S243" s="702">
        <v>0</v>
      </c>
      <c r="T243" s="702">
        <v>0</v>
      </c>
    </row>
    <row r="244" spans="1:20" s="685" customFormat="1">
      <c r="A244" s="791" t="s">
        <v>334</v>
      </c>
      <c r="B244" s="792" t="s">
        <v>499</v>
      </c>
      <c r="C244" s="880">
        <v>0</v>
      </c>
      <c r="D244" s="880">
        <v>0</v>
      </c>
      <c r="E244" s="880">
        <v>0</v>
      </c>
      <c r="F244" s="880">
        <v>0</v>
      </c>
      <c r="G244" s="880">
        <v>0</v>
      </c>
      <c r="H244" s="880">
        <v>0</v>
      </c>
      <c r="I244" s="880">
        <v>0</v>
      </c>
      <c r="J244" s="880">
        <v>0</v>
      </c>
      <c r="K244" s="880">
        <v>0</v>
      </c>
      <c r="L244" s="880">
        <v>0</v>
      </c>
      <c r="M244" s="880">
        <v>0</v>
      </c>
      <c r="N244" s="880">
        <v>0</v>
      </c>
      <c r="O244" s="880">
        <v>0</v>
      </c>
      <c r="P244" s="880">
        <v>0</v>
      </c>
      <c r="Q244" s="880">
        <v>0</v>
      </c>
      <c r="R244" s="880">
        <v>0</v>
      </c>
      <c r="S244" s="880">
        <v>0</v>
      </c>
      <c r="T244" s="880">
        <v>0</v>
      </c>
    </row>
    <row r="245" spans="1:20" s="685" customFormat="1">
      <c r="A245" s="791"/>
      <c r="B245" s="792"/>
      <c r="C245" s="702">
        <v>0</v>
      </c>
      <c r="D245" s="702">
        <v>0</v>
      </c>
      <c r="E245" s="702">
        <v>0</v>
      </c>
      <c r="F245" s="702">
        <v>0</v>
      </c>
      <c r="G245" s="702">
        <v>0</v>
      </c>
      <c r="H245" s="702">
        <v>0</v>
      </c>
      <c r="I245" s="702">
        <v>0</v>
      </c>
      <c r="J245" s="702">
        <v>0</v>
      </c>
      <c r="K245" s="702">
        <v>0</v>
      </c>
      <c r="L245" s="702">
        <v>0</v>
      </c>
      <c r="M245" s="702">
        <v>0</v>
      </c>
      <c r="N245" s="702">
        <v>0</v>
      </c>
      <c r="O245" s="702">
        <v>0</v>
      </c>
      <c r="P245" s="702">
        <v>0</v>
      </c>
      <c r="Q245" s="702">
        <v>0</v>
      </c>
      <c r="R245" s="702">
        <v>0</v>
      </c>
      <c r="S245" s="702">
        <v>0</v>
      </c>
      <c r="T245" s="702">
        <v>0</v>
      </c>
    </row>
    <row r="246" spans="1:20" s="685" customFormat="1">
      <c r="A246" s="791" t="s">
        <v>27</v>
      </c>
      <c r="B246" s="792" t="s">
        <v>500</v>
      </c>
      <c r="C246" s="880">
        <v>0</v>
      </c>
      <c r="D246" s="880">
        <v>0</v>
      </c>
      <c r="E246" s="880">
        <v>0</v>
      </c>
      <c r="F246" s="880">
        <v>0</v>
      </c>
      <c r="G246" s="880">
        <v>35000</v>
      </c>
      <c r="H246" s="880">
        <v>0</v>
      </c>
      <c r="I246" s="880">
        <v>0</v>
      </c>
      <c r="J246" s="880">
        <v>0</v>
      </c>
      <c r="K246" s="880">
        <v>0</v>
      </c>
      <c r="L246" s="880">
        <v>0</v>
      </c>
      <c r="M246" s="880">
        <v>75000</v>
      </c>
      <c r="N246" s="880">
        <v>0</v>
      </c>
      <c r="O246" s="880">
        <v>0</v>
      </c>
      <c r="P246" s="880">
        <v>0</v>
      </c>
      <c r="Q246" s="880">
        <v>74200</v>
      </c>
      <c r="R246" s="880">
        <v>0</v>
      </c>
      <c r="S246" s="880">
        <v>0</v>
      </c>
      <c r="T246" s="880">
        <v>0</v>
      </c>
    </row>
    <row r="247" spans="1:20" s="685" customFormat="1">
      <c r="A247" s="791"/>
      <c r="B247" s="792"/>
      <c r="C247" s="702">
        <v>184200</v>
      </c>
      <c r="D247" s="702">
        <v>184200</v>
      </c>
      <c r="E247" s="702">
        <v>184200</v>
      </c>
      <c r="F247" s="702">
        <v>184200</v>
      </c>
      <c r="G247" s="702">
        <v>184200</v>
      </c>
      <c r="H247" s="702">
        <v>149200</v>
      </c>
      <c r="I247" s="702">
        <v>149200</v>
      </c>
      <c r="J247" s="702">
        <v>149200</v>
      </c>
      <c r="K247" s="702">
        <v>149200</v>
      </c>
      <c r="L247" s="702">
        <v>149200</v>
      </c>
      <c r="M247" s="702">
        <v>149200</v>
      </c>
      <c r="N247" s="702">
        <v>74200</v>
      </c>
      <c r="O247" s="702">
        <v>74200</v>
      </c>
      <c r="P247" s="702">
        <v>74200</v>
      </c>
      <c r="Q247" s="702">
        <v>74200</v>
      </c>
      <c r="R247" s="702">
        <v>0</v>
      </c>
      <c r="S247" s="702">
        <v>0</v>
      </c>
      <c r="T247" s="702">
        <v>0</v>
      </c>
    </row>
    <row r="248" spans="1:20" s="1022" customFormat="1">
      <c r="A248" s="791" t="s">
        <v>180</v>
      </c>
      <c r="B248" s="792"/>
      <c r="C248" s="1021">
        <v>0</v>
      </c>
      <c r="D248" s="1021">
        <v>0</v>
      </c>
      <c r="E248" s="1021">
        <v>0</v>
      </c>
      <c r="F248" s="1021">
        <v>0</v>
      </c>
      <c r="G248" s="1021">
        <v>0</v>
      </c>
      <c r="H248" s="1021">
        <v>0</v>
      </c>
      <c r="I248" s="1021">
        <v>0</v>
      </c>
      <c r="J248" s="1021">
        <v>0</v>
      </c>
      <c r="K248" s="1021">
        <v>0</v>
      </c>
      <c r="L248" s="1021">
        <v>0</v>
      </c>
      <c r="M248" s="1021">
        <v>0</v>
      </c>
      <c r="N248" s="1021">
        <v>0</v>
      </c>
      <c r="O248" s="1021">
        <v>0</v>
      </c>
      <c r="P248" s="1021">
        <v>0</v>
      </c>
      <c r="Q248" s="1021">
        <v>0</v>
      </c>
      <c r="R248" s="1021">
        <v>0</v>
      </c>
      <c r="S248" s="1021">
        <v>0</v>
      </c>
      <c r="T248" s="1021">
        <v>0</v>
      </c>
    </row>
    <row r="249" spans="1:20" s="685" customFormat="1">
      <c r="A249" s="791"/>
      <c r="B249" s="792"/>
      <c r="C249" s="702">
        <v>0</v>
      </c>
      <c r="D249" s="702">
        <v>0</v>
      </c>
      <c r="E249" s="702">
        <v>0</v>
      </c>
      <c r="F249" s="702">
        <v>0</v>
      </c>
      <c r="G249" s="702">
        <v>0</v>
      </c>
      <c r="H249" s="702">
        <v>0</v>
      </c>
      <c r="I249" s="702">
        <v>0</v>
      </c>
      <c r="J249" s="702">
        <v>0</v>
      </c>
      <c r="K249" s="702">
        <v>0</v>
      </c>
      <c r="L249" s="702">
        <v>0</v>
      </c>
      <c r="M249" s="702">
        <v>0</v>
      </c>
      <c r="N249" s="702">
        <v>0</v>
      </c>
      <c r="O249" s="702">
        <v>0</v>
      </c>
      <c r="P249" s="702">
        <v>0</v>
      </c>
      <c r="Q249" s="702">
        <v>0</v>
      </c>
      <c r="R249" s="702">
        <v>0</v>
      </c>
      <c r="S249" s="702">
        <v>0</v>
      </c>
      <c r="T249" s="702">
        <v>0</v>
      </c>
    </row>
    <row r="250" spans="1:20" s="685" customFormat="1">
      <c r="A250" s="791" t="s">
        <v>59</v>
      </c>
      <c r="B250" s="792"/>
      <c r="C250" s="881">
        <v>1658000</v>
      </c>
      <c r="D250" s="881">
        <v>0</v>
      </c>
      <c r="E250" s="881">
        <v>0</v>
      </c>
      <c r="F250" s="881">
        <v>0</v>
      </c>
      <c r="G250" s="881">
        <v>208500</v>
      </c>
      <c r="H250" s="881">
        <v>0</v>
      </c>
      <c r="I250" s="881">
        <v>0</v>
      </c>
      <c r="J250" s="881">
        <v>133881</v>
      </c>
      <c r="K250" s="881">
        <v>0</v>
      </c>
      <c r="L250" s="881">
        <v>0</v>
      </c>
      <c r="M250" s="881">
        <v>75000</v>
      </c>
      <c r="N250" s="881">
        <v>0</v>
      </c>
      <c r="O250" s="881">
        <v>0</v>
      </c>
      <c r="P250" s="881">
        <v>0</v>
      </c>
      <c r="Q250" s="881">
        <v>147599</v>
      </c>
      <c r="R250" s="881">
        <v>137500</v>
      </c>
      <c r="S250" s="881">
        <v>0</v>
      </c>
      <c r="T250" s="881">
        <v>0</v>
      </c>
    </row>
    <row r="251" spans="1:20" s="685" customFormat="1">
      <c r="A251" s="791"/>
      <c r="B251" s="792"/>
      <c r="C251" s="702">
        <v>2360480</v>
      </c>
      <c r="D251" s="702">
        <v>702480</v>
      </c>
      <c r="E251" s="702">
        <v>702480</v>
      </c>
      <c r="F251" s="702">
        <v>702480</v>
      </c>
      <c r="G251" s="702">
        <v>702480</v>
      </c>
      <c r="H251" s="702">
        <v>493980</v>
      </c>
      <c r="I251" s="702">
        <v>493980</v>
      </c>
      <c r="J251" s="702">
        <v>493980</v>
      </c>
      <c r="K251" s="702">
        <v>360099</v>
      </c>
      <c r="L251" s="702">
        <v>360099</v>
      </c>
      <c r="M251" s="702">
        <v>360099</v>
      </c>
      <c r="N251" s="702">
        <v>285099</v>
      </c>
      <c r="O251" s="702">
        <v>285099</v>
      </c>
      <c r="P251" s="702">
        <v>285099</v>
      </c>
      <c r="Q251" s="702">
        <v>285099</v>
      </c>
      <c r="R251" s="702">
        <v>137500</v>
      </c>
      <c r="S251" s="702">
        <v>0</v>
      </c>
      <c r="T251" s="702">
        <v>0</v>
      </c>
    </row>
    <row r="252" spans="1:20" s="685" customFormat="1">
      <c r="A252" s="793" t="s">
        <v>350</v>
      </c>
      <c r="B252" s="794"/>
      <c r="C252" s="882">
        <v>-1105413</v>
      </c>
      <c r="D252" s="882">
        <v>274864</v>
      </c>
      <c r="E252" s="882">
        <v>214879</v>
      </c>
      <c r="F252" s="882">
        <v>922622</v>
      </c>
      <c r="G252" s="882">
        <v>289281</v>
      </c>
      <c r="H252" s="882">
        <v>666399</v>
      </c>
      <c r="I252" s="882">
        <v>678940</v>
      </c>
      <c r="J252" s="882">
        <v>286685</v>
      </c>
      <c r="K252" s="882">
        <v>481461</v>
      </c>
      <c r="L252" s="882">
        <v>374600</v>
      </c>
      <c r="M252" s="882">
        <v>296541</v>
      </c>
      <c r="N252" s="882">
        <v>1346170</v>
      </c>
      <c r="O252" s="882">
        <v>351310</v>
      </c>
      <c r="P252" s="882">
        <v>763964</v>
      </c>
      <c r="Q252" s="882">
        <v>2171941</v>
      </c>
      <c r="R252" s="882">
        <v>1442920</v>
      </c>
      <c r="S252" s="882">
        <v>313456</v>
      </c>
      <c r="T252" s="882">
        <v>0</v>
      </c>
    </row>
    <row r="253" spans="1:20" s="685" customFormat="1">
      <c r="A253" s="793"/>
      <c r="B253" s="794"/>
      <c r="C253" s="702">
        <v>10392931</v>
      </c>
      <c r="D253" s="702">
        <v>11498344</v>
      </c>
      <c r="E253" s="702">
        <v>11223480</v>
      </c>
      <c r="F253" s="702">
        <v>11008601</v>
      </c>
      <c r="G253" s="702">
        <v>10085979</v>
      </c>
      <c r="H253" s="702">
        <v>9796698</v>
      </c>
      <c r="I253" s="702">
        <v>9130299</v>
      </c>
      <c r="J253" s="702">
        <v>8451359</v>
      </c>
      <c r="K253" s="702">
        <v>8164674</v>
      </c>
      <c r="L253" s="702">
        <v>7683213</v>
      </c>
      <c r="M253" s="702">
        <v>7308613</v>
      </c>
      <c r="N253" s="702">
        <v>7012072</v>
      </c>
      <c r="O253" s="702">
        <v>5665902</v>
      </c>
      <c r="P253" s="702">
        <v>4692281</v>
      </c>
      <c r="Q253" s="702">
        <v>3928317</v>
      </c>
      <c r="R253" s="702">
        <v>1756376</v>
      </c>
      <c r="S253" s="702">
        <v>313456</v>
      </c>
      <c r="T253" s="702">
        <v>0</v>
      </c>
    </row>
    <row r="254" spans="1:20" s="685" customFormat="1">
      <c r="A254" s="795"/>
      <c r="B254" s="748"/>
      <c r="C254" s="704"/>
      <c r="D254" s="704"/>
      <c r="E254" s="704"/>
      <c r="F254" s="704"/>
      <c r="G254" s="704"/>
      <c r="H254" s="704"/>
      <c r="I254" s="704"/>
      <c r="J254" s="704"/>
      <c r="K254" s="704"/>
      <c r="L254" s="704"/>
      <c r="M254" s="704"/>
      <c r="N254" s="704"/>
      <c r="O254" s="704"/>
      <c r="P254" s="704"/>
      <c r="Q254" s="704"/>
      <c r="R254" s="704"/>
      <c r="S254" s="704"/>
      <c r="T254" s="704"/>
    </row>
    <row r="255" spans="1:20" s="685" customFormat="1">
      <c r="A255" s="796" t="s">
        <v>174</v>
      </c>
      <c r="B255" s="788" t="s">
        <v>288</v>
      </c>
      <c r="C255" s="880">
        <v>549560</v>
      </c>
      <c r="D255" s="880">
        <v>344114</v>
      </c>
      <c r="E255" s="880">
        <v>96750</v>
      </c>
      <c r="F255" s="880">
        <v>855880</v>
      </c>
      <c r="G255" s="880">
        <v>427607</v>
      </c>
      <c r="H255" s="880">
        <v>1017452</v>
      </c>
      <c r="I255" s="880">
        <v>520212</v>
      </c>
      <c r="J255" s="880">
        <v>429435</v>
      </c>
      <c r="K255" s="880">
        <v>411235</v>
      </c>
      <c r="L255" s="880">
        <v>517958</v>
      </c>
      <c r="M255" s="880">
        <v>345858</v>
      </c>
      <c r="N255" s="880">
        <v>1216072</v>
      </c>
      <c r="O255" s="880">
        <v>451693</v>
      </c>
      <c r="P255" s="880">
        <v>644425</v>
      </c>
      <c r="Q255" s="880">
        <v>1835870</v>
      </c>
      <c r="R255" s="880">
        <v>1302417</v>
      </c>
      <c r="S255" s="880">
        <v>35000</v>
      </c>
      <c r="T255" s="880">
        <v>0</v>
      </c>
    </row>
    <row r="256" spans="1:20" s="685" customFormat="1">
      <c r="A256" s="787"/>
      <c r="B256" s="788"/>
      <c r="C256" s="702">
        <v>11214802</v>
      </c>
      <c r="D256" s="702">
        <v>10665242</v>
      </c>
      <c r="E256" s="702">
        <v>10321128</v>
      </c>
      <c r="F256" s="702">
        <v>10224378</v>
      </c>
      <c r="G256" s="702">
        <v>9368498</v>
      </c>
      <c r="H256" s="702">
        <v>8940891</v>
      </c>
      <c r="I256" s="702">
        <v>7923439</v>
      </c>
      <c r="J256" s="702">
        <v>7403227</v>
      </c>
      <c r="K256" s="702">
        <v>6973792</v>
      </c>
      <c r="L256" s="702">
        <v>6562557</v>
      </c>
      <c r="M256" s="702">
        <v>6044599</v>
      </c>
      <c r="N256" s="702">
        <v>5698741</v>
      </c>
      <c r="O256" s="702">
        <v>4482669</v>
      </c>
      <c r="P256" s="702">
        <v>3817712</v>
      </c>
      <c r="Q256" s="702">
        <v>3173287</v>
      </c>
      <c r="R256" s="702">
        <v>1337417</v>
      </c>
      <c r="S256" s="702">
        <v>35000</v>
      </c>
      <c r="T256" s="702">
        <v>0</v>
      </c>
    </row>
    <row r="257" spans="1:20" s="685" customFormat="1">
      <c r="A257" s="789" t="s">
        <v>100</v>
      </c>
      <c r="B257" s="790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4"/>
      <c r="P257" s="704"/>
      <c r="Q257" s="704"/>
      <c r="R257" s="704"/>
      <c r="S257" s="704"/>
      <c r="T257" s="704"/>
    </row>
    <row r="258" spans="1:20" s="685" customFormat="1">
      <c r="A258" s="791" t="s">
        <v>337</v>
      </c>
      <c r="B258" s="792" t="s">
        <v>501</v>
      </c>
      <c r="C258" s="880">
        <v>0</v>
      </c>
      <c r="D258" s="880">
        <v>0</v>
      </c>
      <c r="E258" s="880">
        <v>0</v>
      </c>
      <c r="F258" s="880">
        <v>0</v>
      </c>
      <c r="G258" s="880">
        <v>0</v>
      </c>
      <c r="H258" s="880">
        <v>0</v>
      </c>
      <c r="I258" s="880">
        <v>0</v>
      </c>
      <c r="J258" s="880">
        <v>0</v>
      </c>
      <c r="K258" s="880">
        <v>0</v>
      </c>
      <c r="L258" s="880">
        <v>0</v>
      </c>
      <c r="M258" s="880">
        <v>0</v>
      </c>
      <c r="N258" s="880">
        <v>0</v>
      </c>
      <c r="O258" s="880">
        <v>0</v>
      </c>
      <c r="P258" s="880">
        <v>0</v>
      </c>
      <c r="Q258" s="880">
        <v>0</v>
      </c>
      <c r="R258" s="880">
        <v>0</v>
      </c>
      <c r="S258" s="880">
        <v>0</v>
      </c>
      <c r="T258" s="880">
        <v>0</v>
      </c>
    </row>
    <row r="259" spans="1:20" s="685" customFormat="1">
      <c r="A259" s="791"/>
      <c r="B259" s="792"/>
      <c r="C259" s="702">
        <v>0</v>
      </c>
      <c r="D259" s="702">
        <v>0</v>
      </c>
      <c r="E259" s="702">
        <v>0</v>
      </c>
      <c r="F259" s="702">
        <v>0</v>
      </c>
      <c r="G259" s="702">
        <v>0</v>
      </c>
      <c r="H259" s="702">
        <v>0</v>
      </c>
      <c r="I259" s="702">
        <v>0</v>
      </c>
      <c r="J259" s="702">
        <v>0</v>
      </c>
      <c r="K259" s="702">
        <v>0</v>
      </c>
      <c r="L259" s="702">
        <v>0</v>
      </c>
      <c r="M259" s="702">
        <v>0</v>
      </c>
      <c r="N259" s="702">
        <v>0</v>
      </c>
      <c r="O259" s="702">
        <v>0</v>
      </c>
      <c r="P259" s="702">
        <v>0</v>
      </c>
      <c r="Q259" s="702">
        <v>0</v>
      </c>
      <c r="R259" s="702">
        <v>0</v>
      </c>
      <c r="S259" s="702">
        <v>0</v>
      </c>
      <c r="T259" s="702">
        <v>0</v>
      </c>
    </row>
    <row r="260" spans="1:20" s="685" customFormat="1">
      <c r="A260" s="791" t="s">
        <v>353</v>
      </c>
      <c r="B260" s="792" t="s">
        <v>502</v>
      </c>
      <c r="C260" s="880">
        <v>0</v>
      </c>
      <c r="D260" s="880">
        <v>0</v>
      </c>
      <c r="E260" s="880">
        <v>0</v>
      </c>
      <c r="F260" s="880">
        <v>0</v>
      </c>
      <c r="G260" s="880">
        <v>0</v>
      </c>
      <c r="H260" s="880">
        <v>0</v>
      </c>
      <c r="I260" s="880">
        <v>0</v>
      </c>
      <c r="J260" s="880">
        <v>0</v>
      </c>
      <c r="K260" s="880">
        <v>0</v>
      </c>
      <c r="L260" s="880">
        <v>0</v>
      </c>
      <c r="M260" s="880">
        <v>0</v>
      </c>
      <c r="N260" s="880">
        <v>0</v>
      </c>
      <c r="O260" s="880">
        <v>0</v>
      </c>
      <c r="P260" s="880">
        <v>0</v>
      </c>
      <c r="Q260" s="880">
        <v>0</v>
      </c>
      <c r="R260" s="880">
        <v>0</v>
      </c>
      <c r="S260" s="880">
        <v>0</v>
      </c>
      <c r="T260" s="880">
        <v>0</v>
      </c>
    </row>
    <row r="261" spans="1:20" s="685" customFormat="1">
      <c r="A261" s="791"/>
      <c r="B261" s="792"/>
      <c r="C261" s="702">
        <v>0</v>
      </c>
      <c r="D261" s="702">
        <v>0</v>
      </c>
      <c r="E261" s="702">
        <v>0</v>
      </c>
      <c r="F261" s="702">
        <v>0</v>
      </c>
      <c r="G261" s="702">
        <v>0</v>
      </c>
      <c r="H261" s="702">
        <v>0</v>
      </c>
      <c r="I261" s="702">
        <v>0</v>
      </c>
      <c r="J261" s="702">
        <v>0</v>
      </c>
      <c r="K261" s="702">
        <v>0</v>
      </c>
      <c r="L261" s="702">
        <v>0</v>
      </c>
      <c r="M261" s="702">
        <v>0</v>
      </c>
      <c r="N261" s="702">
        <v>0</v>
      </c>
      <c r="O261" s="702">
        <v>0</v>
      </c>
      <c r="P261" s="702">
        <v>0</v>
      </c>
      <c r="Q261" s="702">
        <v>0</v>
      </c>
      <c r="R261" s="702">
        <v>0</v>
      </c>
      <c r="S261" s="702">
        <v>0</v>
      </c>
      <c r="T261" s="702">
        <v>0</v>
      </c>
    </row>
    <row r="262" spans="1:20" s="685" customFormat="1">
      <c r="A262" s="791" t="s">
        <v>245</v>
      </c>
      <c r="B262" s="792" t="s">
        <v>503</v>
      </c>
      <c r="C262" s="880">
        <v>0</v>
      </c>
      <c r="D262" s="880">
        <v>91000</v>
      </c>
      <c r="E262" s="880">
        <v>0</v>
      </c>
      <c r="F262" s="880">
        <v>0</v>
      </c>
      <c r="G262" s="880">
        <v>0</v>
      </c>
      <c r="H262" s="880">
        <v>0</v>
      </c>
      <c r="I262" s="880">
        <v>0</v>
      </c>
      <c r="J262" s="880">
        <v>0</v>
      </c>
      <c r="K262" s="880">
        <v>0</v>
      </c>
      <c r="L262" s="880">
        <v>0</v>
      </c>
      <c r="M262" s="880">
        <v>0</v>
      </c>
      <c r="N262" s="880">
        <v>0</v>
      </c>
      <c r="O262" s="880">
        <v>0</v>
      </c>
      <c r="P262" s="880">
        <v>0</v>
      </c>
      <c r="Q262" s="880">
        <v>19499</v>
      </c>
      <c r="R262" s="880">
        <v>91000</v>
      </c>
      <c r="S262" s="880">
        <v>0</v>
      </c>
      <c r="T262" s="880">
        <v>0</v>
      </c>
    </row>
    <row r="263" spans="1:20" s="685" customFormat="1">
      <c r="A263" s="791"/>
      <c r="B263" s="792"/>
      <c r="C263" s="702">
        <v>201499</v>
      </c>
      <c r="D263" s="702">
        <v>201499</v>
      </c>
      <c r="E263" s="702">
        <v>110499</v>
      </c>
      <c r="F263" s="702">
        <v>110499</v>
      </c>
      <c r="G263" s="702">
        <v>110499</v>
      </c>
      <c r="H263" s="702">
        <v>110499</v>
      </c>
      <c r="I263" s="702">
        <v>110499</v>
      </c>
      <c r="J263" s="702">
        <v>110499</v>
      </c>
      <c r="K263" s="702">
        <v>110499</v>
      </c>
      <c r="L263" s="702">
        <v>110499</v>
      </c>
      <c r="M263" s="702">
        <v>110499</v>
      </c>
      <c r="N263" s="702">
        <v>110499</v>
      </c>
      <c r="O263" s="702">
        <v>110499</v>
      </c>
      <c r="P263" s="702">
        <v>110499</v>
      </c>
      <c r="Q263" s="702">
        <v>110499</v>
      </c>
      <c r="R263" s="702">
        <v>91000</v>
      </c>
      <c r="S263" s="702">
        <v>0</v>
      </c>
      <c r="T263" s="702">
        <v>0</v>
      </c>
    </row>
    <row r="264" spans="1:20" s="685" customFormat="1">
      <c r="A264" s="791" t="s">
        <v>349</v>
      </c>
      <c r="B264" s="792" t="s">
        <v>504</v>
      </c>
      <c r="C264" s="880">
        <v>0</v>
      </c>
      <c r="D264" s="880">
        <v>0</v>
      </c>
      <c r="E264" s="880">
        <v>0</v>
      </c>
      <c r="F264" s="880">
        <v>0</v>
      </c>
      <c r="G264" s="880">
        <v>0</v>
      </c>
      <c r="H264" s="880">
        <v>0</v>
      </c>
      <c r="I264" s="880">
        <v>0</v>
      </c>
      <c r="J264" s="880">
        <v>0</v>
      </c>
      <c r="K264" s="880">
        <v>0</v>
      </c>
      <c r="L264" s="880">
        <v>0</v>
      </c>
      <c r="M264" s="880">
        <v>0</v>
      </c>
      <c r="N264" s="880">
        <v>0</v>
      </c>
      <c r="O264" s="880">
        <v>0</v>
      </c>
      <c r="P264" s="880">
        <v>0</v>
      </c>
      <c r="Q264" s="880">
        <v>0</v>
      </c>
      <c r="R264" s="880">
        <v>0</v>
      </c>
      <c r="S264" s="880">
        <v>0</v>
      </c>
      <c r="T264" s="880">
        <v>0</v>
      </c>
    </row>
    <row r="265" spans="1:20" s="685" customFormat="1">
      <c r="A265" s="791"/>
      <c r="B265" s="792"/>
      <c r="C265" s="702">
        <v>0</v>
      </c>
      <c r="D265" s="702">
        <v>0</v>
      </c>
      <c r="E265" s="702">
        <v>0</v>
      </c>
      <c r="F265" s="702">
        <v>0</v>
      </c>
      <c r="G265" s="702">
        <v>0</v>
      </c>
      <c r="H265" s="702">
        <v>0</v>
      </c>
      <c r="I265" s="702">
        <v>0</v>
      </c>
      <c r="J265" s="702">
        <v>0</v>
      </c>
      <c r="K265" s="702">
        <v>0</v>
      </c>
      <c r="L265" s="702">
        <v>0</v>
      </c>
      <c r="M265" s="702">
        <v>0</v>
      </c>
      <c r="N265" s="702">
        <v>0</v>
      </c>
      <c r="O265" s="702">
        <v>0</v>
      </c>
      <c r="P265" s="702">
        <v>0</v>
      </c>
      <c r="Q265" s="702">
        <v>0</v>
      </c>
      <c r="R265" s="702">
        <v>0</v>
      </c>
      <c r="S265" s="702">
        <v>0</v>
      </c>
      <c r="T265" s="702">
        <v>0</v>
      </c>
    </row>
    <row r="266" spans="1:20" s="685" customFormat="1">
      <c r="A266" s="791" t="s">
        <v>247</v>
      </c>
      <c r="B266" s="792" t="s">
        <v>505</v>
      </c>
      <c r="C266" s="880">
        <v>0</v>
      </c>
      <c r="D266" s="880">
        <v>0</v>
      </c>
      <c r="E266" s="880">
        <v>0</v>
      </c>
      <c r="F266" s="880">
        <v>0</v>
      </c>
      <c r="G266" s="880">
        <v>0</v>
      </c>
      <c r="H266" s="880">
        <v>0</v>
      </c>
      <c r="I266" s="880">
        <v>0</v>
      </c>
      <c r="J266" s="880">
        <v>0</v>
      </c>
      <c r="K266" s="880">
        <v>0</v>
      </c>
      <c r="L266" s="880">
        <v>0</v>
      </c>
      <c r="M266" s="880">
        <v>0</v>
      </c>
      <c r="N266" s="880">
        <v>0</v>
      </c>
      <c r="O266" s="880">
        <v>0</v>
      </c>
      <c r="P266" s="880">
        <v>0</v>
      </c>
      <c r="Q266" s="880">
        <v>101400</v>
      </c>
      <c r="R266" s="880">
        <v>0</v>
      </c>
      <c r="S266" s="880">
        <v>0</v>
      </c>
      <c r="T266" s="880">
        <v>0</v>
      </c>
    </row>
    <row r="267" spans="1:20" s="685" customFormat="1">
      <c r="A267" s="791"/>
      <c r="B267" s="792"/>
      <c r="C267" s="702">
        <v>101400</v>
      </c>
      <c r="D267" s="702">
        <v>101400</v>
      </c>
      <c r="E267" s="702">
        <v>101400</v>
      </c>
      <c r="F267" s="702">
        <v>101400</v>
      </c>
      <c r="G267" s="702">
        <v>101400</v>
      </c>
      <c r="H267" s="702">
        <v>101400</v>
      </c>
      <c r="I267" s="702">
        <v>101400</v>
      </c>
      <c r="J267" s="702">
        <v>101400</v>
      </c>
      <c r="K267" s="702">
        <v>101400</v>
      </c>
      <c r="L267" s="702">
        <v>101400</v>
      </c>
      <c r="M267" s="702">
        <v>101400</v>
      </c>
      <c r="N267" s="702">
        <v>101400</v>
      </c>
      <c r="O267" s="702">
        <v>101400</v>
      </c>
      <c r="P267" s="702">
        <v>101400</v>
      </c>
      <c r="Q267" s="702">
        <v>101400</v>
      </c>
      <c r="R267" s="702">
        <v>0</v>
      </c>
      <c r="S267" s="702">
        <v>0</v>
      </c>
      <c r="T267" s="702">
        <v>0</v>
      </c>
    </row>
    <row r="268" spans="1:20" s="685" customFormat="1">
      <c r="A268" s="791" t="s">
        <v>187</v>
      </c>
      <c r="B268" s="792" t="s">
        <v>506</v>
      </c>
      <c r="C268" s="880">
        <v>1658000</v>
      </c>
      <c r="D268" s="880">
        <v>0</v>
      </c>
      <c r="E268" s="880">
        <v>0</v>
      </c>
      <c r="F268" s="880">
        <v>0</v>
      </c>
      <c r="G268" s="880">
        <v>0</v>
      </c>
      <c r="H268" s="880">
        <v>0</v>
      </c>
      <c r="I268" s="880">
        <v>0</v>
      </c>
      <c r="J268" s="880">
        <v>0</v>
      </c>
      <c r="K268" s="880">
        <v>0</v>
      </c>
      <c r="L268" s="880">
        <v>0</v>
      </c>
      <c r="M268" s="880">
        <v>0</v>
      </c>
      <c r="N268" s="880">
        <v>0</v>
      </c>
      <c r="O268" s="880">
        <v>0</v>
      </c>
      <c r="P268" s="880">
        <v>0</v>
      </c>
      <c r="Q268" s="880">
        <v>0</v>
      </c>
      <c r="R268" s="880">
        <v>0</v>
      </c>
      <c r="S268" s="880">
        <v>0</v>
      </c>
      <c r="T268" s="880">
        <v>0</v>
      </c>
    </row>
    <row r="269" spans="1:20" s="685" customFormat="1">
      <c r="A269" s="791"/>
      <c r="B269" s="792"/>
      <c r="C269" s="702">
        <v>1658000</v>
      </c>
      <c r="D269" s="702">
        <v>0</v>
      </c>
      <c r="E269" s="702">
        <v>0</v>
      </c>
      <c r="F269" s="702">
        <v>0</v>
      </c>
      <c r="G269" s="702">
        <v>0</v>
      </c>
      <c r="H269" s="702">
        <v>0</v>
      </c>
      <c r="I269" s="702">
        <v>0</v>
      </c>
      <c r="J269" s="702">
        <v>0</v>
      </c>
      <c r="K269" s="702">
        <v>0</v>
      </c>
      <c r="L269" s="702">
        <v>0</v>
      </c>
      <c r="M269" s="702">
        <v>0</v>
      </c>
      <c r="N269" s="702">
        <v>0</v>
      </c>
      <c r="O269" s="702">
        <v>0</v>
      </c>
      <c r="P269" s="702">
        <v>0</v>
      </c>
      <c r="Q269" s="702">
        <v>0</v>
      </c>
      <c r="R269" s="702">
        <v>0</v>
      </c>
      <c r="S269" s="702">
        <v>0</v>
      </c>
      <c r="T269" s="702">
        <v>0</v>
      </c>
    </row>
    <row r="270" spans="1:20" s="685" customFormat="1">
      <c r="A270" s="791" t="s">
        <v>246</v>
      </c>
      <c r="B270" s="792" t="s">
        <v>507</v>
      </c>
      <c r="C270" s="880">
        <v>0</v>
      </c>
      <c r="D270" s="880">
        <v>0</v>
      </c>
      <c r="E270" s="880">
        <v>0</v>
      </c>
      <c r="F270" s="880">
        <v>0</v>
      </c>
      <c r="G270" s="880">
        <v>0</v>
      </c>
      <c r="H270" s="880">
        <v>0</v>
      </c>
      <c r="I270" s="880">
        <v>0</v>
      </c>
      <c r="J270" s="880">
        <v>0</v>
      </c>
      <c r="K270" s="880">
        <v>0</v>
      </c>
      <c r="L270" s="880">
        <v>0</v>
      </c>
      <c r="M270" s="880">
        <v>0</v>
      </c>
      <c r="N270" s="880">
        <v>0</v>
      </c>
      <c r="O270" s="880">
        <v>0</v>
      </c>
      <c r="P270" s="880">
        <v>0</v>
      </c>
      <c r="Q270" s="880">
        <v>0</v>
      </c>
      <c r="R270" s="880">
        <v>0</v>
      </c>
      <c r="S270" s="880">
        <v>0</v>
      </c>
      <c r="T270" s="880">
        <v>0</v>
      </c>
    </row>
    <row r="271" spans="1:20" s="685" customFormat="1">
      <c r="A271" s="791"/>
      <c r="B271" s="792"/>
      <c r="C271" s="702">
        <v>0</v>
      </c>
      <c r="D271" s="702">
        <v>0</v>
      </c>
      <c r="E271" s="702">
        <v>0</v>
      </c>
      <c r="F271" s="702">
        <v>0</v>
      </c>
      <c r="G271" s="702">
        <v>0</v>
      </c>
      <c r="H271" s="702">
        <v>0</v>
      </c>
      <c r="I271" s="702">
        <v>0</v>
      </c>
      <c r="J271" s="702">
        <v>0</v>
      </c>
      <c r="K271" s="702">
        <v>0</v>
      </c>
      <c r="L271" s="702">
        <v>0</v>
      </c>
      <c r="M271" s="702">
        <v>0</v>
      </c>
      <c r="N271" s="702">
        <v>0</v>
      </c>
      <c r="O271" s="702">
        <v>0</v>
      </c>
      <c r="P271" s="702">
        <v>0</v>
      </c>
      <c r="Q271" s="702">
        <v>0</v>
      </c>
      <c r="R271" s="702">
        <v>0</v>
      </c>
      <c r="S271" s="702">
        <v>0</v>
      </c>
      <c r="T271" s="702">
        <v>0</v>
      </c>
    </row>
    <row r="272" spans="1:20" s="685" customFormat="1">
      <c r="A272" s="791" t="s">
        <v>334</v>
      </c>
      <c r="B272" s="792" t="s">
        <v>508</v>
      </c>
      <c r="C272" s="880">
        <v>0</v>
      </c>
      <c r="D272" s="880">
        <v>0</v>
      </c>
      <c r="E272" s="880">
        <v>0</v>
      </c>
      <c r="F272" s="880">
        <v>0</v>
      </c>
      <c r="G272" s="880">
        <v>2500000</v>
      </c>
      <c r="H272" s="880">
        <v>0</v>
      </c>
      <c r="I272" s="880">
        <v>0</v>
      </c>
      <c r="J272" s="880">
        <v>0</v>
      </c>
      <c r="K272" s="880">
        <v>0</v>
      </c>
      <c r="L272" s="880">
        <v>0</v>
      </c>
      <c r="M272" s="880">
        <v>0</v>
      </c>
      <c r="N272" s="880">
        <v>0</v>
      </c>
      <c r="O272" s="880">
        <v>0</v>
      </c>
      <c r="P272" s="880">
        <v>0</v>
      </c>
      <c r="Q272" s="880">
        <v>0</v>
      </c>
      <c r="R272" s="880">
        <v>0</v>
      </c>
      <c r="S272" s="880">
        <v>0</v>
      </c>
      <c r="T272" s="880">
        <v>0</v>
      </c>
    </row>
    <row r="273" spans="1:20" s="685" customFormat="1">
      <c r="A273" s="791"/>
      <c r="B273" s="792"/>
      <c r="C273" s="702">
        <v>2500000</v>
      </c>
      <c r="D273" s="702">
        <v>2500000</v>
      </c>
      <c r="E273" s="702">
        <v>2500000</v>
      </c>
      <c r="F273" s="702">
        <v>2500000</v>
      </c>
      <c r="G273" s="702">
        <v>2500000</v>
      </c>
      <c r="H273" s="702">
        <v>0</v>
      </c>
      <c r="I273" s="702">
        <v>0</v>
      </c>
      <c r="J273" s="702">
        <v>0</v>
      </c>
      <c r="K273" s="702">
        <v>0</v>
      </c>
      <c r="L273" s="702">
        <v>0</v>
      </c>
      <c r="M273" s="702">
        <v>0</v>
      </c>
      <c r="N273" s="702">
        <v>0</v>
      </c>
      <c r="O273" s="702">
        <v>0</v>
      </c>
      <c r="P273" s="702">
        <v>0</v>
      </c>
      <c r="Q273" s="702">
        <v>0</v>
      </c>
      <c r="R273" s="702">
        <v>0</v>
      </c>
      <c r="S273" s="702">
        <v>0</v>
      </c>
      <c r="T273" s="702">
        <v>0</v>
      </c>
    </row>
    <row r="274" spans="1:20" s="685" customFormat="1">
      <c r="A274" s="791" t="s">
        <v>27</v>
      </c>
      <c r="B274" s="792" t="s">
        <v>509</v>
      </c>
      <c r="C274" s="880">
        <v>0</v>
      </c>
      <c r="D274" s="880">
        <v>0</v>
      </c>
      <c r="E274" s="880">
        <v>0</v>
      </c>
      <c r="F274" s="880">
        <v>0</v>
      </c>
      <c r="G274" s="880">
        <v>35000</v>
      </c>
      <c r="H274" s="880">
        <v>0</v>
      </c>
      <c r="I274" s="880">
        <v>0</v>
      </c>
      <c r="J274" s="880">
        <v>844</v>
      </c>
      <c r="K274" s="880">
        <v>0</v>
      </c>
      <c r="L274" s="880">
        <v>20000</v>
      </c>
      <c r="M274" s="880">
        <v>75000</v>
      </c>
      <c r="N274" s="880">
        <v>0</v>
      </c>
      <c r="O274" s="880">
        <v>0</v>
      </c>
      <c r="P274" s="880">
        <v>0</v>
      </c>
      <c r="Q274" s="880">
        <v>53000</v>
      </c>
      <c r="R274" s="880">
        <v>0</v>
      </c>
      <c r="S274" s="880">
        <v>0</v>
      </c>
      <c r="T274" s="880">
        <v>0</v>
      </c>
    </row>
    <row r="275" spans="1:20" s="685" customFormat="1">
      <c r="A275" s="791"/>
      <c r="B275" s="792"/>
      <c r="C275" s="968">
        <v>183844</v>
      </c>
      <c r="D275" s="968">
        <v>183844</v>
      </c>
      <c r="E275" s="968">
        <v>183844</v>
      </c>
      <c r="F275" s="968">
        <v>183844</v>
      </c>
      <c r="G275" s="968">
        <v>183844</v>
      </c>
      <c r="H275" s="968">
        <v>148844</v>
      </c>
      <c r="I275" s="968">
        <v>148844</v>
      </c>
      <c r="J275" s="968">
        <v>148844</v>
      </c>
      <c r="K275" s="968">
        <v>148000</v>
      </c>
      <c r="L275" s="968">
        <v>148000</v>
      </c>
      <c r="M275" s="968">
        <v>128000</v>
      </c>
      <c r="N275" s="968">
        <v>53000</v>
      </c>
      <c r="O275" s="968">
        <v>53000</v>
      </c>
      <c r="P275" s="968">
        <v>53000</v>
      </c>
      <c r="Q275" s="968">
        <v>53000</v>
      </c>
      <c r="R275" s="968">
        <v>0</v>
      </c>
      <c r="S275" s="968">
        <v>0</v>
      </c>
      <c r="T275" s="968">
        <v>0</v>
      </c>
    </row>
    <row r="276" spans="1:20" s="1022" customFormat="1">
      <c r="A276" s="791" t="s">
        <v>180</v>
      </c>
      <c r="B276" s="792"/>
      <c r="C276" s="1023">
        <v>0</v>
      </c>
      <c r="D276" s="1023">
        <v>0</v>
      </c>
      <c r="E276" s="1023">
        <v>0</v>
      </c>
      <c r="F276" s="1023">
        <v>0</v>
      </c>
      <c r="G276" s="1023">
        <v>0</v>
      </c>
      <c r="H276" s="1023">
        <v>0</v>
      </c>
      <c r="I276" s="1023">
        <v>0</v>
      </c>
      <c r="J276" s="1023">
        <v>0</v>
      </c>
      <c r="K276" s="1023">
        <v>0</v>
      </c>
      <c r="L276" s="1023">
        <v>0</v>
      </c>
      <c r="M276" s="1023">
        <v>0</v>
      </c>
      <c r="N276" s="1023">
        <v>0</v>
      </c>
      <c r="O276" s="1023">
        <v>0</v>
      </c>
      <c r="P276" s="1023">
        <v>0</v>
      </c>
      <c r="Q276" s="1023">
        <v>0</v>
      </c>
      <c r="R276" s="1023">
        <v>0</v>
      </c>
      <c r="S276" s="1023">
        <v>0</v>
      </c>
      <c r="T276" s="1023">
        <v>0</v>
      </c>
    </row>
    <row r="277" spans="1:20" s="685" customFormat="1">
      <c r="A277" s="791"/>
      <c r="B277" s="792"/>
      <c r="C277" s="968">
        <v>0</v>
      </c>
      <c r="D277" s="968">
        <v>0</v>
      </c>
      <c r="E277" s="968">
        <v>0</v>
      </c>
      <c r="F277" s="968">
        <v>0</v>
      </c>
      <c r="G277" s="968">
        <v>0</v>
      </c>
      <c r="H277" s="968">
        <v>0</v>
      </c>
      <c r="I277" s="968">
        <v>0</v>
      </c>
      <c r="J277" s="968">
        <v>0</v>
      </c>
      <c r="K277" s="968">
        <v>0</v>
      </c>
      <c r="L277" s="968">
        <v>0</v>
      </c>
      <c r="M277" s="968">
        <v>0</v>
      </c>
      <c r="N277" s="968">
        <v>0</v>
      </c>
      <c r="O277" s="968">
        <v>0</v>
      </c>
      <c r="P277" s="968">
        <v>0</v>
      </c>
      <c r="Q277" s="968">
        <v>0</v>
      </c>
      <c r="R277" s="968">
        <v>0</v>
      </c>
      <c r="S277" s="968">
        <v>0</v>
      </c>
      <c r="T277" s="968">
        <v>0</v>
      </c>
    </row>
    <row r="278" spans="1:20" s="685" customFormat="1">
      <c r="A278" s="791" t="s">
        <v>59</v>
      </c>
      <c r="B278" s="792"/>
      <c r="C278" s="880">
        <v>1658000</v>
      </c>
      <c r="D278" s="880">
        <v>91000</v>
      </c>
      <c r="E278" s="880">
        <v>0</v>
      </c>
      <c r="F278" s="880">
        <v>0</v>
      </c>
      <c r="G278" s="880">
        <v>2535000</v>
      </c>
      <c r="H278" s="880">
        <v>0</v>
      </c>
      <c r="I278" s="880">
        <v>0</v>
      </c>
      <c r="J278" s="880">
        <v>844</v>
      </c>
      <c r="K278" s="880">
        <v>0</v>
      </c>
      <c r="L278" s="880">
        <v>20000</v>
      </c>
      <c r="M278" s="880">
        <v>75000</v>
      </c>
      <c r="N278" s="880">
        <v>0</v>
      </c>
      <c r="O278" s="880">
        <v>0</v>
      </c>
      <c r="P278" s="880">
        <v>0</v>
      </c>
      <c r="Q278" s="880">
        <v>173899</v>
      </c>
      <c r="R278" s="880">
        <v>91000</v>
      </c>
      <c r="S278" s="880">
        <v>0</v>
      </c>
      <c r="T278" s="880">
        <v>0</v>
      </c>
    </row>
    <row r="279" spans="1:20" s="685" customFormat="1">
      <c r="A279" s="791"/>
      <c r="B279" s="792"/>
      <c r="C279" s="702">
        <v>4644743</v>
      </c>
      <c r="D279" s="702">
        <v>2986743</v>
      </c>
      <c r="E279" s="702">
        <v>2895743</v>
      </c>
      <c r="F279" s="702">
        <v>2895743</v>
      </c>
      <c r="G279" s="702">
        <v>2895743</v>
      </c>
      <c r="H279" s="702">
        <v>360743</v>
      </c>
      <c r="I279" s="702">
        <v>360743</v>
      </c>
      <c r="J279" s="702">
        <v>360743</v>
      </c>
      <c r="K279" s="702">
        <v>359899</v>
      </c>
      <c r="L279" s="702">
        <v>359899</v>
      </c>
      <c r="M279" s="702">
        <v>339899</v>
      </c>
      <c r="N279" s="702">
        <v>264899</v>
      </c>
      <c r="O279" s="702">
        <v>264899</v>
      </c>
      <c r="P279" s="702">
        <v>264899</v>
      </c>
      <c r="Q279" s="702">
        <v>264899</v>
      </c>
      <c r="R279" s="702">
        <v>91000</v>
      </c>
      <c r="S279" s="702">
        <v>0</v>
      </c>
      <c r="T279" s="702">
        <v>0</v>
      </c>
    </row>
    <row r="280" spans="1:20" s="685" customFormat="1">
      <c r="A280" s="793" t="s">
        <v>350</v>
      </c>
      <c r="B280" s="794"/>
      <c r="C280" s="882">
        <v>-1108440</v>
      </c>
      <c r="D280" s="882">
        <v>253114</v>
      </c>
      <c r="E280" s="882">
        <v>96750</v>
      </c>
      <c r="F280" s="882">
        <v>855880</v>
      </c>
      <c r="G280" s="882">
        <v>-2107393</v>
      </c>
      <c r="H280" s="882">
        <v>1017452</v>
      </c>
      <c r="I280" s="882">
        <v>520212</v>
      </c>
      <c r="J280" s="882">
        <v>428591</v>
      </c>
      <c r="K280" s="882">
        <v>411235</v>
      </c>
      <c r="L280" s="882">
        <v>497958</v>
      </c>
      <c r="M280" s="882">
        <v>270858</v>
      </c>
      <c r="N280" s="882">
        <v>1216072</v>
      </c>
      <c r="O280" s="882">
        <v>451693</v>
      </c>
      <c r="P280" s="882">
        <v>644425</v>
      </c>
      <c r="Q280" s="882">
        <v>1661971</v>
      </c>
      <c r="R280" s="882">
        <v>1211417</v>
      </c>
      <c r="S280" s="882">
        <v>35000</v>
      </c>
      <c r="T280" s="882">
        <v>0</v>
      </c>
    </row>
    <row r="281" spans="1:20" s="685" customFormat="1">
      <c r="A281" s="793"/>
      <c r="B281" s="794"/>
      <c r="C281" s="702">
        <v>6570059</v>
      </c>
      <c r="D281" s="702">
        <v>7678499</v>
      </c>
      <c r="E281" s="702">
        <v>7425385</v>
      </c>
      <c r="F281" s="702">
        <v>7328635</v>
      </c>
      <c r="G281" s="702">
        <v>6472755</v>
      </c>
      <c r="H281" s="702">
        <v>8580148</v>
      </c>
      <c r="I281" s="702">
        <v>7562696</v>
      </c>
      <c r="J281" s="702">
        <v>7042484</v>
      </c>
      <c r="K281" s="702">
        <v>6613893</v>
      </c>
      <c r="L281" s="702">
        <v>6202658</v>
      </c>
      <c r="M281" s="702">
        <v>5704700</v>
      </c>
      <c r="N281" s="702">
        <v>5433842</v>
      </c>
      <c r="O281" s="702">
        <v>4217770</v>
      </c>
      <c r="P281" s="702">
        <v>3552813</v>
      </c>
      <c r="Q281" s="702">
        <v>2908388</v>
      </c>
      <c r="R281" s="702">
        <v>1246417</v>
      </c>
      <c r="S281" s="702">
        <v>35000</v>
      </c>
      <c r="T281" s="702">
        <v>0</v>
      </c>
    </row>
    <row r="282" spans="1:20" s="685" customFormat="1">
      <c r="A282" s="795"/>
      <c r="B282" s="748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4"/>
      <c r="P282" s="704"/>
      <c r="Q282" s="704"/>
      <c r="R282" s="704"/>
      <c r="S282" s="704"/>
      <c r="T282" s="704"/>
    </row>
    <row r="283" spans="1:20" s="685" customFormat="1">
      <c r="A283" s="796" t="s">
        <v>228</v>
      </c>
      <c r="B283" s="788" t="s">
        <v>289</v>
      </c>
      <c r="C283" s="880">
        <v>933210</v>
      </c>
      <c r="D283" s="880">
        <v>347863</v>
      </c>
      <c r="E283" s="880">
        <v>0</v>
      </c>
      <c r="F283" s="880">
        <v>393703</v>
      </c>
      <c r="G283" s="880">
        <v>369199</v>
      </c>
      <c r="H283" s="880">
        <v>637126</v>
      </c>
      <c r="I283" s="880">
        <v>134584</v>
      </c>
      <c r="J283" s="880">
        <v>327380</v>
      </c>
      <c r="K283" s="880">
        <v>276408</v>
      </c>
      <c r="L283" s="880">
        <v>524216</v>
      </c>
      <c r="M283" s="880">
        <v>167006</v>
      </c>
      <c r="N283" s="880">
        <v>687729</v>
      </c>
      <c r="O283" s="880">
        <v>303612</v>
      </c>
      <c r="P283" s="880">
        <v>1265547</v>
      </c>
      <c r="Q283" s="880">
        <v>1803260</v>
      </c>
      <c r="R283" s="880">
        <v>602537</v>
      </c>
      <c r="S283" s="880">
        <v>742300</v>
      </c>
      <c r="T283" s="880">
        <v>0</v>
      </c>
    </row>
    <row r="284" spans="1:20" s="685" customFormat="1">
      <c r="A284" s="787"/>
      <c r="B284" s="788"/>
      <c r="C284" s="702">
        <v>9824127</v>
      </c>
      <c r="D284" s="702">
        <v>8890917</v>
      </c>
      <c r="E284" s="702">
        <v>8543054</v>
      </c>
      <c r="F284" s="702">
        <v>8543054</v>
      </c>
      <c r="G284" s="702">
        <v>8149351</v>
      </c>
      <c r="H284" s="702">
        <v>7780152</v>
      </c>
      <c r="I284" s="702">
        <v>7143026</v>
      </c>
      <c r="J284" s="702">
        <v>7008442</v>
      </c>
      <c r="K284" s="702">
        <v>6681062</v>
      </c>
      <c r="L284" s="702">
        <v>6404654</v>
      </c>
      <c r="M284" s="702">
        <v>5880438</v>
      </c>
      <c r="N284" s="702">
        <v>5713432</v>
      </c>
      <c r="O284" s="702">
        <v>5025703</v>
      </c>
      <c r="P284" s="702">
        <v>4413644</v>
      </c>
      <c r="Q284" s="702">
        <v>3148097</v>
      </c>
      <c r="R284" s="702">
        <v>1344837</v>
      </c>
      <c r="S284" s="702">
        <v>742300</v>
      </c>
      <c r="T284" s="702">
        <v>0</v>
      </c>
    </row>
    <row r="285" spans="1:20" s="685" customFormat="1">
      <c r="A285" s="789" t="s">
        <v>100</v>
      </c>
      <c r="B285" s="790"/>
      <c r="C285" s="879"/>
      <c r="D285" s="879"/>
      <c r="E285" s="879"/>
      <c r="F285" s="879"/>
      <c r="G285" s="879"/>
      <c r="H285" s="879"/>
      <c r="I285" s="879"/>
      <c r="J285" s="879"/>
      <c r="K285" s="879"/>
      <c r="L285" s="879"/>
      <c r="M285" s="879"/>
      <c r="N285" s="879"/>
      <c r="O285" s="879"/>
      <c r="P285" s="879"/>
      <c r="Q285" s="879"/>
      <c r="R285" s="879"/>
      <c r="S285" s="879"/>
      <c r="T285" s="879"/>
    </row>
    <row r="286" spans="1:20" s="685" customFormat="1">
      <c r="A286" s="791" t="s">
        <v>337</v>
      </c>
      <c r="B286" s="792" t="s">
        <v>510</v>
      </c>
      <c r="C286" s="880">
        <v>0</v>
      </c>
      <c r="D286" s="880">
        <v>0</v>
      </c>
      <c r="E286" s="880">
        <v>0</v>
      </c>
      <c r="F286" s="880">
        <v>0</v>
      </c>
      <c r="G286" s="880">
        <v>0</v>
      </c>
      <c r="H286" s="880">
        <v>0</v>
      </c>
      <c r="I286" s="880">
        <v>0</v>
      </c>
      <c r="J286" s="880">
        <v>0</v>
      </c>
      <c r="K286" s="880">
        <v>0</v>
      </c>
      <c r="L286" s="880">
        <v>0</v>
      </c>
      <c r="M286" s="880">
        <v>0</v>
      </c>
      <c r="N286" s="880">
        <v>0</v>
      </c>
      <c r="O286" s="880">
        <v>0</v>
      </c>
      <c r="P286" s="880">
        <v>0</v>
      </c>
      <c r="Q286" s="880">
        <v>0</v>
      </c>
      <c r="R286" s="880">
        <v>0</v>
      </c>
      <c r="S286" s="880">
        <v>0</v>
      </c>
      <c r="T286" s="880">
        <v>0</v>
      </c>
    </row>
    <row r="287" spans="1:20" s="685" customFormat="1">
      <c r="A287" s="791"/>
      <c r="B287" s="792"/>
      <c r="C287" s="702">
        <v>0</v>
      </c>
      <c r="D287" s="702">
        <v>0</v>
      </c>
      <c r="E287" s="702">
        <v>0</v>
      </c>
      <c r="F287" s="702">
        <v>0</v>
      </c>
      <c r="G287" s="702">
        <v>0</v>
      </c>
      <c r="H287" s="702">
        <v>0</v>
      </c>
      <c r="I287" s="702">
        <v>0</v>
      </c>
      <c r="J287" s="702">
        <v>0</v>
      </c>
      <c r="K287" s="702">
        <v>0</v>
      </c>
      <c r="L287" s="702">
        <v>0</v>
      </c>
      <c r="M287" s="702">
        <v>0</v>
      </c>
      <c r="N287" s="702">
        <v>0</v>
      </c>
      <c r="O287" s="702">
        <v>0</v>
      </c>
      <c r="P287" s="702">
        <v>0</v>
      </c>
      <c r="Q287" s="702">
        <v>0</v>
      </c>
      <c r="R287" s="702">
        <v>0</v>
      </c>
      <c r="S287" s="702">
        <v>0</v>
      </c>
      <c r="T287" s="702">
        <v>0</v>
      </c>
    </row>
    <row r="288" spans="1:20" s="685" customFormat="1">
      <c r="A288" s="791" t="s">
        <v>353</v>
      </c>
      <c r="B288" s="792" t="s">
        <v>511</v>
      </c>
      <c r="C288" s="880">
        <v>0</v>
      </c>
      <c r="D288" s="880">
        <v>0</v>
      </c>
      <c r="E288" s="880">
        <v>0</v>
      </c>
      <c r="F288" s="880">
        <v>0</v>
      </c>
      <c r="G288" s="880">
        <v>0</v>
      </c>
      <c r="H288" s="880">
        <v>8000</v>
      </c>
      <c r="I288" s="880">
        <v>0</v>
      </c>
      <c r="J288" s="880">
        <v>15500</v>
      </c>
      <c r="K288" s="880">
        <v>0</v>
      </c>
      <c r="L288" s="880">
        <v>0</v>
      </c>
      <c r="M288" s="880">
        <v>0</v>
      </c>
      <c r="N288" s="880">
        <v>0</v>
      </c>
      <c r="O288" s="880">
        <v>0</v>
      </c>
      <c r="P288" s="880">
        <v>0</v>
      </c>
      <c r="Q288" s="880">
        <v>0</v>
      </c>
      <c r="R288" s="880">
        <v>0</v>
      </c>
      <c r="S288" s="880">
        <v>0</v>
      </c>
      <c r="T288" s="880">
        <v>0</v>
      </c>
    </row>
    <row r="289" spans="1:20" s="685" customFormat="1">
      <c r="A289" s="791"/>
      <c r="B289" s="792"/>
      <c r="C289" s="702">
        <v>23500</v>
      </c>
      <c r="D289" s="702">
        <v>23500</v>
      </c>
      <c r="E289" s="702">
        <v>23500</v>
      </c>
      <c r="F289" s="702">
        <v>23500</v>
      </c>
      <c r="G289" s="702">
        <v>23500</v>
      </c>
      <c r="H289" s="702">
        <v>23500</v>
      </c>
      <c r="I289" s="702">
        <v>15500</v>
      </c>
      <c r="J289" s="702">
        <v>15500</v>
      </c>
      <c r="K289" s="702">
        <v>0</v>
      </c>
      <c r="L289" s="702">
        <v>0</v>
      </c>
      <c r="M289" s="702">
        <v>0</v>
      </c>
      <c r="N289" s="702">
        <v>0</v>
      </c>
      <c r="O289" s="702">
        <v>0</v>
      </c>
      <c r="P289" s="702">
        <v>0</v>
      </c>
      <c r="Q289" s="702">
        <v>0</v>
      </c>
      <c r="R289" s="702">
        <v>0</v>
      </c>
      <c r="S289" s="702">
        <v>0</v>
      </c>
      <c r="T289" s="702">
        <v>0</v>
      </c>
    </row>
    <row r="290" spans="1:20" s="685" customFormat="1">
      <c r="A290" s="791" t="s">
        <v>245</v>
      </c>
      <c r="B290" s="792" t="s">
        <v>512</v>
      </c>
      <c r="C290" s="880">
        <v>0</v>
      </c>
      <c r="D290" s="880">
        <v>0</v>
      </c>
      <c r="E290" s="880">
        <v>0</v>
      </c>
      <c r="F290" s="880">
        <v>0</v>
      </c>
      <c r="G290" s="880">
        <v>0</v>
      </c>
      <c r="H290" s="880">
        <v>0</v>
      </c>
      <c r="I290" s="880">
        <v>0</v>
      </c>
      <c r="J290" s="880">
        <v>0</v>
      </c>
      <c r="K290" s="880">
        <v>0</v>
      </c>
      <c r="L290" s="880">
        <v>0</v>
      </c>
      <c r="M290" s="880">
        <v>0</v>
      </c>
      <c r="N290" s="880">
        <v>0</v>
      </c>
      <c r="O290" s="880">
        <v>0</v>
      </c>
      <c r="P290" s="880">
        <v>0</v>
      </c>
      <c r="Q290" s="880">
        <v>75000</v>
      </c>
      <c r="R290" s="880">
        <v>0</v>
      </c>
      <c r="S290" s="880">
        <v>0</v>
      </c>
      <c r="T290" s="880">
        <v>0</v>
      </c>
    </row>
    <row r="291" spans="1:20" s="685" customFormat="1">
      <c r="A291" s="791"/>
      <c r="B291" s="792"/>
      <c r="C291" s="702">
        <v>75000</v>
      </c>
      <c r="D291" s="702">
        <v>75000</v>
      </c>
      <c r="E291" s="702">
        <v>75000</v>
      </c>
      <c r="F291" s="702">
        <v>75000</v>
      </c>
      <c r="G291" s="702">
        <v>75000</v>
      </c>
      <c r="H291" s="702">
        <v>75000</v>
      </c>
      <c r="I291" s="702">
        <v>75000</v>
      </c>
      <c r="J291" s="702">
        <v>75000</v>
      </c>
      <c r="K291" s="702">
        <v>75000</v>
      </c>
      <c r="L291" s="702">
        <v>75000</v>
      </c>
      <c r="M291" s="702">
        <v>75000</v>
      </c>
      <c r="N291" s="702">
        <v>75000</v>
      </c>
      <c r="O291" s="702">
        <v>75000</v>
      </c>
      <c r="P291" s="702">
        <v>75000</v>
      </c>
      <c r="Q291" s="702">
        <v>75000</v>
      </c>
      <c r="R291" s="702">
        <v>0</v>
      </c>
      <c r="S291" s="702">
        <v>0</v>
      </c>
      <c r="T291" s="702">
        <v>0</v>
      </c>
    </row>
    <row r="292" spans="1:20" s="685" customFormat="1">
      <c r="A292" s="791" t="s">
        <v>349</v>
      </c>
      <c r="B292" s="792" t="s">
        <v>513</v>
      </c>
      <c r="C292" s="880">
        <v>0</v>
      </c>
      <c r="D292" s="880">
        <v>0</v>
      </c>
      <c r="E292" s="880">
        <v>0</v>
      </c>
      <c r="F292" s="880">
        <v>0</v>
      </c>
      <c r="G292" s="880">
        <v>0</v>
      </c>
      <c r="H292" s="880">
        <v>0</v>
      </c>
      <c r="I292" s="880">
        <v>0</v>
      </c>
      <c r="J292" s="880">
        <v>0</v>
      </c>
      <c r="K292" s="880">
        <v>0</v>
      </c>
      <c r="L292" s="880">
        <v>0</v>
      </c>
      <c r="M292" s="880">
        <v>0</v>
      </c>
      <c r="N292" s="880">
        <v>0</v>
      </c>
      <c r="O292" s="880">
        <v>0</v>
      </c>
      <c r="P292" s="880">
        <v>0</v>
      </c>
      <c r="Q292" s="880">
        <v>0</v>
      </c>
      <c r="R292" s="880">
        <v>0</v>
      </c>
      <c r="S292" s="880">
        <v>0</v>
      </c>
      <c r="T292" s="880">
        <v>0</v>
      </c>
    </row>
    <row r="293" spans="1:20" s="685" customFormat="1">
      <c r="A293" s="791"/>
      <c r="B293" s="792"/>
      <c r="C293" s="702">
        <v>0</v>
      </c>
      <c r="D293" s="702">
        <v>0</v>
      </c>
      <c r="E293" s="702">
        <v>0</v>
      </c>
      <c r="F293" s="702">
        <v>0</v>
      </c>
      <c r="G293" s="702">
        <v>0</v>
      </c>
      <c r="H293" s="702">
        <v>0</v>
      </c>
      <c r="I293" s="702">
        <v>0</v>
      </c>
      <c r="J293" s="702">
        <v>0</v>
      </c>
      <c r="K293" s="702">
        <v>0</v>
      </c>
      <c r="L293" s="702">
        <v>0</v>
      </c>
      <c r="M293" s="702">
        <v>0</v>
      </c>
      <c r="N293" s="702">
        <v>0</v>
      </c>
      <c r="O293" s="702">
        <v>0</v>
      </c>
      <c r="P293" s="702">
        <v>0</v>
      </c>
      <c r="Q293" s="702">
        <v>0</v>
      </c>
      <c r="R293" s="702">
        <v>0</v>
      </c>
      <c r="S293" s="702">
        <v>0</v>
      </c>
      <c r="T293" s="702">
        <v>0</v>
      </c>
    </row>
    <row r="294" spans="1:20" s="685" customFormat="1">
      <c r="A294" s="791" t="s">
        <v>247</v>
      </c>
      <c r="B294" s="792" t="s">
        <v>514</v>
      </c>
      <c r="C294" s="880">
        <v>0</v>
      </c>
      <c r="D294" s="880">
        <v>202400</v>
      </c>
      <c r="E294" s="880">
        <v>0</v>
      </c>
      <c r="F294" s="880">
        <v>0</v>
      </c>
      <c r="G294" s="880">
        <v>0</v>
      </c>
      <c r="H294" s="880">
        <v>0</v>
      </c>
      <c r="I294" s="880">
        <v>0</v>
      </c>
      <c r="J294" s="880">
        <v>0</v>
      </c>
      <c r="K294" s="880">
        <v>0</v>
      </c>
      <c r="L294" s="880">
        <v>0</v>
      </c>
      <c r="M294" s="880">
        <v>0</v>
      </c>
      <c r="N294" s="880">
        <v>0</v>
      </c>
      <c r="O294" s="880">
        <v>0</v>
      </c>
      <c r="P294" s="880">
        <v>0</v>
      </c>
      <c r="Q294" s="880">
        <v>0</v>
      </c>
      <c r="R294" s="880">
        <v>201400</v>
      </c>
      <c r="S294" s="880">
        <v>0</v>
      </c>
      <c r="T294" s="880">
        <v>0</v>
      </c>
    </row>
    <row r="295" spans="1:20" s="685" customFormat="1">
      <c r="A295" s="791"/>
      <c r="B295" s="792"/>
      <c r="C295" s="702">
        <v>403800</v>
      </c>
      <c r="D295" s="702">
        <v>403800</v>
      </c>
      <c r="E295" s="702">
        <v>201400</v>
      </c>
      <c r="F295" s="702">
        <v>201400</v>
      </c>
      <c r="G295" s="702">
        <v>201400</v>
      </c>
      <c r="H295" s="702">
        <v>201400</v>
      </c>
      <c r="I295" s="702">
        <v>201400</v>
      </c>
      <c r="J295" s="702">
        <v>201400</v>
      </c>
      <c r="K295" s="702">
        <v>201400</v>
      </c>
      <c r="L295" s="702">
        <v>201400</v>
      </c>
      <c r="M295" s="702">
        <v>201400</v>
      </c>
      <c r="N295" s="702">
        <v>201400</v>
      </c>
      <c r="O295" s="702">
        <v>201400</v>
      </c>
      <c r="P295" s="702">
        <v>201400</v>
      </c>
      <c r="Q295" s="702">
        <v>201400</v>
      </c>
      <c r="R295" s="702">
        <v>201400</v>
      </c>
      <c r="S295" s="702">
        <v>0</v>
      </c>
      <c r="T295" s="702">
        <v>0</v>
      </c>
    </row>
    <row r="296" spans="1:20" s="685" customFormat="1">
      <c r="A296" s="791" t="s">
        <v>187</v>
      </c>
      <c r="B296" s="792" t="s">
        <v>515</v>
      </c>
      <c r="C296" s="880">
        <v>1960500</v>
      </c>
      <c r="D296" s="880">
        <v>0</v>
      </c>
      <c r="E296" s="880">
        <v>0</v>
      </c>
      <c r="F296" s="880">
        <v>0</v>
      </c>
      <c r="G296" s="880">
        <v>0</v>
      </c>
      <c r="H296" s="880">
        <v>0</v>
      </c>
      <c r="I296" s="880">
        <v>0</v>
      </c>
      <c r="J296" s="880">
        <v>0</v>
      </c>
      <c r="K296" s="880">
        <v>0</v>
      </c>
      <c r="L296" s="880">
        <v>0</v>
      </c>
      <c r="M296" s="880">
        <v>0</v>
      </c>
      <c r="N296" s="880">
        <v>0</v>
      </c>
      <c r="O296" s="880">
        <v>0</v>
      </c>
      <c r="P296" s="880">
        <v>0</v>
      </c>
      <c r="Q296" s="880">
        <v>0</v>
      </c>
      <c r="R296" s="880">
        <v>0</v>
      </c>
      <c r="S296" s="880">
        <v>0</v>
      </c>
      <c r="T296" s="880">
        <v>0</v>
      </c>
    </row>
    <row r="297" spans="1:20" s="685" customFormat="1">
      <c r="A297" s="791"/>
      <c r="B297" s="792"/>
      <c r="C297" s="702">
        <v>1960500</v>
      </c>
      <c r="D297" s="702">
        <v>0</v>
      </c>
      <c r="E297" s="702">
        <v>0</v>
      </c>
      <c r="F297" s="702">
        <v>0</v>
      </c>
      <c r="G297" s="702">
        <v>0</v>
      </c>
      <c r="H297" s="702">
        <v>0</v>
      </c>
      <c r="I297" s="702">
        <v>0</v>
      </c>
      <c r="J297" s="702">
        <v>0</v>
      </c>
      <c r="K297" s="702">
        <v>0</v>
      </c>
      <c r="L297" s="702">
        <v>0</v>
      </c>
      <c r="M297" s="702">
        <v>0</v>
      </c>
      <c r="N297" s="702">
        <v>0</v>
      </c>
      <c r="O297" s="702">
        <v>0</v>
      </c>
      <c r="P297" s="702">
        <v>0</v>
      </c>
      <c r="Q297" s="702">
        <v>0</v>
      </c>
      <c r="R297" s="702">
        <v>0</v>
      </c>
      <c r="S297" s="702">
        <v>0</v>
      </c>
      <c r="T297" s="702">
        <v>0</v>
      </c>
    </row>
    <row r="298" spans="1:20" s="685" customFormat="1">
      <c r="A298" s="791" t="s">
        <v>246</v>
      </c>
      <c r="B298" s="792" t="s">
        <v>516</v>
      </c>
      <c r="C298" s="880">
        <v>0</v>
      </c>
      <c r="D298" s="880">
        <v>0</v>
      </c>
      <c r="E298" s="880">
        <v>0</v>
      </c>
      <c r="F298" s="880">
        <v>0</v>
      </c>
      <c r="G298" s="880">
        <v>0</v>
      </c>
      <c r="H298" s="880">
        <v>0</v>
      </c>
      <c r="I298" s="880">
        <v>0</v>
      </c>
      <c r="J298" s="880">
        <v>0</v>
      </c>
      <c r="K298" s="880">
        <v>0</v>
      </c>
      <c r="L298" s="880">
        <v>0</v>
      </c>
      <c r="M298" s="880">
        <v>0</v>
      </c>
      <c r="N298" s="880">
        <v>0</v>
      </c>
      <c r="O298" s="880">
        <v>0</v>
      </c>
      <c r="P298" s="880">
        <v>0</v>
      </c>
      <c r="Q298" s="880">
        <v>0</v>
      </c>
      <c r="R298" s="880">
        <v>0</v>
      </c>
      <c r="S298" s="880">
        <v>0</v>
      </c>
      <c r="T298" s="880">
        <v>0</v>
      </c>
    </row>
    <row r="299" spans="1:20" s="685" customFormat="1">
      <c r="A299" s="791"/>
      <c r="B299" s="792"/>
      <c r="C299" s="702">
        <v>0</v>
      </c>
      <c r="D299" s="702">
        <v>0</v>
      </c>
      <c r="E299" s="702">
        <v>0</v>
      </c>
      <c r="F299" s="702">
        <v>0</v>
      </c>
      <c r="G299" s="702">
        <v>0</v>
      </c>
      <c r="H299" s="702">
        <v>0</v>
      </c>
      <c r="I299" s="702">
        <v>0</v>
      </c>
      <c r="J299" s="702">
        <v>0</v>
      </c>
      <c r="K299" s="702">
        <v>0</v>
      </c>
      <c r="L299" s="702">
        <v>0</v>
      </c>
      <c r="M299" s="702">
        <v>0</v>
      </c>
      <c r="N299" s="702">
        <v>0</v>
      </c>
      <c r="O299" s="702">
        <v>0</v>
      </c>
      <c r="P299" s="702">
        <v>0</v>
      </c>
      <c r="Q299" s="702">
        <v>0</v>
      </c>
      <c r="R299" s="702">
        <v>0</v>
      </c>
      <c r="S299" s="702">
        <v>0</v>
      </c>
      <c r="T299" s="702">
        <v>0</v>
      </c>
    </row>
    <row r="300" spans="1:20" s="685" customFormat="1">
      <c r="A300" s="791" t="s">
        <v>334</v>
      </c>
      <c r="B300" s="792" t="s">
        <v>517</v>
      </c>
      <c r="C300" s="880">
        <v>0</v>
      </c>
      <c r="D300" s="880">
        <v>0</v>
      </c>
      <c r="E300" s="880">
        <v>0</v>
      </c>
      <c r="F300" s="880">
        <v>0</v>
      </c>
      <c r="G300" s="880">
        <v>0</v>
      </c>
      <c r="H300" s="880">
        <v>0</v>
      </c>
      <c r="I300" s="880">
        <v>0</v>
      </c>
      <c r="J300" s="880">
        <v>0</v>
      </c>
      <c r="K300" s="880">
        <v>0</v>
      </c>
      <c r="L300" s="880">
        <v>0</v>
      </c>
      <c r="M300" s="880">
        <v>0</v>
      </c>
      <c r="N300" s="880">
        <v>0</v>
      </c>
      <c r="O300" s="880">
        <v>0</v>
      </c>
      <c r="P300" s="880">
        <v>0</v>
      </c>
      <c r="Q300" s="880">
        <v>0</v>
      </c>
      <c r="R300" s="880">
        <v>0</v>
      </c>
      <c r="S300" s="880">
        <v>0</v>
      </c>
      <c r="T300" s="880">
        <v>0</v>
      </c>
    </row>
    <row r="301" spans="1:20" s="685" customFormat="1">
      <c r="A301" s="791"/>
      <c r="B301" s="792"/>
      <c r="C301" s="702">
        <v>0</v>
      </c>
      <c r="D301" s="702">
        <v>0</v>
      </c>
      <c r="E301" s="702">
        <v>0</v>
      </c>
      <c r="F301" s="702">
        <v>0</v>
      </c>
      <c r="G301" s="702">
        <v>0</v>
      </c>
      <c r="H301" s="702">
        <v>0</v>
      </c>
      <c r="I301" s="702">
        <v>0</v>
      </c>
      <c r="J301" s="702">
        <v>0</v>
      </c>
      <c r="K301" s="702">
        <v>0</v>
      </c>
      <c r="L301" s="702">
        <v>0</v>
      </c>
      <c r="M301" s="702">
        <v>0</v>
      </c>
      <c r="N301" s="702">
        <v>0</v>
      </c>
      <c r="O301" s="702">
        <v>0</v>
      </c>
      <c r="P301" s="702">
        <v>0</v>
      </c>
      <c r="Q301" s="702">
        <v>0</v>
      </c>
      <c r="R301" s="702">
        <v>0</v>
      </c>
      <c r="S301" s="702">
        <v>0</v>
      </c>
      <c r="T301" s="702">
        <v>0</v>
      </c>
    </row>
    <row r="302" spans="1:20" s="685" customFormat="1">
      <c r="A302" s="791" t="s">
        <v>27</v>
      </c>
      <c r="B302" s="792" t="s">
        <v>303</v>
      </c>
      <c r="C302" s="880">
        <v>0</v>
      </c>
      <c r="D302" s="880">
        <v>0</v>
      </c>
      <c r="E302" s="880">
        <v>0</v>
      </c>
      <c r="F302" s="880">
        <v>40000</v>
      </c>
      <c r="G302" s="880">
        <v>35000</v>
      </c>
      <c r="H302" s="880">
        <v>0</v>
      </c>
      <c r="I302" s="880">
        <v>0</v>
      </c>
      <c r="J302" s="880">
        <v>0</v>
      </c>
      <c r="K302" s="880">
        <v>0</v>
      </c>
      <c r="L302" s="880">
        <v>0</v>
      </c>
      <c r="M302" s="880">
        <v>75000</v>
      </c>
      <c r="N302" s="880">
        <v>0</v>
      </c>
      <c r="O302" s="880">
        <v>0</v>
      </c>
      <c r="P302" s="880">
        <v>0</v>
      </c>
      <c r="Q302" s="880">
        <v>53000</v>
      </c>
      <c r="R302" s="880">
        <v>0</v>
      </c>
      <c r="S302" s="880">
        <v>0</v>
      </c>
      <c r="T302" s="880">
        <v>0</v>
      </c>
    </row>
    <row r="303" spans="1:20" s="685" customFormat="1">
      <c r="A303" s="791"/>
      <c r="B303" s="792"/>
      <c r="C303" s="702">
        <v>203000</v>
      </c>
      <c r="D303" s="702">
        <v>203000</v>
      </c>
      <c r="E303" s="702">
        <v>203000</v>
      </c>
      <c r="F303" s="702">
        <v>203000</v>
      </c>
      <c r="G303" s="702">
        <v>163000</v>
      </c>
      <c r="H303" s="702">
        <v>128000</v>
      </c>
      <c r="I303" s="702">
        <v>128000</v>
      </c>
      <c r="J303" s="702">
        <v>128000</v>
      </c>
      <c r="K303" s="702">
        <v>128000</v>
      </c>
      <c r="L303" s="702">
        <v>128000</v>
      </c>
      <c r="M303" s="702">
        <v>128000</v>
      </c>
      <c r="N303" s="702">
        <v>53000</v>
      </c>
      <c r="O303" s="702">
        <v>53000</v>
      </c>
      <c r="P303" s="702">
        <v>53000</v>
      </c>
      <c r="Q303" s="702">
        <v>53000</v>
      </c>
      <c r="R303" s="702">
        <v>0</v>
      </c>
      <c r="S303" s="702">
        <v>0</v>
      </c>
      <c r="T303" s="702">
        <v>0</v>
      </c>
    </row>
    <row r="304" spans="1:20" s="685" customFormat="1">
      <c r="A304" s="791" t="s">
        <v>180</v>
      </c>
      <c r="B304" s="792"/>
      <c r="C304" s="1021">
        <v>0</v>
      </c>
      <c r="D304" s="1021">
        <v>0</v>
      </c>
      <c r="E304" s="1021">
        <v>0</v>
      </c>
      <c r="F304" s="1021">
        <v>0</v>
      </c>
      <c r="G304" s="1021">
        <v>0</v>
      </c>
      <c r="H304" s="1021">
        <v>0</v>
      </c>
      <c r="I304" s="1021">
        <v>0</v>
      </c>
      <c r="J304" s="1021">
        <v>0</v>
      </c>
      <c r="K304" s="1021">
        <v>0</v>
      </c>
      <c r="L304" s="1021">
        <v>0</v>
      </c>
      <c r="M304" s="1021">
        <v>0</v>
      </c>
      <c r="N304" s="1021">
        <v>0</v>
      </c>
      <c r="O304" s="1021">
        <v>0</v>
      </c>
      <c r="P304" s="1021">
        <v>0</v>
      </c>
      <c r="Q304" s="1021">
        <v>0</v>
      </c>
      <c r="R304" s="1021">
        <v>0</v>
      </c>
      <c r="S304" s="1021">
        <v>0</v>
      </c>
      <c r="T304" s="1021">
        <v>0</v>
      </c>
    </row>
    <row r="305" spans="1:20" s="685" customFormat="1">
      <c r="A305" s="791"/>
      <c r="B305" s="792"/>
      <c r="C305" s="702">
        <v>0</v>
      </c>
      <c r="D305" s="702">
        <v>0</v>
      </c>
      <c r="E305" s="702">
        <v>0</v>
      </c>
      <c r="F305" s="702">
        <v>0</v>
      </c>
      <c r="G305" s="702">
        <v>0</v>
      </c>
      <c r="H305" s="702">
        <v>0</v>
      </c>
      <c r="I305" s="702">
        <v>0</v>
      </c>
      <c r="J305" s="702">
        <v>0</v>
      </c>
      <c r="K305" s="702">
        <v>0</v>
      </c>
      <c r="L305" s="702">
        <v>0</v>
      </c>
      <c r="M305" s="702">
        <v>0</v>
      </c>
      <c r="N305" s="702">
        <v>0</v>
      </c>
      <c r="O305" s="702">
        <v>0</v>
      </c>
      <c r="P305" s="702">
        <v>0</v>
      </c>
      <c r="Q305" s="702">
        <v>0</v>
      </c>
      <c r="R305" s="702">
        <v>0</v>
      </c>
      <c r="S305" s="702">
        <v>0</v>
      </c>
      <c r="T305" s="702">
        <v>0</v>
      </c>
    </row>
    <row r="306" spans="1:20" s="685" customFormat="1">
      <c r="A306" s="791" t="s">
        <v>59</v>
      </c>
      <c r="B306" s="792"/>
      <c r="C306" s="880">
        <v>1960500</v>
      </c>
      <c r="D306" s="880">
        <v>202400</v>
      </c>
      <c r="E306" s="880">
        <v>0</v>
      </c>
      <c r="F306" s="880">
        <v>40000</v>
      </c>
      <c r="G306" s="880">
        <v>35000</v>
      </c>
      <c r="H306" s="880">
        <v>8000</v>
      </c>
      <c r="I306" s="880">
        <v>0</v>
      </c>
      <c r="J306" s="880">
        <v>15500</v>
      </c>
      <c r="K306" s="880">
        <v>0</v>
      </c>
      <c r="L306" s="880">
        <v>0</v>
      </c>
      <c r="M306" s="880">
        <v>75000</v>
      </c>
      <c r="N306" s="880">
        <v>0</v>
      </c>
      <c r="O306" s="880">
        <v>0</v>
      </c>
      <c r="P306" s="880">
        <v>0</v>
      </c>
      <c r="Q306" s="880">
        <v>128000</v>
      </c>
      <c r="R306" s="880">
        <v>201400</v>
      </c>
      <c r="S306" s="880">
        <v>0</v>
      </c>
      <c r="T306" s="880">
        <v>0</v>
      </c>
    </row>
    <row r="307" spans="1:20" s="685" customFormat="1">
      <c r="A307" s="791"/>
      <c r="B307" s="792"/>
      <c r="C307" s="702">
        <v>2665800</v>
      </c>
      <c r="D307" s="702">
        <v>705300</v>
      </c>
      <c r="E307" s="702">
        <v>502900</v>
      </c>
      <c r="F307" s="702">
        <v>502900</v>
      </c>
      <c r="G307" s="702">
        <v>462900</v>
      </c>
      <c r="H307" s="702">
        <v>427900</v>
      </c>
      <c r="I307" s="702">
        <v>419900</v>
      </c>
      <c r="J307" s="702">
        <v>419900</v>
      </c>
      <c r="K307" s="702">
        <v>404400</v>
      </c>
      <c r="L307" s="702">
        <v>404400</v>
      </c>
      <c r="M307" s="702">
        <v>404400</v>
      </c>
      <c r="N307" s="702">
        <v>329400</v>
      </c>
      <c r="O307" s="702">
        <v>329400</v>
      </c>
      <c r="P307" s="702">
        <v>329400</v>
      </c>
      <c r="Q307" s="702">
        <v>329400</v>
      </c>
      <c r="R307" s="702">
        <v>201400</v>
      </c>
      <c r="S307" s="702">
        <v>0</v>
      </c>
      <c r="T307" s="702">
        <v>0</v>
      </c>
    </row>
    <row r="308" spans="1:20" s="685" customFormat="1">
      <c r="A308" s="793" t="s">
        <v>350</v>
      </c>
      <c r="B308" s="794"/>
      <c r="C308" s="882">
        <v>-1027290</v>
      </c>
      <c r="D308" s="882">
        <v>145463</v>
      </c>
      <c r="E308" s="882">
        <v>0</v>
      </c>
      <c r="F308" s="882">
        <v>353703</v>
      </c>
      <c r="G308" s="882">
        <v>334199</v>
      </c>
      <c r="H308" s="882">
        <v>629126</v>
      </c>
      <c r="I308" s="882">
        <v>134584</v>
      </c>
      <c r="J308" s="882">
        <v>311880</v>
      </c>
      <c r="K308" s="882">
        <v>276408</v>
      </c>
      <c r="L308" s="882">
        <v>524216</v>
      </c>
      <c r="M308" s="882">
        <v>92006</v>
      </c>
      <c r="N308" s="882">
        <v>687729</v>
      </c>
      <c r="O308" s="882">
        <v>303612</v>
      </c>
      <c r="P308" s="882">
        <v>1265547</v>
      </c>
      <c r="Q308" s="882">
        <v>1675260</v>
      </c>
      <c r="R308" s="882">
        <v>401137</v>
      </c>
      <c r="S308" s="882">
        <v>742300</v>
      </c>
      <c r="T308" s="882">
        <v>0</v>
      </c>
    </row>
    <row r="309" spans="1:20" s="685" customFormat="1">
      <c r="A309" s="793"/>
      <c r="B309" s="794"/>
      <c r="C309" s="702">
        <v>7158327</v>
      </c>
      <c r="D309" s="702">
        <v>8185617</v>
      </c>
      <c r="E309" s="702">
        <v>8040154</v>
      </c>
      <c r="F309" s="702">
        <v>8040154</v>
      </c>
      <c r="G309" s="702">
        <v>7686451</v>
      </c>
      <c r="H309" s="702">
        <v>7352252</v>
      </c>
      <c r="I309" s="702">
        <v>6723126</v>
      </c>
      <c r="J309" s="702">
        <v>6588542</v>
      </c>
      <c r="K309" s="702">
        <v>6276662</v>
      </c>
      <c r="L309" s="702">
        <v>6000254</v>
      </c>
      <c r="M309" s="702">
        <v>5476038</v>
      </c>
      <c r="N309" s="702">
        <v>5384032</v>
      </c>
      <c r="O309" s="702">
        <v>4696303</v>
      </c>
      <c r="P309" s="702">
        <v>4084244</v>
      </c>
      <c r="Q309" s="702">
        <v>2818697</v>
      </c>
      <c r="R309" s="702">
        <v>1143437</v>
      </c>
      <c r="S309" s="702">
        <v>742300</v>
      </c>
      <c r="T309" s="702">
        <v>0</v>
      </c>
    </row>
    <row r="310" spans="1:20" s="685" customFormat="1">
      <c r="A310" s="797"/>
      <c r="B310" s="748"/>
      <c r="C310" s="879"/>
      <c r="D310" s="879"/>
      <c r="E310" s="879"/>
      <c r="F310" s="879"/>
      <c r="G310" s="879"/>
      <c r="H310" s="879"/>
      <c r="I310" s="879"/>
      <c r="J310" s="879"/>
      <c r="K310" s="879"/>
      <c r="L310" s="879"/>
      <c r="M310" s="879"/>
      <c r="N310" s="879"/>
      <c r="O310" s="879"/>
      <c r="P310" s="879"/>
      <c r="Q310" s="879"/>
      <c r="R310" s="879"/>
      <c r="S310" s="879"/>
      <c r="T310" s="879"/>
    </row>
    <row r="311" spans="1:20" s="685" customFormat="1">
      <c r="A311" s="796" t="s">
        <v>345</v>
      </c>
      <c r="B311" s="788" t="s">
        <v>518</v>
      </c>
      <c r="C311" s="880">
        <v>498801</v>
      </c>
      <c r="D311" s="880">
        <v>343152</v>
      </c>
      <c r="E311" s="880">
        <v>37000</v>
      </c>
      <c r="F311" s="880">
        <v>700302</v>
      </c>
      <c r="G311" s="880">
        <v>350504</v>
      </c>
      <c r="H311" s="880">
        <v>670179</v>
      </c>
      <c r="I311" s="880">
        <v>379013</v>
      </c>
      <c r="J311" s="880">
        <v>414118</v>
      </c>
      <c r="K311" s="880">
        <v>468658</v>
      </c>
      <c r="L311" s="880">
        <v>420917</v>
      </c>
      <c r="M311" s="880">
        <v>434549</v>
      </c>
      <c r="N311" s="880">
        <v>1061051</v>
      </c>
      <c r="O311" s="880">
        <v>463623</v>
      </c>
      <c r="P311" s="880">
        <v>947480</v>
      </c>
      <c r="Q311" s="880">
        <v>1952931</v>
      </c>
      <c r="R311" s="880">
        <v>1025348</v>
      </c>
      <c r="S311" s="880">
        <v>7000</v>
      </c>
      <c r="T311" s="880">
        <v>0</v>
      </c>
    </row>
    <row r="312" spans="1:20" s="685" customFormat="1">
      <c r="A312" s="787"/>
      <c r="B312" s="788"/>
      <c r="C312" s="702">
        <v>10326329</v>
      </c>
      <c r="D312" s="702">
        <v>9827528</v>
      </c>
      <c r="E312" s="702">
        <v>9484376</v>
      </c>
      <c r="F312" s="702">
        <v>9447376</v>
      </c>
      <c r="G312" s="702">
        <v>8747074</v>
      </c>
      <c r="H312" s="702">
        <v>8396570</v>
      </c>
      <c r="I312" s="702">
        <v>7726391</v>
      </c>
      <c r="J312" s="702">
        <v>7347378</v>
      </c>
      <c r="K312" s="702">
        <v>6933260</v>
      </c>
      <c r="L312" s="702">
        <v>6464602</v>
      </c>
      <c r="M312" s="702">
        <v>6043685</v>
      </c>
      <c r="N312" s="702">
        <v>5609136</v>
      </c>
      <c r="O312" s="702">
        <v>4548085</v>
      </c>
      <c r="P312" s="702">
        <v>3932759</v>
      </c>
      <c r="Q312" s="702">
        <v>2985279</v>
      </c>
      <c r="R312" s="702">
        <v>1032348</v>
      </c>
      <c r="S312" s="702">
        <v>7000</v>
      </c>
      <c r="T312" s="702">
        <v>0</v>
      </c>
    </row>
    <row r="313" spans="1:20" s="685" customFormat="1">
      <c r="A313" s="789" t="s">
        <v>100</v>
      </c>
      <c r="B313" s="790"/>
      <c r="C313" s="879"/>
      <c r="D313" s="879"/>
      <c r="E313" s="879"/>
      <c r="F313" s="879"/>
      <c r="G313" s="879"/>
      <c r="H313" s="879"/>
      <c r="I313" s="879"/>
      <c r="J313" s="879"/>
      <c r="K313" s="879"/>
      <c r="L313" s="879"/>
      <c r="M313" s="879"/>
      <c r="N313" s="879"/>
      <c r="O313" s="879"/>
      <c r="P313" s="879"/>
      <c r="Q313" s="879"/>
      <c r="R313" s="879"/>
      <c r="S313" s="879"/>
      <c r="T313" s="879"/>
    </row>
    <row r="314" spans="1:20" s="685" customFormat="1">
      <c r="A314" s="791" t="s">
        <v>337</v>
      </c>
      <c r="B314" s="792" t="s">
        <v>519</v>
      </c>
      <c r="C314" s="880">
        <v>0</v>
      </c>
      <c r="D314" s="880">
        <v>0</v>
      </c>
      <c r="E314" s="880">
        <v>0</v>
      </c>
      <c r="F314" s="880">
        <v>0</v>
      </c>
      <c r="G314" s="880">
        <v>0</v>
      </c>
      <c r="H314" s="880">
        <v>0</v>
      </c>
      <c r="I314" s="880">
        <v>0</v>
      </c>
      <c r="J314" s="880">
        <v>0</v>
      </c>
      <c r="K314" s="880">
        <v>0</v>
      </c>
      <c r="L314" s="880">
        <v>0</v>
      </c>
      <c r="M314" s="880">
        <v>0</v>
      </c>
      <c r="N314" s="880">
        <v>0</v>
      </c>
      <c r="O314" s="880">
        <v>0</v>
      </c>
      <c r="P314" s="880">
        <v>0</v>
      </c>
      <c r="Q314" s="880">
        <v>0</v>
      </c>
      <c r="R314" s="880">
        <v>0</v>
      </c>
      <c r="S314" s="880">
        <v>0</v>
      </c>
      <c r="T314" s="880">
        <v>0</v>
      </c>
    </row>
    <row r="315" spans="1:20" s="685" customFormat="1">
      <c r="A315" s="791"/>
      <c r="B315" s="792"/>
      <c r="C315" s="702">
        <v>0</v>
      </c>
      <c r="D315" s="702">
        <v>0</v>
      </c>
      <c r="E315" s="702">
        <v>0</v>
      </c>
      <c r="F315" s="702">
        <v>0</v>
      </c>
      <c r="G315" s="702">
        <v>0</v>
      </c>
      <c r="H315" s="702">
        <v>0</v>
      </c>
      <c r="I315" s="702">
        <v>0</v>
      </c>
      <c r="J315" s="702">
        <v>0</v>
      </c>
      <c r="K315" s="702">
        <v>0</v>
      </c>
      <c r="L315" s="702">
        <v>0</v>
      </c>
      <c r="M315" s="702">
        <v>0</v>
      </c>
      <c r="N315" s="702">
        <v>0</v>
      </c>
      <c r="O315" s="702">
        <v>0</v>
      </c>
      <c r="P315" s="702">
        <v>0</v>
      </c>
      <c r="Q315" s="702">
        <v>0</v>
      </c>
      <c r="R315" s="702">
        <v>0</v>
      </c>
      <c r="S315" s="702">
        <v>0</v>
      </c>
      <c r="T315" s="702">
        <v>0</v>
      </c>
    </row>
    <row r="316" spans="1:20" s="685" customFormat="1">
      <c r="A316" s="791" t="s">
        <v>353</v>
      </c>
      <c r="B316" s="792" t="s">
        <v>520</v>
      </c>
      <c r="C316" s="880">
        <v>0</v>
      </c>
      <c r="D316" s="880">
        <v>0</v>
      </c>
      <c r="E316" s="880">
        <v>0</v>
      </c>
      <c r="F316" s="880">
        <v>0</v>
      </c>
      <c r="G316" s="880">
        <v>0</v>
      </c>
      <c r="H316" s="880">
        <v>0</v>
      </c>
      <c r="I316" s="880">
        <v>0</v>
      </c>
      <c r="J316" s="880">
        <v>0</v>
      </c>
      <c r="K316" s="880">
        <v>0</v>
      </c>
      <c r="L316" s="880">
        <v>0</v>
      </c>
      <c r="M316" s="880">
        <v>0</v>
      </c>
      <c r="N316" s="880">
        <v>0</v>
      </c>
      <c r="O316" s="880">
        <v>0</v>
      </c>
      <c r="P316" s="880">
        <v>0</v>
      </c>
      <c r="Q316" s="880">
        <v>0</v>
      </c>
      <c r="R316" s="880">
        <v>0</v>
      </c>
      <c r="S316" s="880">
        <v>0</v>
      </c>
      <c r="T316" s="880">
        <v>0</v>
      </c>
    </row>
    <row r="317" spans="1:20" s="685" customFormat="1">
      <c r="A317" s="791"/>
      <c r="B317" s="792"/>
      <c r="C317" s="702">
        <v>0</v>
      </c>
      <c r="D317" s="702">
        <v>0</v>
      </c>
      <c r="E317" s="702">
        <v>0</v>
      </c>
      <c r="F317" s="702">
        <v>0</v>
      </c>
      <c r="G317" s="702">
        <v>0</v>
      </c>
      <c r="H317" s="702">
        <v>0</v>
      </c>
      <c r="I317" s="702">
        <v>0</v>
      </c>
      <c r="J317" s="702">
        <v>0</v>
      </c>
      <c r="K317" s="702">
        <v>0</v>
      </c>
      <c r="L317" s="702">
        <v>0</v>
      </c>
      <c r="M317" s="702">
        <v>0</v>
      </c>
      <c r="N317" s="702">
        <v>0</v>
      </c>
      <c r="O317" s="702">
        <v>0</v>
      </c>
      <c r="P317" s="702">
        <v>0</v>
      </c>
      <c r="Q317" s="702">
        <v>0</v>
      </c>
      <c r="R317" s="702">
        <v>0</v>
      </c>
      <c r="S317" s="702">
        <v>0</v>
      </c>
      <c r="T317" s="702">
        <v>0</v>
      </c>
    </row>
    <row r="318" spans="1:20" s="685" customFormat="1">
      <c r="A318" s="791" t="s">
        <v>245</v>
      </c>
      <c r="B318" s="792" t="s">
        <v>521</v>
      </c>
      <c r="C318" s="880">
        <v>0</v>
      </c>
      <c r="D318" s="880">
        <v>0</v>
      </c>
      <c r="E318" s="880">
        <v>0</v>
      </c>
      <c r="F318" s="880">
        <v>0</v>
      </c>
      <c r="G318" s="880">
        <v>0</v>
      </c>
      <c r="H318" s="880">
        <v>0</v>
      </c>
      <c r="I318" s="880">
        <v>0</v>
      </c>
      <c r="J318" s="880">
        <v>0</v>
      </c>
      <c r="K318" s="880">
        <v>137500</v>
      </c>
      <c r="L318" s="880">
        <v>0</v>
      </c>
      <c r="M318" s="880">
        <v>0</v>
      </c>
      <c r="N318" s="880">
        <v>0</v>
      </c>
      <c r="O318" s="880">
        <v>0</v>
      </c>
      <c r="P318" s="880">
        <v>0</v>
      </c>
      <c r="Q318" s="880">
        <v>20999</v>
      </c>
      <c r="R318" s="880">
        <v>0</v>
      </c>
      <c r="S318" s="880">
        <v>0</v>
      </c>
      <c r="T318" s="880">
        <v>0</v>
      </c>
    </row>
    <row r="319" spans="1:20" s="685" customFormat="1">
      <c r="A319" s="791"/>
      <c r="B319" s="792"/>
      <c r="C319" s="702">
        <v>158499</v>
      </c>
      <c r="D319" s="702">
        <v>158499</v>
      </c>
      <c r="E319" s="702">
        <v>158499</v>
      </c>
      <c r="F319" s="702">
        <v>158499</v>
      </c>
      <c r="G319" s="702">
        <v>158499</v>
      </c>
      <c r="H319" s="702">
        <v>158499</v>
      </c>
      <c r="I319" s="702">
        <v>158499</v>
      </c>
      <c r="J319" s="702">
        <v>158499</v>
      </c>
      <c r="K319" s="702">
        <v>158499</v>
      </c>
      <c r="L319" s="702">
        <v>20999</v>
      </c>
      <c r="M319" s="702">
        <v>20999</v>
      </c>
      <c r="N319" s="702">
        <v>20999</v>
      </c>
      <c r="O319" s="702">
        <v>20999</v>
      </c>
      <c r="P319" s="702">
        <v>20999</v>
      </c>
      <c r="Q319" s="702">
        <v>20999</v>
      </c>
      <c r="R319" s="702">
        <v>0</v>
      </c>
      <c r="S319" s="702">
        <v>0</v>
      </c>
      <c r="T319" s="702">
        <v>0</v>
      </c>
    </row>
    <row r="320" spans="1:20" s="685" customFormat="1">
      <c r="A320" s="791" t="s">
        <v>349</v>
      </c>
      <c r="B320" s="792" t="s">
        <v>522</v>
      </c>
      <c r="C320" s="880">
        <v>0</v>
      </c>
      <c r="D320" s="880">
        <v>0</v>
      </c>
      <c r="E320" s="880">
        <v>0</v>
      </c>
      <c r="F320" s="880">
        <v>0</v>
      </c>
      <c r="G320" s="880">
        <v>0</v>
      </c>
      <c r="H320" s="880">
        <v>0</v>
      </c>
      <c r="I320" s="880">
        <v>0</v>
      </c>
      <c r="J320" s="880">
        <v>0</v>
      </c>
      <c r="K320" s="880">
        <v>0</v>
      </c>
      <c r="L320" s="880">
        <v>0</v>
      </c>
      <c r="M320" s="880">
        <v>0</v>
      </c>
      <c r="N320" s="880">
        <v>0</v>
      </c>
      <c r="O320" s="880">
        <v>0</v>
      </c>
      <c r="P320" s="880">
        <v>0</v>
      </c>
      <c r="Q320" s="880">
        <v>5000</v>
      </c>
      <c r="R320" s="880">
        <v>5000</v>
      </c>
      <c r="S320" s="880">
        <v>0</v>
      </c>
      <c r="T320" s="880">
        <v>0</v>
      </c>
    </row>
    <row r="321" spans="1:20" s="685" customFormat="1">
      <c r="A321" s="791"/>
      <c r="B321" s="792"/>
      <c r="C321" s="702">
        <v>10000</v>
      </c>
      <c r="D321" s="702">
        <v>10000</v>
      </c>
      <c r="E321" s="702">
        <v>10000</v>
      </c>
      <c r="F321" s="702">
        <v>10000</v>
      </c>
      <c r="G321" s="702">
        <v>10000</v>
      </c>
      <c r="H321" s="702">
        <v>10000</v>
      </c>
      <c r="I321" s="702">
        <v>10000</v>
      </c>
      <c r="J321" s="702">
        <v>10000</v>
      </c>
      <c r="K321" s="702">
        <v>10000</v>
      </c>
      <c r="L321" s="702">
        <v>10000</v>
      </c>
      <c r="M321" s="702">
        <v>10000</v>
      </c>
      <c r="N321" s="702">
        <v>10000</v>
      </c>
      <c r="O321" s="702">
        <v>10000</v>
      </c>
      <c r="P321" s="702">
        <v>10000</v>
      </c>
      <c r="Q321" s="702">
        <v>10000</v>
      </c>
      <c r="R321" s="702">
        <v>5000</v>
      </c>
      <c r="S321" s="702">
        <v>0</v>
      </c>
      <c r="T321" s="702">
        <v>0</v>
      </c>
    </row>
    <row r="322" spans="1:20" s="685" customFormat="1">
      <c r="A322" s="791" t="s">
        <v>247</v>
      </c>
      <c r="B322" s="792" t="s">
        <v>523</v>
      </c>
      <c r="C322" s="880">
        <v>0</v>
      </c>
      <c r="D322" s="880">
        <v>0</v>
      </c>
      <c r="E322" s="880">
        <v>0</v>
      </c>
      <c r="F322" s="880">
        <v>0</v>
      </c>
      <c r="G322" s="880">
        <v>0</v>
      </c>
      <c r="H322" s="880">
        <v>0</v>
      </c>
      <c r="I322" s="880">
        <v>0</v>
      </c>
      <c r="J322" s="880">
        <v>0</v>
      </c>
      <c r="K322" s="880">
        <v>0</v>
      </c>
      <c r="L322" s="880">
        <v>0</v>
      </c>
      <c r="M322" s="880">
        <v>0</v>
      </c>
      <c r="N322" s="880">
        <v>0</v>
      </c>
      <c r="O322" s="880">
        <v>0</v>
      </c>
      <c r="P322" s="880">
        <v>0</v>
      </c>
      <c r="Q322" s="880">
        <v>101400</v>
      </c>
      <c r="R322" s="880">
        <v>0</v>
      </c>
      <c r="S322" s="880">
        <v>0</v>
      </c>
      <c r="T322" s="880">
        <v>0</v>
      </c>
    </row>
    <row r="323" spans="1:20" s="685" customFormat="1">
      <c r="A323" s="791"/>
      <c r="B323" s="792"/>
      <c r="C323" s="702">
        <v>101400</v>
      </c>
      <c r="D323" s="702">
        <v>101400</v>
      </c>
      <c r="E323" s="702">
        <v>101400</v>
      </c>
      <c r="F323" s="702">
        <v>101400</v>
      </c>
      <c r="G323" s="702">
        <v>101400</v>
      </c>
      <c r="H323" s="702">
        <v>101400</v>
      </c>
      <c r="I323" s="702">
        <v>101400</v>
      </c>
      <c r="J323" s="702">
        <v>101400</v>
      </c>
      <c r="K323" s="702">
        <v>101400</v>
      </c>
      <c r="L323" s="702">
        <v>101400</v>
      </c>
      <c r="M323" s="702">
        <v>101400</v>
      </c>
      <c r="N323" s="702">
        <v>101400</v>
      </c>
      <c r="O323" s="702">
        <v>101400</v>
      </c>
      <c r="P323" s="702">
        <v>101400</v>
      </c>
      <c r="Q323" s="702">
        <v>101400</v>
      </c>
      <c r="R323" s="702">
        <v>0</v>
      </c>
      <c r="S323" s="702">
        <v>0</v>
      </c>
      <c r="T323" s="702">
        <v>0</v>
      </c>
    </row>
    <row r="324" spans="1:20" s="685" customFormat="1">
      <c r="A324" s="791" t="s">
        <v>187</v>
      </c>
      <c r="B324" s="792" t="s">
        <v>524</v>
      </c>
      <c r="C324" s="880">
        <v>1658000</v>
      </c>
      <c r="D324" s="880">
        <v>0</v>
      </c>
      <c r="E324" s="880">
        <v>0</v>
      </c>
      <c r="F324" s="880">
        <v>0</v>
      </c>
      <c r="G324" s="880">
        <v>0</v>
      </c>
      <c r="H324" s="880">
        <v>0</v>
      </c>
      <c r="I324" s="880">
        <v>0</v>
      </c>
      <c r="J324" s="880">
        <v>0</v>
      </c>
      <c r="K324" s="880">
        <v>0</v>
      </c>
      <c r="L324" s="880">
        <v>0</v>
      </c>
      <c r="M324" s="880">
        <v>0</v>
      </c>
      <c r="N324" s="880">
        <v>0</v>
      </c>
      <c r="O324" s="880">
        <v>0</v>
      </c>
      <c r="P324" s="880">
        <v>0</v>
      </c>
      <c r="Q324" s="880">
        <v>0</v>
      </c>
      <c r="R324" s="880">
        <v>0</v>
      </c>
      <c r="S324" s="880">
        <v>0</v>
      </c>
      <c r="T324" s="880">
        <v>0</v>
      </c>
    </row>
    <row r="325" spans="1:20" s="685" customFormat="1">
      <c r="A325" s="791"/>
      <c r="B325" s="792"/>
      <c r="C325" s="702">
        <v>1658000</v>
      </c>
      <c r="D325" s="702">
        <v>0</v>
      </c>
      <c r="E325" s="702">
        <v>0</v>
      </c>
      <c r="F325" s="702">
        <v>0</v>
      </c>
      <c r="G325" s="702">
        <v>0</v>
      </c>
      <c r="H325" s="702">
        <v>0</v>
      </c>
      <c r="I325" s="702">
        <v>0</v>
      </c>
      <c r="J325" s="702">
        <v>0</v>
      </c>
      <c r="K325" s="702">
        <v>0</v>
      </c>
      <c r="L325" s="702">
        <v>0</v>
      </c>
      <c r="M325" s="702">
        <v>0</v>
      </c>
      <c r="N325" s="702">
        <v>0</v>
      </c>
      <c r="O325" s="702">
        <v>0</v>
      </c>
      <c r="P325" s="702">
        <v>0</v>
      </c>
      <c r="Q325" s="702">
        <v>0</v>
      </c>
      <c r="R325" s="702">
        <v>0</v>
      </c>
      <c r="S325" s="702">
        <v>0</v>
      </c>
      <c r="T325" s="702">
        <v>0</v>
      </c>
    </row>
    <row r="326" spans="1:20" s="685" customFormat="1">
      <c r="A326" s="791" t="s">
        <v>246</v>
      </c>
      <c r="B326" s="792" t="s">
        <v>525</v>
      </c>
      <c r="C326" s="880">
        <v>0</v>
      </c>
      <c r="D326" s="880">
        <v>0</v>
      </c>
      <c r="E326" s="880">
        <v>0</v>
      </c>
      <c r="F326" s="880">
        <v>0</v>
      </c>
      <c r="G326" s="880">
        <v>0</v>
      </c>
      <c r="H326" s="880">
        <v>0</v>
      </c>
      <c r="I326" s="880">
        <v>0</v>
      </c>
      <c r="J326" s="880">
        <v>0</v>
      </c>
      <c r="K326" s="880">
        <v>0</v>
      </c>
      <c r="L326" s="880">
        <v>0</v>
      </c>
      <c r="M326" s="880">
        <v>0</v>
      </c>
      <c r="N326" s="880">
        <v>0</v>
      </c>
      <c r="O326" s="880">
        <v>0</v>
      </c>
      <c r="P326" s="880">
        <v>0</v>
      </c>
      <c r="Q326" s="880">
        <v>0</v>
      </c>
      <c r="R326" s="880">
        <v>0</v>
      </c>
      <c r="S326" s="880">
        <v>0</v>
      </c>
      <c r="T326" s="880">
        <v>0</v>
      </c>
    </row>
    <row r="327" spans="1:20" s="685" customFormat="1">
      <c r="A327" s="791"/>
      <c r="B327" s="792"/>
      <c r="C327" s="702">
        <v>0</v>
      </c>
      <c r="D327" s="702">
        <v>0</v>
      </c>
      <c r="E327" s="702">
        <v>0</v>
      </c>
      <c r="F327" s="702">
        <v>0</v>
      </c>
      <c r="G327" s="702">
        <v>0</v>
      </c>
      <c r="H327" s="702">
        <v>0</v>
      </c>
      <c r="I327" s="702">
        <v>0</v>
      </c>
      <c r="J327" s="702">
        <v>0</v>
      </c>
      <c r="K327" s="702">
        <v>0</v>
      </c>
      <c r="L327" s="702">
        <v>0</v>
      </c>
      <c r="M327" s="702">
        <v>0</v>
      </c>
      <c r="N327" s="702">
        <v>0</v>
      </c>
      <c r="O327" s="702">
        <v>0</v>
      </c>
      <c r="P327" s="702">
        <v>0</v>
      </c>
      <c r="Q327" s="702">
        <v>0</v>
      </c>
      <c r="R327" s="702">
        <v>0</v>
      </c>
      <c r="S327" s="702">
        <v>0</v>
      </c>
      <c r="T327" s="702">
        <v>0</v>
      </c>
    </row>
    <row r="328" spans="1:20" s="685" customFormat="1">
      <c r="A328" s="791" t="s">
        <v>334</v>
      </c>
      <c r="B328" s="792" t="s">
        <v>526</v>
      </c>
      <c r="C328" s="880">
        <v>0</v>
      </c>
      <c r="D328" s="880">
        <v>0</v>
      </c>
      <c r="E328" s="880">
        <v>0</v>
      </c>
      <c r="F328" s="880">
        <v>0</v>
      </c>
      <c r="G328" s="880">
        <v>0</v>
      </c>
      <c r="H328" s="880">
        <v>0</v>
      </c>
      <c r="I328" s="880">
        <v>0</v>
      </c>
      <c r="J328" s="880">
        <v>0</v>
      </c>
      <c r="K328" s="880">
        <v>0</v>
      </c>
      <c r="L328" s="880">
        <v>0</v>
      </c>
      <c r="M328" s="880">
        <v>0</v>
      </c>
      <c r="N328" s="880">
        <v>0</v>
      </c>
      <c r="O328" s="880">
        <v>0</v>
      </c>
      <c r="P328" s="880">
        <v>0</v>
      </c>
      <c r="Q328" s="880">
        <v>0</v>
      </c>
      <c r="R328" s="880">
        <v>0</v>
      </c>
      <c r="S328" s="880">
        <v>0</v>
      </c>
      <c r="T328" s="880">
        <v>0</v>
      </c>
    </row>
    <row r="329" spans="1:20" s="685" customFormat="1">
      <c r="A329" s="791"/>
      <c r="B329" s="792"/>
      <c r="C329" s="702">
        <v>0</v>
      </c>
      <c r="D329" s="702">
        <v>0</v>
      </c>
      <c r="E329" s="702">
        <v>0</v>
      </c>
      <c r="F329" s="702">
        <v>0</v>
      </c>
      <c r="G329" s="702">
        <v>0</v>
      </c>
      <c r="H329" s="702">
        <v>0</v>
      </c>
      <c r="I329" s="702">
        <v>0</v>
      </c>
      <c r="J329" s="702">
        <v>0</v>
      </c>
      <c r="K329" s="702">
        <v>0</v>
      </c>
      <c r="L329" s="702">
        <v>0</v>
      </c>
      <c r="M329" s="702">
        <v>0</v>
      </c>
      <c r="N329" s="702">
        <v>0</v>
      </c>
      <c r="O329" s="702">
        <v>0</v>
      </c>
      <c r="P329" s="702">
        <v>0</v>
      </c>
      <c r="Q329" s="702">
        <v>0</v>
      </c>
      <c r="R329" s="702">
        <v>0</v>
      </c>
      <c r="S329" s="702">
        <v>0</v>
      </c>
      <c r="T329" s="702">
        <v>0</v>
      </c>
    </row>
    <row r="330" spans="1:20" s="685" customFormat="1">
      <c r="A330" s="791" t="s">
        <v>27</v>
      </c>
      <c r="B330" s="792" t="s">
        <v>527</v>
      </c>
      <c r="C330" s="880">
        <v>0</v>
      </c>
      <c r="D330" s="880">
        <v>0</v>
      </c>
      <c r="E330" s="880">
        <v>0</v>
      </c>
      <c r="F330" s="880">
        <v>0</v>
      </c>
      <c r="G330" s="880">
        <v>37000</v>
      </c>
      <c r="H330" s="880">
        <v>0</v>
      </c>
      <c r="I330" s="880">
        <v>0</v>
      </c>
      <c r="J330" s="880">
        <v>0</v>
      </c>
      <c r="K330" s="880">
        <v>0</v>
      </c>
      <c r="L330" s="880">
        <v>0</v>
      </c>
      <c r="M330" s="880">
        <v>75000</v>
      </c>
      <c r="N330" s="880">
        <v>20000</v>
      </c>
      <c r="O330" s="880">
        <v>0</v>
      </c>
      <c r="P330" s="880">
        <v>0</v>
      </c>
      <c r="Q330" s="880">
        <v>60000</v>
      </c>
      <c r="R330" s="880">
        <v>17000</v>
      </c>
      <c r="S330" s="880">
        <v>0</v>
      </c>
      <c r="T330" s="880">
        <v>0</v>
      </c>
    </row>
    <row r="331" spans="1:20" s="685" customFormat="1">
      <c r="A331" s="791"/>
      <c r="B331" s="792"/>
      <c r="C331" s="702">
        <v>209000</v>
      </c>
      <c r="D331" s="702">
        <v>209000</v>
      </c>
      <c r="E331" s="702">
        <v>209000</v>
      </c>
      <c r="F331" s="702">
        <v>209000</v>
      </c>
      <c r="G331" s="702">
        <v>209000</v>
      </c>
      <c r="H331" s="702">
        <v>172000</v>
      </c>
      <c r="I331" s="702">
        <v>172000</v>
      </c>
      <c r="J331" s="702">
        <v>172000</v>
      </c>
      <c r="K331" s="702">
        <v>172000</v>
      </c>
      <c r="L331" s="702">
        <v>172000</v>
      </c>
      <c r="M331" s="702">
        <v>172000</v>
      </c>
      <c r="N331" s="702">
        <v>97000</v>
      </c>
      <c r="O331" s="702">
        <v>77000</v>
      </c>
      <c r="P331" s="702">
        <v>77000</v>
      </c>
      <c r="Q331" s="702">
        <v>77000</v>
      </c>
      <c r="R331" s="702">
        <v>17000</v>
      </c>
      <c r="S331" s="702">
        <v>0</v>
      </c>
      <c r="T331" s="702">
        <v>0</v>
      </c>
    </row>
    <row r="332" spans="1:20" s="685" customFormat="1">
      <c r="A332" s="791" t="s">
        <v>180</v>
      </c>
      <c r="B332" s="792"/>
      <c r="C332" s="1021">
        <v>0</v>
      </c>
      <c r="D332" s="1021">
        <v>0</v>
      </c>
      <c r="E332" s="1021">
        <v>0</v>
      </c>
      <c r="F332" s="1021">
        <v>0</v>
      </c>
      <c r="G332" s="1021">
        <v>0</v>
      </c>
      <c r="H332" s="1021">
        <v>0</v>
      </c>
      <c r="I332" s="1021">
        <v>0</v>
      </c>
      <c r="J332" s="1021">
        <v>0</v>
      </c>
      <c r="K332" s="1021">
        <v>0</v>
      </c>
      <c r="L332" s="1021">
        <v>0</v>
      </c>
      <c r="M332" s="1021">
        <v>0</v>
      </c>
      <c r="N332" s="1021">
        <v>0</v>
      </c>
      <c r="O332" s="1021">
        <v>0</v>
      </c>
      <c r="P332" s="1021">
        <v>0</v>
      </c>
      <c r="Q332" s="1021">
        <v>0</v>
      </c>
      <c r="R332" s="1021">
        <v>0</v>
      </c>
      <c r="S332" s="1021">
        <v>0</v>
      </c>
      <c r="T332" s="1021">
        <v>0</v>
      </c>
    </row>
    <row r="333" spans="1:20" s="685" customFormat="1">
      <c r="A333" s="791"/>
      <c r="B333" s="792"/>
      <c r="C333" s="702">
        <v>0</v>
      </c>
      <c r="D333" s="702">
        <v>0</v>
      </c>
      <c r="E333" s="702">
        <v>0</v>
      </c>
      <c r="F333" s="702">
        <v>0</v>
      </c>
      <c r="G333" s="702">
        <v>0</v>
      </c>
      <c r="H333" s="702">
        <v>0</v>
      </c>
      <c r="I333" s="702">
        <v>0</v>
      </c>
      <c r="J333" s="702">
        <v>0</v>
      </c>
      <c r="K333" s="702">
        <v>0</v>
      </c>
      <c r="L333" s="702">
        <v>0</v>
      </c>
      <c r="M333" s="702">
        <v>0</v>
      </c>
      <c r="N333" s="702">
        <v>0</v>
      </c>
      <c r="O333" s="702">
        <v>0</v>
      </c>
      <c r="P333" s="702">
        <v>0</v>
      </c>
      <c r="Q333" s="702">
        <v>0</v>
      </c>
      <c r="R333" s="702">
        <v>0</v>
      </c>
      <c r="S333" s="702">
        <v>0</v>
      </c>
      <c r="T333" s="702">
        <v>0</v>
      </c>
    </row>
    <row r="334" spans="1:20" s="685" customFormat="1">
      <c r="A334" s="791" t="s">
        <v>59</v>
      </c>
      <c r="B334" s="792"/>
      <c r="C334" s="880">
        <v>1658000</v>
      </c>
      <c r="D334" s="880">
        <v>0</v>
      </c>
      <c r="E334" s="880">
        <v>0</v>
      </c>
      <c r="F334" s="880">
        <v>0</v>
      </c>
      <c r="G334" s="880">
        <v>37000</v>
      </c>
      <c r="H334" s="880">
        <v>0</v>
      </c>
      <c r="I334" s="880">
        <v>0</v>
      </c>
      <c r="J334" s="880">
        <v>0</v>
      </c>
      <c r="K334" s="880">
        <v>137500</v>
      </c>
      <c r="L334" s="880">
        <v>0</v>
      </c>
      <c r="M334" s="880">
        <v>75000</v>
      </c>
      <c r="N334" s="880">
        <v>20000</v>
      </c>
      <c r="O334" s="880">
        <v>0</v>
      </c>
      <c r="P334" s="880">
        <v>0</v>
      </c>
      <c r="Q334" s="880">
        <v>187399</v>
      </c>
      <c r="R334" s="880">
        <v>22000</v>
      </c>
      <c r="S334" s="880">
        <v>0</v>
      </c>
      <c r="T334" s="880">
        <v>0</v>
      </c>
    </row>
    <row r="335" spans="1:20" s="685" customFormat="1">
      <c r="A335" s="791"/>
      <c r="B335" s="792"/>
      <c r="C335" s="702">
        <v>2136899</v>
      </c>
      <c r="D335" s="702">
        <v>478899</v>
      </c>
      <c r="E335" s="702">
        <v>478899</v>
      </c>
      <c r="F335" s="702">
        <v>478899</v>
      </c>
      <c r="G335" s="702">
        <v>478899</v>
      </c>
      <c r="H335" s="702">
        <v>441899</v>
      </c>
      <c r="I335" s="702">
        <v>441899</v>
      </c>
      <c r="J335" s="702">
        <v>441899</v>
      </c>
      <c r="K335" s="702">
        <v>441899</v>
      </c>
      <c r="L335" s="702">
        <v>304399</v>
      </c>
      <c r="M335" s="702">
        <v>304399</v>
      </c>
      <c r="N335" s="702">
        <v>229399</v>
      </c>
      <c r="O335" s="702">
        <v>209399</v>
      </c>
      <c r="P335" s="702">
        <v>209399</v>
      </c>
      <c r="Q335" s="702">
        <v>209399</v>
      </c>
      <c r="R335" s="702">
        <v>22000</v>
      </c>
      <c r="S335" s="702">
        <v>0</v>
      </c>
      <c r="T335" s="702">
        <v>0</v>
      </c>
    </row>
    <row r="336" spans="1:20" s="685" customFormat="1">
      <c r="A336" s="793" t="s">
        <v>350</v>
      </c>
      <c r="B336" s="794"/>
      <c r="C336" s="882">
        <v>-1159199</v>
      </c>
      <c r="D336" s="882">
        <v>343152</v>
      </c>
      <c r="E336" s="882">
        <v>37000</v>
      </c>
      <c r="F336" s="882">
        <v>700302</v>
      </c>
      <c r="G336" s="882">
        <v>313504</v>
      </c>
      <c r="H336" s="882">
        <v>670179</v>
      </c>
      <c r="I336" s="882">
        <v>379013</v>
      </c>
      <c r="J336" s="882">
        <v>414118</v>
      </c>
      <c r="K336" s="882">
        <v>331158</v>
      </c>
      <c r="L336" s="882">
        <v>420917</v>
      </c>
      <c r="M336" s="882">
        <v>359549</v>
      </c>
      <c r="N336" s="882">
        <v>1041051</v>
      </c>
      <c r="O336" s="882">
        <v>463623</v>
      </c>
      <c r="P336" s="882">
        <v>947480</v>
      </c>
      <c r="Q336" s="882">
        <v>1765532</v>
      </c>
      <c r="R336" s="882">
        <v>1003348</v>
      </c>
      <c r="S336" s="882">
        <v>7000</v>
      </c>
      <c r="T336" s="882">
        <v>0</v>
      </c>
    </row>
    <row r="337" spans="1:20" s="685" customFormat="1">
      <c r="A337" s="793"/>
      <c r="B337" s="794"/>
      <c r="C337" s="702">
        <v>8189430</v>
      </c>
      <c r="D337" s="702">
        <v>9348629</v>
      </c>
      <c r="E337" s="702">
        <v>9005477</v>
      </c>
      <c r="F337" s="702">
        <v>8968477</v>
      </c>
      <c r="G337" s="702">
        <v>8268175</v>
      </c>
      <c r="H337" s="702">
        <v>7954671</v>
      </c>
      <c r="I337" s="702">
        <v>7284492</v>
      </c>
      <c r="J337" s="702">
        <v>6905479</v>
      </c>
      <c r="K337" s="702">
        <v>6491361</v>
      </c>
      <c r="L337" s="702">
        <v>6160203</v>
      </c>
      <c r="M337" s="702">
        <v>5739286</v>
      </c>
      <c r="N337" s="702">
        <v>5379737</v>
      </c>
      <c r="O337" s="702">
        <v>4338686</v>
      </c>
      <c r="P337" s="702">
        <v>3723360</v>
      </c>
      <c r="Q337" s="702">
        <v>2775880</v>
      </c>
      <c r="R337" s="702">
        <v>1010348</v>
      </c>
      <c r="S337" s="702">
        <v>7000</v>
      </c>
      <c r="T337" s="702">
        <v>0</v>
      </c>
    </row>
    <row r="338" spans="1:20" s="685" customFormat="1">
      <c r="A338" s="797"/>
      <c r="B338" s="748"/>
      <c r="C338" s="704"/>
      <c r="D338" s="704"/>
      <c r="E338" s="704"/>
      <c r="F338" s="704"/>
      <c r="G338" s="704"/>
      <c r="H338" s="704"/>
      <c r="I338" s="704"/>
      <c r="J338" s="704"/>
      <c r="K338" s="704"/>
      <c r="L338" s="704"/>
      <c r="M338" s="704"/>
      <c r="N338" s="704"/>
      <c r="O338" s="704"/>
      <c r="P338" s="704"/>
      <c r="Q338" s="704"/>
      <c r="R338" s="704"/>
      <c r="S338" s="704"/>
      <c r="T338" s="704"/>
    </row>
    <row r="339" spans="1:20" s="685" customFormat="1">
      <c r="A339" s="1040" t="s">
        <v>24</v>
      </c>
      <c r="B339" s="792"/>
      <c r="C339" s="1021">
        <v>0</v>
      </c>
      <c r="D339" s="1021">
        <v>-4000</v>
      </c>
      <c r="E339" s="1021">
        <v>-51799</v>
      </c>
      <c r="F339" s="1021">
        <v>29500</v>
      </c>
      <c r="G339" s="1021">
        <v>-3000</v>
      </c>
      <c r="H339" s="1021">
        <v>-7001</v>
      </c>
      <c r="I339" s="1021">
        <v>10900</v>
      </c>
      <c r="J339" s="1021">
        <v>-4597</v>
      </c>
      <c r="K339" s="1021">
        <v>-37500</v>
      </c>
      <c r="L339" s="1021">
        <v>-2500</v>
      </c>
      <c r="M339" s="1021">
        <v>-4000</v>
      </c>
      <c r="N339" s="1021">
        <v>-16389</v>
      </c>
      <c r="O339" s="1021"/>
      <c r="P339" s="1021"/>
      <c r="Q339" s="1021"/>
      <c r="R339" s="1021"/>
      <c r="S339" s="1021"/>
      <c r="T339" s="1021"/>
    </row>
    <row r="340" spans="1:20" s="685" customFormat="1">
      <c r="A340" s="1040"/>
      <c r="B340" s="792"/>
      <c r="C340" s="702">
        <v>-90386</v>
      </c>
      <c r="D340" s="702">
        <v>-90386</v>
      </c>
      <c r="E340" s="702">
        <v>-86386</v>
      </c>
      <c r="F340" s="702">
        <v>-34587</v>
      </c>
      <c r="G340" s="702">
        <v>-64087</v>
      </c>
      <c r="H340" s="702">
        <v>-61087</v>
      </c>
      <c r="I340" s="702">
        <v>-54086</v>
      </c>
      <c r="J340" s="702">
        <v>-64986</v>
      </c>
      <c r="K340" s="702">
        <v>-60389</v>
      </c>
      <c r="L340" s="702">
        <v>-22889</v>
      </c>
      <c r="M340" s="702">
        <v>-20389</v>
      </c>
      <c r="N340" s="702">
        <v>-16389</v>
      </c>
      <c r="O340" s="702"/>
      <c r="P340" s="702"/>
      <c r="Q340" s="702"/>
      <c r="R340" s="702"/>
      <c r="S340" s="702"/>
      <c r="T340" s="702"/>
    </row>
    <row r="341" spans="1:20" s="685" customFormat="1">
      <c r="A341" s="797"/>
      <c r="B341" s="748"/>
      <c r="C341" s="879"/>
      <c r="D341" s="879"/>
      <c r="E341" s="879"/>
      <c r="F341" s="879"/>
      <c r="G341" s="879"/>
      <c r="H341" s="879"/>
      <c r="I341" s="879"/>
      <c r="J341" s="879"/>
      <c r="K341" s="879"/>
      <c r="L341" s="879"/>
      <c r="M341" s="879"/>
      <c r="N341" s="879"/>
      <c r="O341" s="879"/>
      <c r="P341" s="879"/>
      <c r="Q341" s="879"/>
      <c r="R341" s="879"/>
      <c r="S341" s="879"/>
      <c r="T341" s="879"/>
    </row>
    <row r="342" spans="1:20" s="685" customFormat="1" ht="18">
      <c r="A342" s="787" t="s">
        <v>151</v>
      </c>
      <c r="B342" s="788"/>
      <c r="C342" s="883">
        <v>2534158</v>
      </c>
      <c r="D342" s="883">
        <v>1305993</v>
      </c>
      <c r="E342" s="883">
        <v>296830</v>
      </c>
      <c r="F342" s="883">
        <v>2902007</v>
      </c>
      <c r="G342" s="883">
        <v>1642091</v>
      </c>
      <c r="H342" s="883">
        <v>2984155</v>
      </c>
      <c r="I342" s="883">
        <v>1723649</v>
      </c>
      <c r="J342" s="883">
        <v>1586902</v>
      </c>
      <c r="K342" s="883">
        <v>1600262</v>
      </c>
      <c r="L342" s="883">
        <v>1835191</v>
      </c>
      <c r="M342" s="883">
        <v>1314954</v>
      </c>
      <c r="N342" s="883">
        <v>4294633</v>
      </c>
      <c r="O342" s="883">
        <v>1570238</v>
      </c>
      <c r="P342" s="883">
        <v>3621416</v>
      </c>
      <c r="Q342" s="883">
        <v>7911601</v>
      </c>
      <c r="R342" s="883">
        <v>4510722</v>
      </c>
      <c r="S342" s="883">
        <v>1097756</v>
      </c>
      <c r="T342" s="883">
        <v>0</v>
      </c>
    </row>
    <row r="343" spans="1:20" s="707" customFormat="1" ht="21.6" thickBot="1">
      <c r="A343" s="798" t="s">
        <v>48</v>
      </c>
      <c r="B343" s="799"/>
      <c r="C343" s="706">
        <v>44028283</v>
      </c>
      <c r="D343" s="706">
        <v>41494125</v>
      </c>
      <c r="E343" s="706">
        <v>40188132</v>
      </c>
      <c r="F343" s="706">
        <v>39891302</v>
      </c>
      <c r="G343" s="706">
        <v>36989295</v>
      </c>
      <c r="H343" s="706">
        <v>35347204</v>
      </c>
      <c r="I343" s="706">
        <v>32363049</v>
      </c>
      <c r="J343" s="706">
        <v>30639400</v>
      </c>
      <c r="K343" s="706">
        <v>29052498</v>
      </c>
      <c r="L343" s="706">
        <v>27452236</v>
      </c>
      <c r="M343" s="706">
        <v>25617045</v>
      </c>
      <c r="N343" s="706">
        <v>24302091</v>
      </c>
      <c r="O343" s="706">
        <v>20007458</v>
      </c>
      <c r="P343" s="706">
        <v>17141495</v>
      </c>
      <c r="Q343" s="706">
        <v>13520079</v>
      </c>
      <c r="R343" s="706">
        <v>5608478</v>
      </c>
      <c r="S343" s="706">
        <v>1097756</v>
      </c>
      <c r="T343" s="706">
        <v>0</v>
      </c>
    </row>
    <row r="344" spans="1:20" ht="15" thickTop="1">
      <c r="A344" s="25"/>
      <c r="B344" s="735"/>
      <c r="C344" s="884"/>
      <c r="D344" s="884"/>
      <c r="E344" s="884"/>
      <c r="F344" s="884"/>
      <c r="G344" s="884"/>
      <c r="H344" s="884"/>
      <c r="I344" s="884"/>
      <c r="J344" s="884"/>
      <c r="K344" s="884"/>
      <c r="L344" s="884"/>
      <c r="M344" s="884"/>
      <c r="N344" s="884"/>
      <c r="O344" s="884"/>
      <c r="P344" s="884"/>
      <c r="Q344" s="884"/>
      <c r="R344" s="884"/>
      <c r="S344" s="884"/>
      <c r="T344" s="884"/>
    </row>
    <row r="345" spans="1:20">
      <c r="A345" s="800" t="s">
        <v>351</v>
      </c>
      <c r="B345" s="801"/>
      <c r="C345" s="885">
        <v>6934500</v>
      </c>
      <c r="D345" s="885">
        <v>293400</v>
      </c>
      <c r="E345" s="885">
        <v>0</v>
      </c>
      <c r="F345" s="885">
        <v>40000</v>
      </c>
      <c r="G345" s="885">
        <v>2815500</v>
      </c>
      <c r="H345" s="885">
        <v>8000</v>
      </c>
      <c r="I345" s="885">
        <v>0</v>
      </c>
      <c r="J345" s="885">
        <v>150225</v>
      </c>
      <c r="K345" s="885">
        <v>137500</v>
      </c>
      <c r="L345" s="885">
        <v>20000</v>
      </c>
      <c r="M345" s="885">
        <v>300000</v>
      </c>
      <c r="N345" s="885">
        <v>20000</v>
      </c>
      <c r="O345" s="885">
        <v>0</v>
      </c>
      <c r="P345" s="885">
        <v>0</v>
      </c>
      <c r="Q345" s="885">
        <v>636897</v>
      </c>
      <c r="R345" s="885">
        <v>451900</v>
      </c>
      <c r="S345" s="885">
        <v>0</v>
      </c>
      <c r="T345" s="885">
        <v>0</v>
      </c>
    </row>
    <row r="346" spans="1:20">
      <c r="A346" s="800"/>
      <c r="B346" s="801"/>
      <c r="C346" s="708">
        <v>11807922</v>
      </c>
      <c r="D346" s="708">
        <v>4873422</v>
      </c>
      <c r="E346" s="708">
        <v>4580022</v>
      </c>
      <c r="F346" s="708">
        <v>4580022</v>
      </c>
      <c r="G346" s="708">
        <v>4540022</v>
      </c>
      <c r="H346" s="708">
        <v>1724522</v>
      </c>
      <c r="I346" s="708">
        <v>1716522</v>
      </c>
      <c r="J346" s="708">
        <v>1716522</v>
      </c>
      <c r="K346" s="708">
        <v>1566297</v>
      </c>
      <c r="L346" s="708">
        <v>1428797</v>
      </c>
      <c r="M346" s="708">
        <v>1408797</v>
      </c>
      <c r="N346" s="708">
        <v>1108797</v>
      </c>
      <c r="O346" s="708">
        <v>1088797</v>
      </c>
      <c r="P346" s="708">
        <v>1088797</v>
      </c>
      <c r="Q346" s="708">
        <v>1088797</v>
      </c>
      <c r="R346" s="708">
        <v>451900</v>
      </c>
      <c r="S346" s="708">
        <v>0</v>
      </c>
      <c r="T346" s="708">
        <v>0</v>
      </c>
    </row>
    <row r="347" spans="1:20">
      <c r="A347" s="25"/>
      <c r="B347" s="735"/>
      <c r="C347" s="884"/>
      <c r="D347" s="884"/>
      <c r="E347" s="884"/>
      <c r="F347" s="884"/>
      <c r="G347" s="884"/>
      <c r="H347" s="884"/>
      <c r="I347" s="884"/>
      <c r="J347" s="884"/>
      <c r="K347" s="884"/>
      <c r="L347" s="884"/>
      <c r="M347" s="884"/>
      <c r="N347" s="884"/>
      <c r="O347" s="884"/>
      <c r="P347" s="884"/>
      <c r="Q347" s="884"/>
      <c r="R347" s="884"/>
      <c r="S347" s="884"/>
      <c r="T347" s="884"/>
    </row>
    <row r="348" spans="1:20" ht="21">
      <c r="A348" s="802" t="s">
        <v>352</v>
      </c>
      <c r="B348" s="803"/>
      <c r="C348" s="886">
        <v>-4400342</v>
      </c>
      <c r="D348" s="886">
        <v>1012593</v>
      </c>
      <c r="E348" s="886">
        <v>296830</v>
      </c>
      <c r="F348" s="886">
        <v>2862007</v>
      </c>
      <c r="G348" s="886">
        <v>-1173409</v>
      </c>
      <c r="H348" s="886">
        <v>2976155</v>
      </c>
      <c r="I348" s="886">
        <v>1723649</v>
      </c>
      <c r="J348" s="886">
        <v>1436677</v>
      </c>
      <c r="K348" s="886">
        <v>1462762</v>
      </c>
      <c r="L348" s="886">
        <v>1815191</v>
      </c>
      <c r="M348" s="886">
        <v>1014954</v>
      </c>
      <c r="N348" s="886">
        <v>4274633</v>
      </c>
      <c r="O348" s="886">
        <v>1570238</v>
      </c>
      <c r="P348" s="886">
        <v>3621416</v>
      </c>
      <c r="Q348" s="886">
        <v>7274704</v>
      </c>
      <c r="R348" s="886">
        <v>4058822</v>
      </c>
      <c r="S348" s="886">
        <v>1097756</v>
      </c>
      <c r="T348" s="886">
        <v>0</v>
      </c>
    </row>
    <row r="349" spans="1:20" ht="21">
      <c r="A349" s="804"/>
      <c r="B349" s="803"/>
      <c r="C349" s="709">
        <v>32220361</v>
      </c>
      <c r="D349" s="709">
        <v>36620703</v>
      </c>
      <c r="E349" s="709">
        <v>35608110</v>
      </c>
      <c r="F349" s="709">
        <v>35311280</v>
      </c>
      <c r="G349" s="709">
        <v>32449273</v>
      </c>
      <c r="H349" s="709">
        <v>33622682</v>
      </c>
      <c r="I349" s="709">
        <v>30646527</v>
      </c>
      <c r="J349" s="709">
        <v>28922878</v>
      </c>
      <c r="K349" s="709">
        <v>27486201</v>
      </c>
      <c r="L349" s="709">
        <v>26023439</v>
      </c>
      <c r="M349" s="709">
        <v>24208248</v>
      </c>
      <c r="N349" s="709">
        <v>23193294</v>
      </c>
      <c r="O349" s="709">
        <v>18918661</v>
      </c>
      <c r="P349" s="709">
        <v>16052698</v>
      </c>
      <c r="Q349" s="709">
        <v>12431282</v>
      </c>
      <c r="R349" s="709">
        <v>5156578</v>
      </c>
      <c r="S349" s="709">
        <v>1097756</v>
      </c>
      <c r="T349" s="709">
        <v>0</v>
      </c>
    </row>
    <row r="350" spans="1:20" ht="15" thickBot="1">
      <c r="A350" s="5"/>
      <c r="B350" s="16"/>
      <c r="C350" s="710"/>
      <c r="D350" s="710"/>
      <c r="E350" s="710"/>
      <c r="F350" s="710"/>
      <c r="G350" s="710"/>
      <c r="H350" s="710"/>
      <c r="I350" s="710"/>
      <c r="J350" s="710"/>
      <c r="K350" s="710"/>
      <c r="L350" s="710"/>
      <c r="M350" s="710"/>
      <c r="N350" s="710"/>
      <c r="O350" s="710"/>
      <c r="P350" s="710"/>
      <c r="Q350" s="710"/>
      <c r="R350" s="710"/>
      <c r="S350" s="710"/>
      <c r="T350" s="710"/>
    </row>
    <row r="351" spans="1:20" s="685" customFormat="1">
      <c r="A351" s="805" t="s">
        <v>194</v>
      </c>
      <c r="B351" s="806" t="s">
        <v>290</v>
      </c>
      <c r="C351" s="887">
        <v>0</v>
      </c>
      <c r="D351" s="887">
        <v>0</v>
      </c>
      <c r="E351" s="887">
        <v>0</v>
      </c>
      <c r="F351" s="887">
        <v>0</v>
      </c>
      <c r="G351" s="887">
        <v>0</v>
      </c>
      <c r="H351" s="887">
        <v>0</v>
      </c>
      <c r="I351" s="887">
        <v>0</v>
      </c>
      <c r="J351" s="887">
        <v>0</v>
      </c>
      <c r="K351" s="887">
        <v>0</v>
      </c>
      <c r="L351" s="887">
        <v>0</v>
      </c>
      <c r="M351" s="887">
        <v>0</v>
      </c>
      <c r="N351" s="887">
        <v>0</v>
      </c>
      <c r="O351" s="887">
        <v>0</v>
      </c>
      <c r="P351" s="887">
        <v>0</v>
      </c>
      <c r="Q351" s="887">
        <v>0</v>
      </c>
      <c r="R351" s="887">
        <v>0</v>
      </c>
      <c r="S351" s="887">
        <v>0</v>
      </c>
      <c r="T351" s="887">
        <v>0</v>
      </c>
    </row>
    <row r="352" spans="1:20" s="685" customFormat="1">
      <c r="A352" s="807" t="s">
        <v>196</v>
      </c>
      <c r="B352" s="808"/>
      <c r="C352" s="705">
        <v>0</v>
      </c>
      <c r="D352" s="705">
        <v>0</v>
      </c>
      <c r="E352" s="705">
        <v>0</v>
      </c>
      <c r="F352" s="705">
        <v>0</v>
      </c>
      <c r="G352" s="705">
        <v>0</v>
      </c>
      <c r="H352" s="705">
        <v>0</v>
      </c>
      <c r="I352" s="705">
        <v>0</v>
      </c>
      <c r="J352" s="705">
        <v>0</v>
      </c>
      <c r="K352" s="705">
        <v>0</v>
      </c>
      <c r="L352" s="705">
        <v>0</v>
      </c>
      <c r="M352" s="705">
        <v>0</v>
      </c>
      <c r="N352" s="705">
        <v>0</v>
      </c>
      <c r="O352" s="705">
        <v>0</v>
      </c>
      <c r="P352" s="705">
        <v>0</v>
      </c>
      <c r="Q352" s="705">
        <v>0</v>
      </c>
      <c r="R352" s="705">
        <v>0</v>
      </c>
      <c r="S352" s="705">
        <v>0</v>
      </c>
      <c r="T352" s="705">
        <v>0</v>
      </c>
    </row>
    <row r="353" spans="1:20" s="712" customFormat="1" ht="15" thickBot="1">
      <c r="A353" s="809"/>
      <c r="B353" s="810"/>
      <c r="C353" s="711">
        <v>0</v>
      </c>
      <c r="D353" s="711">
        <v>0</v>
      </c>
      <c r="E353" s="711">
        <v>0</v>
      </c>
      <c r="F353" s="711">
        <v>0</v>
      </c>
      <c r="G353" s="711">
        <v>0</v>
      </c>
      <c r="H353" s="711">
        <v>0</v>
      </c>
      <c r="I353" s="711">
        <v>0</v>
      </c>
      <c r="J353" s="711">
        <v>0</v>
      </c>
      <c r="K353" s="711">
        <v>0</v>
      </c>
      <c r="L353" s="711">
        <v>0</v>
      </c>
      <c r="M353" s="711">
        <v>0</v>
      </c>
      <c r="N353" s="711">
        <v>0</v>
      </c>
      <c r="O353" s="711">
        <v>0</v>
      </c>
      <c r="P353" s="711">
        <v>0</v>
      </c>
      <c r="Q353" s="711">
        <v>0</v>
      </c>
      <c r="R353" s="711">
        <v>0</v>
      </c>
      <c r="S353" s="711">
        <v>0</v>
      </c>
      <c r="T353" s="711">
        <v>0</v>
      </c>
    </row>
    <row r="354" spans="1:20" s="685" customFormat="1">
      <c r="A354" s="805" t="s">
        <v>195</v>
      </c>
      <c r="B354" s="806" t="s">
        <v>277</v>
      </c>
      <c r="C354" s="887">
        <v>0</v>
      </c>
      <c r="D354" s="887">
        <v>0</v>
      </c>
      <c r="E354" s="887">
        <v>0</v>
      </c>
      <c r="F354" s="887">
        <v>0</v>
      </c>
      <c r="G354" s="887">
        <v>0</v>
      </c>
      <c r="H354" s="887">
        <v>0</v>
      </c>
      <c r="I354" s="887">
        <v>0</v>
      </c>
      <c r="J354" s="887">
        <v>0</v>
      </c>
      <c r="K354" s="887">
        <v>0</v>
      </c>
      <c r="L354" s="887">
        <v>0</v>
      </c>
      <c r="M354" s="887">
        <v>0</v>
      </c>
      <c r="N354" s="887">
        <v>0</v>
      </c>
      <c r="O354" s="887">
        <v>0</v>
      </c>
      <c r="P354" s="887">
        <v>0</v>
      </c>
      <c r="Q354" s="887">
        <v>0</v>
      </c>
      <c r="R354" s="887">
        <v>0</v>
      </c>
      <c r="S354" s="887">
        <v>0</v>
      </c>
      <c r="T354" s="887">
        <v>0</v>
      </c>
    </row>
    <row r="355" spans="1:20" s="685" customFormat="1">
      <c r="A355" s="807" t="s">
        <v>196</v>
      </c>
      <c r="B355" s="808"/>
      <c r="C355" s="705">
        <v>0</v>
      </c>
      <c r="D355" s="705">
        <v>0</v>
      </c>
      <c r="E355" s="705">
        <v>0</v>
      </c>
      <c r="F355" s="705">
        <v>0</v>
      </c>
      <c r="G355" s="705">
        <v>0</v>
      </c>
      <c r="H355" s="705">
        <v>0</v>
      </c>
      <c r="I355" s="705">
        <v>0</v>
      </c>
      <c r="J355" s="705">
        <v>0</v>
      </c>
      <c r="K355" s="705">
        <v>0</v>
      </c>
      <c r="L355" s="705">
        <v>0</v>
      </c>
      <c r="M355" s="705">
        <v>0</v>
      </c>
      <c r="N355" s="705">
        <v>0</v>
      </c>
      <c r="O355" s="705">
        <v>0</v>
      </c>
      <c r="P355" s="705">
        <v>0</v>
      </c>
      <c r="Q355" s="705">
        <v>0</v>
      </c>
      <c r="R355" s="705">
        <v>0</v>
      </c>
      <c r="S355" s="705">
        <v>0</v>
      </c>
      <c r="T355" s="705">
        <v>0</v>
      </c>
    </row>
    <row r="356" spans="1:20" s="712" customFormat="1" ht="15" thickBot="1">
      <c r="A356" s="809"/>
      <c r="B356" s="810"/>
      <c r="C356" s="711">
        <v>0</v>
      </c>
      <c r="D356" s="711">
        <v>0</v>
      </c>
      <c r="E356" s="711">
        <v>0</v>
      </c>
      <c r="F356" s="711">
        <v>0</v>
      </c>
      <c r="G356" s="711">
        <v>0</v>
      </c>
      <c r="H356" s="711">
        <v>0</v>
      </c>
      <c r="I356" s="711">
        <v>0</v>
      </c>
      <c r="J356" s="711">
        <v>0</v>
      </c>
      <c r="K356" s="711">
        <v>0</v>
      </c>
      <c r="L356" s="711">
        <v>0</v>
      </c>
      <c r="M356" s="711">
        <v>0</v>
      </c>
      <c r="N356" s="711">
        <v>0</v>
      </c>
      <c r="O356" s="711">
        <v>0</v>
      </c>
      <c r="P356" s="711">
        <v>0</v>
      </c>
      <c r="Q356" s="711">
        <v>0</v>
      </c>
      <c r="R356" s="711">
        <v>0</v>
      </c>
      <c r="S356" s="711">
        <v>0</v>
      </c>
      <c r="T356" s="711">
        <v>0</v>
      </c>
    </row>
    <row r="357" spans="1:20" s="685" customFormat="1">
      <c r="A357" s="811" t="s">
        <v>341</v>
      </c>
      <c r="B357" s="806" t="s">
        <v>342</v>
      </c>
      <c r="C357" s="887">
        <v>0</v>
      </c>
      <c r="D357" s="887">
        <v>0</v>
      </c>
      <c r="E357" s="887">
        <v>0</v>
      </c>
      <c r="F357" s="887">
        <v>0</v>
      </c>
      <c r="G357" s="887">
        <v>0</v>
      </c>
      <c r="H357" s="887">
        <v>0</v>
      </c>
      <c r="I357" s="887">
        <v>0</v>
      </c>
      <c r="J357" s="887">
        <v>0</v>
      </c>
      <c r="K357" s="887">
        <v>0</v>
      </c>
      <c r="L357" s="887">
        <v>0</v>
      </c>
      <c r="M357" s="887">
        <v>0</v>
      </c>
      <c r="N357" s="887">
        <v>0</v>
      </c>
      <c r="O357" s="887">
        <v>0</v>
      </c>
      <c r="P357" s="887">
        <v>0</v>
      </c>
      <c r="Q357" s="887">
        <v>0</v>
      </c>
      <c r="R357" s="887">
        <v>0</v>
      </c>
      <c r="S357" s="887">
        <v>0</v>
      </c>
      <c r="T357" s="887">
        <v>0</v>
      </c>
    </row>
    <row r="358" spans="1:20" s="685" customFormat="1">
      <c r="A358" s="807" t="s">
        <v>196</v>
      </c>
      <c r="B358" s="808"/>
      <c r="C358" s="705">
        <v>0</v>
      </c>
      <c r="D358" s="705">
        <v>0</v>
      </c>
      <c r="E358" s="705">
        <v>0</v>
      </c>
      <c r="F358" s="705">
        <v>0</v>
      </c>
      <c r="G358" s="705">
        <v>0</v>
      </c>
      <c r="H358" s="705">
        <v>0</v>
      </c>
      <c r="I358" s="705">
        <v>0</v>
      </c>
      <c r="J358" s="705">
        <v>0</v>
      </c>
      <c r="K358" s="705">
        <v>0</v>
      </c>
      <c r="L358" s="705">
        <v>0</v>
      </c>
      <c r="M358" s="705">
        <v>0</v>
      </c>
      <c r="N358" s="705">
        <v>0</v>
      </c>
      <c r="O358" s="705">
        <v>0</v>
      </c>
      <c r="P358" s="705">
        <v>0</v>
      </c>
      <c r="Q358" s="705">
        <v>0</v>
      </c>
      <c r="R358" s="705">
        <v>0</v>
      </c>
      <c r="S358" s="705">
        <v>0</v>
      </c>
      <c r="T358" s="705">
        <v>0</v>
      </c>
    </row>
    <row r="359" spans="1:20" s="712" customFormat="1" ht="15" thickBot="1">
      <c r="A359" s="809"/>
      <c r="B359" s="810"/>
      <c r="C359" s="711">
        <v>0</v>
      </c>
      <c r="D359" s="711">
        <v>0</v>
      </c>
      <c r="E359" s="711">
        <v>0</v>
      </c>
      <c r="F359" s="711">
        <v>0</v>
      </c>
      <c r="G359" s="711">
        <v>0</v>
      </c>
      <c r="H359" s="711">
        <v>0</v>
      </c>
      <c r="I359" s="711">
        <v>0</v>
      </c>
      <c r="J359" s="711">
        <v>0</v>
      </c>
      <c r="K359" s="711">
        <v>0</v>
      </c>
      <c r="L359" s="711">
        <v>0</v>
      </c>
      <c r="M359" s="711">
        <v>0</v>
      </c>
      <c r="N359" s="711">
        <v>0</v>
      </c>
      <c r="O359" s="711">
        <v>0</v>
      </c>
      <c r="P359" s="711">
        <v>0</v>
      </c>
      <c r="Q359" s="711">
        <v>0</v>
      </c>
      <c r="R359" s="711">
        <v>0</v>
      </c>
      <c r="S359" s="711">
        <v>0</v>
      </c>
      <c r="T359" s="711">
        <v>0</v>
      </c>
    </row>
    <row r="360" spans="1:20" s="713" customFormat="1" ht="18">
      <c r="A360" s="812" t="s">
        <v>362</v>
      </c>
      <c r="B360" s="813"/>
      <c r="C360" s="958">
        <v>0</v>
      </c>
      <c r="D360" s="958">
        <v>0</v>
      </c>
      <c r="E360" s="958">
        <v>0</v>
      </c>
      <c r="F360" s="958">
        <v>0</v>
      </c>
      <c r="G360" s="958">
        <v>0</v>
      </c>
      <c r="H360" s="958">
        <v>0</v>
      </c>
      <c r="I360" s="958">
        <v>0</v>
      </c>
      <c r="J360" s="958">
        <v>0</v>
      </c>
      <c r="K360" s="958">
        <v>0</v>
      </c>
      <c r="L360" s="958">
        <v>0</v>
      </c>
      <c r="M360" s="958">
        <v>0</v>
      </c>
      <c r="N360" s="958">
        <v>0</v>
      </c>
      <c r="O360" s="958">
        <v>0</v>
      </c>
      <c r="P360" s="958">
        <v>0</v>
      </c>
      <c r="Q360" s="958">
        <v>0</v>
      </c>
      <c r="R360" s="958">
        <v>0</v>
      </c>
      <c r="S360" s="958">
        <v>0</v>
      </c>
      <c r="T360" s="958">
        <v>0</v>
      </c>
    </row>
    <row r="361" spans="1:20" s="715" customFormat="1" ht="18">
      <c r="A361" s="814" t="s">
        <v>85</v>
      </c>
      <c r="B361" s="815"/>
      <c r="C361" s="714">
        <v>0</v>
      </c>
      <c r="D361" s="714">
        <v>0</v>
      </c>
      <c r="E361" s="714">
        <v>0</v>
      </c>
      <c r="F361" s="714">
        <v>0</v>
      </c>
      <c r="G361" s="714">
        <v>0</v>
      </c>
      <c r="H361" s="714">
        <v>0</v>
      </c>
      <c r="I361" s="714">
        <v>0</v>
      </c>
      <c r="J361" s="714">
        <v>0</v>
      </c>
      <c r="K361" s="714">
        <v>0</v>
      </c>
      <c r="L361" s="714">
        <v>0</v>
      </c>
      <c r="M361" s="714">
        <v>0</v>
      </c>
      <c r="N361" s="714">
        <v>0</v>
      </c>
      <c r="O361" s="714">
        <v>0</v>
      </c>
      <c r="P361" s="714">
        <v>0</v>
      </c>
      <c r="Q361" s="714">
        <v>0</v>
      </c>
      <c r="R361" s="714">
        <v>0</v>
      </c>
      <c r="S361" s="714">
        <v>0</v>
      </c>
      <c r="T361" s="714">
        <v>0</v>
      </c>
    </row>
    <row r="362" spans="1:20" s="426" customFormat="1" ht="15" thickBot="1">
      <c r="A362" s="65"/>
      <c r="B362" s="753"/>
      <c r="C362" s="971"/>
      <c r="D362" s="971"/>
      <c r="E362" s="971"/>
      <c r="F362" s="971"/>
      <c r="G362" s="971"/>
      <c r="H362" s="971"/>
      <c r="I362" s="971"/>
      <c r="J362" s="971"/>
      <c r="K362" s="971"/>
      <c r="L362" s="971"/>
      <c r="M362" s="971"/>
      <c r="N362" s="971"/>
      <c r="O362" s="971"/>
      <c r="P362" s="971"/>
      <c r="Q362" s="971"/>
      <c r="R362" s="971"/>
      <c r="S362" s="971"/>
      <c r="T362" s="971"/>
    </row>
    <row r="363" spans="1:20" s="426" customFormat="1">
      <c r="A363" s="3" t="s">
        <v>576</v>
      </c>
      <c r="B363" s="734"/>
      <c r="C363" s="974"/>
      <c r="D363" s="974"/>
      <c r="E363" s="974"/>
      <c r="F363" s="974"/>
      <c r="G363" s="974"/>
      <c r="H363" s="974"/>
      <c r="I363" s="974"/>
      <c r="J363" s="974"/>
      <c r="K363" s="974"/>
      <c r="L363" s="974"/>
      <c r="M363" s="974"/>
      <c r="N363" s="974"/>
      <c r="O363" s="974"/>
      <c r="P363" s="974"/>
      <c r="Q363" s="974"/>
      <c r="R363" s="974"/>
      <c r="S363" s="974"/>
      <c r="T363" s="974"/>
    </row>
    <row r="364" spans="1:20">
      <c r="A364" s="1" t="s">
        <v>573</v>
      </c>
      <c r="B364" s="736"/>
      <c r="C364" s="876">
        <v>0</v>
      </c>
      <c r="D364" s="876">
        <v>265000</v>
      </c>
      <c r="E364" s="876">
        <v>0</v>
      </c>
      <c r="F364" s="876">
        <v>193000</v>
      </c>
      <c r="G364" s="876">
        <v>0</v>
      </c>
      <c r="H364" s="876">
        <v>1000000</v>
      </c>
      <c r="I364" s="876">
        <v>180000</v>
      </c>
      <c r="J364" s="876">
        <v>906434</v>
      </c>
      <c r="K364" s="876">
        <v>3563103</v>
      </c>
      <c r="L364" s="876">
        <v>2600000</v>
      </c>
      <c r="M364" s="876">
        <v>0</v>
      </c>
      <c r="N364" s="876">
        <v>330000</v>
      </c>
      <c r="O364" s="876">
        <v>0</v>
      </c>
      <c r="P364" s="876">
        <v>0</v>
      </c>
      <c r="Q364" s="876">
        <v>3785000</v>
      </c>
      <c r="R364" s="876">
        <v>0</v>
      </c>
      <c r="S364" s="876">
        <v>0</v>
      </c>
      <c r="T364" s="876">
        <v>0</v>
      </c>
    </row>
    <row r="365" spans="1:20" s="426" customFormat="1">
      <c r="A365" s="969" t="s">
        <v>13</v>
      </c>
      <c r="B365" s="748"/>
      <c r="C365" s="970">
        <v>12822537</v>
      </c>
      <c r="D365" s="970">
        <v>12822537</v>
      </c>
      <c r="E365" s="970">
        <v>12557537</v>
      </c>
      <c r="F365" s="970">
        <v>12557537</v>
      </c>
      <c r="G365" s="970">
        <v>12364537</v>
      </c>
      <c r="H365" s="970">
        <v>12364537</v>
      </c>
      <c r="I365" s="970">
        <v>11364537</v>
      </c>
      <c r="J365" s="970">
        <v>11184537</v>
      </c>
      <c r="K365" s="970">
        <v>10278103</v>
      </c>
      <c r="L365" s="970">
        <v>6715000</v>
      </c>
      <c r="M365" s="970">
        <v>4115000</v>
      </c>
      <c r="N365" s="970">
        <v>4115000</v>
      </c>
      <c r="O365" s="970">
        <v>3785000</v>
      </c>
      <c r="P365" s="970">
        <v>3785000</v>
      </c>
      <c r="Q365" s="970">
        <v>3785000</v>
      </c>
      <c r="R365" s="970">
        <v>0</v>
      </c>
      <c r="S365" s="970">
        <v>0</v>
      </c>
      <c r="T365" s="970">
        <v>0</v>
      </c>
    </row>
    <row r="366" spans="1:20">
      <c r="A366" s="1" t="s">
        <v>574</v>
      </c>
      <c r="B366" s="736"/>
      <c r="C366" s="876">
        <v>0</v>
      </c>
      <c r="D366" s="876">
        <v>0</v>
      </c>
      <c r="E366" s="876">
        <v>0</v>
      </c>
      <c r="F366" s="876">
        <v>0</v>
      </c>
      <c r="G366" s="876">
        <v>0</v>
      </c>
      <c r="H366" s="876">
        <v>0</v>
      </c>
      <c r="I366" s="876">
        <v>0</v>
      </c>
      <c r="J366" s="876">
        <v>0</v>
      </c>
      <c r="K366" s="876">
        <v>0</v>
      </c>
      <c r="L366" s="876">
        <v>0</v>
      </c>
      <c r="M366" s="876">
        <v>0</v>
      </c>
      <c r="N366" s="876">
        <v>0</v>
      </c>
      <c r="O366" s="876">
        <v>0</v>
      </c>
      <c r="P366" s="876">
        <v>40000</v>
      </c>
      <c r="Q366" s="876">
        <v>140000</v>
      </c>
      <c r="R366" s="876">
        <v>0</v>
      </c>
      <c r="S366" s="876">
        <v>0</v>
      </c>
      <c r="T366" s="876">
        <v>0</v>
      </c>
    </row>
    <row r="367" spans="1:20" s="426" customFormat="1">
      <c r="A367" s="969" t="s">
        <v>13</v>
      </c>
      <c r="B367" s="748"/>
      <c r="C367" s="970">
        <v>180000</v>
      </c>
      <c r="D367" s="970">
        <v>180000</v>
      </c>
      <c r="E367" s="970">
        <v>180000</v>
      </c>
      <c r="F367" s="970">
        <v>180000</v>
      </c>
      <c r="G367" s="970">
        <v>180000</v>
      </c>
      <c r="H367" s="970">
        <v>180000</v>
      </c>
      <c r="I367" s="970">
        <v>180000</v>
      </c>
      <c r="J367" s="970">
        <v>180000</v>
      </c>
      <c r="K367" s="970">
        <v>180000</v>
      </c>
      <c r="L367" s="970">
        <v>180000</v>
      </c>
      <c r="M367" s="970">
        <v>180000</v>
      </c>
      <c r="N367" s="970">
        <v>180000</v>
      </c>
      <c r="O367" s="970">
        <v>180000</v>
      </c>
      <c r="P367" s="970">
        <v>180000</v>
      </c>
      <c r="Q367" s="970">
        <v>140000</v>
      </c>
      <c r="R367" s="970">
        <v>0</v>
      </c>
      <c r="S367" s="970">
        <v>0</v>
      </c>
      <c r="T367" s="970">
        <v>0</v>
      </c>
    </row>
    <row r="368" spans="1:20">
      <c r="A368" s="1" t="s">
        <v>575</v>
      </c>
      <c r="B368" s="736"/>
      <c r="C368" s="876">
        <v>0</v>
      </c>
      <c r="D368" s="876">
        <v>0</v>
      </c>
      <c r="E368" s="876">
        <v>0</v>
      </c>
      <c r="F368" s="876">
        <v>0</v>
      </c>
      <c r="G368" s="876">
        <v>30000</v>
      </c>
      <c r="H368" s="876">
        <v>0</v>
      </c>
      <c r="I368" s="876">
        <v>0</v>
      </c>
      <c r="J368" s="876">
        <v>0</v>
      </c>
      <c r="K368" s="876">
        <v>0</v>
      </c>
      <c r="L368" s="876">
        <v>0</v>
      </c>
      <c r="M368" s="876">
        <v>0</v>
      </c>
      <c r="N368" s="876">
        <v>0</v>
      </c>
      <c r="O368" s="876">
        <v>0</v>
      </c>
      <c r="P368" s="876">
        <v>0</v>
      </c>
      <c r="Q368" s="876">
        <v>0</v>
      </c>
      <c r="R368" s="876">
        <v>0</v>
      </c>
      <c r="S368" s="876">
        <v>0</v>
      </c>
      <c r="T368" s="876">
        <v>0</v>
      </c>
    </row>
    <row r="369" spans="1:20" s="426" customFormat="1">
      <c r="A369" s="969" t="s">
        <v>13</v>
      </c>
      <c r="B369" s="748"/>
      <c r="C369" s="970">
        <v>30000</v>
      </c>
      <c r="D369" s="970">
        <v>30000</v>
      </c>
      <c r="E369" s="970">
        <v>30000</v>
      </c>
      <c r="F369" s="970">
        <v>30000</v>
      </c>
      <c r="G369" s="970">
        <v>30000</v>
      </c>
      <c r="H369" s="970">
        <v>0</v>
      </c>
      <c r="I369" s="970">
        <v>0</v>
      </c>
      <c r="J369" s="970">
        <v>0</v>
      </c>
      <c r="K369" s="970">
        <v>0</v>
      </c>
      <c r="L369" s="970">
        <v>0</v>
      </c>
      <c r="M369" s="970">
        <v>0</v>
      </c>
      <c r="N369" s="970">
        <v>0</v>
      </c>
      <c r="O369" s="970">
        <v>0</v>
      </c>
      <c r="P369" s="970">
        <v>0</v>
      </c>
      <c r="Q369" s="970">
        <v>0</v>
      </c>
      <c r="R369" s="970">
        <v>0</v>
      </c>
      <c r="S369" s="970">
        <v>0</v>
      </c>
      <c r="T369" s="970">
        <v>0</v>
      </c>
    </row>
    <row r="370" spans="1:20">
      <c r="A370" s="965" t="s">
        <v>27</v>
      </c>
      <c r="B370" s="736"/>
      <c r="C370" s="876">
        <v>0</v>
      </c>
      <c r="D370" s="876">
        <v>0</v>
      </c>
      <c r="E370" s="876">
        <v>0</v>
      </c>
      <c r="F370" s="876">
        <v>0</v>
      </c>
      <c r="G370" s="876">
        <v>0</v>
      </c>
      <c r="H370" s="876">
        <v>0</v>
      </c>
      <c r="I370" s="876">
        <v>500000</v>
      </c>
      <c r="J370" s="876">
        <v>0</v>
      </c>
      <c r="K370" s="876">
        <v>0</v>
      </c>
      <c r="L370" s="876">
        <v>10000</v>
      </c>
      <c r="M370" s="876">
        <v>0</v>
      </c>
      <c r="N370" s="876">
        <v>0</v>
      </c>
      <c r="O370" s="876">
        <v>0</v>
      </c>
      <c r="P370" s="876">
        <v>0</v>
      </c>
      <c r="Q370" s="876">
        <v>0</v>
      </c>
      <c r="R370" s="876">
        <v>0</v>
      </c>
      <c r="S370" s="876">
        <v>1200000</v>
      </c>
      <c r="T370" s="876">
        <v>0</v>
      </c>
    </row>
    <row r="371" spans="1:20" s="426" customFormat="1">
      <c r="A371" s="969" t="s">
        <v>13</v>
      </c>
      <c r="B371" s="748"/>
      <c r="C371" s="970">
        <v>1710000</v>
      </c>
      <c r="D371" s="970">
        <v>1710000</v>
      </c>
      <c r="E371" s="970">
        <v>1710000</v>
      </c>
      <c r="F371" s="970">
        <v>1710000</v>
      </c>
      <c r="G371" s="970">
        <v>1710000</v>
      </c>
      <c r="H371" s="970">
        <v>1710000</v>
      </c>
      <c r="I371" s="970">
        <v>1710000</v>
      </c>
      <c r="J371" s="970">
        <v>1210000</v>
      </c>
      <c r="K371" s="970">
        <v>1210000</v>
      </c>
      <c r="L371" s="970">
        <v>1210000</v>
      </c>
      <c r="M371" s="970">
        <v>1200000</v>
      </c>
      <c r="N371" s="970">
        <v>1200000</v>
      </c>
      <c r="O371" s="970">
        <v>1200000</v>
      </c>
      <c r="P371" s="970">
        <v>1200000</v>
      </c>
      <c r="Q371" s="970">
        <v>1200000</v>
      </c>
      <c r="R371" s="970">
        <v>1200000</v>
      </c>
      <c r="S371" s="970">
        <v>1200000</v>
      </c>
      <c r="T371" s="970">
        <v>0</v>
      </c>
    </row>
    <row r="372" spans="1:20" s="426" customFormat="1">
      <c r="A372" s="965" t="s">
        <v>180</v>
      </c>
      <c r="B372" s="748"/>
      <c r="C372" s="892">
        <v>66000</v>
      </c>
      <c r="D372" s="892">
        <v>0</v>
      </c>
      <c r="E372" s="892">
        <v>0</v>
      </c>
      <c r="F372" s="892">
        <v>40000</v>
      </c>
      <c r="G372" s="892">
        <v>40000</v>
      </c>
      <c r="H372" s="892">
        <v>80000</v>
      </c>
      <c r="I372" s="892">
        <v>40000</v>
      </c>
      <c r="J372" s="892">
        <v>0</v>
      </c>
      <c r="K372" s="892">
        <v>40000</v>
      </c>
      <c r="L372" s="892">
        <v>40000</v>
      </c>
      <c r="M372" s="892">
        <v>0</v>
      </c>
      <c r="N372" s="892">
        <v>80000</v>
      </c>
      <c r="O372" s="892">
        <v>20000</v>
      </c>
      <c r="P372" s="892">
        <v>0</v>
      </c>
      <c r="Q372" s="892">
        <v>0</v>
      </c>
      <c r="R372" s="892">
        <v>0</v>
      </c>
      <c r="S372" s="892">
        <v>0</v>
      </c>
      <c r="T372" s="892">
        <v>0</v>
      </c>
    </row>
    <row r="373" spans="1:20" s="426" customFormat="1">
      <c r="A373" s="969" t="s">
        <v>13</v>
      </c>
      <c r="B373" s="748"/>
      <c r="C373" s="970">
        <v>446000</v>
      </c>
      <c r="D373" s="970">
        <v>380000</v>
      </c>
      <c r="E373" s="970">
        <v>380000</v>
      </c>
      <c r="F373" s="970">
        <v>380000</v>
      </c>
      <c r="G373" s="970">
        <v>340000</v>
      </c>
      <c r="H373" s="970">
        <v>300000</v>
      </c>
      <c r="I373" s="970">
        <v>220000</v>
      </c>
      <c r="J373" s="970">
        <v>180000</v>
      </c>
      <c r="K373" s="970">
        <v>180000</v>
      </c>
      <c r="L373" s="970">
        <v>140000</v>
      </c>
      <c r="M373" s="970">
        <v>100000</v>
      </c>
      <c r="N373" s="970">
        <v>100000</v>
      </c>
      <c r="O373" s="970">
        <v>20000</v>
      </c>
      <c r="P373" s="970">
        <v>0</v>
      </c>
      <c r="Q373" s="970">
        <v>0</v>
      </c>
      <c r="R373" s="970">
        <v>0</v>
      </c>
      <c r="S373" s="970">
        <v>0</v>
      </c>
      <c r="T373" s="970">
        <v>0</v>
      </c>
    </row>
    <row r="374" spans="1:20" s="426" customFormat="1">
      <c r="A374" s="29" t="s">
        <v>151</v>
      </c>
      <c r="B374" s="748"/>
      <c r="C374" s="892">
        <v>66000</v>
      </c>
      <c r="D374" s="892">
        <v>265000</v>
      </c>
      <c r="E374" s="892">
        <v>0</v>
      </c>
      <c r="F374" s="892">
        <v>233000</v>
      </c>
      <c r="G374" s="892">
        <v>70000</v>
      </c>
      <c r="H374" s="892">
        <v>1080000</v>
      </c>
      <c r="I374" s="892">
        <v>720000</v>
      </c>
      <c r="J374" s="892">
        <v>906434</v>
      </c>
      <c r="K374" s="892">
        <v>3603103</v>
      </c>
      <c r="L374" s="892">
        <v>2650000</v>
      </c>
      <c r="M374" s="892">
        <v>0</v>
      </c>
      <c r="N374" s="892">
        <v>410000</v>
      </c>
      <c r="O374" s="892">
        <v>20000</v>
      </c>
      <c r="P374" s="892">
        <v>40000</v>
      </c>
      <c r="Q374" s="892">
        <v>3925000</v>
      </c>
      <c r="R374" s="892">
        <v>0</v>
      </c>
      <c r="S374" s="892">
        <v>1200000</v>
      </c>
      <c r="T374" s="892">
        <v>0</v>
      </c>
    </row>
    <row r="375" spans="1:20" s="426" customFormat="1" ht="15" thickBot="1">
      <c r="A375" s="975" t="s">
        <v>13</v>
      </c>
      <c r="B375" s="976"/>
      <c r="C375" s="977">
        <v>15188537</v>
      </c>
      <c r="D375" s="977">
        <v>15122537</v>
      </c>
      <c r="E375" s="977">
        <v>14857537</v>
      </c>
      <c r="F375" s="977">
        <v>14857537</v>
      </c>
      <c r="G375" s="977">
        <v>14624537</v>
      </c>
      <c r="H375" s="977">
        <v>14554537</v>
      </c>
      <c r="I375" s="977">
        <v>13474537</v>
      </c>
      <c r="J375" s="977">
        <v>12754537</v>
      </c>
      <c r="K375" s="977">
        <v>11848103</v>
      </c>
      <c r="L375" s="977">
        <v>8245000</v>
      </c>
      <c r="M375" s="977">
        <v>5595000</v>
      </c>
      <c r="N375" s="977">
        <v>5595000</v>
      </c>
      <c r="O375" s="977">
        <v>5185000</v>
      </c>
      <c r="P375" s="977">
        <v>5165000</v>
      </c>
      <c r="Q375" s="977">
        <v>5125000</v>
      </c>
      <c r="R375" s="977">
        <v>1200000</v>
      </c>
      <c r="S375" s="977">
        <v>1200000</v>
      </c>
      <c r="T375" s="977">
        <v>0</v>
      </c>
    </row>
    <row r="376" spans="1:20" s="426" customFormat="1">
      <c r="A376" s="972"/>
      <c r="B376" s="735"/>
      <c r="C376" s="973"/>
      <c r="D376" s="973"/>
      <c r="E376" s="973"/>
      <c r="F376" s="973"/>
      <c r="G376" s="973"/>
      <c r="H376" s="973"/>
      <c r="I376" s="973"/>
      <c r="J376" s="973"/>
      <c r="K376" s="973"/>
      <c r="L376" s="973"/>
      <c r="M376" s="973"/>
      <c r="N376" s="973"/>
      <c r="O376" s="973"/>
      <c r="P376" s="973"/>
      <c r="Q376" s="973"/>
      <c r="R376" s="973"/>
      <c r="S376" s="973"/>
      <c r="T376" s="973"/>
    </row>
    <row r="377" spans="1:20" s="685" customFormat="1">
      <c r="A377" s="73" t="s">
        <v>49</v>
      </c>
      <c r="B377" s="808" t="s">
        <v>291</v>
      </c>
      <c r="C377" s="875">
        <v>355000</v>
      </c>
      <c r="D377" s="875">
        <v>200000</v>
      </c>
      <c r="E377" s="875">
        <v>54000</v>
      </c>
      <c r="F377" s="875">
        <v>407500</v>
      </c>
      <c r="G377" s="875">
        <v>80000</v>
      </c>
      <c r="H377" s="875">
        <v>304078</v>
      </c>
      <c r="I377" s="875">
        <v>640000</v>
      </c>
      <c r="J377" s="875">
        <v>0</v>
      </c>
      <c r="K377" s="875">
        <v>93000</v>
      </c>
      <c r="L377" s="875">
        <v>841447</v>
      </c>
      <c r="M377" s="875">
        <v>125000</v>
      </c>
      <c r="N377" s="875">
        <v>1145000</v>
      </c>
      <c r="O377" s="875">
        <v>50000</v>
      </c>
      <c r="P377" s="875">
        <v>126000</v>
      </c>
      <c r="Q377" s="875">
        <v>1597100</v>
      </c>
      <c r="R377" s="875">
        <v>290000</v>
      </c>
      <c r="S377" s="875">
        <v>0</v>
      </c>
      <c r="T377" s="875">
        <v>0</v>
      </c>
    </row>
    <row r="378" spans="1:20" s="426" customFormat="1">
      <c r="A378" s="816" t="s">
        <v>109</v>
      </c>
      <c r="B378" s="746"/>
      <c r="C378" s="702">
        <v>6308125</v>
      </c>
      <c r="D378" s="702">
        <v>5953125</v>
      </c>
      <c r="E378" s="702">
        <v>5753125</v>
      </c>
      <c r="F378" s="702">
        <v>5699125</v>
      </c>
      <c r="G378" s="702">
        <v>5291625</v>
      </c>
      <c r="H378" s="702">
        <v>5211625</v>
      </c>
      <c r="I378" s="702">
        <v>4907547</v>
      </c>
      <c r="J378" s="702">
        <v>4267547</v>
      </c>
      <c r="K378" s="702">
        <v>4267547</v>
      </c>
      <c r="L378" s="702">
        <v>4174547</v>
      </c>
      <c r="M378" s="702">
        <v>3333100</v>
      </c>
      <c r="N378" s="702">
        <v>3208100</v>
      </c>
      <c r="O378" s="702">
        <v>2063100</v>
      </c>
      <c r="P378" s="702">
        <v>2013100</v>
      </c>
      <c r="Q378" s="702">
        <v>1887100</v>
      </c>
      <c r="R378" s="702">
        <v>290000</v>
      </c>
      <c r="S378" s="702">
        <v>0</v>
      </c>
      <c r="T378" s="702">
        <v>0</v>
      </c>
    </row>
    <row r="379" spans="1:20" s="426" customFormat="1">
      <c r="A379" s="817"/>
      <c r="B379" s="748"/>
      <c r="C379" s="879"/>
      <c r="D379" s="879"/>
      <c r="E379" s="879"/>
      <c r="F379" s="879"/>
      <c r="G379" s="879"/>
      <c r="H379" s="879"/>
      <c r="I379" s="879"/>
      <c r="J379" s="879"/>
      <c r="K379" s="879"/>
      <c r="L379" s="879"/>
      <c r="M379" s="879"/>
      <c r="N379" s="879"/>
      <c r="O379" s="879"/>
      <c r="P379" s="879"/>
      <c r="Q379" s="879"/>
      <c r="R379" s="879"/>
      <c r="S379" s="879"/>
      <c r="T379" s="879"/>
    </row>
    <row r="380" spans="1:20" s="426" customFormat="1">
      <c r="A380" s="817" t="s">
        <v>154</v>
      </c>
      <c r="B380" s="748"/>
      <c r="C380" s="879"/>
      <c r="D380" s="879"/>
      <c r="E380" s="879"/>
      <c r="F380" s="879"/>
      <c r="G380" s="879"/>
      <c r="H380" s="879"/>
      <c r="I380" s="879"/>
      <c r="J380" s="879"/>
      <c r="K380" s="879"/>
      <c r="L380" s="879"/>
      <c r="M380" s="879"/>
      <c r="N380" s="879"/>
      <c r="O380" s="879"/>
      <c r="P380" s="879"/>
      <c r="Q380" s="879"/>
      <c r="R380" s="879"/>
      <c r="S380" s="879"/>
      <c r="T380" s="879"/>
    </row>
    <row r="381" spans="1:20" s="426" customFormat="1">
      <c r="A381" s="818" t="s">
        <v>138</v>
      </c>
      <c r="B381" s="746" t="s">
        <v>292</v>
      </c>
      <c r="C381" s="888">
        <v>0</v>
      </c>
      <c r="D381" s="888">
        <v>0</v>
      </c>
      <c r="E381" s="888">
        <v>0</v>
      </c>
      <c r="F381" s="888">
        <v>0</v>
      </c>
      <c r="G381" s="888">
        <v>0</v>
      </c>
      <c r="H381" s="888">
        <v>0</v>
      </c>
      <c r="I381" s="888">
        <v>0</v>
      </c>
      <c r="J381" s="888">
        <v>0</v>
      </c>
      <c r="K381" s="888">
        <v>0</v>
      </c>
      <c r="L381" s="888">
        <v>0</v>
      </c>
      <c r="M381" s="888">
        <v>0</v>
      </c>
      <c r="N381" s="888">
        <v>0</v>
      </c>
      <c r="O381" s="888">
        <v>0</v>
      </c>
      <c r="P381" s="888">
        <v>0</v>
      </c>
      <c r="Q381" s="888">
        <v>0</v>
      </c>
      <c r="R381" s="888">
        <v>0</v>
      </c>
      <c r="S381" s="888">
        <v>0</v>
      </c>
      <c r="T381" s="888">
        <v>0</v>
      </c>
    </row>
    <row r="382" spans="1:20" s="426" customFormat="1">
      <c r="A382" s="819" t="s">
        <v>13</v>
      </c>
      <c r="B382" s="746"/>
      <c r="C382" s="702">
        <v>0</v>
      </c>
      <c r="D382" s="702">
        <v>0</v>
      </c>
      <c r="E382" s="702">
        <v>0</v>
      </c>
      <c r="F382" s="702">
        <v>0</v>
      </c>
      <c r="G382" s="702">
        <v>0</v>
      </c>
      <c r="H382" s="702">
        <v>0</v>
      </c>
      <c r="I382" s="702">
        <v>0</v>
      </c>
      <c r="J382" s="702">
        <v>0</v>
      </c>
      <c r="K382" s="702">
        <v>0</v>
      </c>
      <c r="L382" s="702">
        <v>0</v>
      </c>
      <c r="M382" s="702">
        <v>0</v>
      </c>
      <c r="N382" s="702">
        <v>0</v>
      </c>
      <c r="O382" s="702">
        <v>0</v>
      </c>
      <c r="P382" s="702">
        <v>0</v>
      </c>
      <c r="Q382" s="702">
        <v>0</v>
      </c>
      <c r="R382" s="702">
        <v>0</v>
      </c>
      <c r="S382" s="702">
        <v>0</v>
      </c>
      <c r="T382" s="702">
        <v>0</v>
      </c>
    </row>
    <row r="383" spans="1:20" s="426" customFormat="1">
      <c r="A383" s="818" t="s">
        <v>139</v>
      </c>
      <c r="B383" s="746" t="s">
        <v>293</v>
      </c>
      <c r="C383" s="889">
        <v>0</v>
      </c>
      <c r="D383" s="889">
        <v>0</v>
      </c>
      <c r="E383" s="889">
        <v>0</v>
      </c>
      <c r="F383" s="889">
        <v>0</v>
      </c>
      <c r="G383" s="889">
        <v>0</v>
      </c>
      <c r="H383" s="889">
        <v>0</v>
      </c>
      <c r="I383" s="889">
        <v>0</v>
      </c>
      <c r="J383" s="889">
        <v>0</v>
      </c>
      <c r="K383" s="889">
        <v>0</v>
      </c>
      <c r="L383" s="889">
        <v>0</v>
      </c>
      <c r="M383" s="889">
        <v>0</v>
      </c>
      <c r="N383" s="889">
        <v>0</v>
      </c>
      <c r="O383" s="889">
        <v>0</v>
      </c>
      <c r="P383" s="889">
        <v>0</v>
      </c>
      <c r="Q383" s="889">
        <v>0</v>
      </c>
      <c r="R383" s="889">
        <v>500000</v>
      </c>
      <c r="S383" s="889">
        <v>0</v>
      </c>
      <c r="T383" s="889">
        <v>0</v>
      </c>
    </row>
    <row r="384" spans="1:20" s="426" customFormat="1">
      <c r="A384" s="819" t="s">
        <v>13</v>
      </c>
      <c r="B384" s="746"/>
      <c r="C384" s="702">
        <v>500000</v>
      </c>
      <c r="D384" s="702">
        <v>500000</v>
      </c>
      <c r="E384" s="702">
        <v>500000</v>
      </c>
      <c r="F384" s="702">
        <v>500000</v>
      </c>
      <c r="G384" s="702">
        <v>500000</v>
      </c>
      <c r="H384" s="702">
        <v>500000</v>
      </c>
      <c r="I384" s="702">
        <v>500000</v>
      </c>
      <c r="J384" s="702">
        <v>500000</v>
      </c>
      <c r="K384" s="702">
        <v>500000</v>
      </c>
      <c r="L384" s="702">
        <v>500000</v>
      </c>
      <c r="M384" s="702">
        <v>500000</v>
      </c>
      <c r="N384" s="702">
        <v>500000</v>
      </c>
      <c r="O384" s="702">
        <v>500000</v>
      </c>
      <c r="P384" s="702">
        <v>500000</v>
      </c>
      <c r="Q384" s="702">
        <v>500000</v>
      </c>
      <c r="R384" s="702">
        <v>500000</v>
      </c>
      <c r="S384" s="702">
        <v>0</v>
      </c>
      <c r="T384" s="702">
        <v>0</v>
      </c>
    </row>
    <row r="385" spans="1:20" s="426" customFormat="1">
      <c r="A385" s="818" t="s">
        <v>27</v>
      </c>
      <c r="B385" s="746" t="s">
        <v>294</v>
      </c>
      <c r="C385" s="889">
        <v>0</v>
      </c>
      <c r="D385" s="889">
        <v>0</v>
      </c>
      <c r="E385" s="889">
        <v>0</v>
      </c>
      <c r="F385" s="889">
        <v>0</v>
      </c>
      <c r="G385" s="889">
        <v>0</v>
      </c>
      <c r="H385" s="889">
        <v>0</v>
      </c>
      <c r="I385" s="889">
        <v>0</v>
      </c>
      <c r="J385" s="889">
        <v>0</v>
      </c>
      <c r="K385" s="889">
        <v>0</v>
      </c>
      <c r="L385" s="889">
        <v>0</v>
      </c>
      <c r="M385" s="889">
        <v>0</v>
      </c>
      <c r="N385" s="889">
        <v>0</v>
      </c>
      <c r="O385" s="889">
        <v>0</v>
      </c>
      <c r="P385" s="889">
        <v>0</v>
      </c>
      <c r="Q385" s="889">
        <v>0</v>
      </c>
      <c r="R385" s="889">
        <v>0</v>
      </c>
      <c r="S385" s="889">
        <v>0</v>
      </c>
      <c r="T385" s="889">
        <v>0</v>
      </c>
    </row>
    <row r="386" spans="1:20" s="426" customFormat="1">
      <c r="A386" s="819" t="s">
        <v>13</v>
      </c>
      <c r="B386" s="746"/>
      <c r="C386" s="702">
        <v>0</v>
      </c>
      <c r="D386" s="702">
        <v>0</v>
      </c>
      <c r="E386" s="702">
        <v>0</v>
      </c>
      <c r="F386" s="702">
        <v>0</v>
      </c>
      <c r="G386" s="702">
        <v>0</v>
      </c>
      <c r="H386" s="702">
        <v>0</v>
      </c>
      <c r="I386" s="702">
        <v>0</v>
      </c>
      <c r="J386" s="702">
        <v>0</v>
      </c>
      <c r="K386" s="702">
        <v>0</v>
      </c>
      <c r="L386" s="702">
        <v>0</v>
      </c>
      <c r="M386" s="702">
        <v>0</v>
      </c>
      <c r="N386" s="702">
        <v>0</v>
      </c>
      <c r="O386" s="702">
        <v>0</v>
      </c>
      <c r="P386" s="702">
        <v>0</v>
      </c>
      <c r="Q386" s="702">
        <v>0</v>
      </c>
      <c r="R386" s="702">
        <v>0</v>
      </c>
      <c r="S386" s="702">
        <v>0</v>
      </c>
      <c r="T386" s="702">
        <v>0</v>
      </c>
    </row>
    <row r="387" spans="1:20" s="426" customFormat="1">
      <c r="A387" s="820" t="s">
        <v>151</v>
      </c>
      <c r="B387" s="746"/>
      <c r="C387" s="889">
        <v>0</v>
      </c>
      <c r="D387" s="889">
        <v>0</v>
      </c>
      <c r="E387" s="889">
        <v>0</v>
      </c>
      <c r="F387" s="889">
        <v>0</v>
      </c>
      <c r="G387" s="889">
        <v>0</v>
      </c>
      <c r="H387" s="889">
        <v>0</v>
      </c>
      <c r="I387" s="889">
        <v>0</v>
      </c>
      <c r="J387" s="889">
        <v>0</v>
      </c>
      <c r="K387" s="889">
        <v>0</v>
      </c>
      <c r="L387" s="889">
        <v>0</v>
      </c>
      <c r="M387" s="889">
        <v>0</v>
      </c>
      <c r="N387" s="889">
        <v>0</v>
      </c>
      <c r="O387" s="889">
        <v>0</v>
      </c>
      <c r="P387" s="889">
        <v>0</v>
      </c>
      <c r="Q387" s="889">
        <v>0</v>
      </c>
      <c r="R387" s="889">
        <v>500000</v>
      </c>
      <c r="S387" s="889">
        <v>0</v>
      </c>
      <c r="T387" s="889">
        <v>0</v>
      </c>
    </row>
    <row r="388" spans="1:20" s="426" customFormat="1">
      <c r="A388" s="821" t="s">
        <v>13</v>
      </c>
      <c r="B388" s="792"/>
      <c r="C388" s="702">
        <v>500000</v>
      </c>
      <c r="D388" s="702">
        <v>500000</v>
      </c>
      <c r="E388" s="702">
        <v>500000</v>
      </c>
      <c r="F388" s="702">
        <v>500000</v>
      </c>
      <c r="G388" s="702">
        <v>500000</v>
      </c>
      <c r="H388" s="702">
        <v>500000</v>
      </c>
      <c r="I388" s="702">
        <v>500000</v>
      </c>
      <c r="J388" s="702">
        <v>500000</v>
      </c>
      <c r="K388" s="702">
        <v>500000</v>
      </c>
      <c r="L388" s="702">
        <v>500000</v>
      </c>
      <c r="M388" s="702">
        <v>500000</v>
      </c>
      <c r="N388" s="702">
        <v>500000</v>
      </c>
      <c r="O388" s="702">
        <v>500000</v>
      </c>
      <c r="P388" s="702">
        <v>500000</v>
      </c>
      <c r="Q388" s="702">
        <v>500000</v>
      </c>
      <c r="R388" s="702">
        <v>500000</v>
      </c>
      <c r="S388" s="702">
        <v>0</v>
      </c>
      <c r="T388" s="702">
        <v>0</v>
      </c>
    </row>
    <row r="389" spans="1:20">
      <c r="A389" s="1"/>
      <c r="B389" s="748"/>
      <c r="C389" s="890"/>
      <c r="D389" s="890"/>
      <c r="E389" s="890"/>
      <c r="F389" s="890"/>
      <c r="G389" s="890"/>
      <c r="H389" s="890"/>
      <c r="I389" s="890"/>
      <c r="J389" s="890"/>
      <c r="K389" s="890"/>
      <c r="L389" s="890"/>
      <c r="M389" s="890"/>
      <c r="N389" s="890"/>
      <c r="O389" s="890"/>
      <c r="P389" s="890"/>
      <c r="Q389" s="890"/>
      <c r="R389" s="890"/>
      <c r="S389" s="890"/>
      <c r="T389" s="890"/>
    </row>
    <row r="390" spans="1:20">
      <c r="A390" s="822" t="s">
        <v>61</v>
      </c>
      <c r="B390" s="748"/>
      <c r="C390" s="890"/>
      <c r="D390" s="890"/>
      <c r="E390" s="890"/>
      <c r="F390" s="890"/>
      <c r="G390" s="890"/>
      <c r="H390" s="890"/>
      <c r="I390" s="890"/>
      <c r="J390" s="890"/>
      <c r="K390" s="890"/>
      <c r="L390" s="890"/>
      <c r="M390" s="890"/>
      <c r="N390" s="890"/>
      <c r="O390" s="890"/>
      <c r="P390" s="890"/>
      <c r="Q390" s="890"/>
      <c r="R390" s="890"/>
      <c r="S390" s="890"/>
      <c r="T390" s="890"/>
    </row>
    <row r="391" spans="1:20">
      <c r="A391" s="28" t="s">
        <v>135</v>
      </c>
      <c r="B391" s="746" t="s">
        <v>295</v>
      </c>
      <c r="C391" s="875">
        <v>0</v>
      </c>
      <c r="D391" s="875">
        <v>0</v>
      </c>
      <c r="E391" s="875">
        <v>0</v>
      </c>
      <c r="F391" s="875">
        <v>0</v>
      </c>
      <c r="G391" s="875">
        <v>0</v>
      </c>
      <c r="H391" s="875">
        <v>0</v>
      </c>
      <c r="I391" s="875">
        <v>0</v>
      </c>
      <c r="J391" s="875">
        <v>0</v>
      </c>
      <c r="K391" s="875">
        <v>0</v>
      </c>
      <c r="L391" s="875">
        <v>0</v>
      </c>
      <c r="M391" s="875">
        <v>0</v>
      </c>
      <c r="N391" s="875">
        <v>46500</v>
      </c>
      <c r="O391" s="875">
        <v>0</v>
      </c>
      <c r="P391" s="875">
        <v>0</v>
      </c>
      <c r="Q391" s="875">
        <v>0</v>
      </c>
      <c r="R391" s="875">
        <v>46500</v>
      </c>
      <c r="S391" s="875">
        <v>0</v>
      </c>
      <c r="T391" s="875">
        <v>0</v>
      </c>
    </row>
    <row r="392" spans="1:20" s="717" customFormat="1" ht="15.6">
      <c r="A392" s="823" t="s">
        <v>13</v>
      </c>
      <c r="B392" s="824"/>
      <c r="C392" s="716">
        <v>93000</v>
      </c>
      <c r="D392" s="716">
        <v>93000</v>
      </c>
      <c r="E392" s="716">
        <v>93000</v>
      </c>
      <c r="F392" s="716">
        <v>93000</v>
      </c>
      <c r="G392" s="716">
        <v>93000</v>
      </c>
      <c r="H392" s="716">
        <v>93000</v>
      </c>
      <c r="I392" s="716">
        <v>93000</v>
      </c>
      <c r="J392" s="716">
        <v>93000</v>
      </c>
      <c r="K392" s="716">
        <v>93000</v>
      </c>
      <c r="L392" s="716">
        <v>93000</v>
      </c>
      <c r="M392" s="716">
        <v>93000</v>
      </c>
      <c r="N392" s="716">
        <v>93000</v>
      </c>
      <c r="O392" s="716">
        <v>46500</v>
      </c>
      <c r="P392" s="716">
        <v>46500</v>
      </c>
      <c r="Q392" s="716">
        <v>46500</v>
      </c>
      <c r="R392" s="716">
        <v>46500</v>
      </c>
      <c r="S392" s="716">
        <v>0</v>
      </c>
      <c r="T392" s="716">
        <v>0</v>
      </c>
    </row>
    <row r="393" spans="1:20">
      <c r="A393" s="28" t="s">
        <v>4</v>
      </c>
      <c r="B393" s="746" t="s">
        <v>296</v>
      </c>
      <c r="C393" s="875">
        <v>0</v>
      </c>
      <c r="D393" s="875">
        <v>0</v>
      </c>
      <c r="E393" s="875">
        <v>0</v>
      </c>
      <c r="F393" s="875">
        <v>0</v>
      </c>
      <c r="G393" s="875">
        <v>0</v>
      </c>
      <c r="H393" s="875">
        <v>0</v>
      </c>
      <c r="I393" s="875">
        <v>0</v>
      </c>
      <c r="J393" s="875">
        <v>0</v>
      </c>
      <c r="K393" s="875">
        <v>0</v>
      </c>
      <c r="L393" s="875">
        <v>0</v>
      </c>
      <c r="M393" s="875">
        <v>0</v>
      </c>
      <c r="N393" s="875">
        <v>0</v>
      </c>
      <c r="O393" s="875">
        <v>0</v>
      </c>
      <c r="P393" s="875">
        <v>0</v>
      </c>
      <c r="Q393" s="875">
        <v>142000</v>
      </c>
      <c r="R393" s="875">
        <v>0</v>
      </c>
      <c r="S393" s="875">
        <v>0</v>
      </c>
      <c r="T393" s="875">
        <v>0</v>
      </c>
    </row>
    <row r="394" spans="1:20" s="717" customFormat="1" ht="15.6">
      <c r="A394" s="823" t="s">
        <v>13</v>
      </c>
      <c r="B394" s="824"/>
      <c r="C394" s="716">
        <v>142000</v>
      </c>
      <c r="D394" s="716">
        <v>142000</v>
      </c>
      <c r="E394" s="716">
        <v>142000</v>
      </c>
      <c r="F394" s="716">
        <v>142000</v>
      </c>
      <c r="G394" s="716">
        <v>142000</v>
      </c>
      <c r="H394" s="716">
        <v>142000</v>
      </c>
      <c r="I394" s="716">
        <v>142000</v>
      </c>
      <c r="J394" s="716">
        <v>142000</v>
      </c>
      <c r="K394" s="716">
        <v>142000</v>
      </c>
      <c r="L394" s="716">
        <v>142000</v>
      </c>
      <c r="M394" s="716">
        <v>142000</v>
      </c>
      <c r="N394" s="716">
        <v>142000</v>
      </c>
      <c r="O394" s="716">
        <v>142000</v>
      </c>
      <c r="P394" s="716">
        <v>142000</v>
      </c>
      <c r="Q394" s="716">
        <v>142000</v>
      </c>
      <c r="R394" s="716">
        <v>0</v>
      </c>
      <c r="S394" s="716">
        <v>0</v>
      </c>
      <c r="T394" s="716">
        <v>0</v>
      </c>
    </row>
    <row r="395" spans="1:20">
      <c r="A395" s="28" t="s">
        <v>136</v>
      </c>
      <c r="B395" s="746" t="s">
        <v>297</v>
      </c>
      <c r="C395" s="875">
        <v>0</v>
      </c>
      <c r="D395" s="875">
        <v>0</v>
      </c>
      <c r="E395" s="875">
        <v>0</v>
      </c>
      <c r="F395" s="875">
        <v>0</v>
      </c>
      <c r="G395" s="875">
        <v>0</v>
      </c>
      <c r="H395" s="875">
        <v>0</v>
      </c>
      <c r="I395" s="875">
        <v>0</v>
      </c>
      <c r="J395" s="875">
        <v>0</v>
      </c>
      <c r="K395" s="875">
        <v>0</v>
      </c>
      <c r="L395" s="875">
        <v>0</v>
      </c>
      <c r="M395" s="875">
        <v>0</v>
      </c>
      <c r="N395" s="875">
        <v>0</v>
      </c>
      <c r="O395" s="875">
        <v>0</v>
      </c>
      <c r="P395" s="875">
        <v>0</v>
      </c>
      <c r="Q395" s="875">
        <v>0</v>
      </c>
      <c r="R395" s="875">
        <v>0</v>
      </c>
      <c r="S395" s="875">
        <v>0</v>
      </c>
      <c r="T395" s="875">
        <v>0</v>
      </c>
    </row>
    <row r="396" spans="1:20" s="717" customFormat="1" ht="15.6">
      <c r="A396" s="823" t="s">
        <v>13</v>
      </c>
      <c r="B396" s="824"/>
      <c r="C396" s="716">
        <v>0</v>
      </c>
      <c r="D396" s="716">
        <v>0</v>
      </c>
      <c r="E396" s="716">
        <v>0</v>
      </c>
      <c r="F396" s="716">
        <v>0</v>
      </c>
      <c r="G396" s="716">
        <v>0</v>
      </c>
      <c r="H396" s="716">
        <v>0</v>
      </c>
      <c r="I396" s="716">
        <v>0</v>
      </c>
      <c r="J396" s="716">
        <v>0</v>
      </c>
      <c r="K396" s="716">
        <v>0</v>
      </c>
      <c r="L396" s="716">
        <v>0</v>
      </c>
      <c r="M396" s="716">
        <v>0</v>
      </c>
      <c r="N396" s="716">
        <v>0</v>
      </c>
      <c r="O396" s="716">
        <v>0</v>
      </c>
      <c r="P396" s="716">
        <v>0</v>
      </c>
      <c r="Q396" s="716">
        <v>0</v>
      </c>
      <c r="R396" s="716">
        <v>0</v>
      </c>
      <c r="S396" s="716">
        <v>0</v>
      </c>
      <c r="T396" s="716">
        <v>0</v>
      </c>
    </row>
    <row r="397" spans="1:20">
      <c r="A397" s="28" t="s">
        <v>137</v>
      </c>
      <c r="B397" s="746" t="s">
        <v>298</v>
      </c>
      <c r="C397" s="875">
        <v>0</v>
      </c>
      <c r="D397" s="875">
        <v>0</v>
      </c>
      <c r="E397" s="875">
        <v>0</v>
      </c>
      <c r="F397" s="875">
        <v>0</v>
      </c>
      <c r="G397" s="875">
        <v>0</v>
      </c>
      <c r="H397" s="875">
        <v>0</v>
      </c>
      <c r="I397" s="875">
        <v>0</v>
      </c>
      <c r="J397" s="875">
        <v>0</v>
      </c>
      <c r="K397" s="875">
        <v>0</v>
      </c>
      <c r="L397" s="875">
        <v>0</v>
      </c>
      <c r="M397" s="875">
        <v>0</v>
      </c>
      <c r="N397" s="875">
        <v>0</v>
      </c>
      <c r="O397" s="875">
        <v>0</v>
      </c>
      <c r="P397" s="875">
        <v>0</v>
      </c>
      <c r="Q397" s="875">
        <v>0</v>
      </c>
      <c r="R397" s="875">
        <v>0</v>
      </c>
      <c r="S397" s="875">
        <v>0</v>
      </c>
      <c r="T397" s="875">
        <v>0</v>
      </c>
    </row>
    <row r="398" spans="1:20" s="717" customFormat="1" ht="15.6">
      <c r="A398" s="823" t="s">
        <v>13</v>
      </c>
      <c r="B398" s="824"/>
      <c r="C398" s="716">
        <v>0</v>
      </c>
      <c r="D398" s="716">
        <v>0</v>
      </c>
      <c r="E398" s="716">
        <v>0</v>
      </c>
      <c r="F398" s="716">
        <v>0</v>
      </c>
      <c r="G398" s="716">
        <v>0</v>
      </c>
      <c r="H398" s="716">
        <v>0</v>
      </c>
      <c r="I398" s="716">
        <v>0</v>
      </c>
      <c r="J398" s="716">
        <v>0</v>
      </c>
      <c r="K398" s="716">
        <v>0</v>
      </c>
      <c r="L398" s="716">
        <v>0</v>
      </c>
      <c r="M398" s="716">
        <v>0</v>
      </c>
      <c r="N398" s="716">
        <v>0</v>
      </c>
      <c r="O398" s="716">
        <v>0</v>
      </c>
      <c r="P398" s="716">
        <v>0</v>
      </c>
      <c r="Q398" s="716">
        <v>0</v>
      </c>
      <c r="R398" s="716">
        <v>0</v>
      </c>
      <c r="S398" s="716">
        <v>0</v>
      </c>
      <c r="T398" s="716">
        <v>0</v>
      </c>
    </row>
    <row r="399" spans="1:20">
      <c r="A399" s="28" t="s">
        <v>27</v>
      </c>
      <c r="B399" s="746" t="s">
        <v>299</v>
      </c>
      <c r="C399" s="875">
        <v>0</v>
      </c>
      <c r="D399" s="875">
        <v>0</v>
      </c>
      <c r="E399" s="875">
        <v>0</v>
      </c>
      <c r="F399" s="875">
        <v>0</v>
      </c>
      <c r="G399" s="875">
        <v>0</v>
      </c>
      <c r="H399" s="875">
        <v>0</v>
      </c>
      <c r="I399" s="875">
        <v>0</v>
      </c>
      <c r="J399" s="875">
        <v>0</v>
      </c>
      <c r="K399" s="875">
        <v>0</v>
      </c>
      <c r="L399" s="875">
        <v>0</v>
      </c>
      <c r="M399" s="875">
        <v>0</v>
      </c>
      <c r="N399" s="875">
        <v>0</v>
      </c>
      <c r="O399" s="875">
        <v>0</v>
      </c>
      <c r="P399" s="875">
        <v>0</v>
      </c>
      <c r="Q399" s="875">
        <v>70999</v>
      </c>
      <c r="R399" s="875">
        <v>0</v>
      </c>
      <c r="S399" s="875">
        <v>0</v>
      </c>
      <c r="T399" s="875">
        <v>0</v>
      </c>
    </row>
    <row r="400" spans="1:20" s="717" customFormat="1" ht="15.6">
      <c r="A400" s="823" t="s">
        <v>13</v>
      </c>
      <c r="B400" s="824"/>
      <c r="C400" s="716">
        <v>70999</v>
      </c>
      <c r="D400" s="716">
        <v>70999</v>
      </c>
      <c r="E400" s="716">
        <v>70999</v>
      </c>
      <c r="F400" s="716">
        <v>70999</v>
      </c>
      <c r="G400" s="716">
        <v>70999</v>
      </c>
      <c r="H400" s="716">
        <v>70999</v>
      </c>
      <c r="I400" s="716">
        <v>70999</v>
      </c>
      <c r="J400" s="716">
        <v>70999</v>
      </c>
      <c r="K400" s="716">
        <v>70999</v>
      </c>
      <c r="L400" s="716">
        <v>70999</v>
      </c>
      <c r="M400" s="716">
        <v>70999</v>
      </c>
      <c r="N400" s="716">
        <v>70999</v>
      </c>
      <c r="O400" s="716">
        <v>70999</v>
      </c>
      <c r="P400" s="716">
        <v>70999</v>
      </c>
      <c r="Q400" s="716">
        <v>70999</v>
      </c>
      <c r="R400" s="716">
        <v>0</v>
      </c>
      <c r="S400" s="716">
        <v>0</v>
      </c>
      <c r="T400" s="716">
        <v>0</v>
      </c>
    </row>
    <row r="401" spans="1:20">
      <c r="A401" s="825" t="s">
        <v>151</v>
      </c>
      <c r="B401" s="746"/>
      <c r="C401" s="875">
        <v>0</v>
      </c>
      <c r="D401" s="875">
        <v>0</v>
      </c>
      <c r="E401" s="875">
        <v>0</v>
      </c>
      <c r="F401" s="875">
        <v>0</v>
      </c>
      <c r="G401" s="875">
        <v>0</v>
      </c>
      <c r="H401" s="875">
        <v>0</v>
      </c>
      <c r="I401" s="875">
        <v>0</v>
      </c>
      <c r="J401" s="875">
        <v>0</v>
      </c>
      <c r="K401" s="875">
        <v>0</v>
      </c>
      <c r="L401" s="875">
        <v>0</v>
      </c>
      <c r="M401" s="875">
        <v>0</v>
      </c>
      <c r="N401" s="875">
        <v>46500</v>
      </c>
      <c r="O401" s="875">
        <v>0</v>
      </c>
      <c r="P401" s="875">
        <v>0</v>
      </c>
      <c r="Q401" s="875">
        <v>212999</v>
      </c>
      <c r="R401" s="875">
        <v>46500</v>
      </c>
      <c r="S401" s="875">
        <v>0</v>
      </c>
      <c r="T401" s="875">
        <v>0</v>
      </c>
    </row>
    <row r="402" spans="1:20" s="718" customFormat="1" ht="15.6">
      <c r="A402" s="826" t="s">
        <v>13</v>
      </c>
      <c r="B402" s="827"/>
      <c r="C402" s="716">
        <v>305999</v>
      </c>
      <c r="D402" s="716">
        <v>305999</v>
      </c>
      <c r="E402" s="716">
        <v>305999</v>
      </c>
      <c r="F402" s="716">
        <v>305999</v>
      </c>
      <c r="G402" s="716">
        <v>305999</v>
      </c>
      <c r="H402" s="716">
        <v>305999</v>
      </c>
      <c r="I402" s="716">
        <v>305999</v>
      </c>
      <c r="J402" s="716">
        <v>305999</v>
      </c>
      <c r="K402" s="716">
        <v>305999</v>
      </c>
      <c r="L402" s="716">
        <v>305999</v>
      </c>
      <c r="M402" s="716">
        <v>305999</v>
      </c>
      <c r="N402" s="716">
        <v>305999</v>
      </c>
      <c r="O402" s="716">
        <v>259499</v>
      </c>
      <c r="P402" s="716">
        <v>259499</v>
      </c>
      <c r="Q402" s="716">
        <v>259499</v>
      </c>
      <c r="R402" s="716">
        <v>46500</v>
      </c>
      <c r="S402" s="716">
        <v>0</v>
      </c>
      <c r="T402" s="716">
        <v>0</v>
      </c>
    </row>
    <row r="403" spans="1:20" s="426" customFormat="1">
      <c r="A403" s="29"/>
      <c r="B403" s="748"/>
      <c r="C403" s="719"/>
      <c r="D403" s="719"/>
      <c r="E403" s="719"/>
      <c r="F403" s="719"/>
      <c r="G403" s="719"/>
      <c r="H403" s="719"/>
      <c r="I403" s="719"/>
      <c r="J403" s="719"/>
      <c r="K403" s="719"/>
      <c r="L403" s="719"/>
      <c r="M403" s="719"/>
      <c r="N403" s="719"/>
      <c r="O403" s="719"/>
      <c r="P403" s="719"/>
      <c r="Q403" s="719"/>
      <c r="R403" s="719"/>
      <c r="S403" s="719"/>
      <c r="T403" s="719"/>
    </row>
    <row r="404" spans="1:20">
      <c r="A404" s="28" t="s">
        <v>107</v>
      </c>
      <c r="B404" s="746" t="s">
        <v>300</v>
      </c>
      <c r="C404" s="875">
        <v>0</v>
      </c>
      <c r="D404" s="875">
        <v>0</v>
      </c>
      <c r="E404" s="875">
        <v>0</v>
      </c>
      <c r="F404" s="875">
        <v>220000</v>
      </c>
      <c r="G404" s="875">
        <v>0</v>
      </c>
      <c r="H404" s="875">
        <v>0</v>
      </c>
      <c r="I404" s="875">
        <v>0</v>
      </c>
      <c r="J404" s="875">
        <v>0</v>
      </c>
      <c r="K404" s="875">
        <v>0</v>
      </c>
      <c r="L404" s="875">
        <v>0</v>
      </c>
      <c r="M404" s="875">
        <v>0</v>
      </c>
      <c r="N404" s="875">
        <v>0</v>
      </c>
      <c r="O404" s="875">
        <v>0</v>
      </c>
      <c r="P404" s="875">
        <v>0</v>
      </c>
      <c r="Q404" s="875">
        <v>0</v>
      </c>
      <c r="R404" s="875">
        <v>225000</v>
      </c>
      <c r="S404" s="875">
        <v>0</v>
      </c>
      <c r="T404" s="875">
        <v>0</v>
      </c>
    </row>
    <row r="405" spans="1:20" s="426" customFormat="1">
      <c r="A405" s="828" t="s">
        <v>108</v>
      </c>
      <c r="B405" s="792"/>
      <c r="C405" s="702">
        <v>445000</v>
      </c>
      <c r="D405" s="702">
        <v>445000</v>
      </c>
      <c r="E405" s="702">
        <v>445000</v>
      </c>
      <c r="F405" s="702">
        <v>445000</v>
      </c>
      <c r="G405" s="702">
        <v>225000</v>
      </c>
      <c r="H405" s="702">
        <v>225000</v>
      </c>
      <c r="I405" s="702">
        <v>225000</v>
      </c>
      <c r="J405" s="702">
        <v>225000</v>
      </c>
      <c r="K405" s="702">
        <v>225000</v>
      </c>
      <c r="L405" s="702">
        <v>225000</v>
      </c>
      <c r="M405" s="702">
        <v>225000</v>
      </c>
      <c r="N405" s="702">
        <v>225000</v>
      </c>
      <c r="O405" s="702">
        <v>225000</v>
      </c>
      <c r="P405" s="702">
        <v>225000</v>
      </c>
      <c r="Q405" s="702">
        <v>225000</v>
      </c>
      <c r="R405" s="702">
        <v>225000</v>
      </c>
      <c r="S405" s="702">
        <v>0</v>
      </c>
      <c r="T405" s="702">
        <v>0</v>
      </c>
    </row>
    <row r="406" spans="1:20" s="426" customFormat="1">
      <c r="A406" s="29"/>
      <c r="B406" s="748"/>
      <c r="C406" s="891"/>
      <c r="D406" s="891"/>
      <c r="E406" s="891"/>
      <c r="F406" s="891"/>
      <c r="G406" s="891"/>
      <c r="H406" s="891"/>
      <c r="I406" s="891"/>
      <c r="J406" s="891"/>
      <c r="K406" s="891"/>
      <c r="L406" s="891"/>
      <c r="M406" s="891"/>
      <c r="N406" s="891"/>
      <c r="O406" s="891"/>
      <c r="P406" s="891"/>
      <c r="Q406" s="891"/>
      <c r="R406" s="891"/>
      <c r="S406" s="891"/>
      <c r="T406" s="891"/>
    </row>
    <row r="407" spans="1:20" s="426" customFormat="1">
      <c r="A407" s="29" t="s">
        <v>97</v>
      </c>
      <c r="B407" s="748"/>
      <c r="C407" s="891"/>
      <c r="D407" s="891"/>
      <c r="E407" s="891"/>
      <c r="F407" s="891"/>
      <c r="G407" s="891"/>
      <c r="H407" s="891"/>
      <c r="I407" s="891"/>
      <c r="J407" s="891"/>
      <c r="K407" s="891"/>
      <c r="L407" s="891"/>
      <c r="M407" s="891"/>
      <c r="N407" s="891"/>
      <c r="O407" s="891"/>
      <c r="P407" s="891"/>
      <c r="Q407" s="891"/>
      <c r="R407" s="891"/>
      <c r="S407" s="891"/>
      <c r="T407" s="891"/>
    </row>
    <row r="408" spans="1:20">
      <c r="A408" s="28" t="s">
        <v>24</v>
      </c>
      <c r="B408" s="746" t="s">
        <v>301</v>
      </c>
      <c r="C408" s="875">
        <v>0</v>
      </c>
      <c r="D408" s="875">
        <v>0</v>
      </c>
      <c r="E408" s="875">
        <v>0</v>
      </c>
      <c r="F408" s="875">
        <v>0</v>
      </c>
      <c r="G408" s="875">
        <v>0</v>
      </c>
      <c r="H408" s="875">
        <v>0</v>
      </c>
      <c r="I408" s="875">
        <v>0</v>
      </c>
      <c r="J408" s="875">
        <v>0</v>
      </c>
      <c r="K408" s="875">
        <v>0</v>
      </c>
      <c r="L408" s="875">
        <v>0</v>
      </c>
      <c r="M408" s="875">
        <v>0</v>
      </c>
      <c r="N408" s="875">
        <v>0</v>
      </c>
      <c r="O408" s="875">
        <v>0</v>
      </c>
      <c r="P408" s="875">
        <v>0</v>
      </c>
      <c r="Q408" s="875">
        <v>0</v>
      </c>
      <c r="R408" s="875">
        <v>0</v>
      </c>
      <c r="S408" s="875">
        <v>0</v>
      </c>
      <c r="T408" s="875">
        <v>0</v>
      </c>
    </row>
    <row r="409" spans="1:20" s="712" customFormat="1">
      <c r="A409" s="819" t="s">
        <v>13</v>
      </c>
      <c r="B409" s="780"/>
      <c r="C409" s="702">
        <v>0</v>
      </c>
      <c r="D409" s="702">
        <v>0</v>
      </c>
      <c r="E409" s="702">
        <v>0</v>
      </c>
      <c r="F409" s="702">
        <v>0</v>
      </c>
      <c r="G409" s="702">
        <v>0</v>
      </c>
      <c r="H409" s="702">
        <v>0</v>
      </c>
      <c r="I409" s="702">
        <v>0</v>
      </c>
      <c r="J409" s="702">
        <v>0</v>
      </c>
      <c r="K409" s="702">
        <v>0</v>
      </c>
      <c r="L409" s="702">
        <v>0</v>
      </c>
      <c r="M409" s="702">
        <v>0</v>
      </c>
      <c r="N409" s="702">
        <v>0</v>
      </c>
      <c r="O409" s="702">
        <v>0</v>
      </c>
      <c r="P409" s="702">
        <v>0</v>
      </c>
      <c r="Q409" s="702">
        <v>0</v>
      </c>
      <c r="R409" s="702">
        <v>0</v>
      </c>
      <c r="S409" s="702">
        <v>0</v>
      </c>
      <c r="T409" s="702">
        <v>0</v>
      </c>
    </row>
    <row r="410" spans="1:20">
      <c r="A410" s="28" t="s">
        <v>138</v>
      </c>
      <c r="B410" s="746" t="s">
        <v>302</v>
      </c>
      <c r="C410" s="875">
        <v>0</v>
      </c>
      <c r="D410" s="875">
        <v>0</v>
      </c>
      <c r="E410" s="875">
        <v>0</v>
      </c>
      <c r="F410" s="875">
        <v>0</v>
      </c>
      <c r="G410" s="875">
        <v>0</v>
      </c>
      <c r="H410" s="875">
        <v>0</v>
      </c>
      <c r="I410" s="875">
        <v>0</v>
      </c>
      <c r="J410" s="875">
        <v>0</v>
      </c>
      <c r="K410" s="875">
        <v>0</v>
      </c>
      <c r="L410" s="875">
        <v>22400</v>
      </c>
      <c r="M410" s="875">
        <v>0</v>
      </c>
      <c r="N410" s="875">
        <v>0</v>
      </c>
      <c r="O410" s="875">
        <v>0</v>
      </c>
      <c r="P410" s="875">
        <v>0</v>
      </c>
      <c r="Q410" s="875">
        <v>55000</v>
      </c>
      <c r="R410" s="875">
        <v>0</v>
      </c>
      <c r="S410" s="875">
        <v>0</v>
      </c>
      <c r="T410" s="875">
        <v>0</v>
      </c>
    </row>
    <row r="411" spans="1:20" s="712" customFormat="1">
      <c r="A411" s="819" t="s">
        <v>13</v>
      </c>
      <c r="B411" s="780"/>
      <c r="C411" s="702">
        <v>77400</v>
      </c>
      <c r="D411" s="702">
        <v>77400</v>
      </c>
      <c r="E411" s="702">
        <v>77400</v>
      </c>
      <c r="F411" s="702">
        <v>77400</v>
      </c>
      <c r="G411" s="702">
        <v>77400</v>
      </c>
      <c r="H411" s="702">
        <v>77400</v>
      </c>
      <c r="I411" s="702">
        <v>77400</v>
      </c>
      <c r="J411" s="702">
        <v>77400</v>
      </c>
      <c r="K411" s="702">
        <v>77400</v>
      </c>
      <c r="L411" s="702">
        <v>77400</v>
      </c>
      <c r="M411" s="702">
        <v>55000</v>
      </c>
      <c r="N411" s="702">
        <v>55000</v>
      </c>
      <c r="O411" s="702">
        <v>55000</v>
      </c>
      <c r="P411" s="702">
        <v>55000</v>
      </c>
      <c r="Q411" s="702">
        <v>55000</v>
      </c>
      <c r="R411" s="702">
        <v>0</v>
      </c>
      <c r="S411" s="702">
        <v>0</v>
      </c>
      <c r="T411" s="702">
        <v>0</v>
      </c>
    </row>
    <row r="412" spans="1:20">
      <c r="A412" s="28" t="s">
        <v>139</v>
      </c>
      <c r="B412" s="746" t="s">
        <v>303</v>
      </c>
      <c r="C412" s="875">
        <v>0</v>
      </c>
      <c r="D412" s="875">
        <v>0</v>
      </c>
      <c r="E412" s="875">
        <v>0</v>
      </c>
      <c r="F412" s="875">
        <v>0</v>
      </c>
      <c r="G412" s="875">
        <v>0</v>
      </c>
      <c r="H412" s="875">
        <v>0</v>
      </c>
      <c r="I412" s="875">
        <v>0</v>
      </c>
      <c r="J412" s="875">
        <v>0</v>
      </c>
      <c r="K412" s="875">
        <v>0</v>
      </c>
      <c r="L412" s="875">
        <v>0</v>
      </c>
      <c r="M412" s="875">
        <v>0</v>
      </c>
      <c r="N412" s="875">
        <v>52400</v>
      </c>
      <c r="O412" s="875">
        <v>0</v>
      </c>
      <c r="P412" s="875">
        <v>0</v>
      </c>
      <c r="Q412" s="875">
        <v>0</v>
      </c>
      <c r="R412" s="875">
        <v>0</v>
      </c>
      <c r="S412" s="875">
        <v>0</v>
      </c>
      <c r="T412" s="875">
        <v>0</v>
      </c>
    </row>
    <row r="413" spans="1:20" s="712" customFormat="1">
      <c r="A413" s="819" t="s">
        <v>13</v>
      </c>
      <c r="B413" s="780"/>
      <c r="C413" s="702">
        <v>52400</v>
      </c>
      <c r="D413" s="702">
        <v>52400</v>
      </c>
      <c r="E413" s="702">
        <v>52400</v>
      </c>
      <c r="F413" s="702">
        <v>52400</v>
      </c>
      <c r="G413" s="702">
        <v>52400</v>
      </c>
      <c r="H413" s="702">
        <v>52400</v>
      </c>
      <c r="I413" s="702">
        <v>52400</v>
      </c>
      <c r="J413" s="702">
        <v>52400</v>
      </c>
      <c r="K413" s="702">
        <v>52400</v>
      </c>
      <c r="L413" s="702">
        <v>52400</v>
      </c>
      <c r="M413" s="702">
        <v>52400</v>
      </c>
      <c r="N413" s="702">
        <v>52400</v>
      </c>
      <c r="O413" s="702">
        <v>0</v>
      </c>
      <c r="P413" s="702">
        <v>0</v>
      </c>
      <c r="Q413" s="702">
        <v>0</v>
      </c>
      <c r="R413" s="702">
        <v>0</v>
      </c>
      <c r="S413" s="702">
        <v>0</v>
      </c>
      <c r="T413" s="702">
        <v>0</v>
      </c>
    </row>
    <row r="414" spans="1:20" s="712" customFormat="1">
      <c r="A414" s="820" t="s">
        <v>172</v>
      </c>
      <c r="B414" s="780" t="s">
        <v>304</v>
      </c>
      <c r="C414" s="889">
        <v>0</v>
      </c>
      <c r="D414" s="889">
        <v>0</v>
      </c>
      <c r="E414" s="889">
        <v>0</v>
      </c>
      <c r="F414" s="889">
        <v>0</v>
      </c>
      <c r="G414" s="889">
        <v>0</v>
      </c>
      <c r="H414" s="889">
        <v>0</v>
      </c>
      <c r="I414" s="889">
        <v>0</v>
      </c>
      <c r="J414" s="889">
        <v>0</v>
      </c>
      <c r="K414" s="889">
        <v>0</v>
      </c>
      <c r="L414" s="889">
        <v>0</v>
      </c>
      <c r="M414" s="889">
        <v>0</v>
      </c>
      <c r="N414" s="889">
        <v>0</v>
      </c>
      <c r="O414" s="889">
        <v>0</v>
      </c>
      <c r="P414" s="889">
        <v>0</v>
      </c>
      <c r="Q414" s="889">
        <v>0</v>
      </c>
      <c r="R414" s="889">
        <v>0</v>
      </c>
      <c r="S414" s="889">
        <v>0</v>
      </c>
      <c r="T414" s="889">
        <v>0</v>
      </c>
    </row>
    <row r="415" spans="1:20" s="712" customFormat="1">
      <c r="A415" s="819" t="s">
        <v>13</v>
      </c>
      <c r="B415" s="780"/>
      <c r="C415" s="702">
        <v>0</v>
      </c>
      <c r="D415" s="702">
        <v>0</v>
      </c>
      <c r="E415" s="702">
        <v>0</v>
      </c>
      <c r="F415" s="702">
        <v>0</v>
      </c>
      <c r="G415" s="702">
        <v>0</v>
      </c>
      <c r="H415" s="702">
        <v>0</v>
      </c>
      <c r="I415" s="702">
        <v>0</v>
      </c>
      <c r="J415" s="702">
        <v>0</v>
      </c>
      <c r="K415" s="702">
        <v>0</v>
      </c>
      <c r="L415" s="702">
        <v>0</v>
      </c>
      <c r="M415" s="702">
        <v>0</v>
      </c>
      <c r="N415" s="702">
        <v>0</v>
      </c>
      <c r="O415" s="702">
        <v>0</v>
      </c>
      <c r="P415" s="702">
        <v>0</v>
      </c>
      <c r="Q415" s="702">
        <v>0</v>
      </c>
      <c r="R415" s="702">
        <v>0</v>
      </c>
      <c r="S415" s="702">
        <v>0</v>
      </c>
      <c r="T415" s="702">
        <v>0</v>
      </c>
    </row>
    <row r="416" spans="1:20" s="712" customFormat="1">
      <c r="A416" s="820" t="s">
        <v>193</v>
      </c>
      <c r="B416" s="780" t="s">
        <v>305</v>
      </c>
      <c r="C416" s="889">
        <v>0</v>
      </c>
      <c r="D416" s="889">
        <v>0</v>
      </c>
      <c r="E416" s="889">
        <v>0</v>
      </c>
      <c r="F416" s="889">
        <v>0</v>
      </c>
      <c r="G416" s="889">
        <v>0</v>
      </c>
      <c r="H416" s="889">
        <v>0</v>
      </c>
      <c r="I416" s="889">
        <v>0</v>
      </c>
      <c r="J416" s="889">
        <v>0</v>
      </c>
      <c r="K416" s="889">
        <v>0</v>
      </c>
      <c r="L416" s="889">
        <v>0</v>
      </c>
      <c r="M416" s="889">
        <v>0</v>
      </c>
      <c r="N416" s="889">
        <v>0</v>
      </c>
      <c r="O416" s="889">
        <v>0</v>
      </c>
      <c r="P416" s="889">
        <v>0</v>
      </c>
      <c r="Q416" s="889">
        <v>0</v>
      </c>
      <c r="R416" s="889">
        <v>0</v>
      </c>
      <c r="S416" s="889">
        <v>0</v>
      </c>
      <c r="T416" s="889">
        <v>0</v>
      </c>
    </row>
    <row r="417" spans="1:20" s="712" customFormat="1">
      <c r="A417" s="819" t="s">
        <v>13</v>
      </c>
      <c r="B417" s="780"/>
      <c r="C417" s="702">
        <v>0</v>
      </c>
      <c r="D417" s="702">
        <v>0</v>
      </c>
      <c r="E417" s="702">
        <v>0</v>
      </c>
      <c r="F417" s="702">
        <v>0</v>
      </c>
      <c r="G417" s="702">
        <v>0</v>
      </c>
      <c r="H417" s="702">
        <v>0</v>
      </c>
      <c r="I417" s="702">
        <v>0</v>
      </c>
      <c r="J417" s="702">
        <v>0</v>
      </c>
      <c r="K417" s="702">
        <v>0</v>
      </c>
      <c r="L417" s="702">
        <v>0</v>
      </c>
      <c r="M417" s="702">
        <v>0</v>
      </c>
      <c r="N417" s="702">
        <v>0</v>
      </c>
      <c r="O417" s="702">
        <v>0</v>
      </c>
      <c r="P417" s="702">
        <v>0</v>
      </c>
      <c r="Q417" s="702">
        <v>0</v>
      </c>
      <c r="R417" s="702">
        <v>0</v>
      </c>
      <c r="S417" s="702">
        <v>0</v>
      </c>
      <c r="T417" s="702">
        <v>0</v>
      </c>
    </row>
    <row r="418" spans="1:20">
      <c r="A418" s="825" t="s">
        <v>151</v>
      </c>
      <c r="B418" s="746"/>
      <c r="C418" s="875">
        <v>0</v>
      </c>
      <c r="D418" s="875">
        <v>0</v>
      </c>
      <c r="E418" s="875">
        <v>0</v>
      </c>
      <c r="F418" s="875">
        <v>0</v>
      </c>
      <c r="G418" s="875">
        <v>0</v>
      </c>
      <c r="H418" s="875">
        <v>0</v>
      </c>
      <c r="I418" s="875">
        <v>0</v>
      </c>
      <c r="J418" s="875">
        <v>0</v>
      </c>
      <c r="K418" s="875">
        <v>0</v>
      </c>
      <c r="L418" s="875">
        <v>22400</v>
      </c>
      <c r="M418" s="875">
        <v>0</v>
      </c>
      <c r="N418" s="875">
        <v>52400</v>
      </c>
      <c r="O418" s="875">
        <v>0</v>
      </c>
      <c r="P418" s="875">
        <v>0</v>
      </c>
      <c r="Q418" s="875">
        <v>55000</v>
      </c>
      <c r="R418" s="875">
        <v>0</v>
      </c>
      <c r="S418" s="875">
        <v>0</v>
      </c>
      <c r="T418" s="875">
        <v>0</v>
      </c>
    </row>
    <row r="419" spans="1:20" s="426" customFormat="1">
      <c r="A419" s="821" t="s">
        <v>13</v>
      </c>
      <c r="B419" s="792"/>
      <c r="C419" s="702">
        <v>129800</v>
      </c>
      <c r="D419" s="702">
        <v>129800</v>
      </c>
      <c r="E419" s="702">
        <v>129800</v>
      </c>
      <c r="F419" s="702">
        <v>129800</v>
      </c>
      <c r="G419" s="702">
        <v>129800</v>
      </c>
      <c r="H419" s="702">
        <v>129800</v>
      </c>
      <c r="I419" s="702">
        <v>129800</v>
      </c>
      <c r="J419" s="702">
        <v>129800</v>
      </c>
      <c r="K419" s="702">
        <v>129800</v>
      </c>
      <c r="L419" s="702">
        <v>129800</v>
      </c>
      <c r="M419" s="702">
        <v>107400</v>
      </c>
      <c r="N419" s="702">
        <v>107400</v>
      </c>
      <c r="O419" s="702">
        <v>55000</v>
      </c>
      <c r="P419" s="702">
        <v>55000</v>
      </c>
      <c r="Q419" s="702">
        <v>55000</v>
      </c>
      <c r="R419" s="702">
        <v>0</v>
      </c>
      <c r="S419" s="702">
        <v>0</v>
      </c>
      <c r="T419" s="702">
        <v>0</v>
      </c>
    </row>
    <row r="420" spans="1:20" s="426" customFormat="1">
      <c r="A420" s="817"/>
      <c r="B420" s="748"/>
      <c r="C420" s="879"/>
      <c r="D420" s="879"/>
      <c r="E420" s="879"/>
      <c r="F420" s="879"/>
      <c r="G420" s="879"/>
      <c r="H420" s="879"/>
      <c r="I420" s="879"/>
      <c r="J420" s="879"/>
      <c r="K420" s="879"/>
      <c r="L420" s="879"/>
      <c r="M420" s="879"/>
      <c r="N420" s="879"/>
      <c r="O420" s="879"/>
      <c r="P420" s="879"/>
      <c r="Q420" s="879"/>
      <c r="R420" s="879"/>
      <c r="S420" s="879"/>
      <c r="T420" s="879"/>
    </row>
    <row r="421" spans="1:20" s="426" customFormat="1">
      <c r="A421" s="817" t="s">
        <v>140</v>
      </c>
      <c r="B421" s="748"/>
      <c r="C421" s="879"/>
      <c r="D421" s="879"/>
      <c r="E421" s="879"/>
      <c r="F421" s="879"/>
      <c r="G421" s="879"/>
      <c r="H421" s="879"/>
      <c r="I421" s="879"/>
      <c r="J421" s="879"/>
      <c r="K421" s="879"/>
      <c r="L421" s="879"/>
      <c r="M421" s="879"/>
      <c r="N421" s="879"/>
      <c r="O421" s="879"/>
      <c r="P421" s="879"/>
      <c r="Q421" s="879"/>
      <c r="R421" s="879"/>
      <c r="S421" s="879"/>
      <c r="T421" s="879"/>
    </row>
    <row r="422" spans="1:20" s="426" customFormat="1">
      <c r="A422" s="818" t="s">
        <v>141</v>
      </c>
      <c r="B422" s="746" t="s">
        <v>306</v>
      </c>
      <c r="C422" s="888">
        <v>0</v>
      </c>
      <c r="D422" s="888">
        <v>0</v>
      </c>
      <c r="E422" s="888">
        <v>0</v>
      </c>
      <c r="F422" s="888">
        <v>0</v>
      </c>
      <c r="G422" s="888">
        <v>0</v>
      </c>
      <c r="H422" s="888">
        <v>0</v>
      </c>
      <c r="I422" s="888">
        <v>0</v>
      </c>
      <c r="J422" s="888">
        <v>0</v>
      </c>
      <c r="K422" s="888">
        <v>0</v>
      </c>
      <c r="L422" s="888">
        <v>0</v>
      </c>
      <c r="M422" s="888">
        <v>0</v>
      </c>
      <c r="N422" s="888">
        <v>0</v>
      </c>
      <c r="O422" s="888">
        <v>0</v>
      </c>
      <c r="P422" s="888">
        <v>0</v>
      </c>
      <c r="Q422" s="888">
        <v>0</v>
      </c>
      <c r="R422" s="888">
        <v>0</v>
      </c>
      <c r="S422" s="888">
        <v>0</v>
      </c>
      <c r="T422" s="888">
        <v>0</v>
      </c>
    </row>
    <row r="423" spans="1:20" s="426" customFormat="1">
      <c r="A423" s="829" t="s">
        <v>13</v>
      </c>
      <c r="B423" s="746"/>
      <c r="C423" s="702">
        <v>0</v>
      </c>
      <c r="D423" s="702">
        <v>0</v>
      </c>
      <c r="E423" s="702">
        <v>0</v>
      </c>
      <c r="F423" s="702">
        <v>0</v>
      </c>
      <c r="G423" s="702">
        <v>0</v>
      </c>
      <c r="H423" s="702">
        <v>0</v>
      </c>
      <c r="I423" s="702">
        <v>0</v>
      </c>
      <c r="J423" s="702">
        <v>0</v>
      </c>
      <c r="K423" s="702">
        <v>0</v>
      </c>
      <c r="L423" s="702">
        <v>0</v>
      </c>
      <c r="M423" s="702">
        <v>0</v>
      </c>
      <c r="N423" s="702">
        <v>0</v>
      </c>
      <c r="O423" s="702">
        <v>0</v>
      </c>
      <c r="P423" s="702">
        <v>0</v>
      </c>
      <c r="Q423" s="702">
        <v>0</v>
      </c>
      <c r="R423" s="702">
        <v>0</v>
      </c>
      <c r="S423" s="702">
        <v>0</v>
      </c>
      <c r="T423" s="702">
        <v>0</v>
      </c>
    </row>
    <row r="424" spans="1:20" s="426" customFormat="1">
      <c r="A424" s="818" t="s">
        <v>142</v>
      </c>
      <c r="B424" s="746" t="s">
        <v>307</v>
      </c>
      <c r="C424" s="888">
        <v>0</v>
      </c>
      <c r="D424" s="888">
        <v>0</v>
      </c>
      <c r="E424" s="888">
        <v>0</v>
      </c>
      <c r="F424" s="888">
        <v>0</v>
      </c>
      <c r="G424" s="888">
        <v>0</v>
      </c>
      <c r="H424" s="888">
        <v>0</v>
      </c>
      <c r="I424" s="888">
        <v>0</v>
      </c>
      <c r="J424" s="888">
        <v>0</v>
      </c>
      <c r="K424" s="888">
        <v>0</v>
      </c>
      <c r="L424" s="888">
        <v>0</v>
      </c>
      <c r="M424" s="888">
        <v>0</v>
      </c>
      <c r="N424" s="888">
        <v>0</v>
      </c>
      <c r="O424" s="888">
        <v>0</v>
      </c>
      <c r="P424" s="888">
        <v>0</v>
      </c>
      <c r="Q424" s="888">
        <v>0</v>
      </c>
      <c r="R424" s="888">
        <v>0</v>
      </c>
      <c r="S424" s="888">
        <v>0</v>
      </c>
      <c r="T424" s="888">
        <v>0</v>
      </c>
    </row>
    <row r="425" spans="1:20" s="426" customFormat="1">
      <c r="A425" s="829" t="s">
        <v>13</v>
      </c>
      <c r="B425" s="746"/>
      <c r="C425" s="702">
        <v>0</v>
      </c>
      <c r="D425" s="702">
        <v>0</v>
      </c>
      <c r="E425" s="702">
        <v>0</v>
      </c>
      <c r="F425" s="702">
        <v>0</v>
      </c>
      <c r="G425" s="702">
        <v>0</v>
      </c>
      <c r="H425" s="702">
        <v>0</v>
      </c>
      <c r="I425" s="702">
        <v>0</v>
      </c>
      <c r="J425" s="702">
        <v>0</v>
      </c>
      <c r="K425" s="702">
        <v>0</v>
      </c>
      <c r="L425" s="702">
        <v>0</v>
      </c>
      <c r="M425" s="702">
        <v>0</v>
      </c>
      <c r="N425" s="702">
        <v>0</v>
      </c>
      <c r="O425" s="702">
        <v>0</v>
      </c>
      <c r="P425" s="702">
        <v>0</v>
      </c>
      <c r="Q425" s="702">
        <v>0</v>
      </c>
      <c r="R425" s="702">
        <v>0</v>
      </c>
      <c r="S425" s="702">
        <v>0</v>
      </c>
      <c r="T425" s="702">
        <v>0</v>
      </c>
    </row>
    <row r="426" spans="1:20" s="426" customFormat="1">
      <c r="A426" s="818" t="s">
        <v>143</v>
      </c>
      <c r="B426" s="746" t="s">
        <v>308</v>
      </c>
      <c r="C426" s="888">
        <v>0</v>
      </c>
      <c r="D426" s="888">
        <v>0</v>
      </c>
      <c r="E426" s="888">
        <v>0</v>
      </c>
      <c r="F426" s="888">
        <v>0</v>
      </c>
      <c r="G426" s="888">
        <v>0</v>
      </c>
      <c r="H426" s="888">
        <v>0</v>
      </c>
      <c r="I426" s="888">
        <v>0</v>
      </c>
      <c r="J426" s="888">
        <v>0</v>
      </c>
      <c r="K426" s="888">
        <v>0</v>
      </c>
      <c r="L426" s="888">
        <v>0</v>
      </c>
      <c r="M426" s="888">
        <v>0</v>
      </c>
      <c r="N426" s="888">
        <v>0</v>
      </c>
      <c r="O426" s="888">
        <v>0</v>
      </c>
      <c r="P426" s="888">
        <v>0</v>
      </c>
      <c r="Q426" s="888">
        <v>0</v>
      </c>
      <c r="R426" s="888">
        <v>0</v>
      </c>
      <c r="S426" s="888">
        <v>0</v>
      </c>
      <c r="T426" s="888">
        <v>0</v>
      </c>
    </row>
    <row r="427" spans="1:20" s="426" customFormat="1">
      <c r="A427" s="829" t="s">
        <v>13</v>
      </c>
      <c r="B427" s="746"/>
      <c r="C427" s="702">
        <v>0</v>
      </c>
      <c r="D427" s="702">
        <v>0</v>
      </c>
      <c r="E427" s="702">
        <v>0</v>
      </c>
      <c r="F427" s="702">
        <v>0</v>
      </c>
      <c r="G427" s="702">
        <v>0</v>
      </c>
      <c r="H427" s="702">
        <v>0</v>
      </c>
      <c r="I427" s="702">
        <v>0</v>
      </c>
      <c r="J427" s="702">
        <v>0</v>
      </c>
      <c r="K427" s="702">
        <v>0</v>
      </c>
      <c r="L427" s="702">
        <v>0</v>
      </c>
      <c r="M427" s="702">
        <v>0</v>
      </c>
      <c r="N427" s="702">
        <v>0</v>
      </c>
      <c r="O427" s="702">
        <v>0</v>
      </c>
      <c r="P427" s="702">
        <v>0</v>
      </c>
      <c r="Q427" s="702">
        <v>0</v>
      </c>
      <c r="R427" s="702">
        <v>0</v>
      </c>
      <c r="S427" s="702">
        <v>0</v>
      </c>
      <c r="T427" s="702">
        <v>0</v>
      </c>
    </row>
    <row r="428" spans="1:20" s="426" customFormat="1">
      <c r="A428" s="820" t="s">
        <v>242</v>
      </c>
      <c r="B428" s="746" t="s">
        <v>309</v>
      </c>
      <c r="C428" s="889">
        <v>0</v>
      </c>
      <c r="D428" s="889">
        <v>0</v>
      </c>
      <c r="E428" s="889">
        <v>0</v>
      </c>
      <c r="F428" s="889">
        <v>0</v>
      </c>
      <c r="G428" s="889">
        <v>0</v>
      </c>
      <c r="H428" s="889">
        <v>0</v>
      </c>
      <c r="I428" s="889">
        <v>0</v>
      </c>
      <c r="J428" s="889">
        <v>0</v>
      </c>
      <c r="K428" s="889">
        <v>0</v>
      </c>
      <c r="L428" s="889">
        <v>0</v>
      </c>
      <c r="M428" s="889">
        <v>0</v>
      </c>
      <c r="N428" s="889">
        <v>0</v>
      </c>
      <c r="O428" s="889">
        <v>0</v>
      </c>
      <c r="P428" s="889">
        <v>0</v>
      </c>
      <c r="Q428" s="889">
        <v>0</v>
      </c>
      <c r="R428" s="889">
        <v>0</v>
      </c>
      <c r="S428" s="889">
        <v>0</v>
      </c>
      <c r="T428" s="889">
        <v>0</v>
      </c>
    </row>
    <row r="429" spans="1:20" s="426" customFormat="1">
      <c r="A429" s="829" t="s">
        <v>13</v>
      </c>
      <c r="B429" s="746"/>
      <c r="C429" s="702">
        <v>0</v>
      </c>
      <c r="D429" s="702">
        <v>0</v>
      </c>
      <c r="E429" s="702">
        <v>0</v>
      </c>
      <c r="F429" s="702">
        <v>0</v>
      </c>
      <c r="G429" s="702">
        <v>0</v>
      </c>
      <c r="H429" s="702">
        <v>0</v>
      </c>
      <c r="I429" s="702">
        <v>0</v>
      </c>
      <c r="J429" s="702">
        <v>0</v>
      </c>
      <c r="K429" s="702">
        <v>0</v>
      </c>
      <c r="L429" s="702">
        <v>0</v>
      </c>
      <c r="M429" s="702">
        <v>0</v>
      </c>
      <c r="N429" s="702">
        <v>0</v>
      </c>
      <c r="O429" s="702">
        <v>0</v>
      </c>
      <c r="P429" s="702">
        <v>0</v>
      </c>
      <c r="Q429" s="702">
        <v>0</v>
      </c>
      <c r="R429" s="702">
        <v>0</v>
      </c>
      <c r="S429" s="702">
        <v>0</v>
      </c>
      <c r="T429" s="702">
        <v>0</v>
      </c>
    </row>
    <row r="430" spans="1:20" s="426" customFormat="1">
      <c r="A430" s="820" t="s">
        <v>241</v>
      </c>
      <c r="B430" s="746" t="s">
        <v>310</v>
      </c>
      <c r="C430" s="889">
        <v>0</v>
      </c>
      <c r="D430" s="889">
        <v>0</v>
      </c>
      <c r="E430" s="889">
        <v>0</v>
      </c>
      <c r="F430" s="889">
        <v>0</v>
      </c>
      <c r="G430" s="889">
        <v>0</v>
      </c>
      <c r="H430" s="889">
        <v>0</v>
      </c>
      <c r="I430" s="889">
        <v>0</v>
      </c>
      <c r="J430" s="889">
        <v>0</v>
      </c>
      <c r="K430" s="889">
        <v>0</v>
      </c>
      <c r="L430" s="889">
        <v>0</v>
      </c>
      <c r="M430" s="889">
        <v>0</v>
      </c>
      <c r="N430" s="889">
        <v>0</v>
      </c>
      <c r="O430" s="889">
        <v>0</v>
      </c>
      <c r="P430" s="889">
        <v>0</v>
      </c>
      <c r="Q430" s="889">
        <v>0</v>
      </c>
      <c r="R430" s="889">
        <v>0</v>
      </c>
      <c r="S430" s="889">
        <v>0</v>
      </c>
      <c r="T430" s="889">
        <v>0</v>
      </c>
    </row>
    <row r="431" spans="1:20" s="426" customFormat="1">
      <c r="A431" s="829" t="s">
        <v>13</v>
      </c>
      <c r="B431" s="746"/>
      <c r="C431" s="702">
        <v>0</v>
      </c>
      <c r="D431" s="702">
        <v>0</v>
      </c>
      <c r="E431" s="702">
        <v>0</v>
      </c>
      <c r="F431" s="702">
        <v>0</v>
      </c>
      <c r="G431" s="702">
        <v>0</v>
      </c>
      <c r="H431" s="702">
        <v>0</v>
      </c>
      <c r="I431" s="702">
        <v>0</v>
      </c>
      <c r="J431" s="702">
        <v>0</v>
      </c>
      <c r="K431" s="702">
        <v>0</v>
      </c>
      <c r="L431" s="702">
        <v>0</v>
      </c>
      <c r="M431" s="702">
        <v>0</v>
      </c>
      <c r="N431" s="702">
        <v>0</v>
      </c>
      <c r="O431" s="702">
        <v>0</v>
      </c>
      <c r="P431" s="702">
        <v>0</v>
      </c>
      <c r="Q431" s="702">
        <v>0</v>
      </c>
      <c r="R431" s="702">
        <v>0</v>
      </c>
      <c r="S431" s="702">
        <v>0</v>
      </c>
      <c r="T431" s="702">
        <v>0</v>
      </c>
    </row>
    <row r="432" spans="1:20" s="426" customFormat="1">
      <c r="A432" s="818" t="s">
        <v>144</v>
      </c>
      <c r="B432" s="746" t="s">
        <v>311</v>
      </c>
      <c r="C432" s="875">
        <v>0</v>
      </c>
      <c r="D432" s="875">
        <v>0</v>
      </c>
      <c r="E432" s="875">
        <v>0</v>
      </c>
      <c r="F432" s="875">
        <v>0</v>
      </c>
      <c r="G432" s="875">
        <v>0</v>
      </c>
      <c r="H432" s="875">
        <v>0</v>
      </c>
      <c r="I432" s="875">
        <v>0</v>
      </c>
      <c r="J432" s="875">
        <v>0</v>
      </c>
      <c r="K432" s="875">
        <v>0</v>
      </c>
      <c r="L432" s="875">
        <v>0</v>
      </c>
      <c r="M432" s="875">
        <v>0</v>
      </c>
      <c r="N432" s="875">
        <v>0</v>
      </c>
      <c r="O432" s="875">
        <v>0</v>
      </c>
      <c r="P432" s="875">
        <v>0</v>
      </c>
      <c r="Q432" s="875">
        <v>0</v>
      </c>
      <c r="R432" s="875">
        <v>0</v>
      </c>
      <c r="S432" s="875">
        <v>0</v>
      </c>
      <c r="T432" s="875">
        <v>0</v>
      </c>
    </row>
    <row r="433" spans="1:20" s="426" customFormat="1">
      <c r="A433" s="829" t="s">
        <v>13</v>
      </c>
      <c r="B433" s="746"/>
      <c r="C433" s="702">
        <v>0</v>
      </c>
      <c r="D433" s="702">
        <v>0</v>
      </c>
      <c r="E433" s="702">
        <v>0</v>
      </c>
      <c r="F433" s="702">
        <v>0</v>
      </c>
      <c r="G433" s="702">
        <v>0</v>
      </c>
      <c r="H433" s="702">
        <v>0</v>
      </c>
      <c r="I433" s="702">
        <v>0</v>
      </c>
      <c r="J433" s="702">
        <v>0</v>
      </c>
      <c r="K433" s="702">
        <v>0</v>
      </c>
      <c r="L433" s="702">
        <v>0</v>
      </c>
      <c r="M433" s="702">
        <v>0</v>
      </c>
      <c r="N433" s="702">
        <v>0</v>
      </c>
      <c r="O433" s="702">
        <v>0</v>
      </c>
      <c r="P433" s="702">
        <v>0</v>
      </c>
      <c r="Q433" s="702">
        <v>0</v>
      </c>
      <c r="R433" s="702">
        <v>0</v>
      </c>
      <c r="S433" s="702">
        <v>0</v>
      </c>
      <c r="T433" s="702">
        <v>0</v>
      </c>
    </row>
    <row r="434" spans="1:20" s="426" customFormat="1">
      <c r="A434" s="818" t="s">
        <v>145</v>
      </c>
      <c r="B434" s="746" t="s">
        <v>312</v>
      </c>
      <c r="C434" s="875">
        <v>0</v>
      </c>
      <c r="D434" s="875">
        <v>0</v>
      </c>
      <c r="E434" s="875">
        <v>0</v>
      </c>
      <c r="F434" s="875">
        <v>0</v>
      </c>
      <c r="G434" s="875">
        <v>0</v>
      </c>
      <c r="H434" s="875">
        <v>0</v>
      </c>
      <c r="I434" s="875">
        <v>0</v>
      </c>
      <c r="J434" s="875">
        <v>0</v>
      </c>
      <c r="K434" s="875">
        <v>0</v>
      </c>
      <c r="L434" s="875">
        <v>0</v>
      </c>
      <c r="M434" s="875">
        <v>0</v>
      </c>
      <c r="N434" s="875">
        <v>0</v>
      </c>
      <c r="O434" s="875">
        <v>0</v>
      </c>
      <c r="P434" s="875">
        <v>0</v>
      </c>
      <c r="Q434" s="875">
        <v>0</v>
      </c>
      <c r="R434" s="875">
        <v>0</v>
      </c>
      <c r="S434" s="875">
        <v>0</v>
      </c>
      <c r="T434" s="875">
        <v>0</v>
      </c>
    </row>
    <row r="435" spans="1:20" s="426" customFormat="1">
      <c r="A435" s="829" t="s">
        <v>13</v>
      </c>
      <c r="B435" s="746"/>
      <c r="C435" s="702">
        <v>0</v>
      </c>
      <c r="D435" s="702">
        <v>0</v>
      </c>
      <c r="E435" s="702">
        <v>0</v>
      </c>
      <c r="F435" s="702">
        <v>0</v>
      </c>
      <c r="G435" s="702">
        <v>0</v>
      </c>
      <c r="H435" s="702">
        <v>0</v>
      </c>
      <c r="I435" s="702">
        <v>0</v>
      </c>
      <c r="J435" s="702">
        <v>0</v>
      </c>
      <c r="K435" s="702">
        <v>0</v>
      </c>
      <c r="L435" s="702">
        <v>0</v>
      </c>
      <c r="M435" s="702">
        <v>0</v>
      </c>
      <c r="N435" s="702">
        <v>0</v>
      </c>
      <c r="O435" s="702">
        <v>0</v>
      </c>
      <c r="P435" s="702">
        <v>0</v>
      </c>
      <c r="Q435" s="702">
        <v>0</v>
      </c>
      <c r="R435" s="702">
        <v>0</v>
      </c>
      <c r="S435" s="702">
        <v>0</v>
      </c>
      <c r="T435" s="702">
        <v>0</v>
      </c>
    </row>
    <row r="436" spans="1:20" s="426" customFormat="1">
      <c r="A436" s="820" t="s">
        <v>346</v>
      </c>
      <c r="B436" s="746" t="s">
        <v>528</v>
      </c>
      <c r="C436" s="875">
        <v>0</v>
      </c>
      <c r="D436" s="875">
        <v>0</v>
      </c>
      <c r="E436" s="875">
        <v>0</v>
      </c>
      <c r="F436" s="875">
        <v>0</v>
      </c>
      <c r="G436" s="875">
        <v>0</v>
      </c>
      <c r="H436" s="875">
        <v>0</v>
      </c>
      <c r="I436" s="875">
        <v>0</v>
      </c>
      <c r="J436" s="875">
        <v>0</v>
      </c>
      <c r="K436" s="875">
        <v>0</v>
      </c>
      <c r="L436" s="875">
        <v>0</v>
      </c>
      <c r="M436" s="875">
        <v>0</v>
      </c>
      <c r="N436" s="875">
        <v>0</v>
      </c>
      <c r="O436" s="875">
        <v>0</v>
      </c>
      <c r="P436" s="875">
        <v>0</v>
      </c>
      <c r="Q436" s="875">
        <v>0</v>
      </c>
      <c r="R436" s="875">
        <v>0</v>
      </c>
      <c r="S436" s="875">
        <v>0</v>
      </c>
      <c r="T436" s="875">
        <v>0</v>
      </c>
    </row>
    <row r="437" spans="1:20" s="426" customFormat="1">
      <c r="A437" s="829" t="s">
        <v>13</v>
      </c>
      <c r="B437" s="746"/>
      <c r="C437" s="702">
        <v>0</v>
      </c>
      <c r="D437" s="702">
        <v>0</v>
      </c>
      <c r="E437" s="702">
        <v>0</v>
      </c>
      <c r="F437" s="702">
        <v>0</v>
      </c>
      <c r="G437" s="702">
        <v>0</v>
      </c>
      <c r="H437" s="702">
        <v>0</v>
      </c>
      <c r="I437" s="702">
        <v>0</v>
      </c>
      <c r="J437" s="702">
        <v>0</v>
      </c>
      <c r="K437" s="702">
        <v>0</v>
      </c>
      <c r="L437" s="702">
        <v>0</v>
      </c>
      <c r="M437" s="702">
        <v>0</v>
      </c>
      <c r="N437" s="702">
        <v>0</v>
      </c>
      <c r="O437" s="702">
        <v>0</v>
      </c>
      <c r="P437" s="702">
        <v>0</v>
      </c>
      <c r="Q437" s="702">
        <v>0</v>
      </c>
      <c r="R437" s="702">
        <v>0</v>
      </c>
      <c r="S437" s="702">
        <v>0</v>
      </c>
      <c r="T437" s="702">
        <v>0</v>
      </c>
    </row>
    <row r="438" spans="1:20" s="426" customFormat="1">
      <c r="A438" s="818" t="s">
        <v>146</v>
      </c>
      <c r="B438" s="746" t="s">
        <v>313</v>
      </c>
      <c r="C438" s="875">
        <v>0</v>
      </c>
      <c r="D438" s="875">
        <v>0</v>
      </c>
      <c r="E438" s="875">
        <v>0</v>
      </c>
      <c r="F438" s="875">
        <v>0</v>
      </c>
      <c r="G438" s="875">
        <v>0</v>
      </c>
      <c r="H438" s="875">
        <v>0</v>
      </c>
      <c r="I438" s="875">
        <v>0</v>
      </c>
      <c r="J438" s="875">
        <v>0</v>
      </c>
      <c r="K438" s="875">
        <v>0</v>
      </c>
      <c r="L438" s="875">
        <v>0</v>
      </c>
      <c r="M438" s="875">
        <v>0</v>
      </c>
      <c r="N438" s="875">
        <v>0</v>
      </c>
      <c r="O438" s="875">
        <v>0</v>
      </c>
      <c r="P438" s="875">
        <v>0</v>
      </c>
      <c r="Q438" s="875">
        <v>0</v>
      </c>
      <c r="R438" s="875">
        <v>0</v>
      </c>
      <c r="S438" s="875">
        <v>0</v>
      </c>
      <c r="T438" s="875">
        <v>0</v>
      </c>
    </row>
    <row r="439" spans="1:20" s="426" customFormat="1">
      <c r="A439" s="830" t="s">
        <v>13</v>
      </c>
      <c r="B439" s="746"/>
      <c r="C439" s="720">
        <v>0</v>
      </c>
      <c r="D439" s="720">
        <v>0</v>
      </c>
      <c r="E439" s="720">
        <v>0</v>
      </c>
      <c r="F439" s="720">
        <v>0</v>
      </c>
      <c r="G439" s="720">
        <v>0</v>
      </c>
      <c r="H439" s="720">
        <v>0</v>
      </c>
      <c r="I439" s="720">
        <v>0</v>
      </c>
      <c r="J439" s="720">
        <v>0</v>
      </c>
      <c r="K439" s="720">
        <v>0</v>
      </c>
      <c r="L439" s="720">
        <v>0</v>
      </c>
      <c r="M439" s="720">
        <v>0</v>
      </c>
      <c r="N439" s="720">
        <v>0</v>
      </c>
      <c r="O439" s="720">
        <v>0</v>
      </c>
      <c r="P439" s="720">
        <v>0</v>
      </c>
      <c r="Q439" s="720">
        <v>0</v>
      </c>
      <c r="R439" s="720">
        <v>0</v>
      </c>
      <c r="S439" s="720">
        <v>0</v>
      </c>
      <c r="T439" s="720">
        <v>0</v>
      </c>
    </row>
    <row r="440" spans="1:20">
      <c r="A440" s="28" t="s">
        <v>147</v>
      </c>
      <c r="B440" s="746" t="s">
        <v>314</v>
      </c>
      <c r="C440" s="875">
        <v>0</v>
      </c>
      <c r="D440" s="875">
        <v>0</v>
      </c>
      <c r="E440" s="875">
        <v>0</v>
      </c>
      <c r="F440" s="875">
        <v>0</v>
      </c>
      <c r="G440" s="875">
        <v>0</v>
      </c>
      <c r="H440" s="875">
        <v>0</v>
      </c>
      <c r="I440" s="875">
        <v>0</v>
      </c>
      <c r="J440" s="875">
        <v>0</v>
      </c>
      <c r="K440" s="875">
        <v>0</v>
      </c>
      <c r="L440" s="875">
        <v>0</v>
      </c>
      <c r="M440" s="875">
        <v>0</v>
      </c>
      <c r="N440" s="875">
        <v>0</v>
      </c>
      <c r="O440" s="875">
        <v>0</v>
      </c>
      <c r="P440" s="875">
        <v>0</v>
      </c>
      <c r="Q440" s="875">
        <v>0</v>
      </c>
      <c r="R440" s="875">
        <v>0</v>
      </c>
      <c r="S440" s="875">
        <v>0</v>
      </c>
      <c r="T440" s="875">
        <v>0</v>
      </c>
    </row>
    <row r="441" spans="1:20" s="426" customFormat="1">
      <c r="A441" s="830" t="s">
        <v>13</v>
      </c>
      <c r="B441" s="746"/>
      <c r="C441" s="702">
        <v>0</v>
      </c>
      <c r="D441" s="702">
        <v>0</v>
      </c>
      <c r="E441" s="702">
        <v>0</v>
      </c>
      <c r="F441" s="702">
        <v>0</v>
      </c>
      <c r="G441" s="702">
        <v>0</v>
      </c>
      <c r="H441" s="702">
        <v>0</v>
      </c>
      <c r="I441" s="702">
        <v>0</v>
      </c>
      <c r="J441" s="702">
        <v>0</v>
      </c>
      <c r="K441" s="702">
        <v>0</v>
      </c>
      <c r="L441" s="702">
        <v>0</v>
      </c>
      <c r="M441" s="702">
        <v>0</v>
      </c>
      <c r="N441" s="702">
        <v>0</v>
      </c>
      <c r="O441" s="702">
        <v>0</v>
      </c>
      <c r="P441" s="702">
        <v>0</v>
      </c>
      <c r="Q441" s="702">
        <v>0</v>
      </c>
      <c r="R441" s="702">
        <v>0</v>
      </c>
      <c r="S441" s="702">
        <v>0</v>
      </c>
      <c r="T441" s="702">
        <v>0</v>
      </c>
    </row>
    <row r="442" spans="1:20" s="426" customFormat="1">
      <c r="A442" s="825" t="s">
        <v>230</v>
      </c>
      <c r="B442" s="746" t="s">
        <v>315</v>
      </c>
      <c r="C442" s="875">
        <v>0</v>
      </c>
      <c r="D442" s="875">
        <v>0</v>
      </c>
      <c r="E442" s="875">
        <v>0</v>
      </c>
      <c r="F442" s="875">
        <v>0</v>
      </c>
      <c r="G442" s="875">
        <v>0</v>
      </c>
      <c r="H442" s="875">
        <v>0</v>
      </c>
      <c r="I442" s="875">
        <v>0</v>
      </c>
      <c r="J442" s="875">
        <v>0</v>
      </c>
      <c r="K442" s="875">
        <v>0</v>
      </c>
      <c r="L442" s="875">
        <v>0</v>
      </c>
      <c r="M442" s="875">
        <v>0</v>
      </c>
      <c r="N442" s="875">
        <v>0</v>
      </c>
      <c r="O442" s="875">
        <v>0</v>
      </c>
      <c r="P442" s="875">
        <v>0</v>
      </c>
      <c r="Q442" s="875">
        <v>0</v>
      </c>
      <c r="R442" s="875">
        <v>0</v>
      </c>
      <c r="S442" s="875">
        <v>0</v>
      </c>
      <c r="T442" s="875">
        <v>0</v>
      </c>
    </row>
    <row r="443" spans="1:20" s="426" customFormat="1">
      <c r="A443" s="830" t="s">
        <v>13</v>
      </c>
      <c r="B443" s="746"/>
      <c r="C443" s="702">
        <v>0</v>
      </c>
      <c r="D443" s="702">
        <v>0</v>
      </c>
      <c r="E443" s="702">
        <v>0</v>
      </c>
      <c r="F443" s="702">
        <v>0</v>
      </c>
      <c r="G443" s="702">
        <v>0</v>
      </c>
      <c r="H443" s="702">
        <v>0</v>
      </c>
      <c r="I443" s="702">
        <v>0</v>
      </c>
      <c r="J443" s="702">
        <v>0</v>
      </c>
      <c r="K443" s="702">
        <v>0</v>
      </c>
      <c r="L443" s="702">
        <v>0</v>
      </c>
      <c r="M443" s="702">
        <v>0</v>
      </c>
      <c r="N443" s="702">
        <v>0</v>
      </c>
      <c r="O443" s="702">
        <v>0</v>
      </c>
      <c r="P443" s="702">
        <v>0</v>
      </c>
      <c r="Q443" s="702">
        <v>0</v>
      </c>
      <c r="R443" s="702">
        <v>0</v>
      </c>
      <c r="S443" s="702">
        <v>0</v>
      </c>
      <c r="T443" s="702">
        <v>0</v>
      </c>
    </row>
    <row r="444" spans="1:20" s="426" customFormat="1">
      <c r="A444" s="825" t="s">
        <v>231</v>
      </c>
      <c r="B444" s="746" t="s">
        <v>316</v>
      </c>
      <c r="C444" s="875">
        <v>0</v>
      </c>
      <c r="D444" s="875">
        <v>0</v>
      </c>
      <c r="E444" s="875">
        <v>0</v>
      </c>
      <c r="F444" s="875">
        <v>0</v>
      </c>
      <c r="G444" s="875">
        <v>0</v>
      </c>
      <c r="H444" s="875">
        <v>0</v>
      </c>
      <c r="I444" s="875">
        <v>0</v>
      </c>
      <c r="J444" s="875">
        <v>0</v>
      </c>
      <c r="K444" s="875">
        <v>0</v>
      </c>
      <c r="L444" s="875">
        <v>0</v>
      </c>
      <c r="M444" s="875">
        <v>0</v>
      </c>
      <c r="N444" s="875">
        <v>0</v>
      </c>
      <c r="O444" s="875">
        <v>0</v>
      </c>
      <c r="P444" s="875">
        <v>0</v>
      </c>
      <c r="Q444" s="875">
        <v>0</v>
      </c>
      <c r="R444" s="875">
        <v>0</v>
      </c>
      <c r="S444" s="875">
        <v>0</v>
      </c>
      <c r="T444" s="875">
        <v>0</v>
      </c>
    </row>
    <row r="445" spans="1:20" s="426" customFormat="1">
      <c r="A445" s="830" t="s">
        <v>13</v>
      </c>
      <c r="B445" s="746"/>
      <c r="C445" s="702">
        <v>0</v>
      </c>
      <c r="D445" s="702">
        <v>0</v>
      </c>
      <c r="E445" s="702">
        <v>0</v>
      </c>
      <c r="F445" s="702">
        <v>0</v>
      </c>
      <c r="G445" s="702">
        <v>0</v>
      </c>
      <c r="H445" s="702">
        <v>0</v>
      </c>
      <c r="I445" s="702">
        <v>0</v>
      </c>
      <c r="J445" s="702">
        <v>0</v>
      </c>
      <c r="K445" s="702">
        <v>0</v>
      </c>
      <c r="L445" s="702">
        <v>0</v>
      </c>
      <c r="M445" s="702">
        <v>0</v>
      </c>
      <c r="N445" s="702">
        <v>0</v>
      </c>
      <c r="O445" s="702">
        <v>0</v>
      </c>
      <c r="P445" s="702">
        <v>0</v>
      </c>
      <c r="Q445" s="702">
        <v>0</v>
      </c>
      <c r="R445" s="702">
        <v>0</v>
      </c>
      <c r="S445" s="702">
        <v>0</v>
      </c>
      <c r="T445" s="702">
        <v>0</v>
      </c>
    </row>
    <row r="446" spans="1:20" s="426" customFormat="1">
      <c r="A446" s="825" t="s">
        <v>232</v>
      </c>
      <c r="B446" s="746" t="s">
        <v>317</v>
      </c>
      <c r="C446" s="875">
        <v>0</v>
      </c>
      <c r="D446" s="875">
        <v>0</v>
      </c>
      <c r="E446" s="875">
        <v>0</v>
      </c>
      <c r="F446" s="875">
        <v>0</v>
      </c>
      <c r="G446" s="875">
        <v>0</v>
      </c>
      <c r="H446" s="875">
        <v>0</v>
      </c>
      <c r="I446" s="875">
        <v>0</v>
      </c>
      <c r="J446" s="875">
        <v>0</v>
      </c>
      <c r="K446" s="875">
        <v>0</v>
      </c>
      <c r="L446" s="875">
        <v>0</v>
      </c>
      <c r="M446" s="875">
        <v>0</v>
      </c>
      <c r="N446" s="875">
        <v>0</v>
      </c>
      <c r="O446" s="875">
        <v>0</v>
      </c>
      <c r="P446" s="875">
        <v>0</v>
      </c>
      <c r="Q446" s="875">
        <v>0</v>
      </c>
      <c r="R446" s="875">
        <v>0</v>
      </c>
      <c r="S446" s="875">
        <v>0</v>
      </c>
      <c r="T446" s="875">
        <v>0</v>
      </c>
    </row>
    <row r="447" spans="1:20" s="426" customFormat="1">
      <c r="A447" s="830" t="s">
        <v>13</v>
      </c>
      <c r="B447" s="746"/>
      <c r="C447" s="702">
        <v>0</v>
      </c>
      <c r="D447" s="702">
        <v>0</v>
      </c>
      <c r="E447" s="702">
        <v>0</v>
      </c>
      <c r="F447" s="702">
        <v>0</v>
      </c>
      <c r="G447" s="702">
        <v>0</v>
      </c>
      <c r="H447" s="702">
        <v>0</v>
      </c>
      <c r="I447" s="702">
        <v>0</v>
      </c>
      <c r="J447" s="702">
        <v>0</v>
      </c>
      <c r="K447" s="702">
        <v>0</v>
      </c>
      <c r="L447" s="702">
        <v>0</v>
      </c>
      <c r="M447" s="702">
        <v>0</v>
      </c>
      <c r="N447" s="702">
        <v>0</v>
      </c>
      <c r="O447" s="702">
        <v>0</v>
      </c>
      <c r="P447" s="702">
        <v>0</v>
      </c>
      <c r="Q447" s="702">
        <v>0</v>
      </c>
      <c r="R447" s="702">
        <v>0</v>
      </c>
      <c r="S447" s="702">
        <v>0</v>
      </c>
      <c r="T447" s="702">
        <v>0</v>
      </c>
    </row>
    <row r="448" spans="1:20" s="426" customFormat="1">
      <c r="A448" s="825" t="s">
        <v>233</v>
      </c>
      <c r="B448" s="746" t="s">
        <v>318</v>
      </c>
      <c r="C448" s="875">
        <v>0</v>
      </c>
      <c r="D448" s="875">
        <v>0</v>
      </c>
      <c r="E448" s="875">
        <v>0</v>
      </c>
      <c r="F448" s="875">
        <v>0</v>
      </c>
      <c r="G448" s="875">
        <v>0</v>
      </c>
      <c r="H448" s="875">
        <v>0</v>
      </c>
      <c r="I448" s="875">
        <v>0</v>
      </c>
      <c r="J448" s="875">
        <v>0</v>
      </c>
      <c r="K448" s="875">
        <v>0</v>
      </c>
      <c r="L448" s="875">
        <v>0</v>
      </c>
      <c r="M448" s="875">
        <v>0</v>
      </c>
      <c r="N448" s="875">
        <v>0</v>
      </c>
      <c r="O448" s="875">
        <v>0</v>
      </c>
      <c r="P448" s="875">
        <v>0</v>
      </c>
      <c r="Q448" s="875">
        <v>0</v>
      </c>
      <c r="R448" s="875">
        <v>0</v>
      </c>
      <c r="S448" s="875">
        <v>0</v>
      </c>
      <c r="T448" s="875">
        <v>0</v>
      </c>
    </row>
    <row r="449" spans="1:20" s="426" customFormat="1">
      <c r="A449" s="830" t="s">
        <v>13</v>
      </c>
      <c r="B449" s="746"/>
      <c r="C449" s="702">
        <v>0</v>
      </c>
      <c r="D449" s="702">
        <v>0</v>
      </c>
      <c r="E449" s="702">
        <v>0</v>
      </c>
      <c r="F449" s="702">
        <v>0</v>
      </c>
      <c r="G449" s="702">
        <v>0</v>
      </c>
      <c r="H449" s="702">
        <v>0</v>
      </c>
      <c r="I449" s="702">
        <v>0</v>
      </c>
      <c r="J449" s="702">
        <v>0</v>
      </c>
      <c r="K449" s="702">
        <v>0</v>
      </c>
      <c r="L449" s="702">
        <v>0</v>
      </c>
      <c r="M449" s="702">
        <v>0</v>
      </c>
      <c r="N449" s="702">
        <v>0</v>
      </c>
      <c r="O449" s="702">
        <v>0</v>
      </c>
      <c r="P449" s="702">
        <v>0</v>
      </c>
      <c r="Q449" s="702">
        <v>0</v>
      </c>
      <c r="R449" s="702">
        <v>0</v>
      </c>
      <c r="S449" s="702">
        <v>0</v>
      </c>
      <c r="T449" s="702">
        <v>0</v>
      </c>
    </row>
    <row r="450" spans="1:20" s="426" customFormat="1">
      <c r="A450" s="825" t="s">
        <v>234</v>
      </c>
      <c r="B450" s="746" t="s">
        <v>319</v>
      </c>
      <c r="C450" s="875">
        <v>0</v>
      </c>
      <c r="D450" s="875">
        <v>0</v>
      </c>
      <c r="E450" s="875">
        <v>0</v>
      </c>
      <c r="F450" s="875">
        <v>0</v>
      </c>
      <c r="G450" s="875">
        <v>0</v>
      </c>
      <c r="H450" s="875">
        <v>0</v>
      </c>
      <c r="I450" s="875">
        <v>0</v>
      </c>
      <c r="J450" s="875">
        <v>0</v>
      </c>
      <c r="K450" s="875">
        <v>0</v>
      </c>
      <c r="L450" s="875">
        <v>0</v>
      </c>
      <c r="M450" s="875">
        <v>0</v>
      </c>
      <c r="N450" s="875">
        <v>0</v>
      </c>
      <c r="O450" s="875">
        <v>0</v>
      </c>
      <c r="P450" s="875">
        <v>0</v>
      </c>
      <c r="Q450" s="875">
        <v>0</v>
      </c>
      <c r="R450" s="875">
        <v>0</v>
      </c>
      <c r="S450" s="875">
        <v>0</v>
      </c>
      <c r="T450" s="875">
        <v>0</v>
      </c>
    </row>
    <row r="451" spans="1:20" s="426" customFormat="1">
      <c r="A451" s="830" t="s">
        <v>13</v>
      </c>
      <c r="B451" s="746"/>
      <c r="C451" s="702">
        <v>0</v>
      </c>
      <c r="D451" s="702">
        <v>0</v>
      </c>
      <c r="E451" s="702">
        <v>0</v>
      </c>
      <c r="F451" s="702">
        <v>0</v>
      </c>
      <c r="G451" s="702">
        <v>0</v>
      </c>
      <c r="H451" s="702">
        <v>0</v>
      </c>
      <c r="I451" s="702">
        <v>0</v>
      </c>
      <c r="J451" s="702">
        <v>0</v>
      </c>
      <c r="K451" s="702">
        <v>0</v>
      </c>
      <c r="L451" s="702">
        <v>0</v>
      </c>
      <c r="M451" s="702">
        <v>0</v>
      </c>
      <c r="N451" s="702">
        <v>0</v>
      </c>
      <c r="O451" s="702">
        <v>0</v>
      </c>
      <c r="P451" s="702">
        <v>0</v>
      </c>
      <c r="Q451" s="702">
        <v>0</v>
      </c>
      <c r="R451" s="702">
        <v>0</v>
      </c>
      <c r="S451" s="702">
        <v>0</v>
      </c>
      <c r="T451" s="702">
        <v>0</v>
      </c>
    </row>
    <row r="452" spans="1:20" s="426" customFormat="1">
      <c r="A452" s="825" t="s">
        <v>235</v>
      </c>
      <c r="B452" s="746" t="s">
        <v>320</v>
      </c>
      <c r="C452" s="875">
        <v>0</v>
      </c>
      <c r="D452" s="875">
        <v>0</v>
      </c>
      <c r="E452" s="875">
        <v>0</v>
      </c>
      <c r="F452" s="875">
        <v>0</v>
      </c>
      <c r="G452" s="875">
        <v>0</v>
      </c>
      <c r="H452" s="875">
        <v>0</v>
      </c>
      <c r="I452" s="875">
        <v>0</v>
      </c>
      <c r="J452" s="875">
        <v>0</v>
      </c>
      <c r="K452" s="875">
        <v>0</v>
      </c>
      <c r="L452" s="875">
        <v>0</v>
      </c>
      <c r="M452" s="875">
        <v>0</v>
      </c>
      <c r="N452" s="875">
        <v>0</v>
      </c>
      <c r="O452" s="875">
        <v>0</v>
      </c>
      <c r="P452" s="875">
        <v>0</v>
      </c>
      <c r="Q452" s="875">
        <v>0</v>
      </c>
      <c r="R452" s="875">
        <v>0</v>
      </c>
      <c r="S452" s="875">
        <v>0</v>
      </c>
      <c r="T452" s="875">
        <v>0</v>
      </c>
    </row>
    <row r="453" spans="1:20" s="426" customFormat="1">
      <c r="A453" s="830" t="s">
        <v>13</v>
      </c>
      <c r="B453" s="746"/>
      <c r="C453" s="702">
        <v>0</v>
      </c>
      <c r="D453" s="702">
        <v>0</v>
      </c>
      <c r="E453" s="702">
        <v>0</v>
      </c>
      <c r="F453" s="702">
        <v>0</v>
      </c>
      <c r="G453" s="702">
        <v>0</v>
      </c>
      <c r="H453" s="702">
        <v>0</v>
      </c>
      <c r="I453" s="702">
        <v>0</v>
      </c>
      <c r="J453" s="702">
        <v>0</v>
      </c>
      <c r="K453" s="702">
        <v>0</v>
      </c>
      <c r="L453" s="702">
        <v>0</v>
      </c>
      <c r="M453" s="702">
        <v>0</v>
      </c>
      <c r="N453" s="702">
        <v>0</v>
      </c>
      <c r="O453" s="702">
        <v>0</v>
      </c>
      <c r="P453" s="702">
        <v>0</v>
      </c>
      <c r="Q453" s="702">
        <v>0</v>
      </c>
      <c r="R453" s="702">
        <v>0</v>
      </c>
      <c r="S453" s="702">
        <v>0</v>
      </c>
      <c r="T453" s="702">
        <v>0</v>
      </c>
    </row>
    <row r="454" spans="1:20" s="426" customFormat="1">
      <c r="A454" s="825" t="s">
        <v>236</v>
      </c>
      <c r="B454" s="746" t="s">
        <v>321</v>
      </c>
      <c r="C454" s="875">
        <v>0</v>
      </c>
      <c r="D454" s="875">
        <v>0</v>
      </c>
      <c r="E454" s="875">
        <v>0</v>
      </c>
      <c r="F454" s="875">
        <v>0</v>
      </c>
      <c r="G454" s="875">
        <v>0</v>
      </c>
      <c r="H454" s="875">
        <v>0</v>
      </c>
      <c r="I454" s="875">
        <v>0</v>
      </c>
      <c r="J454" s="875">
        <v>0</v>
      </c>
      <c r="K454" s="875">
        <v>0</v>
      </c>
      <c r="L454" s="875">
        <v>0</v>
      </c>
      <c r="M454" s="875">
        <v>0</v>
      </c>
      <c r="N454" s="875">
        <v>0</v>
      </c>
      <c r="O454" s="875">
        <v>0</v>
      </c>
      <c r="P454" s="875">
        <v>0</v>
      </c>
      <c r="Q454" s="875">
        <v>0</v>
      </c>
      <c r="R454" s="875">
        <v>0</v>
      </c>
      <c r="S454" s="875">
        <v>0</v>
      </c>
      <c r="T454" s="875">
        <v>0</v>
      </c>
    </row>
    <row r="455" spans="1:20" s="426" customFormat="1">
      <c r="A455" s="830" t="s">
        <v>13</v>
      </c>
      <c r="B455" s="746"/>
      <c r="C455" s="702">
        <v>0</v>
      </c>
      <c r="D455" s="702">
        <v>0</v>
      </c>
      <c r="E455" s="702">
        <v>0</v>
      </c>
      <c r="F455" s="702">
        <v>0</v>
      </c>
      <c r="G455" s="702">
        <v>0</v>
      </c>
      <c r="H455" s="702">
        <v>0</v>
      </c>
      <c r="I455" s="702">
        <v>0</v>
      </c>
      <c r="J455" s="702">
        <v>0</v>
      </c>
      <c r="K455" s="702">
        <v>0</v>
      </c>
      <c r="L455" s="702">
        <v>0</v>
      </c>
      <c r="M455" s="702">
        <v>0</v>
      </c>
      <c r="N455" s="702">
        <v>0</v>
      </c>
      <c r="O455" s="702">
        <v>0</v>
      </c>
      <c r="P455" s="702">
        <v>0</v>
      </c>
      <c r="Q455" s="702">
        <v>0</v>
      </c>
      <c r="R455" s="702">
        <v>0</v>
      </c>
      <c r="S455" s="702">
        <v>0</v>
      </c>
      <c r="T455" s="702">
        <v>0</v>
      </c>
    </row>
    <row r="456" spans="1:20">
      <c r="A456" s="825" t="s">
        <v>151</v>
      </c>
      <c r="B456" s="746"/>
      <c r="C456" s="875">
        <v>0</v>
      </c>
      <c r="D456" s="875">
        <v>0</v>
      </c>
      <c r="E456" s="875">
        <v>0</v>
      </c>
      <c r="F456" s="875">
        <v>0</v>
      </c>
      <c r="G456" s="875">
        <v>0</v>
      </c>
      <c r="H456" s="875">
        <v>0</v>
      </c>
      <c r="I456" s="875">
        <v>0</v>
      </c>
      <c r="J456" s="875">
        <v>0</v>
      </c>
      <c r="K456" s="875">
        <v>0</v>
      </c>
      <c r="L456" s="875">
        <v>0</v>
      </c>
      <c r="M456" s="875">
        <v>0</v>
      </c>
      <c r="N456" s="875">
        <v>0</v>
      </c>
      <c r="O456" s="875">
        <v>0</v>
      </c>
      <c r="P456" s="875">
        <v>0</v>
      </c>
      <c r="Q456" s="875">
        <v>0</v>
      </c>
      <c r="R456" s="875">
        <v>0</v>
      </c>
      <c r="S456" s="875">
        <v>0</v>
      </c>
      <c r="T456" s="875">
        <v>0</v>
      </c>
    </row>
    <row r="457" spans="1:20" s="426" customFormat="1">
      <c r="A457" s="831" t="s">
        <v>13</v>
      </c>
      <c r="B457" s="792"/>
      <c r="C457" s="702">
        <v>0</v>
      </c>
      <c r="D457" s="702">
        <v>0</v>
      </c>
      <c r="E457" s="702">
        <v>0</v>
      </c>
      <c r="F457" s="702">
        <v>0</v>
      </c>
      <c r="G457" s="702">
        <v>0</v>
      </c>
      <c r="H457" s="702">
        <v>0</v>
      </c>
      <c r="I457" s="702">
        <v>0</v>
      </c>
      <c r="J457" s="702">
        <v>0</v>
      </c>
      <c r="K457" s="702">
        <v>0</v>
      </c>
      <c r="L457" s="702">
        <v>0</v>
      </c>
      <c r="M457" s="702">
        <v>0</v>
      </c>
      <c r="N457" s="702">
        <v>0</v>
      </c>
      <c r="O457" s="702">
        <v>0</v>
      </c>
      <c r="P457" s="702">
        <v>0</v>
      </c>
      <c r="Q457" s="702">
        <v>0</v>
      </c>
      <c r="R457" s="702">
        <v>0</v>
      </c>
      <c r="S457" s="702">
        <v>0</v>
      </c>
      <c r="T457" s="702">
        <v>0</v>
      </c>
    </row>
    <row r="458" spans="1:20">
      <c r="A458" s="1"/>
      <c r="B458" s="748"/>
      <c r="C458" s="890"/>
      <c r="D458" s="890"/>
      <c r="E458" s="890"/>
      <c r="F458" s="890"/>
      <c r="G458" s="890"/>
      <c r="H458" s="890"/>
      <c r="I458" s="890"/>
      <c r="J458" s="890"/>
      <c r="K458" s="890"/>
      <c r="L458" s="890"/>
      <c r="M458" s="890"/>
      <c r="N458" s="890"/>
      <c r="O458" s="890"/>
      <c r="P458" s="890"/>
      <c r="Q458" s="890"/>
      <c r="R458" s="890"/>
      <c r="S458" s="890"/>
      <c r="T458" s="890"/>
    </row>
    <row r="459" spans="1:20" s="426" customFormat="1">
      <c r="A459" s="29" t="s">
        <v>156</v>
      </c>
      <c r="B459" s="748"/>
      <c r="C459" s="891"/>
      <c r="D459" s="891"/>
      <c r="E459" s="891"/>
      <c r="F459" s="891"/>
      <c r="G459" s="891"/>
      <c r="H459" s="891"/>
      <c r="I459" s="891"/>
      <c r="J459" s="891"/>
      <c r="K459" s="891"/>
      <c r="L459" s="891"/>
      <c r="M459" s="891"/>
      <c r="N459" s="891"/>
      <c r="O459" s="891"/>
      <c r="P459" s="891"/>
      <c r="Q459" s="891"/>
      <c r="R459" s="891"/>
      <c r="S459" s="891"/>
      <c r="T459" s="891"/>
    </row>
    <row r="460" spans="1:20">
      <c r="A460" s="28" t="s">
        <v>157</v>
      </c>
      <c r="B460" s="746"/>
      <c r="C460" s="875"/>
      <c r="D460" s="875"/>
      <c r="E460" s="875"/>
      <c r="F460" s="875"/>
      <c r="G460" s="875"/>
      <c r="H460" s="875"/>
      <c r="I460" s="875"/>
      <c r="J460" s="875"/>
      <c r="K460" s="875"/>
      <c r="L460" s="875"/>
      <c r="M460" s="875"/>
      <c r="N460" s="875"/>
      <c r="O460" s="875"/>
      <c r="P460" s="875"/>
      <c r="Q460" s="875"/>
      <c r="R460" s="875"/>
      <c r="S460" s="875"/>
      <c r="T460" s="875"/>
    </row>
    <row r="461" spans="1:20">
      <c r="A461" s="28" t="s">
        <v>158</v>
      </c>
      <c r="B461" s="746" t="s">
        <v>322</v>
      </c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0</v>
      </c>
      <c r="K461" s="875">
        <v>0</v>
      </c>
      <c r="L461" s="875">
        <v>0</v>
      </c>
      <c r="M461" s="875">
        <v>0</v>
      </c>
      <c r="N461" s="875">
        <v>0</v>
      </c>
      <c r="O461" s="875">
        <v>0</v>
      </c>
      <c r="P461" s="875">
        <v>0</v>
      </c>
      <c r="Q461" s="875">
        <v>3894000</v>
      </c>
      <c r="R461" s="875">
        <v>0</v>
      </c>
      <c r="S461" s="875">
        <v>0</v>
      </c>
      <c r="T461" s="875">
        <v>0</v>
      </c>
    </row>
    <row r="462" spans="1:20" s="712" customFormat="1">
      <c r="A462" s="829" t="s">
        <v>13</v>
      </c>
      <c r="B462" s="780"/>
      <c r="C462" s="702">
        <v>3894000</v>
      </c>
      <c r="D462" s="702">
        <v>3894000</v>
      </c>
      <c r="E462" s="702">
        <v>3894000</v>
      </c>
      <c r="F462" s="702">
        <v>3894000</v>
      </c>
      <c r="G462" s="702">
        <v>3894000</v>
      </c>
      <c r="H462" s="702">
        <v>3894000</v>
      </c>
      <c r="I462" s="702">
        <v>3894000</v>
      </c>
      <c r="J462" s="702">
        <v>3894000</v>
      </c>
      <c r="K462" s="702">
        <v>3894000</v>
      </c>
      <c r="L462" s="702">
        <v>3894000</v>
      </c>
      <c r="M462" s="702">
        <v>3894000</v>
      </c>
      <c r="N462" s="702">
        <v>3894000</v>
      </c>
      <c r="O462" s="702">
        <v>3894000</v>
      </c>
      <c r="P462" s="702">
        <v>3894000</v>
      </c>
      <c r="Q462" s="702">
        <v>3894000</v>
      </c>
      <c r="R462" s="702">
        <v>0</v>
      </c>
      <c r="S462" s="702">
        <v>0</v>
      </c>
      <c r="T462" s="702">
        <v>0</v>
      </c>
    </row>
    <row r="463" spans="1:20">
      <c r="A463" s="28" t="s">
        <v>159</v>
      </c>
      <c r="B463" s="746" t="s">
        <v>323</v>
      </c>
      <c r="C463" s="875">
        <v>0</v>
      </c>
      <c r="D463" s="875">
        <v>0</v>
      </c>
      <c r="E463" s="875">
        <v>0</v>
      </c>
      <c r="F463" s="875">
        <v>0</v>
      </c>
      <c r="G463" s="875">
        <v>0</v>
      </c>
      <c r="H463" s="875">
        <v>0</v>
      </c>
      <c r="I463" s="875">
        <v>0</v>
      </c>
      <c r="J463" s="875">
        <v>0</v>
      </c>
      <c r="K463" s="875">
        <v>0</v>
      </c>
      <c r="L463" s="875">
        <v>0</v>
      </c>
      <c r="M463" s="875">
        <v>0</v>
      </c>
      <c r="N463" s="875">
        <v>0</v>
      </c>
      <c r="O463" s="875">
        <v>0</v>
      </c>
      <c r="P463" s="875">
        <v>0</v>
      </c>
      <c r="Q463" s="875">
        <v>0</v>
      </c>
      <c r="R463" s="875">
        <v>0</v>
      </c>
      <c r="S463" s="875">
        <v>0</v>
      </c>
      <c r="T463" s="875">
        <v>0</v>
      </c>
    </row>
    <row r="464" spans="1:20" s="712" customFormat="1">
      <c r="A464" s="829" t="s">
        <v>13</v>
      </c>
      <c r="B464" s="780"/>
      <c r="C464" s="702">
        <v>0</v>
      </c>
      <c r="D464" s="702">
        <v>0</v>
      </c>
      <c r="E464" s="702">
        <v>0</v>
      </c>
      <c r="F464" s="702">
        <v>0</v>
      </c>
      <c r="G464" s="702">
        <v>0</v>
      </c>
      <c r="H464" s="702">
        <v>0</v>
      </c>
      <c r="I464" s="702">
        <v>0</v>
      </c>
      <c r="J464" s="702">
        <v>0</v>
      </c>
      <c r="K464" s="702">
        <v>0</v>
      </c>
      <c r="L464" s="702">
        <v>0</v>
      </c>
      <c r="M464" s="702">
        <v>0</v>
      </c>
      <c r="N464" s="702">
        <v>0</v>
      </c>
      <c r="O464" s="702">
        <v>0</v>
      </c>
      <c r="P464" s="702">
        <v>0</v>
      </c>
      <c r="Q464" s="702">
        <v>0</v>
      </c>
      <c r="R464" s="702">
        <v>0</v>
      </c>
      <c r="S464" s="702">
        <v>0</v>
      </c>
      <c r="T464" s="702">
        <v>0</v>
      </c>
    </row>
    <row r="465" spans="1:20" s="265" customFormat="1">
      <c r="A465" s="820" t="s">
        <v>151</v>
      </c>
      <c r="B465" s="832"/>
      <c r="C465" s="875">
        <v>0</v>
      </c>
      <c r="D465" s="875">
        <v>0</v>
      </c>
      <c r="E465" s="875">
        <v>0</v>
      </c>
      <c r="F465" s="875">
        <v>0</v>
      </c>
      <c r="G465" s="875">
        <v>0</v>
      </c>
      <c r="H465" s="875">
        <v>0</v>
      </c>
      <c r="I465" s="875">
        <v>0</v>
      </c>
      <c r="J465" s="875">
        <v>0</v>
      </c>
      <c r="K465" s="875">
        <v>0</v>
      </c>
      <c r="L465" s="875">
        <v>0</v>
      </c>
      <c r="M465" s="875">
        <v>0</v>
      </c>
      <c r="N465" s="875">
        <v>0</v>
      </c>
      <c r="O465" s="875">
        <v>0</v>
      </c>
      <c r="P465" s="875">
        <v>0</v>
      </c>
      <c r="Q465" s="875">
        <v>3894000</v>
      </c>
      <c r="R465" s="875">
        <v>0</v>
      </c>
      <c r="S465" s="875">
        <v>0</v>
      </c>
      <c r="T465" s="875">
        <v>0</v>
      </c>
    </row>
    <row r="466" spans="1:20">
      <c r="A466" s="830" t="s">
        <v>13</v>
      </c>
      <c r="B466" s="746"/>
      <c r="C466" s="720">
        <v>3894000</v>
      </c>
      <c r="D466" s="720">
        <v>3894000</v>
      </c>
      <c r="E466" s="720">
        <v>3894000</v>
      </c>
      <c r="F466" s="720">
        <v>3894000</v>
      </c>
      <c r="G466" s="720">
        <v>3894000</v>
      </c>
      <c r="H466" s="720">
        <v>3894000</v>
      </c>
      <c r="I466" s="720">
        <v>3894000</v>
      </c>
      <c r="J466" s="720">
        <v>3894000</v>
      </c>
      <c r="K466" s="720">
        <v>3894000</v>
      </c>
      <c r="L466" s="720">
        <v>3894000</v>
      </c>
      <c r="M466" s="720">
        <v>3894000</v>
      </c>
      <c r="N466" s="720">
        <v>3894000</v>
      </c>
      <c r="O466" s="720">
        <v>3894000</v>
      </c>
      <c r="P466" s="720">
        <v>3894000</v>
      </c>
      <c r="Q466" s="720">
        <v>3894000</v>
      </c>
      <c r="R466" s="720">
        <v>0</v>
      </c>
      <c r="S466" s="720">
        <v>0</v>
      </c>
      <c r="T466" s="720">
        <v>0</v>
      </c>
    </row>
    <row r="467" spans="1:20">
      <c r="A467" s="833" t="s">
        <v>167</v>
      </c>
      <c r="B467" s="746"/>
      <c r="C467" s="720">
        <v>-3894000</v>
      </c>
      <c r="D467" s="720">
        <v>-3894000</v>
      </c>
      <c r="E467" s="720">
        <v>-3894000</v>
      </c>
      <c r="F467" s="720">
        <v>-3894000</v>
      </c>
      <c r="G467" s="720">
        <v>-3894000</v>
      </c>
      <c r="H467" s="720">
        <v>-3894000</v>
      </c>
      <c r="I467" s="720">
        <v>-3894000</v>
      </c>
      <c r="J467" s="720">
        <v>-3894000</v>
      </c>
      <c r="K467" s="720">
        <v>-3894000</v>
      </c>
      <c r="L467" s="720">
        <v>-3894000</v>
      </c>
      <c r="M467" s="720">
        <v>-3894000</v>
      </c>
      <c r="N467" s="720">
        <v>-3894000</v>
      </c>
      <c r="O467" s="720">
        <v>-3894000</v>
      </c>
      <c r="P467" s="720">
        <v>-3894000</v>
      </c>
      <c r="Q467" s="720">
        <v>-3894000</v>
      </c>
      <c r="R467" s="720">
        <v>0</v>
      </c>
      <c r="S467" s="720">
        <v>0</v>
      </c>
      <c r="T467" s="720">
        <v>0</v>
      </c>
    </row>
    <row r="468" spans="1:20">
      <c r="A468" s="834"/>
      <c r="B468" s="748"/>
      <c r="C468" s="892"/>
      <c r="D468" s="892"/>
      <c r="E468" s="892"/>
      <c r="F468" s="892"/>
      <c r="G468" s="892"/>
      <c r="H468" s="892"/>
      <c r="I468" s="892"/>
      <c r="J468" s="892"/>
      <c r="K468" s="892"/>
      <c r="L468" s="892"/>
      <c r="M468" s="892"/>
      <c r="N468" s="892"/>
      <c r="O468" s="892"/>
      <c r="P468" s="892"/>
      <c r="Q468" s="892"/>
      <c r="R468" s="892"/>
      <c r="S468" s="892"/>
      <c r="T468" s="892"/>
    </row>
    <row r="469" spans="1:20">
      <c r="A469" s="834" t="s">
        <v>364</v>
      </c>
      <c r="B469" s="748"/>
      <c r="C469" s="892">
        <v>0</v>
      </c>
      <c r="D469" s="892">
        <v>0</v>
      </c>
      <c r="E469" s="892">
        <v>0</v>
      </c>
      <c r="F469" s="892">
        <v>0</v>
      </c>
      <c r="G469" s="892">
        <v>0</v>
      </c>
      <c r="H469" s="892">
        <v>0</v>
      </c>
      <c r="I469" s="892">
        <v>0</v>
      </c>
      <c r="J469" s="892">
        <v>0</v>
      </c>
      <c r="K469" s="892">
        <v>0</v>
      </c>
      <c r="L469" s="892">
        <v>0</v>
      </c>
      <c r="M469" s="892">
        <v>0</v>
      </c>
      <c r="N469" s="892">
        <v>0</v>
      </c>
      <c r="O469" s="892">
        <v>0</v>
      </c>
      <c r="P469" s="892">
        <v>100000</v>
      </c>
      <c r="Q469" s="892">
        <v>0</v>
      </c>
      <c r="R469" s="892">
        <v>0</v>
      </c>
      <c r="S469" s="892">
        <v>0</v>
      </c>
      <c r="T469" s="892">
        <v>0</v>
      </c>
    </row>
    <row r="470" spans="1:20">
      <c r="A470" s="835" t="s">
        <v>13</v>
      </c>
      <c r="B470" s="748"/>
      <c r="C470" s="720">
        <v>100000</v>
      </c>
      <c r="D470" s="720">
        <v>100000</v>
      </c>
      <c r="E470" s="720">
        <v>100000</v>
      </c>
      <c r="F470" s="720">
        <v>100000</v>
      </c>
      <c r="G470" s="720">
        <v>100000</v>
      </c>
      <c r="H470" s="720">
        <v>100000</v>
      </c>
      <c r="I470" s="720">
        <v>100000</v>
      </c>
      <c r="J470" s="720">
        <v>100000</v>
      </c>
      <c r="K470" s="720">
        <v>100000</v>
      </c>
      <c r="L470" s="720">
        <v>100000</v>
      </c>
      <c r="M470" s="720">
        <v>100000</v>
      </c>
      <c r="N470" s="720">
        <v>100000</v>
      </c>
      <c r="O470" s="720">
        <v>100000</v>
      </c>
      <c r="P470" s="720">
        <v>100000</v>
      </c>
      <c r="Q470" s="720">
        <v>0</v>
      </c>
      <c r="R470" s="720">
        <v>0</v>
      </c>
      <c r="S470" s="720">
        <v>0</v>
      </c>
      <c r="T470" s="720">
        <v>0</v>
      </c>
    </row>
    <row r="471" spans="1:20">
      <c r="A471" s="836" t="s">
        <v>365</v>
      </c>
      <c r="B471" s="748" t="s">
        <v>529</v>
      </c>
      <c r="C471" s="892">
        <v>0</v>
      </c>
      <c r="D471" s="892">
        <v>0</v>
      </c>
      <c r="E471" s="892">
        <v>0</v>
      </c>
      <c r="F471" s="892">
        <v>0</v>
      </c>
      <c r="G471" s="892">
        <v>0</v>
      </c>
      <c r="H471" s="892">
        <v>0</v>
      </c>
      <c r="I471" s="892">
        <v>0</v>
      </c>
      <c r="J471" s="892">
        <v>0</v>
      </c>
      <c r="K471" s="892">
        <v>0</v>
      </c>
      <c r="L471" s="892">
        <v>0</v>
      </c>
      <c r="M471" s="892">
        <v>0</v>
      </c>
      <c r="N471" s="892">
        <v>0</v>
      </c>
      <c r="O471" s="892">
        <v>0</v>
      </c>
      <c r="P471" s="892">
        <v>0</v>
      </c>
      <c r="Q471" s="892">
        <v>0</v>
      </c>
      <c r="R471" s="892">
        <v>0</v>
      </c>
      <c r="S471" s="892">
        <v>0</v>
      </c>
      <c r="T471" s="892">
        <v>0</v>
      </c>
    </row>
    <row r="472" spans="1:20">
      <c r="A472" s="835" t="s">
        <v>13</v>
      </c>
      <c r="B472" s="748"/>
      <c r="C472" s="720">
        <v>0</v>
      </c>
      <c r="D472" s="720">
        <v>0</v>
      </c>
      <c r="E472" s="720">
        <v>0</v>
      </c>
      <c r="F472" s="720">
        <v>0</v>
      </c>
      <c r="G472" s="720">
        <v>0</v>
      </c>
      <c r="H472" s="720">
        <v>0</v>
      </c>
      <c r="I472" s="720">
        <v>0</v>
      </c>
      <c r="J472" s="720">
        <v>0</v>
      </c>
      <c r="K472" s="720">
        <v>0</v>
      </c>
      <c r="L472" s="720">
        <v>0</v>
      </c>
      <c r="M472" s="720">
        <v>0</v>
      </c>
      <c r="N472" s="720">
        <v>0</v>
      </c>
      <c r="O472" s="720">
        <v>0</v>
      </c>
      <c r="P472" s="720">
        <v>0</v>
      </c>
      <c r="Q472" s="720">
        <v>0</v>
      </c>
      <c r="R472" s="720">
        <v>0</v>
      </c>
      <c r="S472" s="720">
        <v>0</v>
      </c>
      <c r="T472" s="720">
        <v>0</v>
      </c>
    </row>
    <row r="473" spans="1:20">
      <c r="A473" s="836" t="s">
        <v>366</v>
      </c>
      <c r="B473" s="748" t="s">
        <v>530</v>
      </c>
      <c r="C473" s="892">
        <v>0</v>
      </c>
      <c r="D473" s="892">
        <v>0</v>
      </c>
      <c r="E473" s="892">
        <v>0</v>
      </c>
      <c r="F473" s="892">
        <v>0</v>
      </c>
      <c r="G473" s="892">
        <v>0</v>
      </c>
      <c r="H473" s="892">
        <v>0</v>
      </c>
      <c r="I473" s="892">
        <v>0</v>
      </c>
      <c r="J473" s="892">
        <v>0</v>
      </c>
      <c r="K473" s="892">
        <v>0</v>
      </c>
      <c r="L473" s="892">
        <v>0</v>
      </c>
      <c r="M473" s="892">
        <v>0</v>
      </c>
      <c r="N473" s="892">
        <v>0</v>
      </c>
      <c r="O473" s="892">
        <v>0</v>
      </c>
      <c r="P473" s="892">
        <v>100000</v>
      </c>
      <c r="Q473" s="892">
        <v>0</v>
      </c>
      <c r="R473" s="892">
        <v>0</v>
      </c>
      <c r="S473" s="892">
        <v>0</v>
      </c>
      <c r="T473" s="892">
        <v>0</v>
      </c>
    </row>
    <row r="474" spans="1:20">
      <c r="A474" s="835" t="s">
        <v>13</v>
      </c>
      <c r="B474" s="748"/>
      <c r="C474" s="720">
        <v>100000</v>
      </c>
      <c r="D474" s="720">
        <v>100000</v>
      </c>
      <c r="E474" s="720">
        <v>100000</v>
      </c>
      <c r="F474" s="720">
        <v>100000</v>
      </c>
      <c r="G474" s="720">
        <v>100000</v>
      </c>
      <c r="H474" s="720">
        <v>100000</v>
      </c>
      <c r="I474" s="720">
        <v>100000</v>
      </c>
      <c r="J474" s="720">
        <v>100000</v>
      </c>
      <c r="K474" s="720">
        <v>100000</v>
      </c>
      <c r="L474" s="720">
        <v>100000</v>
      </c>
      <c r="M474" s="720">
        <v>100000</v>
      </c>
      <c r="N474" s="720">
        <v>100000</v>
      </c>
      <c r="O474" s="720">
        <v>100000</v>
      </c>
      <c r="P474" s="720">
        <v>100000</v>
      </c>
      <c r="Q474" s="720">
        <v>0</v>
      </c>
      <c r="R474" s="720">
        <v>0</v>
      </c>
      <c r="S474" s="720">
        <v>0</v>
      </c>
      <c r="T474" s="720">
        <v>0</v>
      </c>
    </row>
    <row r="475" spans="1:20">
      <c r="A475" s="834"/>
      <c r="B475" s="748"/>
      <c r="C475" s="892"/>
      <c r="D475" s="892"/>
      <c r="E475" s="892"/>
      <c r="F475" s="892"/>
      <c r="G475" s="892"/>
      <c r="H475" s="892"/>
      <c r="I475" s="892"/>
      <c r="J475" s="892"/>
      <c r="K475" s="892"/>
      <c r="L475" s="892"/>
      <c r="M475" s="892"/>
      <c r="N475" s="892"/>
      <c r="O475" s="892"/>
      <c r="P475" s="892"/>
      <c r="Q475" s="892"/>
      <c r="R475" s="892"/>
      <c r="S475" s="892"/>
      <c r="T475" s="892"/>
    </row>
    <row r="476" spans="1:20">
      <c r="A476" s="834" t="s">
        <v>187</v>
      </c>
      <c r="B476" s="748" t="s">
        <v>531</v>
      </c>
      <c r="C476" s="892">
        <v>0</v>
      </c>
      <c r="D476" s="892">
        <v>0</v>
      </c>
      <c r="E476" s="892">
        <v>0</v>
      </c>
      <c r="F476" s="892">
        <v>0</v>
      </c>
      <c r="G476" s="892">
        <v>0</v>
      </c>
      <c r="H476" s="892">
        <v>0</v>
      </c>
      <c r="I476" s="892">
        <v>0</v>
      </c>
      <c r="J476" s="892">
        <v>0</v>
      </c>
      <c r="K476" s="892">
        <v>0</v>
      </c>
      <c r="L476" s="892">
        <v>0</v>
      </c>
      <c r="M476" s="892">
        <v>0</v>
      </c>
      <c r="N476" s="892">
        <v>0</v>
      </c>
      <c r="O476" s="892">
        <v>0</v>
      </c>
      <c r="P476" s="892">
        <v>0</v>
      </c>
      <c r="Q476" s="892">
        <v>0</v>
      </c>
      <c r="R476" s="892">
        <v>0</v>
      </c>
      <c r="S476" s="892">
        <v>0</v>
      </c>
      <c r="T476" s="892">
        <v>0</v>
      </c>
    </row>
    <row r="477" spans="1:20">
      <c r="A477" s="834" t="s">
        <v>13</v>
      </c>
      <c r="B477" s="748"/>
      <c r="C477" s="720">
        <v>0</v>
      </c>
      <c r="D477" s="720">
        <v>0</v>
      </c>
      <c r="E477" s="720">
        <v>0</v>
      </c>
      <c r="F477" s="720">
        <v>0</v>
      </c>
      <c r="G477" s="720">
        <v>0</v>
      </c>
      <c r="H477" s="720">
        <v>0</v>
      </c>
      <c r="I477" s="720">
        <v>0</v>
      </c>
      <c r="J477" s="720">
        <v>0</v>
      </c>
      <c r="K477" s="720">
        <v>0</v>
      </c>
      <c r="L477" s="720">
        <v>0</v>
      </c>
      <c r="M477" s="720">
        <v>0</v>
      </c>
      <c r="N477" s="720">
        <v>0</v>
      </c>
      <c r="O477" s="720">
        <v>0</v>
      </c>
      <c r="P477" s="720">
        <v>0</v>
      </c>
      <c r="Q477" s="720">
        <v>0</v>
      </c>
      <c r="R477" s="720">
        <v>0</v>
      </c>
      <c r="S477" s="720">
        <v>0</v>
      </c>
      <c r="T477" s="720">
        <v>0</v>
      </c>
    </row>
    <row r="478" spans="1:20">
      <c r="A478" s="1"/>
      <c r="B478" s="748"/>
      <c r="C478" s="890"/>
      <c r="D478" s="890"/>
      <c r="E478" s="890"/>
      <c r="F478" s="890"/>
      <c r="G478" s="890"/>
      <c r="H478" s="890"/>
      <c r="I478" s="890"/>
      <c r="J478" s="890"/>
      <c r="K478" s="890"/>
      <c r="L478" s="890"/>
      <c r="M478" s="890"/>
      <c r="N478" s="890"/>
      <c r="O478" s="890"/>
      <c r="P478" s="890"/>
      <c r="Q478" s="890"/>
      <c r="R478" s="890"/>
      <c r="S478" s="890"/>
      <c r="T478" s="890"/>
    </row>
    <row r="479" spans="1:20">
      <c r="A479" s="11" t="s">
        <v>100</v>
      </c>
      <c r="B479" s="792"/>
      <c r="C479" s="880">
        <v>7355500</v>
      </c>
      <c r="D479" s="880">
        <v>758400</v>
      </c>
      <c r="E479" s="880">
        <v>104000</v>
      </c>
      <c r="F479" s="880">
        <v>1000500</v>
      </c>
      <c r="G479" s="880">
        <v>3015500</v>
      </c>
      <c r="H479" s="880">
        <v>1492078</v>
      </c>
      <c r="I479" s="880">
        <v>1464000</v>
      </c>
      <c r="J479" s="880">
        <v>1106659</v>
      </c>
      <c r="K479" s="880">
        <v>3883603</v>
      </c>
      <c r="L479" s="880">
        <v>3533847</v>
      </c>
      <c r="M479" s="880">
        <v>425000</v>
      </c>
      <c r="N479" s="880">
        <v>1673900</v>
      </c>
      <c r="O479" s="880">
        <v>170000</v>
      </c>
      <c r="P479" s="880">
        <v>266000</v>
      </c>
      <c r="Q479" s="880">
        <v>10820996</v>
      </c>
      <c r="R479" s="880">
        <v>1513400</v>
      </c>
      <c r="S479" s="880">
        <v>1200000</v>
      </c>
      <c r="T479" s="880">
        <v>0</v>
      </c>
    </row>
    <row r="480" spans="1:20" s="426" customFormat="1">
      <c r="A480" s="828" t="s">
        <v>59</v>
      </c>
      <c r="B480" s="792"/>
      <c r="C480" s="720">
        <v>39783383</v>
      </c>
      <c r="D480" s="720">
        <v>32427883</v>
      </c>
      <c r="E480" s="720">
        <v>31669483</v>
      </c>
      <c r="F480" s="720">
        <v>31565483</v>
      </c>
      <c r="G480" s="720">
        <v>30564983</v>
      </c>
      <c r="H480" s="720">
        <v>27549483</v>
      </c>
      <c r="I480" s="720">
        <v>26057405</v>
      </c>
      <c r="J480" s="720">
        <v>24593405</v>
      </c>
      <c r="K480" s="720">
        <v>23486746</v>
      </c>
      <c r="L480" s="720">
        <v>19603143</v>
      </c>
      <c r="M480" s="720">
        <v>16069296</v>
      </c>
      <c r="N480" s="720">
        <v>15644296</v>
      </c>
      <c r="O480" s="720">
        <v>13970396</v>
      </c>
      <c r="P480" s="720">
        <v>13800396</v>
      </c>
      <c r="Q480" s="720">
        <v>13534396</v>
      </c>
      <c r="R480" s="720">
        <v>2713400</v>
      </c>
      <c r="S480" s="720">
        <v>1200000</v>
      </c>
      <c r="T480" s="720">
        <v>0</v>
      </c>
    </row>
    <row r="481" spans="1:20">
      <c r="A481" s="11"/>
      <c r="B481" s="837"/>
      <c r="C481" s="893"/>
      <c r="D481" s="893"/>
      <c r="E481" s="893"/>
      <c r="F481" s="893"/>
      <c r="G481" s="893"/>
      <c r="H481" s="893"/>
      <c r="I481" s="893"/>
      <c r="J481" s="893"/>
      <c r="K481" s="893"/>
      <c r="L481" s="893"/>
      <c r="M481" s="893"/>
      <c r="N481" s="893"/>
      <c r="O481" s="893"/>
      <c r="P481" s="893"/>
      <c r="Q481" s="893"/>
      <c r="R481" s="893"/>
      <c r="S481" s="893"/>
      <c r="T481" s="893"/>
    </row>
    <row r="482" spans="1:20" s="722" customFormat="1" ht="21">
      <c r="A482" s="838" t="s">
        <v>60</v>
      </c>
      <c r="B482" s="839"/>
      <c r="C482" s="894">
        <v>4244900</v>
      </c>
      <c r="D482" s="894">
        <v>9066242</v>
      </c>
      <c r="E482" s="894">
        <v>8518649</v>
      </c>
      <c r="F482" s="894">
        <v>8325819</v>
      </c>
      <c r="G482" s="894">
        <v>6424312</v>
      </c>
      <c r="H482" s="894">
        <v>7797721</v>
      </c>
      <c r="I482" s="894">
        <v>6305644</v>
      </c>
      <c r="J482" s="894">
        <v>6045995</v>
      </c>
      <c r="K482" s="894">
        <v>5565752</v>
      </c>
      <c r="L482" s="894">
        <v>7849093</v>
      </c>
      <c r="M482" s="894">
        <v>9547749</v>
      </c>
      <c r="N482" s="894">
        <v>8657795</v>
      </c>
      <c r="O482" s="894">
        <v>6037062</v>
      </c>
      <c r="P482" s="894">
        <v>3341099</v>
      </c>
      <c r="Q482" s="894">
        <v>-14317</v>
      </c>
      <c r="R482" s="894">
        <v>2895078</v>
      </c>
      <c r="S482" s="894">
        <v>-102244</v>
      </c>
      <c r="T482" s="894">
        <v>0</v>
      </c>
    </row>
    <row r="483" spans="1:20">
      <c r="A483" s="1"/>
      <c r="B483" s="736"/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  <c r="O483" s="736"/>
      <c r="P483" s="736"/>
      <c r="Q483" s="736"/>
      <c r="R483" s="736"/>
      <c r="S483" s="736"/>
      <c r="T483" s="736"/>
    </row>
    <row r="484" spans="1:20">
      <c r="A484" s="1"/>
      <c r="B484" s="736"/>
      <c r="C484" s="736"/>
      <c r="D484" s="736"/>
      <c r="E484" s="736"/>
      <c r="F484" s="736"/>
      <c r="G484" s="736"/>
      <c r="H484" s="736"/>
      <c r="I484" s="736"/>
      <c r="J484" s="736"/>
      <c r="K484" s="736"/>
      <c r="L484" s="736"/>
      <c r="M484" s="736"/>
      <c r="N484" s="736"/>
      <c r="O484" s="736"/>
      <c r="P484" s="736"/>
      <c r="Q484" s="736"/>
      <c r="R484" s="736"/>
      <c r="S484" s="736"/>
      <c r="T484" s="736"/>
    </row>
    <row r="485" spans="1:20" s="723" customFormat="1" ht="21">
      <c r="A485" s="840" t="s">
        <v>117</v>
      </c>
      <c r="B485" s="841" t="s">
        <v>532</v>
      </c>
      <c r="C485" s="895">
        <v>214964928</v>
      </c>
      <c r="D485" s="895">
        <v>218357770</v>
      </c>
      <c r="E485" s="895">
        <v>219893177</v>
      </c>
      <c r="F485" s="895">
        <v>219650747</v>
      </c>
      <c r="G485" s="895">
        <v>216100490</v>
      </c>
      <c r="H485" s="895">
        <v>218136899</v>
      </c>
      <c r="I485" s="895">
        <v>217404822</v>
      </c>
      <c r="J485" s="895">
        <v>216794673</v>
      </c>
      <c r="K485" s="895">
        <v>215848449</v>
      </c>
      <c r="L485" s="895">
        <v>218056790</v>
      </c>
      <c r="M485" s="895">
        <v>222875945</v>
      </c>
      <c r="N485" s="895">
        <v>224650991</v>
      </c>
      <c r="O485" s="895">
        <v>219622194</v>
      </c>
      <c r="P485" s="895">
        <v>218105458</v>
      </c>
      <c r="Q485" s="895">
        <v>216865042</v>
      </c>
      <c r="R485" s="895">
        <v>218888710</v>
      </c>
      <c r="S485" s="895">
        <v>365965388</v>
      </c>
      <c r="T485" s="895">
        <v>364743632</v>
      </c>
    </row>
    <row r="486" spans="1:20" s="724" customFormat="1" ht="18">
      <c r="A486" s="842" t="s">
        <v>21</v>
      </c>
      <c r="B486" s="843" t="s">
        <v>533</v>
      </c>
      <c r="C486" s="896">
        <v>6934000</v>
      </c>
      <c r="D486" s="896">
        <v>6934000</v>
      </c>
      <c r="E486" s="896">
        <v>4434000</v>
      </c>
      <c r="F486" s="896">
        <v>4434000</v>
      </c>
      <c r="G486" s="896">
        <v>4527750</v>
      </c>
      <c r="H486" s="896">
        <v>4467750</v>
      </c>
      <c r="I486" s="896">
        <v>4467750</v>
      </c>
      <c r="J486" s="896">
        <v>4467750</v>
      </c>
      <c r="K486" s="896">
        <v>4467750</v>
      </c>
      <c r="L486" s="896">
        <v>4467750</v>
      </c>
      <c r="M486" s="896">
        <v>4467750</v>
      </c>
      <c r="N486" s="896">
        <v>4467750</v>
      </c>
      <c r="O486" s="896">
        <v>4567750</v>
      </c>
      <c r="P486" s="896">
        <v>4462750</v>
      </c>
      <c r="Q486" s="896">
        <v>4667750</v>
      </c>
      <c r="R486" s="896">
        <v>4612750</v>
      </c>
      <c r="S486" s="896">
        <v>5709000</v>
      </c>
      <c r="T486" s="896">
        <v>5709000</v>
      </c>
    </row>
    <row r="487" spans="1:20" s="724" customFormat="1" ht="18">
      <c r="A487" s="842" t="s">
        <v>11</v>
      </c>
      <c r="B487" s="843" t="s">
        <v>534</v>
      </c>
      <c r="C487" s="896">
        <v>35502000</v>
      </c>
      <c r="D487" s="896">
        <v>35502000</v>
      </c>
      <c r="E487" s="896">
        <v>35452000</v>
      </c>
      <c r="F487" s="896">
        <v>35452000</v>
      </c>
      <c r="G487" s="896">
        <v>34952000</v>
      </c>
      <c r="H487" s="896">
        <v>35142000</v>
      </c>
      <c r="I487" s="896">
        <v>35642000</v>
      </c>
      <c r="J487" s="896">
        <v>36652000</v>
      </c>
      <c r="K487" s="896">
        <v>36652000</v>
      </c>
      <c r="L487" s="896">
        <v>36802000</v>
      </c>
      <c r="M487" s="896">
        <v>37350000</v>
      </c>
      <c r="N487" s="896">
        <v>37350000</v>
      </c>
      <c r="O487" s="896">
        <v>37350000</v>
      </c>
      <c r="P487" s="896">
        <v>37350000</v>
      </c>
      <c r="Q487" s="896">
        <v>37450000</v>
      </c>
      <c r="R487" s="896">
        <v>36890000</v>
      </c>
      <c r="S487" s="896">
        <v>186600000</v>
      </c>
      <c r="T487" s="896">
        <v>186600000</v>
      </c>
    </row>
    <row r="488" spans="1:20" s="725" customFormat="1" ht="23.4">
      <c r="A488" s="844" t="s">
        <v>162</v>
      </c>
      <c r="B488" s="845"/>
      <c r="C488" s="897">
        <v>186396928</v>
      </c>
      <c r="D488" s="897">
        <v>189789770</v>
      </c>
      <c r="E488" s="897">
        <v>188875177</v>
      </c>
      <c r="F488" s="897">
        <v>188632747</v>
      </c>
      <c r="G488" s="897">
        <v>185676240</v>
      </c>
      <c r="H488" s="897">
        <v>187462649</v>
      </c>
      <c r="I488" s="897">
        <v>186230572</v>
      </c>
      <c r="J488" s="897">
        <v>184610423</v>
      </c>
      <c r="K488" s="897">
        <v>183664199</v>
      </c>
      <c r="L488" s="897">
        <v>185722540</v>
      </c>
      <c r="M488" s="897">
        <v>189993695</v>
      </c>
      <c r="N488" s="897">
        <v>191768741</v>
      </c>
      <c r="O488" s="897">
        <v>186839944</v>
      </c>
      <c r="P488" s="897">
        <v>185218208</v>
      </c>
      <c r="Q488" s="897">
        <v>184082792</v>
      </c>
      <c r="R488" s="897">
        <v>186611460</v>
      </c>
      <c r="S488" s="897">
        <v>185074388</v>
      </c>
      <c r="T488" s="897">
        <v>183852632</v>
      </c>
    </row>
    <row r="489" spans="1:20">
      <c r="A489" s="1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6"/>
      <c r="P489" s="736"/>
      <c r="Q489" s="736"/>
      <c r="R489" s="736"/>
      <c r="S489" s="736"/>
      <c r="T489" s="736"/>
    </row>
    <row r="490" spans="1:20" s="724" customFormat="1" ht="18">
      <c r="A490" s="842" t="s">
        <v>24</v>
      </c>
      <c r="B490" s="843" t="s">
        <v>210</v>
      </c>
      <c r="C490" s="896">
        <v>-1810354</v>
      </c>
      <c r="D490" s="896">
        <v>-2738854</v>
      </c>
      <c r="E490" s="896">
        <v>-3105854</v>
      </c>
      <c r="F490" s="896">
        <v>-3155454</v>
      </c>
      <c r="G490" s="896">
        <v>-4010454</v>
      </c>
      <c r="H490" s="896">
        <v>-3597454</v>
      </c>
      <c r="I490" s="896">
        <v>-3337454</v>
      </c>
      <c r="J490" s="896">
        <v>-4697954</v>
      </c>
      <c r="K490" s="896">
        <v>-5163935</v>
      </c>
      <c r="L490" s="896">
        <v>-5388935</v>
      </c>
      <c r="M490" s="896">
        <v>-2816436</v>
      </c>
      <c r="N490" s="896">
        <v>-151436</v>
      </c>
      <c r="O490" s="896">
        <v>-1263775</v>
      </c>
      <c r="P490" s="896">
        <v>-1691773</v>
      </c>
      <c r="Q490" s="896">
        <v>628227</v>
      </c>
      <c r="R490" s="896">
        <v>247500</v>
      </c>
      <c r="S490" s="896">
        <v>624000</v>
      </c>
      <c r="T490" s="896">
        <v>-2129971</v>
      </c>
    </row>
    <row r="491" spans="1:20" s="724" customFormat="1" ht="18">
      <c r="A491" s="846" t="s">
        <v>46</v>
      </c>
      <c r="B491" s="847"/>
      <c r="C491" s="898">
        <v>188207282</v>
      </c>
      <c r="D491" s="898">
        <v>192528624</v>
      </c>
      <c r="E491" s="898">
        <v>191981031</v>
      </c>
      <c r="F491" s="898">
        <v>191788201</v>
      </c>
      <c r="G491" s="898">
        <v>189686694</v>
      </c>
      <c r="H491" s="898">
        <v>191060103</v>
      </c>
      <c r="I491" s="898">
        <v>189568026</v>
      </c>
      <c r="J491" s="898">
        <v>189308377</v>
      </c>
      <c r="K491" s="898">
        <v>188828134</v>
      </c>
      <c r="L491" s="898">
        <v>191111475</v>
      </c>
      <c r="M491" s="898">
        <v>192810131</v>
      </c>
      <c r="N491" s="898">
        <v>191920177</v>
      </c>
      <c r="O491" s="898">
        <v>188103719</v>
      </c>
      <c r="P491" s="898">
        <v>186909981</v>
      </c>
      <c r="Q491" s="898">
        <v>183454565</v>
      </c>
      <c r="R491" s="898">
        <v>186363960</v>
      </c>
      <c r="S491" s="898">
        <v>184450388</v>
      </c>
      <c r="T491" s="898">
        <v>185982603</v>
      </c>
    </row>
    <row r="492" spans="1:20">
      <c r="A492" s="5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1:20" ht="15" thickBo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5" thickBot="1">
      <c r="A494" s="5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1:20">
      <c r="A495" s="606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</row>
  </sheetData>
  <mergeCells count="9">
    <mergeCell ref="A123:B123"/>
    <mergeCell ref="A211:B211"/>
    <mergeCell ref="A212:B212"/>
    <mergeCell ref="A33:B33"/>
    <mergeCell ref="A48:B48"/>
    <mergeCell ref="A60:B60"/>
    <mergeCell ref="A73:B73"/>
    <mergeCell ref="A86:B86"/>
    <mergeCell ref="A119:B1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495"/>
  <sheetViews>
    <sheetView topLeftCell="A467" zoomScale="60" zoomScaleNormal="60" workbookViewId="0">
      <selection activeCell="C73" sqref="C73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27" width="25.6640625" style="263" customWidth="1"/>
    <col min="28" max="28" width="8.88671875" style="263"/>
    <col min="29" max="29" width="8.88671875" style="263" customWidth="1"/>
    <col min="30" max="16384" width="8.88671875" style="263"/>
  </cols>
  <sheetData>
    <row r="1" spans="1:27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  <c r="V1" s="960"/>
      <c r="W1" s="960"/>
      <c r="X1" s="960"/>
      <c r="Y1" s="960"/>
      <c r="Z1" s="960"/>
      <c r="AA1" s="960"/>
    </row>
    <row r="2" spans="1:27" ht="15" thickBot="1"/>
    <row r="3" spans="1:27">
      <c r="A3" s="727"/>
      <c r="B3" s="726"/>
      <c r="C3" s="679" t="s">
        <v>723</v>
      </c>
      <c r="D3" s="679">
        <v>46139</v>
      </c>
      <c r="E3" s="679" t="s">
        <v>721</v>
      </c>
      <c r="F3" s="679">
        <v>46136</v>
      </c>
      <c r="G3" s="679">
        <v>46135</v>
      </c>
      <c r="H3" s="679">
        <v>46134</v>
      </c>
      <c r="I3" s="679">
        <v>46132</v>
      </c>
      <c r="J3" s="679">
        <v>46131</v>
      </c>
      <c r="K3" s="679">
        <v>46130</v>
      </c>
      <c r="L3" s="679">
        <v>46129</v>
      </c>
      <c r="M3" s="679">
        <v>46128</v>
      </c>
      <c r="N3" s="679">
        <v>46127</v>
      </c>
      <c r="O3" s="679">
        <v>46126</v>
      </c>
      <c r="P3" s="679">
        <v>46125</v>
      </c>
      <c r="Q3" s="679">
        <v>46124</v>
      </c>
      <c r="R3" s="679">
        <v>46123</v>
      </c>
      <c r="S3" s="679">
        <v>46122</v>
      </c>
      <c r="T3" s="679">
        <v>46121</v>
      </c>
      <c r="U3" s="679">
        <v>46120</v>
      </c>
      <c r="V3" s="679">
        <v>46119</v>
      </c>
      <c r="W3" s="679">
        <v>46118</v>
      </c>
      <c r="X3" s="679" t="s">
        <v>714</v>
      </c>
      <c r="Y3" s="679">
        <v>46114</v>
      </c>
      <c r="Z3" s="679">
        <v>46113</v>
      </c>
      <c r="AA3" s="679" t="s">
        <v>712</v>
      </c>
    </row>
    <row r="4" spans="1:27" s="267" customFormat="1" ht="15" thickBot="1">
      <c r="A4" s="728"/>
      <c r="B4" s="729"/>
      <c r="C4" s="680" t="s">
        <v>130</v>
      </c>
      <c r="D4" s="680" t="s">
        <v>131</v>
      </c>
      <c r="E4" s="680" t="s">
        <v>722</v>
      </c>
      <c r="F4" s="680" t="s">
        <v>134</v>
      </c>
      <c r="G4" s="680" t="s">
        <v>128</v>
      </c>
      <c r="H4" s="680" t="s">
        <v>129</v>
      </c>
      <c r="I4" s="680" t="s">
        <v>718</v>
      </c>
      <c r="J4" s="680" t="s">
        <v>132</v>
      </c>
      <c r="K4" s="680" t="s">
        <v>133</v>
      </c>
      <c r="L4" s="680" t="s">
        <v>134</v>
      </c>
      <c r="M4" s="680" t="s">
        <v>128</v>
      </c>
      <c r="N4" s="680" t="s">
        <v>129</v>
      </c>
      <c r="O4" s="680" t="s">
        <v>130</v>
      </c>
      <c r="P4" s="680" t="s">
        <v>131</v>
      </c>
      <c r="Q4" s="680" t="s">
        <v>132</v>
      </c>
      <c r="R4" s="680" t="s">
        <v>133</v>
      </c>
      <c r="S4" s="680" t="s">
        <v>134</v>
      </c>
      <c r="T4" s="680" t="s">
        <v>128</v>
      </c>
      <c r="U4" s="680" t="s">
        <v>129</v>
      </c>
      <c r="V4" s="680" t="s">
        <v>130</v>
      </c>
      <c r="W4" s="680" t="s">
        <v>131</v>
      </c>
      <c r="X4" s="680" t="s">
        <v>715</v>
      </c>
      <c r="Y4" s="680" t="s">
        <v>128</v>
      </c>
      <c r="Z4" s="680" t="s">
        <v>129</v>
      </c>
      <c r="AA4" s="680" t="s">
        <v>130</v>
      </c>
    </row>
    <row r="5" spans="1:27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</row>
    <row r="6" spans="1:27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682"/>
      <c r="Y6" s="682"/>
      <c r="Z6" s="682"/>
      <c r="AA6" s="682"/>
    </row>
    <row r="7" spans="1:27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  <c r="U7" s="683"/>
      <c r="V7" s="683"/>
      <c r="W7" s="683"/>
      <c r="X7" s="683"/>
      <c r="Y7" s="683"/>
      <c r="Z7" s="683"/>
      <c r="AA7" s="683"/>
    </row>
    <row r="8" spans="1:27">
      <c r="A8" s="25" t="s">
        <v>101</v>
      </c>
      <c r="B8" s="735"/>
      <c r="C8" s="641">
        <v>266000</v>
      </c>
      <c r="D8" s="641">
        <v>266000</v>
      </c>
      <c r="E8" s="641">
        <v>266000</v>
      </c>
      <c r="F8" s="641">
        <v>266000</v>
      </c>
      <c r="G8" s="641">
        <v>266000</v>
      </c>
      <c r="H8" s="641">
        <v>266000</v>
      </c>
      <c r="I8" s="641">
        <v>266000</v>
      </c>
      <c r="J8" s="641">
        <v>266000</v>
      </c>
      <c r="K8" s="641">
        <v>266000</v>
      </c>
      <c r="L8" s="641">
        <v>265000</v>
      </c>
      <c r="M8" s="641">
        <v>265000</v>
      </c>
      <c r="N8" s="641">
        <v>265000</v>
      </c>
      <c r="O8" s="641">
        <v>265000</v>
      </c>
      <c r="P8" s="641">
        <v>265000</v>
      </c>
      <c r="Q8" s="641">
        <v>265000</v>
      </c>
      <c r="R8" s="641">
        <v>265000</v>
      </c>
      <c r="S8" s="641">
        <v>265000</v>
      </c>
      <c r="T8" s="641">
        <v>260000</v>
      </c>
      <c r="U8" s="641">
        <v>260000</v>
      </c>
      <c r="V8" s="641">
        <v>260000</v>
      </c>
      <c r="W8" s="641">
        <v>260000</v>
      </c>
      <c r="X8" s="641">
        <v>260000</v>
      </c>
      <c r="Y8" s="641">
        <v>260000</v>
      </c>
      <c r="Z8" s="641">
        <v>260000</v>
      </c>
      <c r="AA8" s="641">
        <v>260000</v>
      </c>
    </row>
    <row r="9" spans="1:27">
      <c r="A9" s="25" t="s">
        <v>336</v>
      </c>
      <c r="B9" s="735"/>
      <c r="C9" s="641">
        <v>1480000</v>
      </c>
      <c r="D9" s="641">
        <v>1480000</v>
      </c>
      <c r="E9" s="641">
        <v>1480000</v>
      </c>
      <c r="F9" s="641">
        <v>1480000</v>
      </c>
      <c r="G9" s="641">
        <v>1480000</v>
      </c>
      <c r="H9" s="641">
        <v>1480000</v>
      </c>
      <c r="I9" s="641">
        <v>1480000</v>
      </c>
      <c r="J9" s="641">
        <v>1410000</v>
      </c>
      <c r="K9" s="641">
        <v>1410000</v>
      </c>
      <c r="L9" s="641">
        <v>1410000</v>
      </c>
      <c r="M9" s="641">
        <v>1410000</v>
      </c>
      <c r="N9" s="641">
        <v>1410000</v>
      </c>
      <c r="O9" s="641">
        <v>1410000</v>
      </c>
      <c r="P9" s="641">
        <v>1410000</v>
      </c>
      <c r="Q9" s="641">
        <v>1410000</v>
      </c>
      <c r="R9" s="641">
        <v>1410000</v>
      </c>
      <c r="S9" s="641">
        <v>1410000</v>
      </c>
      <c r="T9" s="641">
        <v>1410000</v>
      </c>
      <c r="U9" s="641">
        <v>1410000</v>
      </c>
      <c r="V9" s="641">
        <v>1410000</v>
      </c>
      <c r="W9" s="641">
        <v>1410000</v>
      </c>
      <c r="X9" s="641">
        <v>1410000</v>
      </c>
      <c r="Y9" s="641">
        <v>1410000</v>
      </c>
      <c r="Z9" s="641">
        <v>1410000</v>
      </c>
      <c r="AA9" s="641">
        <v>1410000</v>
      </c>
    </row>
    <row r="10" spans="1:27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  <c r="T10" s="641">
        <v>0</v>
      </c>
      <c r="U10" s="641">
        <v>0</v>
      </c>
      <c r="V10" s="641">
        <v>0</v>
      </c>
      <c r="W10" s="641">
        <v>0</v>
      </c>
      <c r="X10" s="641">
        <v>0</v>
      </c>
      <c r="Y10" s="641">
        <v>0</v>
      </c>
      <c r="Z10" s="641">
        <v>0</v>
      </c>
      <c r="AA10" s="641">
        <v>0</v>
      </c>
    </row>
    <row r="11" spans="1:27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  <c r="T11" s="641">
        <v>0</v>
      </c>
      <c r="U11" s="641">
        <v>0</v>
      </c>
      <c r="V11" s="641">
        <v>0</v>
      </c>
      <c r="W11" s="641">
        <v>0</v>
      </c>
      <c r="X11" s="641">
        <v>0</v>
      </c>
      <c r="Y11" s="641">
        <v>0</v>
      </c>
      <c r="Z11" s="641">
        <v>0</v>
      </c>
      <c r="AA11" s="641">
        <v>0</v>
      </c>
    </row>
    <row r="12" spans="1:27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1"/>
      <c r="V12" s="641"/>
      <c r="W12" s="641"/>
      <c r="X12" s="641"/>
      <c r="Y12" s="641"/>
      <c r="Z12" s="641"/>
      <c r="AA12" s="641"/>
    </row>
    <row r="13" spans="1:27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  <c r="T13" s="641">
        <v>0</v>
      </c>
      <c r="U13" s="641">
        <v>0</v>
      </c>
      <c r="V13" s="641">
        <v>0</v>
      </c>
      <c r="W13" s="641">
        <v>0</v>
      </c>
      <c r="X13" s="641">
        <v>0</v>
      </c>
      <c r="Y13" s="641">
        <v>0</v>
      </c>
      <c r="Z13" s="641">
        <v>0</v>
      </c>
      <c r="AA13" s="641">
        <v>0</v>
      </c>
    </row>
    <row r="14" spans="1:27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  <c r="V14" s="641"/>
      <c r="W14" s="641"/>
      <c r="X14" s="641"/>
      <c r="Y14" s="641"/>
      <c r="Z14" s="641"/>
      <c r="AA14" s="641"/>
    </row>
    <row r="15" spans="1:27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  <c r="T15" s="641">
        <v>0</v>
      </c>
      <c r="U15" s="641">
        <v>0</v>
      </c>
      <c r="V15" s="641">
        <v>0</v>
      </c>
      <c r="W15" s="641">
        <v>0</v>
      </c>
      <c r="X15" s="641">
        <v>0</v>
      </c>
      <c r="Y15" s="641">
        <v>0</v>
      </c>
      <c r="Z15" s="641">
        <v>0</v>
      </c>
      <c r="AA15" s="641">
        <v>0</v>
      </c>
    </row>
    <row r="16" spans="1:27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  <c r="T16" s="641">
        <v>0</v>
      </c>
      <c r="U16" s="641">
        <v>0</v>
      </c>
      <c r="V16" s="641">
        <v>0</v>
      </c>
      <c r="W16" s="641">
        <v>0</v>
      </c>
      <c r="X16" s="641">
        <v>0</v>
      </c>
      <c r="Y16" s="641">
        <v>0</v>
      </c>
      <c r="Z16" s="641">
        <v>0</v>
      </c>
      <c r="AA16" s="641">
        <v>0</v>
      </c>
    </row>
    <row r="17" spans="1:30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  <c r="T17" s="642">
        <v>0</v>
      </c>
      <c r="U17" s="642">
        <v>0</v>
      </c>
      <c r="V17" s="642">
        <v>0</v>
      </c>
      <c r="W17" s="642">
        <v>0</v>
      </c>
      <c r="X17" s="642">
        <v>0</v>
      </c>
      <c r="Y17" s="642">
        <v>0</v>
      </c>
      <c r="Z17" s="642">
        <v>0</v>
      </c>
      <c r="AA17" s="642">
        <v>0</v>
      </c>
    </row>
    <row r="18" spans="1:30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  <c r="T18" s="642">
        <v>0</v>
      </c>
      <c r="U18" s="642">
        <v>0</v>
      </c>
      <c r="V18" s="642">
        <v>0</v>
      </c>
      <c r="W18" s="642">
        <v>0</v>
      </c>
      <c r="X18" s="642">
        <v>0</v>
      </c>
      <c r="Y18" s="642">
        <v>0</v>
      </c>
      <c r="Z18" s="642">
        <v>0</v>
      </c>
      <c r="AA18" s="642">
        <v>0</v>
      </c>
    </row>
    <row r="19" spans="1:30" ht="16.2" thickBot="1">
      <c r="A19" s="737"/>
      <c r="B19" s="738"/>
      <c r="C19" s="848">
        <v>1746000</v>
      </c>
      <c r="D19" s="848">
        <v>1746000</v>
      </c>
      <c r="E19" s="848">
        <v>1746000</v>
      </c>
      <c r="F19" s="848">
        <v>1746000</v>
      </c>
      <c r="G19" s="848">
        <v>1746000</v>
      </c>
      <c r="H19" s="848">
        <v>1746000</v>
      </c>
      <c r="I19" s="848">
        <v>1746000</v>
      </c>
      <c r="J19" s="848">
        <v>1676000</v>
      </c>
      <c r="K19" s="848">
        <v>1676000</v>
      </c>
      <c r="L19" s="848">
        <v>1675000</v>
      </c>
      <c r="M19" s="848">
        <v>1675000</v>
      </c>
      <c r="N19" s="848">
        <v>1675000</v>
      </c>
      <c r="O19" s="848">
        <v>1675000</v>
      </c>
      <c r="P19" s="848">
        <v>1675000</v>
      </c>
      <c r="Q19" s="848">
        <v>1675000</v>
      </c>
      <c r="R19" s="848">
        <v>1675000</v>
      </c>
      <c r="S19" s="848">
        <v>1675000</v>
      </c>
      <c r="T19" s="848">
        <v>1670000</v>
      </c>
      <c r="U19" s="848">
        <v>1670000</v>
      </c>
      <c r="V19" s="848">
        <v>1670000</v>
      </c>
      <c r="W19" s="848">
        <v>1670000</v>
      </c>
      <c r="X19" s="848">
        <v>1670000</v>
      </c>
      <c r="Y19" s="848">
        <v>1670000</v>
      </c>
      <c r="Z19" s="848">
        <v>1670000</v>
      </c>
      <c r="AA19" s="848">
        <v>1670000</v>
      </c>
      <c r="AD19"/>
    </row>
    <row r="20" spans="1:30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  <c r="T20" s="852"/>
      <c r="U20" s="852"/>
      <c r="V20" s="852"/>
      <c r="W20" s="852"/>
      <c r="X20" s="852"/>
      <c r="Y20" s="852"/>
      <c r="Z20" s="852"/>
      <c r="AA20" s="852"/>
    </row>
    <row r="21" spans="1:30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  <c r="U21" s="853"/>
      <c r="V21" s="853"/>
      <c r="W21" s="853"/>
      <c r="X21" s="853"/>
      <c r="Y21" s="853"/>
      <c r="Z21" s="853"/>
      <c r="AA21" s="853"/>
    </row>
    <row r="22" spans="1:30">
      <c r="A22" s="739" t="s">
        <v>0</v>
      </c>
      <c r="B22" s="740"/>
      <c r="C22" s="956">
        <v>34069000</v>
      </c>
      <c r="D22" s="956">
        <v>94850000</v>
      </c>
      <c r="E22" s="956">
        <v>137314000</v>
      </c>
      <c r="F22" s="956">
        <v>87000000</v>
      </c>
      <c r="G22" s="956">
        <v>126250000</v>
      </c>
      <c r="H22" s="956">
        <v>136500000</v>
      </c>
      <c r="I22" s="956">
        <v>154500000</v>
      </c>
      <c r="J22" s="956">
        <v>168350000</v>
      </c>
      <c r="K22" s="956">
        <v>178800000</v>
      </c>
      <c r="L22" s="956">
        <v>126065000</v>
      </c>
      <c r="M22" s="956">
        <v>180600000</v>
      </c>
      <c r="N22" s="956">
        <v>171050000</v>
      </c>
      <c r="O22" s="956">
        <v>142000000</v>
      </c>
      <c r="P22" s="956">
        <v>119050000</v>
      </c>
      <c r="Q22" s="956">
        <v>146500000</v>
      </c>
      <c r="R22" s="956">
        <v>121676000</v>
      </c>
      <c r="S22" s="956">
        <v>139000000</v>
      </c>
      <c r="T22" s="956">
        <v>157930000</v>
      </c>
      <c r="U22" s="956">
        <v>111520000</v>
      </c>
      <c r="V22" s="956">
        <v>123700000</v>
      </c>
      <c r="W22" s="956">
        <v>111416000</v>
      </c>
      <c r="X22" s="956">
        <v>111000000</v>
      </c>
      <c r="Y22" s="956">
        <v>111200000</v>
      </c>
      <c r="Z22" s="956">
        <v>151500000</v>
      </c>
      <c r="AA22" s="956">
        <v>90400000</v>
      </c>
    </row>
    <row r="23" spans="1:30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  <c r="T23" s="686">
        <v>0</v>
      </c>
      <c r="U23" s="686">
        <v>0</v>
      </c>
      <c r="V23" s="686">
        <v>0</v>
      </c>
      <c r="W23" s="686">
        <v>0</v>
      </c>
      <c r="X23" s="686">
        <v>0</v>
      </c>
      <c r="Y23" s="686">
        <v>0</v>
      </c>
      <c r="Z23" s="686">
        <v>0</v>
      </c>
      <c r="AA23" s="686">
        <v>0</v>
      </c>
    </row>
    <row r="24" spans="1:30">
      <c r="A24" s="25" t="s">
        <v>555</v>
      </c>
      <c r="B24" s="741"/>
      <c r="C24" s="686">
        <v>12000</v>
      </c>
      <c r="D24" s="686">
        <v>57000</v>
      </c>
      <c r="E24" s="686">
        <v>2000</v>
      </c>
      <c r="F24" s="686">
        <v>114000</v>
      </c>
      <c r="G24" s="686">
        <v>8000</v>
      </c>
      <c r="H24" s="686">
        <v>53500</v>
      </c>
      <c r="I24" s="686">
        <v>12000</v>
      </c>
      <c r="J24" s="686">
        <v>82000</v>
      </c>
      <c r="K24" s="686">
        <v>85000</v>
      </c>
      <c r="L24" s="686">
        <v>83500</v>
      </c>
      <c r="M24" s="686">
        <v>164000</v>
      </c>
      <c r="N24" s="686">
        <v>109000</v>
      </c>
      <c r="O24" s="686">
        <v>90000</v>
      </c>
      <c r="P24" s="686">
        <v>81000</v>
      </c>
      <c r="Q24" s="686">
        <v>85500</v>
      </c>
      <c r="R24" s="686">
        <v>56000</v>
      </c>
      <c r="S24" s="686">
        <v>120500</v>
      </c>
      <c r="T24" s="686">
        <v>54000</v>
      </c>
      <c r="U24" s="686">
        <v>89500</v>
      </c>
      <c r="V24" s="686">
        <v>59500</v>
      </c>
      <c r="W24" s="686">
        <v>52500</v>
      </c>
      <c r="X24" s="686">
        <v>69500</v>
      </c>
      <c r="Y24" s="686">
        <v>69500</v>
      </c>
      <c r="Z24" s="686">
        <v>101500</v>
      </c>
      <c r="AA24" s="686">
        <v>66500</v>
      </c>
    </row>
    <row r="25" spans="1:30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0</v>
      </c>
      <c r="O25" s="686">
        <v>0</v>
      </c>
      <c r="P25" s="686">
        <v>0</v>
      </c>
      <c r="Q25" s="686">
        <v>0</v>
      </c>
      <c r="R25" s="686">
        <v>0</v>
      </c>
      <c r="S25" s="686">
        <v>0</v>
      </c>
      <c r="T25" s="686">
        <v>0</v>
      </c>
      <c r="U25" s="686">
        <v>0</v>
      </c>
      <c r="V25" s="686">
        <v>0</v>
      </c>
      <c r="W25" s="686">
        <v>0</v>
      </c>
      <c r="X25" s="686">
        <v>0</v>
      </c>
      <c r="Y25" s="686">
        <v>0</v>
      </c>
      <c r="Z25" s="686">
        <v>0</v>
      </c>
      <c r="AA25" s="686">
        <v>0</v>
      </c>
    </row>
    <row r="26" spans="1:30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0</v>
      </c>
      <c r="O26" s="686">
        <v>0</v>
      </c>
      <c r="P26" s="686">
        <v>0</v>
      </c>
      <c r="Q26" s="686">
        <v>0</v>
      </c>
      <c r="R26" s="686">
        <v>0</v>
      </c>
      <c r="S26" s="686">
        <v>0</v>
      </c>
      <c r="T26" s="686">
        <v>0</v>
      </c>
      <c r="U26" s="686">
        <v>0</v>
      </c>
      <c r="V26" s="686">
        <v>0</v>
      </c>
      <c r="W26" s="686">
        <v>0</v>
      </c>
      <c r="X26" s="686">
        <v>0</v>
      </c>
      <c r="Y26" s="686">
        <v>0</v>
      </c>
      <c r="Z26" s="686">
        <v>0</v>
      </c>
      <c r="AA26" s="686">
        <v>0</v>
      </c>
    </row>
    <row r="27" spans="1:30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0</v>
      </c>
      <c r="O27" s="686">
        <v>0</v>
      </c>
      <c r="P27" s="686">
        <v>0</v>
      </c>
      <c r="Q27" s="686">
        <v>0</v>
      </c>
      <c r="R27" s="686">
        <v>0</v>
      </c>
      <c r="S27" s="686">
        <v>0</v>
      </c>
      <c r="T27" s="686">
        <v>0</v>
      </c>
      <c r="U27" s="686">
        <v>0</v>
      </c>
      <c r="V27" s="686">
        <v>0</v>
      </c>
      <c r="W27" s="686">
        <v>0</v>
      </c>
      <c r="X27" s="686">
        <v>0</v>
      </c>
      <c r="Y27" s="686">
        <v>0</v>
      </c>
      <c r="Z27" s="686">
        <v>0</v>
      </c>
      <c r="AA27" s="686">
        <v>0</v>
      </c>
    </row>
    <row r="28" spans="1:30">
      <c r="A28" s="25" t="s">
        <v>333</v>
      </c>
      <c r="B28" s="741"/>
      <c r="C28" s="686">
        <v>0</v>
      </c>
      <c r="D28" s="686">
        <v>33668000</v>
      </c>
      <c r="E28" s="686">
        <v>25000000</v>
      </c>
      <c r="F28" s="686">
        <v>39975000</v>
      </c>
      <c r="G28" s="686">
        <v>36650000</v>
      </c>
      <c r="H28" s="686">
        <v>23023000</v>
      </c>
      <c r="I28" s="686">
        <v>0</v>
      </c>
      <c r="J28" s="686">
        <v>7151000</v>
      </c>
      <c r="K28" s="686">
        <v>7151000</v>
      </c>
      <c r="L28" s="686">
        <v>2196000</v>
      </c>
      <c r="M28" s="686">
        <v>12499000</v>
      </c>
      <c r="N28" s="686">
        <v>19665000</v>
      </c>
      <c r="O28" s="686">
        <v>19708000</v>
      </c>
      <c r="P28" s="686">
        <v>23868000</v>
      </c>
      <c r="Q28" s="686">
        <v>0</v>
      </c>
      <c r="R28" s="686">
        <v>22145000</v>
      </c>
      <c r="S28" s="686">
        <v>18919000</v>
      </c>
      <c r="T28" s="686">
        <v>10459000</v>
      </c>
      <c r="U28" s="686">
        <v>12886000</v>
      </c>
      <c r="V28" s="686">
        <v>13978000</v>
      </c>
      <c r="W28" s="686">
        <v>19323000</v>
      </c>
      <c r="X28" s="686">
        <v>0</v>
      </c>
      <c r="Y28" s="686">
        <v>0</v>
      </c>
      <c r="Z28" s="686">
        <v>10787000</v>
      </c>
      <c r="AA28" s="686">
        <v>18338000</v>
      </c>
    </row>
    <row r="29" spans="1:30">
      <c r="A29" s="1" t="s">
        <v>562</v>
      </c>
      <c r="B29" s="736"/>
      <c r="C29" s="641">
        <v>0</v>
      </c>
      <c r="D29" s="641">
        <v>0</v>
      </c>
      <c r="E29" s="641">
        <v>0</v>
      </c>
      <c r="F29" s="641">
        <v>0</v>
      </c>
      <c r="G29" s="641">
        <v>0</v>
      </c>
      <c r="H29" s="641">
        <v>0</v>
      </c>
      <c r="I29" s="641">
        <v>0</v>
      </c>
      <c r="J29" s="641">
        <v>0</v>
      </c>
      <c r="K29" s="641">
        <v>0</v>
      </c>
      <c r="L29" s="641">
        <v>0</v>
      </c>
      <c r="M29" s="641">
        <v>0</v>
      </c>
      <c r="N29" s="641">
        <v>0</v>
      </c>
      <c r="O29" s="641">
        <v>0</v>
      </c>
      <c r="P29" s="641">
        <v>70000</v>
      </c>
      <c r="Q29" s="641">
        <v>70000</v>
      </c>
      <c r="R29" s="641">
        <v>0</v>
      </c>
      <c r="S29" s="641">
        <v>0</v>
      </c>
      <c r="T29" s="641">
        <v>1500000</v>
      </c>
      <c r="U29" s="641">
        <v>500000</v>
      </c>
      <c r="V29" s="641">
        <v>500000</v>
      </c>
      <c r="W29" s="641">
        <v>500000</v>
      </c>
      <c r="X29" s="641">
        <v>0</v>
      </c>
      <c r="Y29" s="641">
        <v>0</v>
      </c>
      <c r="Z29" s="641">
        <v>0</v>
      </c>
      <c r="AA29" s="641">
        <v>0</v>
      </c>
    </row>
    <row r="30" spans="1:30">
      <c r="A30" s="1" t="s">
        <v>563</v>
      </c>
      <c r="B30" s="736"/>
      <c r="C30" s="641">
        <v>0</v>
      </c>
      <c r="D30" s="641">
        <v>0</v>
      </c>
      <c r="E30" s="641">
        <v>0</v>
      </c>
      <c r="F30" s="641">
        <v>0</v>
      </c>
      <c r="G30" s="641">
        <v>0</v>
      </c>
      <c r="H30" s="641">
        <v>0</v>
      </c>
      <c r="I30" s="641">
        <v>0</v>
      </c>
      <c r="J30" s="641">
        <v>0</v>
      </c>
      <c r="K30" s="641">
        <v>0</v>
      </c>
      <c r="L30" s="641">
        <v>0</v>
      </c>
      <c r="M30" s="641">
        <v>0</v>
      </c>
      <c r="N30" s="641">
        <v>0</v>
      </c>
      <c r="O30" s="641">
        <v>0</v>
      </c>
      <c r="P30" s="641">
        <v>0</v>
      </c>
      <c r="Q30" s="641">
        <v>0</v>
      </c>
      <c r="R30" s="641">
        <v>0</v>
      </c>
      <c r="S30" s="641">
        <v>0</v>
      </c>
      <c r="T30" s="641">
        <v>0</v>
      </c>
      <c r="U30" s="641">
        <v>0</v>
      </c>
      <c r="V30" s="641">
        <v>0</v>
      </c>
      <c r="W30" s="641">
        <v>0</v>
      </c>
      <c r="X30" s="641">
        <v>0</v>
      </c>
      <c r="Y30" s="641">
        <v>0</v>
      </c>
      <c r="Z30" s="641">
        <v>0</v>
      </c>
      <c r="AA30" s="641">
        <v>0</v>
      </c>
    </row>
    <row r="31" spans="1:30" s="687" customFormat="1" ht="15" thickBot="1">
      <c r="A31" s="742"/>
      <c r="B31" s="743"/>
      <c r="C31" s="849">
        <v>34081000</v>
      </c>
      <c r="D31" s="849">
        <v>128575000</v>
      </c>
      <c r="E31" s="849">
        <v>162316000</v>
      </c>
      <c r="F31" s="849">
        <v>127089000</v>
      </c>
      <c r="G31" s="849">
        <v>162908000</v>
      </c>
      <c r="H31" s="849">
        <v>159576500</v>
      </c>
      <c r="I31" s="849">
        <v>154512000</v>
      </c>
      <c r="J31" s="849">
        <v>175583000</v>
      </c>
      <c r="K31" s="849">
        <v>186036000</v>
      </c>
      <c r="L31" s="849">
        <v>128344500</v>
      </c>
      <c r="M31" s="849">
        <v>193263000</v>
      </c>
      <c r="N31" s="849">
        <v>190824000</v>
      </c>
      <c r="O31" s="849">
        <v>161798000</v>
      </c>
      <c r="P31" s="849">
        <v>143069000</v>
      </c>
      <c r="Q31" s="849">
        <v>146655500</v>
      </c>
      <c r="R31" s="849">
        <v>143877000</v>
      </c>
      <c r="S31" s="849">
        <v>158039500</v>
      </c>
      <c r="T31" s="849">
        <v>169943000</v>
      </c>
      <c r="U31" s="849">
        <v>124995500</v>
      </c>
      <c r="V31" s="849">
        <v>138237500</v>
      </c>
      <c r="W31" s="849">
        <v>131291500</v>
      </c>
      <c r="X31" s="849">
        <v>111069500</v>
      </c>
      <c r="Y31" s="849">
        <v>111269500</v>
      </c>
      <c r="Z31" s="849">
        <v>162388500</v>
      </c>
      <c r="AA31" s="849">
        <v>108804500</v>
      </c>
    </row>
    <row r="32" spans="1:30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  <c r="T32" s="851"/>
      <c r="U32" s="851"/>
      <c r="V32" s="851"/>
      <c r="W32" s="851"/>
      <c r="X32" s="851"/>
      <c r="Y32" s="851"/>
      <c r="Z32" s="851"/>
      <c r="AA32" s="851"/>
    </row>
    <row r="33" spans="1:27" s="688" customFormat="1" ht="21">
      <c r="A33" s="1446" t="s">
        <v>225</v>
      </c>
      <c r="B33" s="1446"/>
      <c r="C33" s="850">
        <v>35827000</v>
      </c>
      <c r="D33" s="850">
        <v>130321000</v>
      </c>
      <c r="E33" s="850">
        <v>164062000</v>
      </c>
      <c r="F33" s="850">
        <v>128835000</v>
      </c>
      <c r="G33" s="850">
        <v>164654000</v>
      </c>
      <c r="H33" s="850">
        <v>161322500</v>
      </c>
      <c r="I33" s="850">
        <v>156258000</v>
      </c>
      <c r="J33" s="850">
        <v>177259000</v>
      </c>
      <c r="K33" s="850">
        <v>187712000</v>
      </c>
      <c r="L33" s="850">
        <v>130019500</v>
      </c>
      <c r="M33" s="850">
        <v>194938000</v>
      </c>
      <c r="N33" s="850">
        <v>192499000</v>
      </c>
      <c r="O33" s="850">
        <v>163473000</v>
      </c>
      <c r="P33" s="850">
        <v>144744000</v>
      </c>
      <c r="Q33" s="850">
        <v>148330500</v>
      </c>
      <c r="R33" s="850">
        <v>145552000</v>
      </c>
      <c r="S33" s="850">
        <v>159714500</v>
      </c>
      <c r="T33" s="850">
        <v>171613000</v>
      </c>
      <c r="U33" s="850">
        <v>126665500</v>
      </c>
      <c r="V33" s="850">
        <v>139907500</v>
      </c>
      <c r="W33" s="850">
        <v>132961500</v>
      </c>
      <c r="X33" s="850">
        <v>112739500</v>
      </c>
      <c r="Y33" s="850">
        <v>112939500</v>
      </c>
      <c r="Z33" s="850">
        <v>164058500</v>
      </c>
      <c r="AA33" s="850">
        <v>110474500</v>
      </c>
    </row>
    <row r="34" spans="1:27" s="688" customFormat="1" ht="21">
      <c r="A34" s="744"/>
      <c r="B34" s="744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  <c r="T34" s="850"/>
      <c r="U34" s="850"/>
      <c r="V34" s="850"/>
      <c r="W34" s="850"/>
      <c r="X34" s="850"/>
      <c r="Y34" s="850"/>
      <c r="Z34" s="850"/>
      <c r="AA34" s="850"/>
    </row>
    <row r="35" spans="1:27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  <c r="T35" s="851"/>
      <c r="U35" s="851"/>
      <c r="V35" s="851"/>
      <c r="W35" s="851"/>
      <c r="X35" s="851"/>
      <c r="Y35" s="851"/>
      <c r="Z35" s="851"/>
      <c r="AA35" s="851"/>
    </row>
    <row r="36" spans="1:27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4"/>
      <c r="U36" s="854"/>
      <c r="V36" s="854"/>
      <c r="W36" s="854"/>
      <c r="X36" s="854"/>
      <c r="Y36" s="854"/>
      <c r="Z36" s="854"/>
      <c r="AA36" s="854"/>
    </row>
    <row r="37" spans="1:27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</row>
    <row r="38" spans="1:27">
      <c r="A38" s="28" t="s">
        <v>69</v>
      </c>
      <c r="B38" s="747" t="s">
        <v>266</v>
      </c>
      <c r="C38" s="855">
        <v>100000000</v>
      </c>
      <c r="D38" s="855">
        <v>5000000</v>
      </c>
      <c r="E38" s="855">
        <v>5000000</v>
      </c>
      <c r="F38" s="855">
        <v>5000000</v>
      </c>
      <c r="G38" s="855">
        <v>5000000</v>
      </c>
      <c r="H38" s="855">
        <v>5000000</v>
      </c>
      <c r="I38" s="855">
        <v>80000000</v>
      </c>
      <c r="J38" s="855">
        <v>5000000</v>
      </c>
      <c r="K38" s="855">
        <v>5000000</v>
      </c>
      <c r="L38" s="855">
        <v>5000000</v>
      </c>
      <c r="M38" s="855">
        <v>5000000</v>
      </c>
      <c r="N38" s="855">
        <v>5000000</v>
      </c>
      <c r="O38" s="855">
        <v>5000000</v>
      </c>
      <c r="P38" s="855">
        <v>5000000</v>
      </c>
      <c r="Q38" s="855">
        <v>5000000</v>
      </c>
      <c r="R38" s="855">
        <v>5000000</v>
      </c>
      <c r="S38" s="855">
        <v>5000000</v>
      </c>
      <c r="T38" s="855">
        <v>5000000</v>
      </c>
      <c r="U38" s="855">
        <v>5000000</v>
      </c>
      <c r="V38" s="855">
        <v>5000000</v>
      </c>
      <c r="W38" s="855">
        <v>5000000</v>
      </c>
      <c r="X38" s="855">
        <v>134900</v>
      </c>
      <c r="Y38" s="855">
        <v>50300</v>
      </c>
      <c r="Z38" s="855">
        <v>5000000</v>
      </c>
      <c r="AA38" s="855">
        <v>5000000</v>
      </c>
    </row>
    <row r="39" spans="1:27">
      <c r="A39" s="28" t="s">
        <v>74</v>
      </c>
      <c r="B39" s="746" t="s">
        <v>267</v>
      </c>
      <c r="C39" s="855">
        <v>458872</v>
      </c>
      <c r="D39" s="855">
        <v>443922</v>
      </c>
      <c r="E39" s="855">
        <v>443922</v>
      </c>
      <c r="F39" s="855">
        <v>777097</v>
      </c>
      <c r="G39" s="855">
        <v>827097</v>
      </c>
      <c r="H39" s="855">
        <v>827047</v>
      </c>
      <c r="I39" s="855">
        <v>54047</v>
      </c>
      <c r="J39" s="855">
        <v>125547</v>
      </c>
      <c r="K39" s="855">
        <v>125547</v>
      </c>
      <c r="L39" s="855">
        <v>256847</v>
      </c>
      <c r="M39" s="855">
        <v>368147</v>
      </c>
      <c r="N39" s="855">
        <v>939897</v>
      </c>
      <c r="O39" s="855">
        <v>939897</v>
      </c>
      <c r="P39" s="855">
        <v>939897</v>
      </c>
      <c r="Q39" s="855">
        <v>124897</v>
      </c>
      <c r="R39" s="855">
        <v>165647</v>
      </c>
      <c r="S39" s="855">
        <v>165647</v>
      </c>
      <c r="T39" s="855">
        <v>216397</v>
      </c>
      <c r="U39" s="855">
        <v>216397</v>
      </c>
      <c r="V39" s="855">
        <v>216397</v>
      </c>
      <c r="W39" s="855">
        <v>216397</v>
      </c>
      <c r="X39" s="855">
        <v>267397</v>
      </c>
      <c r="Y39" s="855">
        <v>267397</v>
      </c>
      <c r="Z39" s="855">
        <v>293147</v>
      </c>
      <c r="AA39" s="855">
        <v>293147</v>
      </c>
    </row>
    <row r="40" spans="1:27">
      <c r="A40" s="28" t="s">
        <v>1</v>
      </c>
      <c r="B40" s="746" t="s">
        <v>268</v>
      </c>
      <c r="C40" s="855">
        <v>1265195</v>
      </c>
      <c r="D40" s="855">
        <v>33769</v>
      </c>
      <c r="E40" s="855">
        <v>334962</v>
      </c>
      <c r="F40" s="855">
        <v>1017343</v>
      </c>
      <c r="G40" s="855">
        <v>1320636</v>
      </c>
      <c r="H40" s="855">
        <v>232828</v>
      </c>
      <c r="I40" s="855">
        <v>586515</v>
      </c>
      <c r="J40" s="855">
        <v>1526585</v>
      </c>
      <c r="K40" s="855">
        <v>1834980</v>
      </c>
      <c r="L40" s="855">
        <v>325972</v>
      </c>
      <c r="M40" s="855">
        <v>619662</v>
      </c>
      <c r="N40" s="855">
        <v>920011</v>
      </c>
      <c r="O40" s="855">
        <v>1488799</v>
      </c>
      <c r="P40" s="855">
        <v>1910287</v>
      </c>
      <c r="Q40" s="855">
        <v>384878</v>
      </c>
      <c r="R40" s="855">
        <v>758167</v>
      </c>
      <c r="S40" s="855">
        <v>971862</v>
      </c>
      <c r="T40" s="855">
        <v>1718044</v>
      </c>
      <c r="U40" s="855">
        <v>1858037</v>
      </c>
      <c r="V40" s="855">
        <v>277128</v>
      </c>
      <c r="W40" s="855">
        <v>510921</v>
      </c>
      <c r="X40" s="855">
        <v>1118403</v>
      </c>
      <c r="Y40" s="855">
        <v>1175402</v>
      </c>
      <c r="Z40" s="855">
        <v>1917989</v>
      </c>
      <c r="AA40" s="855">
        <v>211778</v>
      </c>
    </row>
    <row r="41" spans="1:27">
      <c r="A41" s="28" t="s">
        <v>111</v>
      </c>
      <c r="B41" s="746" t="s">
        <v>269</v>
      </c>
      <c r="C41" s="855">
        <v>808588</v>
      </c>
      <c r="D41" s="855">
        <v>487118</v>
      </c>
      <c r="E41" s="855">
        <v>673638</v>
      </c>
      <c r="F41" s="855">
        <v>838728</v>
      </c>
      <c r="G41" s="855">
        <v>972248</v>
      </c>
      <c r="H41" s="855">
        <v>1087448</v>
      </c>
      <c r="I41" s="855">
        <v>469803</v>
      </c>
      <c r="J41" s="855">
        <v>123633</v>
      </c>
      <c r="K41" s="855">
        <v>157333</v>
      </c>
      <c r="L41" s="855">
        <v>303853</v>
      </c>
      <c r="M41" s="855">
        <v>425853</v>
      </c>
      <c r="N41" s="855">
        <v>256853</v>
      </c>
      <c r="O41" s="855">
        <v>510573</v>
      </c>
      <c r="P41" s="855">
        <v>117273</v>
      </c>
      <c r="Q41" s="855">
        <v>314823</v>
      </c>
      <c r="R41" s="855">
        <v>314823</v>
      </c>
      <c r="S41" s="855">
        <v>536698</v>
      </c>
      <c r="T41" s="855">
        <v>566578</v>
      </c>
      <c r="U41" s="855">
        <v>131578</v>
      </c>
      <c r="V41" s="855">
        <v>307078</v>
      </c>
      <c r="W41" s="855">
        <v>635288</v>
      </c>
      <c r="X41" s="855">
        <v>272168</v>
      </c>
      <c r="Y41" s="855">
        <v>272168</v>
      </c>
      <c r="Z41" s="855">
        <v>431138</v>
      </c>
      <c r="AA41" s="855">
        <v>530238</v>
      </c>
    </row>
    <row r="42" spans="1:27">
      <c r="A42" s="28" t="s">
        <v>168</v>
      </c>
      <c r="B42" s="746" t="s">
        <v>204</v>
      </c>
      <c r="C42" s="855">
        <v>335170</v>
      </c>
      <c r="D42" s="855">
        <v>404170</v>
      </c>
      <c r="E42" s="855">
        <v>77170</v>
      </c>
      <c r="F42" s="855">
        <v>191170</v>
      </c>
      <c r="G42" s="855">
        <v>191170</v>
      </c>
      <c r="H42" s="855">
        <v>191170</v>
      </c>
      <c r="I42" s="855">
        <v>338670</v>
      </c>
      <c r="J42" s="855">
        <v>378870</v>
      </c>
      <c r="K42" s="855">
        <v>470370</v>
      </c>
      <c r="L42" s="855">
        <v>533870</v>
      </c>
      <c r="M42" s="855">
        <v>533870</v>
      </c>
      <c r="N42" s="855">
        <v>54870</v>
      </c>
      <c r="O42" s="855">
        <v>132370</v>
      </c>
      <c r="P42" s="855">
        <v>182370</v>
      </c>
      <c r="Q42" s="855">
        <v>262970</v>
      </c>
      <c r="R42" s="855">
        <v>262970</v>
      </c>
      <c r="S42" s="855">
        <v>353970</v>
      </c>
      <c r="T42" s="855">
        <v>380970</v>
      </c>
      <c r="U42" s="855">
        <v>380970</v>
      </c>
      <c r="V42" s="855">
        <v>404470</v>
      </c>
      <c r="W42" s="855">
        <v>404470</v>
      </c>
      <c r="X42" s="855">
        <v>458770</v>
      </c>
      <c r="Y42" s="855">
        <v>458770</v>
      </c>
      <c r="Z42" s="855">
        <v>509270</v>
      </c>
      <c r="AA42" s="855">
        <v>555770</v>
      </c>
    </row>
    <row r="43" spans="1:27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  <c r="T43" s="855">
        <v>0</v>
      </c>
      <c r="U43" s="855">
        <v>0</v>
      </c>
      <c r="V43" s="855">
        <v>0</v>
      </c>
      <c r="W43" s="855">
        <v>0</v>
      </c>
      <c r="X43" s="855">
        <v>0</v>
      </c>
      <c r="Y43" s="855">
        <v>0</v>
      </c>
      <c r="Z43" s="855">
        <v>0</v>
      </c>
      <c r="AA43" s="855">
        <v>0</v>
      </c>
    </row>
    <row r="44" spans="1:27">
      <c r="A44" s="28" t="s">
        <v>9</v>
      </c>
      <c r="B44" s="746" t="s">
        <v>270</v>
      </c>
      <c r="C44" s="855">
        <v>848171</v>
      </c>
      <c r="D44" s="855">
        <v>878371</v>
      </c>
      <c r="E44" s="855">
        <v>878371</v>
      </c>
      <c r="F44" s="855">
        <v>878371</v>
      </c>
      <c r="G44" s="855">
        <v>875934</v>
      </c>
      <c r="H44" s="855">
        <v>963834</v>
      </c>
      <c r="I44" s="855">
        <v>963834</v>
      </c>
      <c r="J44" s="855">
        <v>461223</v>
      </c>
      <c r="K44" s="855">
        <v>461223</v>
      </c>
      <c r="L44" s="855">
        <v>456349</v>
      </c>
      <c r="M44" s="855">
        <v>6349</v>
      </c>
      <c r="N44" s="855">
        <v>6349</v>
      </c>
      <c r="O44" s="855">
        <v>6349</v>
      </c>
      <c r="P44" s="855">
        <v>1475</v>
      </c>
      <c r="Q44" s="855">
        <v>180075</v>
      </c>
      <c r="R44" s="855">
        <v>180075</v>
      </c>
      <c r="S44" s="855">
        <v>180075</v>
      </c>
      <c r="T44" s="855">
        <v>180075</v>
      </c>
      <c r="U44" s="855">
        <v>180075</v>
      </c>
      <c r="V44" s="855">
        <v>180075</v>
      </c>
      <c r="W44" s="855">
        <v>180075</v>
      </c>
      <c r="X44" s="855">
        <v>180075</v>
      </c>
      <c r="Y44" s="855">
        <v>180075</v>
      </c>
      <c r="Z44" s="855">
        <v>180075</v>
      </c>
      <c r="AA44" s="855">
        <v>177638</v>
      </c>
    </row>
    <row r="45" spans="1:27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  <c r="N45" s="641">
        <v>4149</v>
      </c>
      <c r="O45" s="641">
        <v>4149</v>
      </c>
      <c r="P45" s="641">
        <v>4149</v>
      </c>
      <c r="Q45" s="641">
        <v>4149</v>
      </c>
      <c r="R45" s="641">
        <v>4149</v>
      </c>
      <c r="S45" s="641">
        <v>4149</v>
      </c>
      <c r="T45" s="641">
        <v>4149</v>
      </c>
      <c r="U45" s="641">
        <v>4149</v>
      </c>
      <c r="V45" s="641">
        <v>4149</v>
      </c>
      <c r="W45" s="641">
        <v>4149</v>
      </c>
      <c r="X45" s="641">
        <v>4149</v>
      </c>
      <c r="Y45" s="641">
        <v>4149</v>
      </c>
      <c r="Z45" s="641">
        <v>4149</v>
      </c>
      <c r="AA45" s="641">
        <v>4149</v>
      </c>
    </row>
    <row r="46" spans="1:27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  <c r="N46" s="641">
        <v>22000</v>
      </c>
      <c r="O46" s="641">
        <v>22000</v>
      </c>
      <c r="P46" s="641">
        <v>22000</v>
      </c>
      <c r="Q46" s="641">
        <v>22000</v>
      </c>
      <c r="R46" s="641">
        <v>22000</v>
      </c>
      <c r="S46" s="641">
        <v>22000</v>
      </c>
      <c r="T46" s="641">
        <v>22000</v>
      </c>
      <c r="U46" s="641">
        <v>22000</v>
      </c>
      <c r="V46" s="641">
        <v>22000</v>
      </c>
      <c r="W46" s="641">
        <v>22000</v>
      </c>
      <c r="X46" s="641">
        <v>22000</v>
      </c>
      <c r="Y46" s="641">
        <v>22000</v>
      </c>
      <c r="Z46" s="641">
        <v>22000</v>
      </c>
      <c r="AA46" s="641">
        <v>22000</v>
      </c>
    </row>
    <row r="47" spans="1:27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41"/>
    </row>
    <row r="48" spans="1:27" s="687" customFormat="1" ht="15" thickBot="1">
      <c r="A48" s="1447" t="s">
        <v>224</v>
      </c>
      <c r="B48" s="1448"/>
      <c r="C48" s="856">
        <v>103742145</v>
      </c>
      <c r="D48" s="856">
        <v>7273499</v>
      </c>
      <c r="E48" s="856">
        <v>7434212</v>
      </c>
      <c r="F48" s="856">
        <v>8728858</v>
      </c>
      <c r="G48" s="856">
        <v>9213234</v>
      </c>
      <c r="H48" s="856">
        <v>8328476</v>
      </c>
      <c r="I48" s="856">
        <v>82439018</v>
      </c>
      <c r="J48" s="856">
        <v>7642007</v>
      </c>
      <c r="K48" s="856">
        <v>8075602</v>
      </c>
      <c r="L48" s="856">
        <v>6903040</v>
      </c>
      <c r="M48" s="856">
        <v>6980030</v>
      </c>
      <c r="N48" s="856">
        <v>7204129</v>
      </c>
      <c r="O48" s="856">
        <v>8104137</v>
      </c>
      <c r="P48" s="856">
        <v>8177451</v>
      </c>
      <c r="Q48" s="856">
        <v>6293792</v>
      </c>
      <c r="R48" s="856">
        <v>6707831</v>
      </c>
      <c r="S48" s="856">
        <v>7234401</v>
      </c>
      <c r="T48" s="856">
        <v>8088213</v>
      </c>
      <c r="U48" s="856">
        <v>7793206</v>
      </c>
      <c r="V48" s="856">
        <v>6411297</v>
      </c>
      <c r="W48" s="856">
        <v>6973300</v>
      </c>
      <c r="X48" s="856">
        <v>2457862</v>
      </c>
      <c r="Y48" s="856">
        <v>2430261</v>
      </c>
      <c r="Z48" s="856">
        <v>8357768</v>
      </c>
      <c r="AA48" s="856">
        <v>6794720</v>
      </c>
    </row>
    <row r="49" spans="1:27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  <c r="U49" s="851"/>
      <c r="V49" s="851"/>
      <c r="W49" s="851"/>
      <c r="X49" s="851"/>
      <c r="Y49" s="851"/>
      <c r="Z49" s="851"/>
      <c r="AA49" s="851"/>
    </row>
    <row r="50" spans="1:27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  <c r="T50" s="854"/>
      <c r="U50" s="854"/>
      <c r="V50" s="854"/>
      <c r="W50" s="854"/>
      <c r="X50" s="854"/>
      <c r="Y50" s="854"/>
      <c r="Z50" s="854"/>
      <c r="AA50" s="854"/>
    </row>
    <row r="51" spans="1:27">
      <c r="A51" s="28" t="s">
        <v>90</v>
      </c>
      <c r="B51" s="747" t="s">
        <v>206</v>
      </c>
      <c r="C51" s="855">
        <v>100000000</v>
      </c>
      <c r="D51" s="855">
        <v>5000000</v>
      </c>
      <c r="E51" s="855">
        <v>5000001</v>
      </c>
      <c r="F51" s="855">
        <v>5000001</v>
      </c>
      <c r="G51" s="855">
        <v>5000001</v>
      </c>
      <c r="H51" s="855">
        <v>5000001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5000000</v>
      </c>
      <c r="P51" s="855">
        <v>5000000</v>
      </c>
      <c r="Q51" s="855">
        <v>5000000</v>
      </c>
      <c r="R51" s="855">
        <v>5000000</v>
      </c>
      <c r="S51" s="855">
        <v>5000000</v>
      </c>
      <c r="T51" s="855">
        <v>5000000</v>
      </c>
      <c r="U51" s="855">
        <v>5000000</v>
      </c>
      <c r="V51" s="855">
        <v>5000000</v>
      </c>
      <c r="W51" s="855">
        <v>5000000</v>
      </c>
      <c r="X51" s="855">
        <v>83100</v>
      </c>
      <c r="Y51" s="855">
        <v>50000</v>
      </c>
      <c r="Z51" s="855">
        <v>5000000</v>
      </c>
      <c r="AA51" s="855">
        <v>5000000</v>
      </c>
    </row>
    <row r="52" spans="1:27">
      <c r="A52" s="28" t="s">
        <v>73</v>
      </c>
      <c r="B52" s="746" t="s">
        <v>81</v>
      </c>
      <c r="C52" s="855">
        <v>299537</v>
      </c>
      <c r="D52" s="855">
        <v>264537</v>
      </c>
      <c r="E52" s="855">
        <v>264537</v>
      </c>
      <c r="F52" s="855">
        <v>314437</v>
      </c>
      <c r="G52" s="855">
        <v>314437</v>
      </c>
      <c r="H52" s="855">
        <v>314437</v>
      </c>
      <c r="I52" s="855">
        <v>314437</v>
      </c>
      <c r="J52" s="855">
        <v>858481</v>
      </c>
      <c r="K52" s="855">
        <v>858481</v>
      </c>
      <c r="L52" s="855">
        <v>879231</v>
      </c>
      <c r="M52" s="855">
        <v>485731</v>
      </c>
      <c r="N52" s="855">
        <v>13281</v>
      </c>
      <c r="O52" s="855">
        <v>13281</v>
      </c>
      <c r="P52" s="855">
        <v>214281</v>
      </c>
      <c r="Q52" s="855">
        <v>315281</v>
      </c>
      <c r="R52" s="855">
        <v>315281</v>
      </c>
      <c r="S52" s="855">
        <v>315281</v>
      </c>
      <c r="T52" s="855">
        <v>68831</v>
      </c>
      <c r="U52" s="855">
        <v>68831</v>
      </c>
      <c r="V52" s="855">
        <v>227831</v>
      </c>
      <c r="W52" s="855">
        <v>386831</v>
      </c>
      <c r="X52" s="855">
        <v>78831</v>
      </c>
      <c r="Y52" s="855">
        <v>78831</v>
      </c>
      <c r="Z52" s="855">
        <v>200131</v>
      </c>
      <c r="AA52" s="855">
        <v>391431</v>
      </c>
    </row>
    <row r="53" spans="1:27">
      <c r="A53" s="28" t="s">
        <v>1</v>
      </c>
      <c r="B53" s="746" t="s">
        <v>271</v>
      </c>
      <c r="C53" s="855">
        <v>1487990</v>
      </c>
      <c r="D53" s="855">
        <v>107159</v>
      </c>
      <c r="E53" s="855">
        <v>552152</v>
      </c>
      <c r="F53" s="855">
        <v>969441</v>
      </c>
      <c r="G53" s="855">
        <v>1240893</v>
      </c>
      <c r="H53" s="855">
        <v>246877</v>
      </c>
      <c r="I53" s="855">
        <v>646763</v>
      </c>
      <c r="J53" s="855">
        <v>1500135</v>
      </c>
      <c r="K53" s="855">
        <v>1500135</v>
      </c>
      <c r="L53" s="855">
        <v>158930</v>
      </c>
      <c r="M53" s="855">
        <v>516922</v>
      </c>
      <c r="N53" s="855">
        <v>933710</v>
      </c>
      <c r="O53" s="855">
        <v>1299204</v>
      </c>
      <c r="P53" s="855">
        <v>629697</v>
      </c>
      <c r="Q53" s="855">
        <v>126649</v>
      </c>
      <c r="R53" s="855">
        <v>126649</v>
      </c>
      <c r="S53" s="855">
        <v>540892</v>
      </c>
      <c r="T53" s="855">
        <v>776086</v>
      </c>
      <c r="U53" s="855">
        <v>1239537</v>
      </c>
      <c r="V53" s="855">
        <v>1426733</v>
      </c>
      <c r="W53" s="855">
        <v>1706327</v>
      </c>
      <c r="X53" s="855">
        <v>1758725</v>
      </c>
      <c r="Y53" s="855">
        <v>1758725</v>
      </c>
      <c r="Z53" s="855">
        <v>1864222</v>
      </c>
      <c r="AA53" s="855">
        <v>302375</v>
      </c>
    </row>
    <row r="54" spans="1:27">
      <c r="A54" s="28" t="s">
        <v>111</v>
      </c>
      <c r="B54" s="746" t="s">
        <v>83</v>
      </c>
      <c r="C54" s="855">
        <v>1115430</v>
      </c>
      <c r="D54" s="855">
        <v>261450</v>
      </c>
      <c r="E54" s="855">
        <v>307950</v>
      </c>
      <c r="F54" s="855">
        <v>480840</v>
      </c>
      <c r="G54" s="855">
        <v>580215</v>
      </c>
      <c r="H54" s="855">
        <v>622090</v>
      </c>
      <c r="I54" s="855">
        <v>678090</v>
      </c>
      <c r="J54" s="855">
        <v>433820</v>
      </c>
      <c r="K54" s="855">
        <v>433820</v>
      </c>
      <c r="L54" s="855">
        <v>467570</v>
      </c>
      <c r="M54" s="855">
        <v>519260</v>
      </c>
      <c r="N54" s="855">
        <v>389160</v>
      </c>
      <c r="O54" s="855">
        <v>414035</v>
      </c>
      <c r="P54" s="855">
        <v>511735</v>
      </c>
      <c r="Q54" s="855">
        <v>556835</v>
      </c>
      <c r="R54" s="855">
        <v>556835</v>
      </c>
      <c r="S54" s="855">
        <v>646850</v>
      </c>
      <c r="T54" s="855">
        <v>667550</v>
      </c>
      <c r="U54" s="855">
        <v>196250</v>
      </c>
      <c r="V54" s="855">
        <v>320440</v>
      </c>
      <c r="W54" s="855">
        <v>343440</v>
      </c>
      <c r="X54" s="855">
        <v>343440</v>
      </c>
      <c r="Y54" s="855">
        <v>343440</v>
      </c>
      <c r="Z54" s="855">
        <v>343440</v>
      </c>
      <c r="AA54" s="855">
        <v>428265</v>
      </c>
    </row>
    <row r="55" spans="1:27">
      <c r="A55" s="28" t="s">
        <v>168</v>
      </c>
      <c r="B55" s="746" t="s">
        <v>272</v>
      </c>
      <c r="C55" s="855">
        <v>497833</v>
      </c>
      <c r="D55" s="855">
        <v>659583</v>
      </c>
      <c r="E55" s="855">
        <v>206083</v>
      </c>
      <c r="F55" s="855">
        <v>252583</v>
      </c>
      <c r="G55" s="855">
        <v>252583</v>
      </c>
      <c r="H55" s="855">
        <v>252583</v>
      </c>
      <c r="I55" s="855">
        <v>293083</v>
      </c>
      <c r="J55" s="855">
        <v>436083</v>
      </c>
      <c r="K55" s="855">
        <v>436083</v>
      </c>
      <c r="L55" s="855">
        <v>436083</v>
      </c>
      <c r="M55" s="855">
        <v>436083</v>
      </c>
      <c r="N55" s="855">
        <v>436083</v>
      </c>
      <c r="O55" s="855">
        <v>436083</v>
      </c>
      <c r="P55" s="855">
        <v>436083</v>
      </c>
      <c r="Q55" s="855">
        <v>436083</v>
      </c>
      <c r="R55" s="855">
        <v>436083</v>
      </c>
      <c r="S55" s="855">
        <v>436083</v>
      </c>
      <c r="T55" s="855">
        <v>436083</v>
      </c>
      <c r="U55" s="855">
        <v>436083</v>
      </c>
      <c r="V55" s="855">
        <v>436083</v>
      </c>
      <c r="W55" s="855">
        <v>436083</v>
      </c>
      <c r="X55" s="855">
        <v>436083</v>
      </c>
      <c r="Y55" s="855">
        <v>436083</v>
      </c>
      <c r="Z55" s="855">
        <v>486583</v>
      </c>
      <c r="AA55" s="855">
        <v>486583</v>
      </c>
    </row>
    <row r="56" spans="1:27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  <c r="T56" s="855">
        <v>0</v>
      </c>
      <c r="U56" s="855">
        <v>0</v>
      </c>
      <c r="V56" s="855">
        <v>0</v>
      </c>
      <c r="W56" s="855">
        <v>0</v>
      </c>
      <c r="X56" s="855">
        <v>0</v>
      </c>
      <c r="Y56" s="855">
        <v>0</v>
      </c>
      <c r="Z56" s="855">
        <v>0</v>
      </c>
      <c r="AA56" s="855">
        <v>0</v>
      </c>
    </row>
    <row r="57" spans="1:27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  <c r="T57" s="855">
        <v>208871</v>
      </c>
      <c r="U57" s="855">
        <v>208871</v>
      </c>
      <c r="V57" s="855">
        <v>208871</v>
      </c>
      <c r="W57" s="855">
        <v>208871</v>
      </c>
      <c r="X57" s="855">
        <v>208871</v>
      </c>
      <c r="Y57" s="855">
        <v>208871</v>
      </c>
      <c r="Z57" s="855">
        <v>208871</v>
      </c>
      <c r="AA57" s="855">
        <v>208871</v>
      </c>
    </row>
    <row r="58" spans="1:27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  <c r="T58" s="855">
        <v>4634</v>
      </c>
      <c r="U58" s="855">
        <v>4634</v>
      </c>
      <c r="V58" s="855">
        <v>4634</v>
      </c>
      <c r="W58" s="855">
        <v>4634</v>
      </c>
      <c r="X58" s="855">
        <v>4634</v>
      </c>
      <c r="Y58" s="855">
        <v>4634</v>
      </c>
      <c r="Z58" s="855">
        <v>4634</v>
      </c>
      <c r="AA58" s="855">
        <v>4634</v>
      </c>
    </row>
    <row r="59" spans="1:27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  <c r="U59" s="857"/>
      <c r="V59" s="857"/>
      <c r="W59" s="857"/>
      <c r="X59" s="857"/>
      <c r="Y59" s="857"/>
      <c r="Z59" s="857"/>
      <c r="AA59" s="857"/>
    </row>
    <row r="60" spans="1:27" s="687" customFormat="1" ht="15" thickBot="1">
      <c r="A60" s="1447" t="s">
        <v>224</v>
      </c>
      <c r="B60" s="1448"/>
      <c r="C60" s="856">
        <v>103614295</v>
      </c>
      <c r="D60" s="856">
        <v>6506234</v>
      </c>
      <c r="E60" s="856">
        <v>6544228</v>
      </c>
      <c r="F60" s="856">
        <v>7230807</v>
      </c>
      <c r="G60" s="856">
        <v>7601634</v>
      </c>
      <c r="H60" s="856">
        <v>6649493</v>
      </c>
      <c r="I60" s="856">
        <v>7145878</v>
      </c>
      <c r="J60" s="856">
        <v>8442024</v>
      </c>
      <c r="K60" s="856">
        <v>8442024</v>
      </c>
      <c r="L60" s="856">
        <v>7155319</v>
      </c>
      <c r="M60" s="856">
        <v>7171501</v>
      </c>
      <c r="N60" s="856">
        <v>6985739</v>
      </c>
      <c r="O60" s="856">
        <v>7376108</v>
      </c>
      <c r="P60" s="856">
        <v>7005301</v>
      </c>
      <c r="Q60" s="856">
        <v>6648353</v>
      </c>
      <c r="R60" s="856">
        <v>6648353</v>
      </c>
      <c r="S60" s="856">
        <v>7152611</v>
      </c>
      <c r="T60" s="856">
        <v>7162055</v>
      </c>
      <c r="U60" s="856">
        <v>7154206</v>
      </c>
      <c r="V60" s="856">
        <v>7624592</v>
      </c>
      <c r="W60" s="856">
        <v>8086186</v>
      </c>
      <c r="X60" s="856">
        <v>2913684</v>
      </c>
      <c r="Y60" s="856">
        <v>2880584</v>
      </c>
      <c r="Z60" s="856">
        <v>8107881</v>
      </c>
      <c r="AA60" s="856">
        <v>6822159</v>
      </c>
    </row>
    <row r="61" spans="1:27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  <c r="U61" s="851"/>
      <c r="V61" s="851"/>
      <c r="W61" s="851"/>
      <c r="X61" s="851"/>
      <c r="Y61" s="851"/>
      <c r="Z61" s="851"/>
      <c r="AA61" s="851"/>
    </row>
    <row r="62" spans="1:27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  <c r="T62" s="858"/>
      <c r="U62" s="858"/>
      <c r="V62" s="858"/>
      <c r="W62" s="858"/>
      <c r="X62" s="858"/>
      <c r="Y62" s="858"/>
      <c r="Z62" s="858"/>
      <c r="AA62" s="858"/>
    </row>
    <row r="63" spans="1:27">
      <c r="A63" s="751" t="s">
        <v>1</v>
      </c>
      <c r="B63" s="752" t="s">
        <v>275</v>
      </c>
      <c r="C63" s="859">
        <v>1982593</v>
      </c>
      <c r="D63" s="859">
        <v>859813</v>
      </c>
      <c r="E63" s="859">
        <v>316698</v>
      </c>
      <c r="F63" s="859">
        <v>726088</v>
      </c>
      <c r="G63" s="859">
        <v>1074577</v>
      </c>
      <c r="H63" s="859">
        <v>1710418</v>
      </c>
      <c r="I63" s="859">
        <v>368700</v>
      </c>
      <c r="J63" s="859">
        <v>928282</v>
      </c>
      <c r="K63" s="859">
        <v>928282</v>
      </c>
      <c r="L63" s="859">
        <v>297171</v>
      </c>
      <c r="M63" s="859">
        <v>924953</v>
      </c>
      <c r="N63" s="859">
        <v>657737</v>
      </c>
      <c r="O63" s="859">
        <v>927729</v>
      </c>
      <c r="P63" s="859">
        <v>1423519</v>
      </c>
      <c r="Q63" s="859">
        <v>1938806</v>
      </c>
      <c r="R63" s="859">
        <v>1938806</v>
      </c>
      <c r="S63" s="859">
        <v>357394</v>
      </c>
      <c r="T63" s="859">
        <v>679187</v>
      </c>
      <c r="U63" s="859">
        <v>1017873</v>
      </c>
      <c r="V63" s="859">
        <v>7659</v>
      </c>
      <c r="W63" s="859">
        <v>1065569</v>
      </c>
      <c r="X63" s="859">
        <v>1239565</v>
      </c>
      <c r="Y63" s="859">
        <v>1239565</v>
      </c>
      <c r="Z63" s="859">
        <v>1888553</v>
      </c>
      <c r="AA63" s="859">
        <v>285115</v>
      </c>
    </row>
    <row r="64" spans="1:27">
      <c r="A64" s="751" t="s">
        <v>212</v>
      </c>
      <c r="B64" s="752" t="s">
        <v>274</v>
      </c>
      <c r="C64" s="859">
        <v>873405</v>
      </c>
      <c r="D64" s="859">
        <v>67105</v>
      </c>
      <c r="E64" s="859">
        <v>60105</v>
      </c>
      <c r="F64" s="859">
        <v>355305</v>
      </c>
      <c r="G64" s="859">
        <v>492305</v>
      </c>
      <c r="H64" s="859">
        <v>548030</v>
      </c>
      <c r="I64" s="859">
        <v>732575</v>
      </c>
      <c r="J64" s="859">
        <v>75575</v>
      </c>
      <c r="K64" s="859">
        <v>75575</v>
      </c>
      <c r="L64" s="859">
        <v>230575</v>
      </c>
      <c r="M64" s="859">
        <v>99575</v>
      </c>
      <c r="N64" s="859">
        <v>310575</v>
      </c>
      <c r="O64" s="859">
        <v>395575</v>
      </c>
      <c r="P64" s="859">
        <v>412575</v>
      </c>
      <c r="Q64" s="859">
        <v>212474</v>
      </c>
      <c r="R64" s="859">
        <v>212474</v>
      </c>
      <c r="S64" s="859">
        <v>98649</v>
      </c>
      <c r="T64" s="859">
        <v>321649</v>
      </c>
      <c r="U64" s="859">
        <v>583049</v>
      </c>
      <c r="V64" s="859">
        <v>323824</v>
      </c>
      <c r="W64" s="859">
        <v>432874</v>
      </c>
      <c r="X64" s="859">
        <v>91374</v>
      </c>
      <c r="Y64" s="859">
        <v>91374</v>
      </c>
      <c r="Z64" s="859">
        <v>1405874</v>
      </c>
      <c r="AA64" s="859">
        <v>766174</v>
      </c>
    </row>
    <row r="65" spans="1:27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  <c r="T65" s="859">
        <v>159814</v>
      </c>
      <c r="U65" s="859">
        <v>159814</v>
      </c>
      <c r="V65" s="859">
        <v>159814</v>
      </c>
      <c r="W65" s="859">
        <v>159814</v>
      </c>
      <c r="X65" s="859">
        <v>159814</v>
      </c>
      <c r="Y65" s="859">
        <v>159814</v>
      </c>
      <c r="Z65" s="859">
        <v>159814</v>
      </c>
      <c r="AA65" s="859">
        <v>159814</v>
      </c>
    </row>
    <row r="66" spans="1:27">
      <c r="A66" s="751" t="s">
        <v>262</v>
      </c>
      <c r="B66" s="752" t="s">
        <v>277</v>
      </c>
      <c r="C66" s="859">
        <v>1036019</v>
      </c>
      <c r="D66" s="859">
        <v>1534493</v>
      </c>
      <c r="E66" s="859">
        <v>413493</v>
      </c>
      <c r="F66" s="859">
        <v>3715993</v>
      </c>
      <c r="G66" s="859">
        <v>1218493</v>
      </c>
      <c r="H66" s="859">
        <v>1520993</v>
      </c>
      <c r="I66" s="859">
        <v>2933493</v>
      </c>
      <c r="J66" s="859">
        <v>71993</v>
      </c>
      <c r="K66" s="859">
        <v>71993</v>
      </c>
      <c r="L66" s="859">
        <v>466993</v>
      </c>
      <c r="M66" s="859">
        <v>1013493</v>
      </c>
      <c r="N66" s="859">
        <v>3303493</v>
      </c>
      <c r="O66" s="859">
        <v>2288493</v>
      </c>
      <c r="P66" s="859">
        <v>3801493</v>
      </c>
      <c r="Q66" s="859">
        <v>2378993</v>
      </c>
      <c r="R66" s="859">
        <v>2378993</v>
      </c>
      <c r="S66" s="859">
        <v>941493</v>
      </c>
      <c r="T66" s="859">
        <v>2433993</v>
      </c>
      <c r="U66" s="859">
        <v>363493</v>
      </c>
      <c r="V66" s="859">
        <v>4043493</v>
      </c>
      <c r="W66" s="859">
        <v>649993</v>
      </c>
      <c r="X66" s="859">
        <v>52493</v>
      </c>
      <c r="Y66" s="859">
        <v>52493</v>
      </c>
      <c r="Z66" s="859">
        <v>458993</v>
      </c>
      <c r="AA66" s="859">
        <v>48991</v>
      </c>
    </row>
    <row r="67" spans="1:27">
      <c r="A67" s="751" t="s">
        <v>200</v>
      </c>
      <c r="B67" s="752" t="s">
        <v>278</v>
      </c>
      <c r="C67" s="859">
        <v>33907</v>
      </c>
      <c r="D67" s="859">
        <v>33907</v>
      </c>
      <c r="E67" s="859">
        <v>33907</v>
      </c>
      <c r="F67" s="859">
        <v>33907</v>
      </c>
      <c r="G67" s="859">
        <v>33907</v>
      </c>
      <c r="H67" s="859">
        <v>33907</v>
      </c>
      <c r="I67" s="859">
        <v>33907</v>
      </c>
      <c r="J67" s="859">
        <v>33907</v>
      </c>
      <c r="K67" s="859">
        <v>33907</v>
      </c>
      <c r="L67" s="859">
        <v>33907</v>
      </c>
      <c r="M67" s="859">
        <v>33907</v>
      </c>
      <c r="N67" s="859">
        <v>33907</v>
      </c>
      <c r="O67" s="859">
        <v>33907</v>
      </c>
      <c r="P67" s="859">
        <v>33907</v>
      </c>
      <c r="Q67" s="859">
        <v>33907</v>
      </c>
      <c r="R67" s="859">
        <v>33907</v>
      </c>
      <c r="S67" s="859">
        <v>33907</v>
      </c>
      <c r="T67" s="859">
        <v>33907</v>
      </c>
      <c r="U67" s="859">
        <v>33907</v>
      </c>
      <c r="V67" s="859">
        <v>33907</v>
      </c>
      <c r="W67" s="859">
        <v>33907</v>
      </c>
      <c r="X67" s="859">
        <v>33907</v>
      </c>
      <c r="Y67" s="859">
        <v>33907</v>
      </c>
      <c r="Z67" s="859">
        <v>36907</v>
      </c>
      <c r="AA67" s="859">
        <v>36907</v>
      </c>
    </row>
    <row r="68" spans="1:27">
      <c r="A68" s="751" t="s">
        <v>201</v>
      </c>
      <c r="B68" s="752" t="s">
        <v>279</v>
      </c>
      <c r="C68" s="859">
        <v>27000</v>
      </c>
      <c r="D68" s="859">
        <v>27000</v>
      </c>
      <c r="E68" s="859">
        <v>27000</v>
      </c>
      <c r="F68" s="859">
        <v>27000</v>
      </c>
      <c r="G68" s="859">
        <v>27000</v>
      </c>
      <c r="H68" s="859">
        <v>27000</v>
      </c>
      <c r="I68" s="859">
        <v>27000</v>
      </c>
      <c r="J68" s="859">
        <v>27000</v>
      </c>
      <c r="K68" s="859">
        <v>27000</v>
      </c>
      <c r="L68" s="859">
        <v>27000</v>
      </c>
      <c r="M68" s="859">
        <v>27000</v>
      </c>
      <c r="N68" s="859">
        <v>27000</v>
      </c>
      <c r="O68" s="859">
        <v>27000</v>
      </c>
      <c r="P68" s="859">
        <v>27000</v>
      </c>
      <c r="Q68" s="859">
        <v>27000</v>
      </c>
      <c r="R68" s="859">
        <v>27000</v>
      </c>
      <c r="S68" s="859">
        <v>27000</v>
      </c>
      <c r="T68" s="859">
        <v>27000</v>
      </c>
      <c r="U68" s="859">
        <v>27000</v>
      </c>
      <c r="V68" s="859">
        <v>27000</v>
      </c>
      <c r="W68" s="859">
        <v>27000</v>
      </c>
      <c r="X68" s="859">
        <v>27000</v>
      </c>
      <c r="Y68" s="859">
        <v>27000</v>
      </c>
      <c r="Z68" s="859">
        <v>27000</v>
      </c>
      <c r="AA68" s="859">
        <v>27000</v>
      </c>
    </row>
    <row r="69" spans="1:27">
      <c r="A69" s="751" t="s">
        <v>202</v>
      </c>
      <c r="B69" s="752" t="s">
        <v>280</v>
      </c>
      <c r="C69" s="859">
        <v>34500</v>
      </c>
      <c r="D69" s="859">
        <v>34500</v>
      </c>
      <c r="E69" s="859">
        <v>34500</v>
      </c>
      <c r="F69" s="859">
        <v>34500</v>
      </c>
      <c r="G69" s="859">
        <v>34500</v>
      </c>
      <c r="H69" s="859">
        <v>34500</v>
      </c>
      <c r="I69" s="859">
        <v>34500</v>
      </c>
      <c r="J69" s="859">
        <v>34500</v>
      </c>
      <c r="K69" s="859">
        <v>34500</v>
      </c>
      <c r="L69" s="859">
        <v>34500</v>
      </c>
      <c r="M69" s="859">
        <v>34500</v>
      </c>
      <c r="N69" s="859">
        <v>34500</v>
      </c>
      <c r="O69" s="859">
        <v>34500</v>
      </c>
      <c r="P69" s="859">
        <v>34500</v>
      </c>
      <c r="Q69" s="859">
        <v>34500</v>
      </c>
      <c r="R69" s="859">
        <v>38500</v>
      </c>
      <c r="S69" s="859">
        <v>38500</v>
      </c>
      <c r="T69" s="859">
        <v>38500</v>
      </c>
      <c r="U69" s="859">
        <v>38500</v>
      </c>
      <c r="V69" s="859">
        <v>38500</v>
      </c>
      <c r="W69" s="859">
        <v>38500</v>
      </c>
      <c r="X69" s="859">
        <v>38500</v>
      </c>
      <c r="Y69" s="859">
        <v>38500</v>
      </c>
      <c r="Z69" s="859">
        <v>44500</v>
      </c>
      <c r="AA69" s="859">
        <v>44500</v>
      </c>
    </row>
    <row r="70" spans="1:27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  <c r="T70" s="859">
        <v>69862</v>
      </c>
      <c r="U70" s="859">
        <v>69862</v>
      </c>
      <c r="V70" s="859">
        <v>69862</v>
      </c>
      <c r="W70" s="859">
        <v>69862</v>
      </c>
      <c r="X70" s="859">
        <v>69862</v>
      </c>
      <c r="Y70" s="859">
        <v>69862</v>
      </c>
      <c r="Z70" s="859">
        <v>69862</v>
      </c>
      <c r="AA70" s="859">
        <v>69862</v>
      </c>
    </row>
    <row r="71" spans="1:27">
      <c r="A71" s="751" t="s">
        <v>535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  <c r="R71" s="859">
        <v>0</v>
      </c>
      <c r="S71" s="859">
        <v>0</v>
      </c>
      <c r="T71" s="859">
        <v>0</v>
      </c>
      <c r="U71" s="859">
        <v>0</v>
      </c>
      <c r="V71" s="859">
        <v>0</v>
      </c>
      <c r="W71" s="859">
        <v>0</v>
      </c>
      <c r="X71" s="859">
        <v>0</v>
      </c>
      <c r="Y71" s="859">
        <v>0</v>
      </c>
      <c r="Z71" s="859">
        <v>0</v>
      </c>
      <c r="AA71" s="859">
        <v>0</v>
      </c>
    </row>
    <row r="72" spans="1:27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0"/>
      <c r="R72" s="860"/>
      <c r="S72" s="860"/>
      <c r="T72" s="860"/>
      <c r="U72" s="860"/>
      <c r="V72" s="860"/>
      <c r="W72" s="860"/>
      <c r="X72" s="860"/>
      <c r="Y72" s="860"/>
      <c r="Z72" s="860"/>
      <c r="AA72" s="860"/>
    </row>
    <row r="73" spans="1:27" s="687" customFormat="1" ht="15" thickBot="1">
      <c r="A73" s="1447" t="s">
        <v>224</v>
      </c>
      <c r="B73" s="1448"/>
      <c r="C73" s="856">
        <v>4217100</v>
      </c>
      <c r="D73" s="856">
        <v>2786494</v>
      </c>
      <c r="E73" s="856">
        <v>1115379</v>
      </c>
      <c r="F73" s="856">
        <v>5122469</v>
      </c>
      <c r="G73" s="856">
        <v>3110458</v>
      </c>
      <c r="H73" s="856">
        <v>4104524</v>
      </c>
      <c r="I73" s="856">
        <v>4359851</v>
      </c>
      <c r="J73" s="856">
        <v>1400933</v>
      </c>
      <c r="K73" s="856">
        <v>1400933</v>
      </c>
      <c r="L73" s="856">
        <v>1319822</v>
      </c>
      <c r="M73" s="856">
        <v>2363104</v>
      </c>
      <c r="N73" s="856">
        <v>4596888</v>
      </c>
      <c r="O73" s="856">
        <v>3936880</v>
      </c>
      <c r="P73" s="856">
        <v>5962670</v>
      </c>
      <c r="Q73" s="856">
        <v>4855356</v>
      </c>
      <c r="R73" s="856">
        <v>4859356</v>
      </c>
      <c r="S73" s="856">
        <v>1726619</v>
      </c>
      <c r="T73" s="856">
        <v>3763912</v>
      </c>
      <c r="U73" s="856">
        <v>2293498</v>
      </c>
      <c r="V73" s="856">
        <v>4704059</v>
      </c>
      <c r="W73" s="856">
        <v>2477519</v>
      </c>
      <c r="X73" s="856">
        <v>1712515</v>
      </c>
      <c r="Y73" s="856">
        <v>1712515</v>
      </c>
      <c r="Z73" s="856">
        <v>4091503</v>
      </c>
      <c r="AA73" s="856">
        <v>1438363</v>
      </c>
    </row>
    <row r="74" spans="1:27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  <c r="T74" s="861"/>
      <c r="U74" s="861"/>
      <c r="V74" s="861"/>
      <c r="W74" s="861"/>
      <c r="X74" s="861"/>
      <c r="Y74" s="861"/>
      <c r="Z74" s="861"/>
      <c r="AA74" s="861"/>
    </row>
    <row r="75" spans="1:27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  <c r="T75" s="848"/>
      <c r="U75" s="848"/>
      <c r="V75" s="848"/>
      <c r="W75" s="848"/>
      <c r="X75" s="848"/>
      <c r="Y75" s="848"/>
      <c r="Z75" s="848"/>
      <c r="AA75" s="848"/>
    </row>
    <row r="76" spans="1:27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  <c r="T76" s="852"/>
      <c r="U76" s="852"/>
      <c r="V76" s="852"/>
      <c r="W76" s="852"/>
      <c r="X76" s="852"/>
      <c r="Y76" s="852"/>
      <c r="Z76" s="852"/>
      <c r="AA76" s="852"/>
    </row>
    <row r="77" spans="1:27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  <c r="U77" s="854"/>
      <c r="V77" s="854"/>
      <c r="W77" s="854"/>
      <c r="X77" s="854"/>
      <c r="Y77" s="854"/>
      <c r="Z77" s="854"/>
      <c r="AA77" s="854"/>
    </row>
    <row r="78" spans="1:27">
      <c r="A78" s="28" t="s">
        <v>90</v>
      </c>
      <c r="B78" s="747" t="s">
        <v>266</v>
      </c>
      <c r="C78" s="855">
        <v>57800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5000000</v>
      </c>
      <c r="T78" s="855">
        <v>5000000</v>
      </c>
      <c r="U78" s="855">
        <v>5000000</v>
      </c>
      <c r="V78" s="855">
        <v>5000000</v>
      </c>
      <c r="W78" s="855">
        <v>5000000</v>
      </c>
      <c r="X78" s="855">
        <v>94625</v>
      </c>
      <c r="Y78" s="855">
        <v>53775</v>
      </c>
      <c r="Z78" s="855">
        <v>5000000</v>
      </c>
      <c r="AA78" s="855">
        <v>5000000</v>
      </c>
    </row>
    <row r="79" spans="1:27">
      <c r="A79" s="28" t="s">
        <v>73</v>
      </c>
      <c r="B79" s="746" t="s">
        <v>485</v>
      </c>
      <c r="C79" s="855">
        <v>557463</v>
      </c>
      <c r="D79" s="855">
        <v>709713</v>
      </c>
      <c r="E79" s="855">
        <v>799688</v>
      </c>
      <c r="F79" s="855">
        <v>45688</v>
      </c>
      <c r="G79" s="855">
        <v>346988</v>
      </c>
      <c r="H79" s="855">
        <v>481763</v>
      </c>
      <c r="I79" s="855">
        <v>502763</v>
      </c>
      <c r="J79" s="855">
        <v>684313</v>
      </c>
      <c r="K79" s="855">
        <v>684313</v>
      </c>
      <c r="L79" s="855">
        <v>935813</v>
      </c>
      <c r="M79" s="855">
        <v>229813</v>
      </c>
      <c r="N79" s="855">
        <v>229813</v>
      </c>
      <c r="O79" s="855">
        <v>229813</v>
      </c>
      <c r="P79" s="855">
        <v>280813</v>
      </c>
      <c r="Q79" s="855">
        <v>34563</v>
      </c>
      <c r="R79" s="855">
        <v>34563</v>
      </c>
      <c r="S79" s="855">
        <v>34563</v>
      </c>
      <c r="T79" s="855">
        <v>182563</v>
      </c>
      <c r="U79" s="855">
        <v>284563</v>
      </c>
      <c r="V79" s="855">
        <v>284563</v>
      </c>
      <c r="W79" s="855">
        <v>335313</v>
      </c>
      <c r="X79" s="855">
        <v>87813</v>
      </c>
      <c r="Y79" s="855">
        <v>87813</v>
      </c>
      <c r="Z79" s="855">
        <v>87813</v>
      </c>
      <c r="AA79" s="855">
        <v>87813</v>
      </c>
    </row>
    <row r="80" spans="1:27">
      <c r="A80" s="28" t="s">
        <v>1</v>
      </c>
      <c r="B80" s="746" t="s">
        <v>486</v>
      </c>
      <c r="C80" s="855">
        <v>1095738</v>
      </c>
      <c r="D80" s="855">
        <v>835832</v>
      </c>
      <c r="E80" s="855">
        <v>224217</v>
      </c>
      <c r="F80" s="855">
        <v>750505</v>
      </c>
      <c r="G80" s="855">
        <v>1236188</v>
      </c>
      <c r="H80" s="855">
        <v>401194</v>
      </c>
      <c r="I80" s="855">
        <v>863079</v>
      </c>
      <c r="J80" s="855">
        <v>382956</v>
      </c>
      <c r="K80" s="855">
        <v>382956</v>
      </c>
      <c r="L80" s="855">
        <v>274345</v>
      </c>
      <c r="M80" s="855">
        <v>748029</v>
      </c>
      <c r="N80" s="855">
        <v>1312811</v>
      </c>
      <c r="O80" s="855">
        <v>258897</v>
      </c>
      <c r="P80" s="855">
        <v>1014879</v>
      </c>
      <c r="Q80" s="855">
        <v>311561</v>
      </c>
      <c r="R80" s="855">
        <v>386560</v>
      </c>
      <c r="S80" s="855">
        <v>864950</v>
      </c>
      <c r="T80" s="855">
        <v>1162140</v>
      </c>
      <c r="U80" s="855">
        <v>123429</v>
      </c>
      <c r="V80" s="855">
        <v>487220</v>
      </c>
      <c r="W80" s="855">
        <v>891009</v>
      </c>
      <c r="X80" s="855">
        <v>1235800</v>
      </c>
      <c r="Y80" s="855">
        <v>1235800</v>
      </c>
      <c r="Z80" s="855">
        <v>1420695</v>
      </c>
      <c r="AA80" s="855">
        <v>428188</v>
      </c>
    </row>
    <row r="81" spans="1:27">
      <c r="A81" s="28" t="s">
        <v>111</v>
      </c>
      <c r="B81" s="746" t="s">
        <v>487</v>
      </c>
      <c r="C81" s="855">
        <v>991397</v>
      </c>
      <c r="D81" s="855">
        <v>129042</v>
      </c>
      <c r="E81" s="855">
        <v>129042</v>
      </c>
      <c r="F81" s="855">
        <v>144742</v>
      </c>
      <c r="G81" s="855">
        <v>363442</v>
      </c>
      <c r="H81" s="855">
        <v>363442</v>
      </c>
      <c r="I81" s="855">
        <v>516062</v>
      </c>
      <c r="J81" s="855">
        <v>59562</v>
      </c>
      <c r="K81" s="855">
        <v>59562</v>
      </c>
      <c r="L81" s="855">
        <v>342307</v>
      </c>
      <c r="M81" s="855">
        <v>525897</v>
      </c>
      <c r="N81" s="855">
        <v>383597</v>
      </c>
      <c r="O81" s="855">
        <v>452977</v>
      </c>
      <c r="P81" s="855">
        <v>11677</v>
      </c>
      <c r="Q81" s="855">
        <v>170777</v>
      </c>
      <c r="R81" s="855">
        <v>235777</v>
      </c>
      <c r="S81" s="855">
        <v>235777</v>
      </c>
      <c r="T81" s="855">
        <v>295727</v>
      </c>
      <c r="U81" s="855">
        <v>349107</v>
      </c>
      <c r="V81" s="855">
        <v>406987</v>
      </c>
      <c r="W81" s="855">
        <v>510257</v>
      </c>
      <c r="X81" s="855">
        <v>132077</v>
      </c>
      <c r="Y81" s="855">
        <v>132077</v>
      </c>
      <c r="Z81" s="855">
        <v>239657</v>
      </c>
      <c r="AA81" s="855">
        <v>433127</v>
      </c>
    </row>
    <row r="82" spans="1:27">
      <c r="A82" s="28" t="s">
        <v>168</v>
      </c>
      <c r="B82" s="746" t="s">
        <v>488</v>
      </c>
      <c r="C82" s="855">
        <v>460400</v>
      </c>
      <c r="D82" s="855">
        <v>476400</v>
      </c>
      <c r="E82" s="855">
        <v>22400</v>
      </c>
      <c r="F82" s="855">
        <v>101900</v>
      </c>
      <c r="G82" s="855">
        <v>223900</v>
      </c>
      <c r="H82" s="855">
        <v>370900</v>
      </c>
      <c r="I82" s="855">
        <v>436400</v>
      </c>
      <c r="J82" s="855">
        <v>493400</v>
      </c>
      <c r="K82" s="855">
        <v>493400</v>
      </c>
      <c r="L82" s="855">
        <v>594900</v>
      </c>
      <c r="M82" s="855">
        <v>610900</v>
      </c>
      <c r="N82" s="855">
        <v>110900</v>
      </c>
      <c r="O82" s="855">
        <v>157600</v>
      </c>
      <c r="P82" s="855">
        <v>203100</v>
      </c>
      <c r="Q82" s="855">
        <v>203100</v>
      </c>
      <c r="R82" s="855">
        <v>203100</v>
      </c>
      <c r="S82" s="855">
        <v>248600</v>
      </c>
      <c r="T82" s="855">
        <v>313800</v>
      </c>
      <c r="U82" s="855">
        <v>313800</v>
      </c>
      <c r="V82" s="855">
        <v>313800</v>
      </c>
      <c r="W82" s="855">
        <v>339800</v>
      </c>
      <c r="X82" s="855">
        <v>339800</v>
      </c>
      <c r="Y82" s="855">
        <v>339800</v>
      </c>
      <c r="Z82" s="855">
        <v>400300</v>
      </c>
      <c r="AA82" s="855">
        <v>500800</v>
      </c>
    </row>
    <row r="83" spans="1:27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  <c r="T83" s="855">
        <v>0</v>
      </c>
      <c r="U83" s="855">
        <v>0</v>
      </c>
      <c r="V83" s="855">
        <v>0</v>
      </c>
      <c r="W83" s="855">
        <v>0</v>
      </c>
      <c r="X83" s="855">
        <v>0</v>
      </c>
      <c r="Y83" s="855">
        <v>0</v>
      </c>
      <c r="Z83" s="855">
        <v>0</v>
      </c>
      <c r="AA83" s="855">
        <v>0</v>
      </c>
    </row>
    <row r="84" spans="1:27">
      <c r="A84" s="28" t="s">
        <v>9</v>
      </c>
      <c r="B84" s="746" t="s">
        <v>490</v>
      </c>
      <c r="C84" s="855">
        <v>452263</v>
      </c>
      <c r="D84" s="855">
        <v>452263</v>
      </c>
      <c r="E84" s="855">
        <v>452263</v>
      </c>
      <c r="F84" s="855">
        <v>452263</v>
      </c>
      <c r="G84" s="855">
        <v>452263</v>
      </c>
      <c r="H84" s="855">
        <v>452263</v>
      </c>
      <c r="I84" s="855">
        <v>452263</v>
      </c>
      <c r="J84" s="855">
        <v>452263</v>
      </c>
      <c r="K84" s="855">
        <v>452263</v>
      </c>
      <c r="L84" s="855">
        <v>452263</v>
      </c>
      <c r="M84" s="855">
        <v>452263</v>
      </c>
      <c r="N84" s="855">
        <v>452263</v>
      </c>
      <c r="O84" s="855">
        <v>452263</v>
      </c>
      <c r="P84" s="855">
        <v>452263</v>
      </c>
      <c r="Q84" s="855">
        <v>452263</v>
      </c>
      <c r="R84" s="855">
        <v>452263</v>
      </c>
      <c r="S84" s="855">
        <v>452263</v>
      </c>
      <c r="T84" s="855">
        <v>452263</v>
      </c>
      <c r="U84" s="855">
        <v>452263</v>
      </c>
      <c r="V84" s="855">
        <v>452263</v>
      </c>
      <c r="W84" s="855">
        <v>452263</v>
      </c>
      <c r="X84" s="855">
        <v>452263</v>
      </c>
      <c r="Y84" s="855">
        <v>452263</v>
      </c>
      <c r="Z84" s="855">
        <v>452263</v>
      </c>
      <c r="AA84" s="855">
        <v>452263</v>
      </c>
    </row>
    <row r="85" spans="1:27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  <c r="U85" s="857"/>
      <c r="V85" s="857"/>
      <c r="W85" s="857"/>
      <c r="X85" s="857"/>
      <c r="Y85" s="857"/>
      <c r="Z85" s="857"/>
      <c r="AA85" s="857"/>
    </row>
    <row r="86" spans="1:27" s="687" customFormat="1" ht="15" thickBot="1">
      <c r="A86" s="1447" t="s">
        <v>224</v>
      </c>
      <c r="B86" s="1448"/>
      <c r="C86" s="856">
        <v>3615061</v>
      </c>
      <c r="D86" s="856">
        <v>7603250</v>
      </c>
      <c r="E86" s="856">
        <v>6627610</v>
      </c>
      <c r="F86" s="856">
        <v>6495098</v>
      </c>
      <c r="G86" s="856">
        <v>7622781</v>
      </c>
      <c r="H86" s="856">
        <v>7069562</v>
      </c>
      <c r="I86" s="856">
        <v>7770567</v>
      </c>
      <c r="J86" s="856">
        <v>7072494</v>
      </c>
      <c r="K86" s="856">
        <v>7072494</v>
      </c>
      <c r="L86" s="856">
        <v>7599628</v>
      </c>
      <c r="M86" s="856">
        <v>7566902</v>
      </c>
      <c r="N86" s="856">
        <v>7489384</v>
      </c>
      <c r="O86" s="856">
        <v>6551550</v>
      </c>
      <c r="P86" s="856">
        <v>6962732</v>
      </c>
      <c r="Q86" s="856">
        <v>6172264</v>
      </c>
      <c r="R86" s="856">
        <v>6312263</v>
      </c>
      <c r="S86" s="856">
        <v>6836153</v>
      </c>
      <c r="T86" s="856">
        <v>7406493</v>
      </c>
      <c r="U86" s="856">
        <v>6523162</v>
      </c>
      <c r="V86" s="856">
        <v>6944833</v>
      </c>
      <c r="W86" s="856">
        <v>7528642</v>
      </c>
      <c r="X86" s="856">
        <v>2342378</v>
      </c>
      <c r="Y86" s="856">
        <v>2301528</v>
      </c>
      <c r="Z86" s="856">
        <v>7600728</v>
      </c>
      <c r="AA86" s="856">
        <v>6902191</v>
      </c>
    </row>
    <row r="87" spans="1:27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  <c r="T87" s="852"/>
      <c r="U87" s="852"/>
      <c r="V87" s="852"/>
      <c r="W87" s="852"/>
      <c r="X87" s="852"/>
      <c r="Y87" s="852"/>
      <c r="Z87" s="852"/>
      <c r="AA87" s="852"/>
    </row>
    <row r="88" spans="1:27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  <c r="T88" s="852"/>
      <c r="U88" s="852"/>
      <c r="V88" s="852"/>
      <c r="W88" s="852"/>
      <c r="X88" s="852"/>
      <c r="Y88" s="852"/>
      <c r="Z88" s="852"/>
      <c r="AA88" s="852"/>
    </row>
    <row r="89" spans="1:27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  <c r="T89" s="862"/>
      <c r="U89" s="862"/>
      <c r="V89" s="862"/>
      <c r="W89" s="862"/>
      <c r="X89" s="862"/>
      <c r="Y89" s="862"/>
      <c r="Z89" s="862"/>
      <c r="AA89" s="862"/>
    </row>
    <row r="90" spans="1:27">
      <c r="A90" s="28" t="s">
        <v>95</v>
      </c>
      <c r="B90" s="747" t="s">
        <v>207</v>
      </c>
      <c r="C90" s="855">
        <v>265519</v>
      </c>
      <c r="D90" s="855">
        <v>35271422</v>
      </c>
      <c r="E90" s="855">
        <v>26692921</v>
      </c>
      <c r="F90" s="855">
        <v>12790121</v>
      </c>
      <c r="G90" s="855">
        <v>13790121</v>
      </c>
      <c r="H90" s="855">
        <v>5445171</v>
      </c>
      <c r="I90" s="855">
        <v>28595821</v>
      </c>
      <c r="J90" s="855">
        <v>4614321</v>
      </c>
      <c r="K90" s="855">
        <v>4825521</v>
      </c>
      <c r="L90" s="855">
        <v>2607521</v>
      </c>
      <c r="M90" s="855">
        <v>5687871</v>
      </c>
      <c r="N90" s="855">
        <v>3672871</v>
      </c>
      <c r="O90" s="855">
        <v>3584771</v>
      </c>
      <c r="P90" s="855">
        <v>6331271</v>
      </c>
      <c r="Q90" s="855">
        <v>7834271</v>
      </c>
      <c r="R90" s="855">
        <v>7735421</v>
      </c>
      <c r="S90" s="855">
        <v>4704921</v>
      </c>
      <c r="T90" s="855">
        <v>6304921</v>
      </c>
      <c r="U90" s="855">
        <v>2946036</v>
      </c>
      <c r="V90" s="855">
        <v>294036</v>
      </c>
      <c r="W90" s="855">
        <v>284036</v>
      </c>
      <c r="X90" s="855">
        <v>12784036</v>
      </c>
      <c r="Y90" s="855">
        <v>14163936</v>
      </c>
      <c r="Z90" s="855">
        <v>503236</v>
      </c>
      <c r="AA90" s="855">
        <v>6561736</v>
      </c>
    </row>
    <row r="91" spans="1:27">
      <c r="A91" s="28" t="s">
        <v>96</v>
      </c>
      <c r="B91" s="747" t="s">
        <v>208</v>
      </c>
      <c r="C91" s="855">
        <v>17870</v>
      </c>
      <c r="D91" s="855">
        <v>17870</v>
      </c>
      <c r="E91" s="855">
        <v>17870</v>
      </c>
      <c r="F91" s="855">
        <v>17870</v>
      </c>
      <c r="G91" s="855">
        <v>17870</v>
      </c>
      <c r="H91" s="855">
        <v>17870</v>
      </c>
      <c r="I91" s="855">
        <v>17870</v>
      </c>
      <c r="J91" s="855">
        <v>17870</v>
      </c>
      <c r="K91" s="855">
        <v>17870</v>
      </c>
      <c r="L91" s="855">
        <v>17870</v>
      </c>
      <c r="M91" s="855">
        <v>17870</v>
      </c>
      <c r="N91" s="855">
        <v>17870</v>
      </c>
      <c r="O91" s="855">
        <v>17870</v>
      </c>
      <c r="P91" s="855">
        <v>39870</v>
      </c>
      <c r="Q91" s="855">
        <v>39870</v>
      </c>
      <c r="R91" s="855">
        <v>39870</v>
      </c>
      <c r="S91" s="855">
        <v>39870</v>
      </c>
      <c r="T91" s="855">
        <v>39870</v>
      </c>
      <c r="U91" s="855">
        <v>39870</v>
      </c>
      <c r="V91" s="855">
        <v>39870</v>
      </c>
      <c r="W91" s="855">
        <v>39870</v>
      </c>
      <c r="X91" s="855">
        <v>39870</v>
      </c>
      <c r="Y91" s="855">
        <v>39870</v>
      </c>
      <c r="Z91" s="855">
        <v>39870</v>
      </c>
      <c r="AA91" s="855">
        <v>50870</v>
      </c>
    </row>
    <row r="92" spans="1:27">
      <c r="A92" s="28" t="s">
        <v>94</v>
      </c>
      <c r="B92" s="747" t="s">
        <v>82</v>
      </c>
      <c r="C92" s="855">
        <v>202777</v>
      </c>
      <c r="D92" s="855">
        <v>152777</v>
      </c>
      <c r="E92" s="855">
        <v>152777</v>
      </c>
      <c r="F92" s="855">
        <v>152777</v>
      </c>
      <c r="G92" s="855">
        <v>152777</v>
      </c>
      <c r="H92" s="855">
        <v>152777</v>
      </c>
      <c r="I92" s="855">
        <v>152777</v>
      </c>
      <c r="J92" s="855">
        <v>152777</v>
      </c>
      <c r="K92" s="855">
        <v>152777</v>
      </c>
      <c r="L92" s="855">
        <v>152777</v>
      </c>
      <c r="M92" s="855">
        <v>152777</v>
      </c>
      <c r="N92" s="855">
        <v>152777</v>
      </c>
      <c r="O92" s="855">
        <v>152777</v>
      </c>
      <c r="P92" s="855">
        <v>152777</v>
      </c>
      <c r="Q92" s="855">
        <v>152777</v>
      </c>
      <c r="R92" s="855">
        <v>152777</v>
      </c>
      <c r="S92" s="855">
        <v>152777</v>
      </c>
      <c r="T92" s="855">
        <v>152777</v>
      </c>
      <c r="U92" s="855">
        <v>152777</v>
      </c>
      <c r="V92" s="855">
        <v>152777</v>
      </c>
      <c r="W92" s="855">
        <v>152777</v>
      </c>
      <c r="X92" s="855">
        <v>152777</v>
      </c>
      <c r="Y92" s="855">
        <v>152777</v>
      </c>
      <c r="Z92" s="855">
        <v>152777</v>
      </c>
      <c r="AA92" s="855">
        <v>152777</v>
      </c>
    </row>
    <row r="93" spans="1:27">
      <c r="A93" s="28" t="s">
        <v>103</v>
      </c>
      <c r="B93" s="747" t="s">
        <v>209</v>
      </c>
      <c r="C93" s="855">
        <v>152500</v>
      </c>
      <c r="D93" s="855">
        <v>152500</v>
      </c>
      <c r="E93" s="855">
        <v>152500</v>
      </c>
      <c r="F93" s="855">
        <v>152500</v>
      </c>
      <c r="G93" s="855">
        <v>152500</v>
      </c>
      <c r="H93" s="855">
        <v>152500</v>
      </c>
      <c r="I93" s="855">
        <v>152500</v>
      </c>
      <c r="J93" s="855">
        <v>152500</v>
      </c>
      <c r="K93" s="855">
        <v>152500</v>
      </c>
      <c r="L93" s="855">
        <v>152500</v>
      </c>
      <c r="M93" s="855">
        <v>152500</v>
      </c>
      <c r="N93" s="855">
        <v>152500</v>
      </c>
      <c r="O93" s="855">
        <v>152500</v>
      </c>
      <c r="P93" s="855">
        <v>152500</v>
      </c>
      <c r="Q93" s="855">
        <v>152500</v>
      </c>
      <c r="R93" s="855">
        <v>152500</v>
      </c>
      <c r="S93" s="855">
        <v>152500</v>
      </c>
      <c r="T93" s="855">
        <v>152500</v>
      </c>
      <c r="U93" s="855">
        <v>152500</v>
      </c>
      <c r="V93" s="855">
        <v>152500</v>
      </c>
      <c r="W93" s="855">
        <v>152500</v>
      </c>
      <c r="X93" s="855">
        <v>152500</v>
      </c>
      <c r="Y93" s="855">
        <v>152500</v>
      </c>
      <c r="Z93" s="855">
        <v>152500</v>
      </c>
      <c r="AA93" s="855">
        <v>102500</v>
      </c>
    </row>
    <row r="94" spans="1:27">
      <c r="A94" s="28" t="s">
        <v>70</v>
      </c>
      <c r="B94" s="747" t="s">
        <v>210</v>
      </c>
      <c r="C94" s="855">
        <v>29123</v>
      </c>
      <c r="D94" s="855">
        <v>29123</v>
      </c>
      <c r="E94" s="855">
        <v>29123</v>
      </c>
      <c r="F94" s="855">
        <v>29123</v>
      </c>
      <c r="G94" s="855">
        <v>29123</v>
      </c>
      <c r="H94" s="855">
        <v>9123</v>
      </c>
      <c r="I94" s="855">
        <v>9123</v>
      </c>
      <c r="J94" s="855">
        <v>9123</v>
      </c>
      <c r="K94" s="855">
        <v>9123</v>
      </c>
      <c r="L94" s="855">
        <v>9123</v>
      </c>
      <c r="M94" s="855">
        <v>9123</v>
      </c>
      <c r="N94" s="855">
        <v>9123</v>
      </c>
      <c r="O94" s="855">
        <v>9123</v>
      </c>
      <c r="P94" s="855">
        <v>9123</v>
      </c>
      <c r="Q94" s="855">
        <v>9123</v>
      </c>
      <c r="R94" s="855">
        <v>9123</v>
      </c>
      <c r="S94" s="855">
        <v>9123</v>
      </c>
      <c r="T94" s="855">
        <v>9123</v>
      </c>
      <c r="U94" s="855">
        <v>9123</v>
      </c>
      <c r="V94" s="855">
        <v>9123</v>
      </c>
      <c r="W94" s="855">
        <v>9123</v>
      </c>
      <c r="X94" s="855">
        <v>9123</v>
      </c>
      <c r="Y94" s="855">
        <v>29123</v>
      </c>
      <c r="Z94" s="855">
        <v>29123</v>
      </c>
      <c r="AA94" s="855">
        <v>29123</v>
      </c>
    </row>
    <row r="95" spans="1:27">
      <c r="A95" s="28" t="s">
        <v>220</v>
      </c>
      <c r="B95" s="747" t="s">
        <v>204</v>
      </c>
      <c r="C95" s="855">
        <v>54222</v>
      </c>
      <c r="D95" s="855">
        <v>54222</v>
      </c>
      <c r="E95" s="855">
        <v>54222</v>
      </c>
      <c r="F95" s="855">
        <v>54222</v>
      </c>
      <c r="G95" s="855">
        <v>54222</v>
      </c>
      <c r="H95" s="855">
        <v>23222</v>
      </c>
      <c r="I95" s="855">
        <v>23222</v>
      </c>
      <c r="J95" s="855">
        <v>23222</v>
      </c>
      <c r="K95" s="855">
        <v>23222</v>
      </c>
      <c r="L95" s="855">
        <v>23222</v>
      </c>
      <c r="M95" s="855">
        <v>23222</v>
      </c>
      <c r="N95" s="855">
        <v>23222</v>
      </c>
      <c r="O95" s="855">
        <v>23222</v>
      </c>
      <c r="P95" s="855">
        <v>23222</v>
      </c>
      <c r="Q95" s="855">
        <v>23222</v>
      </c>
      <c r="R95" s="855">
        <v>23222</v>
      </c>
      <c r="S95" s="855">
        <v>23222</v>
      </c>
      <c r="T95" s="855">
        <v>23222</v>
      </c>
      <c r="U95" s="855">
        <v>23222</v>
      </c>
      <c r="V95" s="855">
        <v>23222</v>
      </c>
      <c r="W95" s="855">
        <v>23222</v>
      </c>
      <c r="X95" s="855">
        <v>23222</v>
      </c>
      <c r="Y95" s="855">
        <v>42222</v>
      </c>
      <c r="Z95" s="855">
        <v>42222</v>
      </c>
      <c r="AA95" s="855">
        <v>42222</v>
      </c>
    </row>
    <row r="96" spans="1:27">
      <c r="A96" s="28" t="s">
        <v>221</v>
      </c>
      <c r="B96" s="747" t="s">
        <v>205</v>
      </c>
      <c r="C96" s="855">
        <v>29499</v>
      </c>
      <c r="D96" s="855">
        <v>29499</v>
      </c>
      <c r="E96" s="855">
        <v>29499</v>
      </c>
      <c r="F96" s="855">
        <v>29499</v>
      </c>
      <c r="G96" s="855">
        <v>29499</v>
      </c>
      <c r="H96" s="855">
        <v>29499</v>
      </c>
      <c r="I96" s="855">
        <v>29499</v>
      </c>
      <c r="J96" s="855">
        <v>29499</v>
      </c>
      <c r="K96" s="855">
        <v>29499</v>
      </c>
      <c r="L96" s="855">
        <v>29499</v>
      </c>
      <c r="M96" s="855">
        <v>29499</v>
      </c>
      <c r="N96" s="855">
        <v>29499</v>
      </c>
      <c r="O96" s="855">
        <v>35499</v>
      </c>
      <c r="P96" s="855">
        <v>35499</v>
      </c>
      <c r="Q96" s="855">
        <v>35499</v>
      </c>
      <c r="R96" s="855">
        <v>35499</v>
      </c>
      <c r="S96" s="855">
        <v>35499</v>
      </c>
      <c r="T96" s="855">
        <v>35499</v>
      </c>
      <c r="U96" s="855">
        <v>35499</v>
      </c>
      <c r="V96" s="855">
        <v>35499</v>
      </c>
      <c r="W96" s="855">
        <v>35499</v>
      </c>
      <c r="X96" s="855">
        <v>35499</v>
      </c>
      <c r="Y96" s="855">
        <v>41499</v>
      </c>
      <c r="Z96" s="855">
        <v>41499</v>
      </c>
      <c r="AA96" s="855">
        <v>41499</v>
      </c>
    </row>
    <row r="97" spans="1:27">
      <c r="A97" s="1" t="s">
        <v>5</v>
      </c>
      <c r="B97" s="756"/>
      <c r="C97" s="641">
        <v>0</v>
      </c>
      <c r="D97" s="641">
        <v>0</v>
      </c>
      <c r="E97" s="641">
        <v>0</v>
      </c>
      <c r="F97" s="641">
        <v>0</v>
      </c>
      <c r="G97" s="641">
        <v>0</v>
      </c>
      <c r="H97" s="641">
        <v>0</v>
      </c>
      <c r="I97" s="641">
        <v>0</v>
      </c>
      <c r="J97" s="641">
        <v>0</v>
      </c>
      <c r="K97" s="641">
        <v>0</v>
      </c>
      <c r="L97" s="641">
        <v>0</v>
      </c>
      <c r="M97" s="641">
        <v>0</v>
      </c>
      <c r="N97" s="641">
        <v>0</v>
      </c>
      <c r="O97" s="641">
        <v>0</v>
      </c>
      <c r="P97" s="641">
        <v>0</v>
      </c>
      <c r="Q97" s="641">
        <v>0</v>
      </c>
      <c r="R97" s="641">
        <v>0</v>
      </c>
      <c r="S97" s="641">
        <v>0</v>
      </c>
      <c r="T97" s="641">
        <v>0</v>
      </c>
      <c r="U97" s="641">
        <v>0</v>
      </c>
      <c r="V97" s="641">
        <v>0</v>
      </c>
      <c r="W97" s="641">
        <v>0</v>
      </c>
      <c r="X97" s="641">
        <v>0</v>
      </c>
      <c r="Y97" s="641">
        <v>0</v>
      </c>
      <c r="Z97" s="641">
        <v>0</v>
      </c>
      <c r="AA97" s="641">
        <v>0</v>
      </c>
    </row>
    <row r="98" spans="1:27">
      <c r="A98" s="1" t="s">
        <v>6</v>
      </c>
      <c r="B98" s="756"/>
      <c r="C98" s="641">
        <v>0</v>
      </c>
      <c r="D98" s="641">
        <v>0</v>
      </c>
      <c r="E98" s="641">
        <v>0</v>
      </c>
      <c r="F98" s="641">
        <v>0</v>
      </c>
      <c r="G98" s="641">
        <v>0</v>
      </c>
      <c r="H98" s="641">
        <v>0</v>
      </c>
      <c r="I98" s="641">
        <v>0</v>
      </c>
      <c r="J98" s="641">
        <v>0</v>
      </c>
      <c r="K98" s="641">
        <v>0</v>
      </c>
      <c r="L98" s="641">
        <v>0</v>
      </c>
      <c r="M98" s="641">
        <v>0</v>
      </c>
      <c r="N98" s="641">
        <v>0</v>
      </c>
      <c r="O98" s="641">
        <v>0</v>
      </c>
      <c r="P98" s="641">
        <v>0</v>
      </c>
      <c r="Q98" s="641">
        <v>0</v>
      </c>
      <c r="R98" s="641">
        <v>0</v>
      </c>
      <c r="S98" s="641">
        <v>0</v>
      </c>
      <c r="T98" s="641">
        <v>0</v>
      </c>
      <c r="U98" s="641">
        <v>0</v>
      </c>
      <c r="V98" s="641">
        <v>0</v>
      </c>
      <c r="W98" s="641">
        <v>0</v>
      </c>
      <c r="X98" s="641">
        <v>0</v>
      </c>
      <c r="Y98" s="641">
        <v>0</v>
      </c>
      <c r="Z98" s="641">
        <v>0</v>
      </c>
      <c r="AA98" s="641">
        <v>0</v>
      </c>
    </row>
    <row r="99" spans="1:27">
      <c r="A99" s="1" t="s">
        <v>7</v>
      </c>
      <c r="B99" s="756"/>
      <c r="C99" s="641">
        <v>5000</v>
      </c>
      <c r="D99" s="641">
        <v>5000</v>
      </c>
      <c r="E99" s="641">
        <v>5000</v>
      </c>
      <c r="F99" s="641">
        <v>5000</v>
      </c>
      <c r="G99" s="641">
        <v>5000</v>
      </c>
      <c r="H99" s="641">
        <v>5000</v>
      </c>
      <c r="I99" s="641">
        <v>5000</v>
      </c>
      <c r="J99" s="641">
        <v>5000</v>
      </c>
      <c r="K99" s="641">
        <v>5000</v>
      </c>
      <c r="L99" s="641">
        <v>5000</v>
      </c>
      <c r="M99" s="641">
        <v>5000</v>
      </c>
      <c r="N99" s="641">
        <v>5000</v>
      </c>
      <c r="O99" s="641">
        <v>5000</v>
      </c>
      <c r="P99" s="641">
        <v>5000</v>
      </c>
      <c r="Q99" s="641">
        <v>5000</v>
      </c>
      <c r="R99" s="641">
        <v>5000</v>
      </c>
      <c r="S99" s="641">
        <v>5000</v>
      </c>
      <c r="T99" s="641">
        <v>5000</v>
      </c>
      <c r="U99" s="641">
        <v>5000</v>
      </c>
      <c r="V99" s="641">
        <v>5000</v>
      </c>
      <c r="W99" s="641">
        <v>5000</v>
      </c>
      <c r="X99" s="641">
        <v>5000</v>
      </c>
      <c r="Y99" s="641">
        <v>5000</v>
      </c>
      <c r="Z99" s="641">
        <v>5000</v>
      </c>
      <c r="AA99" s="641">
        <v>5000</v>
      </c>
    </row>
    <row r="100" spans="1:27">
      <c r="A100" s="4" t="s">
        <v>565</v>
      </c>
      <c r="B100" s="757"/>
      <c r="C100" s="689">
        <v>50000</v>
      </c>
      <c r="D100" s="689">
        <v>50000</v>
      </c>
      <c r="E100" s="689">
        <v>50000</v>
      </c>
      <c r="F100" s="689">
        <v>50000</v>
      </c>
      <c r="G100" s="689">
        <v>50000</v>
      </c>
      <c r="H100" s="689">
        <v>0</v>
      </c>
      <c r="I100" s="689">
        <v>0</v>
      </c>
      <c r="J100" s="689">
        <v>0</v>
      </c>
      <c r="K100" s="689">
        <v>0</v>
      </c>
      <c r="L100" s="689">
        <v>0</v>
      </c>
      <c r="M100" s="689">
        <v>0</v>
      </c>
      <c r="N100" s="689">
        <v>0</v>
      </c>
      <c r="O100" s="689">
        <v>0</v>
      </c>
      <c r="P100" s="689">
        <v>0</v>
      </c>
      <c r="Q100" s="689">
        <v>0</v>
      </c>
      <c r="R100" s="689">
        <v>0</v>
      </c>
      <c r="S100" s="689">
        <v>0</v>
      </c>
      <c r="T100" s="689">
        <v>0</v>
      </c>
      <c r="U100" s="689">
        <v>0</v>
      </c>
      <c r="V100" s="689">
        <v>0</v>
      </c>
      <c r="W100" s="689">
        <v>0</v>
      </c>
      <c r="X100" s="689">
        <v>0</v>
      </c>
      <c r="Y100" s="689">
        <v>0</v>
      </c>
      <c r="Z100" s="689">
        <v>0</v>
      </c>
      <c r="AA100" s="689">
        <v>0</v>
      </c>
    </row>
    <row r="101" spans="1:27">
      <c r="A101" s="4" t="s">
        <v>566</v>
      </c>
      <c r="B101" s="757"/>
      <c r="C101" s="689">
        <v>8000</v>
      </c>
      <c r="D101" s="689">
        <v>8000</v>
      </c>
      <c r="E101" s="689">
        <v>8000</v>
      </c>
      <c r="F101" s="689">
        <v>8000</v>
      </c>
      <c r="G101" s="689">
        <v>8000</v>
      </c>
      <c r="H101" s="689">
        <v>8000</v>
      </c>
      <c r="I101" s="689">
        <v>8000</v>
      </c>
      <c r="J101" s="689">
        <v>8000</v>
      </c>
      <c r="K101" s="689">
        <v>8000</v>
      </c>
      <c r="L101" s="689">
        <v>8000</v>
      </c>
      <c r="M101" s="689">
        <v>8000</v>
      </c>
      <c r="N101" s="689">
        <v>8000</v>
      </c>
      <c r="O101" s="689">
        <v>8000</v>
      </c>
      <c r="P101" s="689">
        <v>8000</v>
      </c>
      <c r="Q101" s="689">
        <v>8000</v>
      </c>
      <c r="R101" s="689">
        <v>8000</v>
      </c>
      <c r="S101" s="689">
        <v>8000</v>
      </c>
      <c r="T101" s="689">
        <v>8000</v>
      </c>
      <c r="U101" s="689">
        <v>8000</v>
      </c>
      <c r="V101" s="689">
        <v>8000</v>
      </c>
      <c r="W101" s="689">
        <v>8000</v>
      </c>
      <c r="X101" s="689">
        <v>8000</v>
      </c>
      <c r="Y101" s="689">
        <v>8000</v>
      </c>
      <c r="Z101" s="689">
        <v>8000</v>
      </c>
      <c r="AA101" s="689">
        <v>8000</v>
      </c>
    </row>
    <row r="102" spans="1:27">
      <c r="A102" s="4" t="s">
        <v>567</v>
      </c>
      <c r="B102" s="757"/>
      <c r="C102" s="689">
        <v>3845</v>
      </c>
      <c r="D102" s="689">
        <v>3845</v>
      </c>
      <c r="E102" s="689">
        <v>3845</v>
      </c>
      <c r="F102" s="689">
        <v>3845</v>
      </c>
      <c r="G102" s="689">
        <v>3845</v>
      </c>
      <c r="H102" s="689">
        <v>3845</v>
      </c>
      <c r="I102" s="689">
        <v>3845</v>
      </c>
      <c r="J102" s="689">
        <v>3845</v>
      </c>
      <c r="K102" s="689">
        <v>3845</v>
      </c>
      <c r="L102" s="689">
        <v>3845</v>
      </c>
      <c r="M102" s="689">
        <v>3845</v>
      </c>
      <c r="N102" s="689">
        <v>3845</v>
      </c>
      <c r="O102" s="689">
        <v>3845</v>
      </c>
      <c r="P102" s="689">
        <v>3845</v>
      </c>
      <c r="Q102" s="689">
        <v>3845</v>
      </c>
      <c r="R102" s="689">
        <v>3845</v>
      </c>
      <c r="S102" s="689">
        <v>3845</v>
      </c>
      <c r="T102" s="689">
        <v>3845</v>
      </c>
      <c r="U102" s="689">
        <v>3845</v>
      </c>
      <c r="V102" s="689">
        <v>3845</v>
      </c>
      <c r="W102" s="689">
        <v>3845</v>
      </c>
      <c r="X102" s="689">
        <v>3845</v>
      </c>
      <c r="Y102" s="689">
        <v>3845</v>
      </c>
      <c r="Z102" s="689">
        <v>3845</v>
      </c>
      <c r="AA102" s="689">
        <v>3845</v>
      </c>
    </row>
    <row r="103" spans="1:27">
      <c r="A103" s="4" t="s">
        <v>568</v>
      </c>
      <c r="B103" s="757"/>
      <c r="C103" s="689">
        <v>3500</v>
      </c>
      <c r="D103" s="689">
        <v>3500</v>
      </c>
      <c r="E103" s="689">
        <v>3500</v>
      </c>
      <c r="F103" s="689">
        <v>3500</v>
      </c>
      <c r="G103" s="689">
        <v>3500</v>
      </c>
      <c r="H103" s="689">
        <v>3500</v>
      </c>
      <c r="I103" s="689">
        <v>3500</v>
      </c>
      <c r="J103" s="689">
        <v>3500</v>
      </c>
      <c r="K103" s="689">
        <v>3500</v>
      </c>
      <c r="L103" s="689">
        <v>3500</v>
      </c>
      <c r="M103" s="689">
        <v>3500</v>
      </c>
      <c r="N103" s="689">
        <v>3500</v>
      </c>
      <c r="O103" s="689">
        <v>3500</v>
      </c>
      <c r="P103" s="689">
        <v>3500</v>
      </c>
      <c r="Q103" s="689">
        <v>3500</v>
      </c>
      <c r="R103" s="689">
        <v>3500</v>
      </c>
      <c r="S103" s="689">
        <v>3500</v>
      </c>
      <c r="T103" s="689">
        <v>3500</v>
      </c>
      <c r="U103" s="689">
        <v>3500</v>
      </c>
      <c r="V103" s="689">
        <v>3500</v>
      </c>
      <c r="W103" s="689">
        <v>3500</v>
      </c>
      <c r="X103" s="689">
        <v>3500</v>
      </c>
      <c r="Y103" s="689">
        <v>3500</v>
      </c>
      <c r="Z103" s="689">
        <v>3500</v>
      </c>
      <c r="AA103" s="689">
        <v>3500</v>
      </c>
    </row>
    <row r="104" spans="1:27">
      <c r="A104" s="4" t="s">
        <v>569</v>
      </c>
      <c r="B104" s="757"/>
      <c r="C104" s="689">
        <v>0</v>
      </c>
      <c r="D104" s="689">
        <v>0</v>
      </c>
      <c r="E104" s="689">
        <v>0</v>
      </c>
      <c r="F104" s="689">
        <v>0</v>
      </c>
      <c r="G104" s="689">
        <v>0</v>
      </c>
      <c r="H104" s="689">
        <v>0</v>
      </c>
      <c r="I104" s="689">
        <v>0</v>
      </c>
      <c r="J104" s="689">
        <v>0</v>
      </c>
      <c r="K104" s="689">
        <v>0</v>
      </c>
      <c r="L104" s="689">
        <v>0</v>
      </c>
      <c r="M104" s="689">
        <v>0</v>
      </c>
      <c r="N104" s="689">
        <v>0</v>
      </c>
      <c r="O104" s="689">
        <v>0</v>
      </c>
      <c r="P104" s="689">
        <v>0</v>
      </c>
      <c r="Q104" s="689">
        <v>0</v>
      </c>
      <c r="R104" s="689">
        <v>0</v>
      </c>
      <c r="S104" s="689">
        <v>0</v>
      </c>
      <c r="T104" s="689">
        <v>0</v>
      </c>
      <c r="U104" s="689">
        <v>0</v>
      </c>
      <c r="V104" s="689">
        <v>0</v>
      </c>
      <c r="W104" s="689">
        <v>0</v>
      </c>
      <c r="X104" s="689">
        <v>0</v>
      </c>
      <c r="Y104" s="689">
        <v>0</v>
      </c>
      <c r="Z104" s="689">
        <v>0</v>
      </c>
      <c r="AA104" s="689">
        <v>0</v>
      </c>
    </row>
    <row r="105" spans="1:27">
      <c r="A105" s="4"/>
      <c r="B105" s="757"/>
      <c r="C105" s="689"/>
      <c r="D105" s="689"/>
      <c r="E105" s="689"/>
      <c r="F105" s="689"/>
      <c r="G105" s="689"/>
      <c r="H105" s="689"/>
      <c r="I105" s="689"/>
      <c r="J105" s="689"/>
      <c r="K105" s="689"/>
      <c r="L105" s="689"/>
      <c r="M105" s="689"/>
      <c r="N105" s="689"/>
      <c r="O105" s="689"/>
      <c r="P105" s="689"/>
      <c r="Q105" s="689"/>
      <c r="R105" s="689"/>
      <c r="S105" s="689"/>
      <c r="T105" s="689"/>
      <c r="U105" s="689"/>
      <c r="V105" s="689"/>
      <c r="W105" s="689"/>
      <c r="X105" s="689"/>
      <c r="Y105" s="689"/>
      <c r="Z105" s="689"/>
      <c r="AA105" s="689"/>
    </row>
    <row r="106" spans="1:27" ht="16.2" thickBot="1">
      <c r="A106" s="737"/>
      <c r="B106" s="738"/>
      <c r="C106" s="848">
        <v>821855</v>
      </c>
      <c r="D106" s="848">
        <v>35777758</v>
      </c>
      <c r="E106" s="848">
        <v>27199257</v>
      </c>
      <c r="F106" s="848">
        <v>13296457</v>
      </c>
      <c r="G106" s="848">
        <v>14296457</v>
      </c>
      <c r="H106" s="848">
        <v>5850507</v>
      </c>
      <c r="I106" s="848">
        <v>29001157</v>
      </c>
      <c r="J106" s="848">
        <v>5019657</v>
      </c>
      <c r="K106" s="848">
        <v>5230857</v>
      </c>
      <c r="L106" s="848">
        <v>3012857</v>
      </c>
      <c r="M106" s="848">
        <v>6093207</v>
      </c>
      <c r="N106" s="848">
        <v>4078207</v>
      </c>
      <c r="O106" s="848">
        <v>3996107</v>
      </c>
      <c r="P106" s="848">
        <v>6764607</v>
      </c>
      <c r="Q106" s="848">
        <v>8267607</v>
      </c>
      <c r="R106" s="848">
        <v>8168757</v>
      </c>
      <c r="S106" s="848">
        <v>5138257</v>
      </c>
      <c r="T106" s="848">
        <v>6738257</v>
      </c>
      <c r="U106" s="848">
        <v>3379372</v>
      </c>
      <c r="V106" s="848">
        <v>727372</v>
      </c>
      <c r="W106" s="848">
        <v>717372</v>
      </c>
      <c r="X106" s="848">
        <v>13217372</v>
      </c>
      <c r="Y106" s="848">
        <v>14642272</v>
      </c>
      <c r="Z106" s="848">
        <v>981572</v>
      </c>
      <c r="AA106" s="848">
        <v>7001072</v>
      </c>
    </row>
    <row r="107" spans="1:27">
      <c r="A107" s="5"/>
      <c r="B107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685"/>
      <c r="Q107" s="685"/>
      <c r="R107" s="685"/>
      <c r="S107" s="685"/>
      <c r="T107" s="685"/>
      <c r="U107" s="685"/>
      <c r="V107" s="685"/>
      <c r="W107" s="685"/>
      <c r="X107" s="685"/>
      <c r="Y107" s="685"/>
      <c r="Z107" s="685"/>
      <c r="AA107" s="685"/>
    </row>
    <row r="108" spans="1:27">
      <c r="A108" s="5"/>
      <c r="B108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685"/>
      <c r="Q108" s="685"/>
      <c r="R108" s="685"/>
      <c r="S108" s="685"/>
      <c r="T108" s="685"/>
      <c r="U108" s="685"/>
      <c r="V108" s="685"/>
      <c r="W108" s="685"/>
      <c r="X108" s="685"/>
      <c r="Y108" s="685"/>
      <c r="Z108" s="685"/>
      <c r="AA108" s="685"/>
    </row>
    <row r="109" spans="1:27">
      <c r="A109" s="754" t="s">
        <v>3</v>
      </c>
      <c r="B109" s="755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90"/>
      <c r="P109" s="690"/>
      <c r="Q109" s="690"/>
      <c r="R109" s="690"/>
      <c r="S109" s="690"/>
      <c r="T109" s="690"/>
      <c r="U109" s="690"/>
      <c r="V109" s="690"/>
      <c r="W109" s="690"/>
      <c r="X109" s="690"/>
      <c r="Y109" s="690"/>
      <c r="Z109" s="690"/>
      <c r="AA109" s="690"/>
    </row>
    <row r="110" spans="1:27">
      <c r="A110" s="28" t="s">
        <v>223</v>
      </c>
      <c r="B110" s="747" t="s">
        <v>282</v>
      </c>
      <c r="C110" s="855">
        <v>65302169</v>
      </c>
      <c r="D110" s="855">
        <v>109865141</v>
      </c>
      <c r="E110" s="855">
        <v>85428991</v>
      </c>
      <c r="F110" s="855">
        <v>130279546</v>
      </c>
      <c r="G110" s="855">
        <v>18714232</v>
      </c>
      <c r="H110" s="855">
        <v>30784882</v>
      </c>
      <c r="I110" s="855">
        <v>9249359</v>
      </c>
      <c r="J110" s="855">
        <v>87570875</v>
      </c>
      <c r="K110" s="855">
        <v>78610680</v>
      </c>
      <c r="L110" s="855">
        <v>141805283</v>
      </c>
      <c r="M110" s="855">
        <v>69092682</v>
      </c>
      <c r="N110" s="855">
        <v>70843432</v>
      </c>
      <c r="O110" s="855">
        <v>23350332</v>
      </c>
      <c r="P110" s="855">
        <v>35932582</v>
      </c>
      <c r="Q110" s="855">
        <v>34809235</v>
      </c>
      <c r="R110" s="855">
        <v>36298185</v>
      </c>
      <c r="S110" s="855">
        <v>25752335</v>
      </c>
      <c r="T110" s="855">
        <v>10454899</v>
      </c>
      <c r="U110" s="855">
        <v>60554953</v>
      </c>
      <c r="V110" s="855">
        <v>49173369</v>
      </c>
      <c r="W110" s="855">
        <v>58278470</v>
      </c>
      <c r="X110" s="855">
        <v>80409786</v>
      </c>
      <c r="Y110" s="855">
        <v>80109786</v>
      </c>
      <c r="Z110" s="855">
        <v>19849786</v>
      </c>
      <c r="AA110" s="855">
        <v>75278621</v>
      </c>
    </row>
    <row r="111" spans="1:27">
      <c r="A111" s="1" t="s">
        <v>5</v>
      </c>
      <c r="B111" s="756"/>
      <c r="C111" s="641">
        <v>5</v>
      </c>
      <c r="D111" s="641">
        <v>5</v>
      </c>
      <c r="E111" s="641">
        <v>5</v>
      </c>
      <c r="F111" s="641">
        <v>5</v>
      </c>
      <c r="G111" s="641">
        <v>5</v>
      </c>
      <c r="H111" s="641">
        <v>5</v>
      </c>
      <c r="I111" s="641">
        <v>5</v>
      </c>
      <c r="J111" s="641">
        <v>5</v>
      </c>
      <c r="K111" s="641">
        <v>5</v>
      </c>
      <c r="L111" s="641">
        <v>5</v>
      </c>
      <c r="M111" s="641">
        <v>5</v>
      </c>
      <c r="N111" s="641">
        <v>5</v>
      </c>
      <c r="O111" s="641">
        <v>5</v>
      </c>
      <c r="P111" s="641">
        <v>5</v>
      </c>
      <c r="Q111" s="641">
        <v>5</v>
      </c>
      <c r="R111" s="641">
        <v>5</v>
      </c>
      <c r="S111" s="641">
        <v>5</v>
      </c>
      <c r="T111" s="641">
        <v>5</v>
      </c>
      <c r="U111" s="641">
        <v>5</v>
      </c>
      <c r="V111" s="641">
        <v>5</v>
      </c>
      <c r="W111" s="641">
        <v>5</v>
      </c>
      <c r="X111" s="641">
        <v>5</v>
      </c>
      <c r="Y111" s="641">
        <v>5</v>
      </c>
      <c r="Z111" s="641">
        <v>5</v>
      </c>
      <c r="AA111" s="641">
        <v>5</v>
      </c>
    </row>
    <row r="112" spans="1:27">
      <c r="A112" s="1" t="s">
        <v>6</v>
      </c>
      <c r="B112" s="756"/>
      <c r="C112" s="641">
        <v>3148</v>
      </c>
      <c r="D112" s="641">
        <v>3148</v>
      </c>
      <c r="E112" s="641">
        <v>3148</v>
      </c>
      <c r="F112" s="641">
        <v>3148</v>
      </c>
      <c r="G112" s="641">
        <v>3148</v>
      </c>
      <c r="H112" s="641">
        <v>3148</v>
      </c>
      <c r="I112" s="641">
        <v>3148</v>
      </c>
      <c r="J112" s="641">
        <v>3148</v>
      </c>
      <c r="K112" s="641">
        <v>3148</v>
      </c>
      <c r="L112" s="641">
        <v>3148</v>
      </c>
      <c r="M112" s="641">
        <v>3148</v>
      </c>
      <c r="N112" s="641">
        <v>3148</v>
      </c>
      <c r="O112" s="641">
        <v>3148</v>
      </c>
      <c r="P112" s="641">
        <v>3148</v>
      </c>
      <c r="Q112" s="641">
        <v>3148</v>
      </c>
      <c r="R112" s="641">
        <v>3148</v>
      </c>
      <c r="S112" s="641">
        <v>3148</v>
      </c>
      <c r="T112" s="641">
        <v>3148</v>
      </c>
      <c r="U112" s="641">
        <v>3148</v>
      </c>
      <c r="V112" s="641">
        <v>3148</v>
      </c>
      <c r="W112" s="641">
        <v>3148</v>
      </c>
      <c r="X112" s="641">
        <v>3148</v>
      </c>
      <c r="Y112" s="641">
        <v>3148</v>
      </c>
      <c r="Z112" s="641">
        <v>3148</v>
      </c>
      <c r="AA112" s="641">
        <v>3148</v>
      </c>
    </row>
    <row r="113" spans="1:27">
      <c r="A113" s="1" t="s">
        <v>7</v>
      </c>
      <c r="B113" s="756"/>
      <c r="C113" s="641">
        <v>149</v>
      </c>
      <c r="D113" s="641">
        <v>149</v>
      </c>
      <c r="E113" s="641">
        <v>149</v>
      </c>
      <c r="F113" s="641">
        <v>149</v>
      </c>
      <c r="G113" s="641">
        <v>149</v>
      </c>
      <c r="H113" s="641">
        <v>149</v>
      </c>
      <c r="I113" s="641">
        <v>149</v>
      </c>
      <c r="J113" s="641">
        <v>149</v>
      </c>
      <c r="K113" s="641">
        <v>149</v>
      </c>
      <c r="L113" s="641">
        <v>149</v>
      </c>
      <c r="M113" s="641">
        <v>149</v>
      </c>
      <c r="N113" s="641">
        <v>149</v>
      </c>
      <c r="O113" s="641">
        <v>149</v>
      </c>
      <c r="P113" s="641">
        <v>149</v>
      </c>
      <c r="Q113" s="641">
        <v>149</v>
      </c>
      <c r="R113" s="641">
        <v>149</v>
      </c>
      <c r="S113" s="641">
        <v>149</v>
      </c>
      <c r="T113" s="641">
        <v>149</v>
      </c>
      <c r="U113" s="641">
        <v>149</v>
      </c>
      <c r="V113" s="641">
        <v>149</v>
      </c>
      <c r="W113" s="641">
        <v>149</v>
      </c>
      <c r="X113" s="641">
        <v>149</v>
      </c>
      <c r="Y113" s="641">
        <v>149</v>
      </c>
      <c r="Z113" s="641">
        <v>149</v>
      </c>
      <c r="AA113" s="641">
        <v>149</v>
      </c>
    </row>
    <row r="114" spans="1:27">
      <c r="A114" s="1" t="s">
        <v>8</v>
      </c>
      <c r="B114" s="756"/>
      <c r="C114" s="641">
        <v>250000</v>
      </c>
      <c r="D114" s="641">
        <v>250000</v>
      </c>
      <c r="E114" s="641">
        <v>250000</v>
      </c>
      <c r="F114" s="641">
        <v>250000</v>
      </c>
      <c r="G114" s="641">
        <v>250000</v>
      </c>
      <c r="H114" s="641">
        <v>250000</v>
      </c>
      <c r="I114" s="641">
        <v>250000</v>
      </c>
      <c r="J114" s="641">
        <v>250000</v>
      </c>
      <c r="K114" s="641">
        <v>250000</v>
      </c>
      <c r="L114" s="641">
        <v>250000</v>
      </c>
      <c r="M114" s="641">
        <v>250000</v>
      </c>
      <c r="N114" s="641">
        <v>250000</v>
      </c>
      <c r="O114" s="641">
        <v>250000</v>
      </c>
      <c r="P114" s="641">
        <v>250000</v>
      </c>
      <c r="Q114" s="641">
        <v>250000</v>
      </c>
      <c r="R114" s="641">
        <v>250000</v>
      </c>
      <c r="S114" s="641">
        <v>250000</v>
      </c>
      <c r="T114" s="641">
        <v>250000</v>
      </c>
      <c r="U114" s="641">
        <v>250000</v>
      </c>
      <c r="V114" s="641">
        <v>250000</v>
      </c>
      <c r="W114" s="641">
        <v>250000</v>
      </c>
      <c r="X114" s="641">
        <v>250000</v>
      </c>
      <c r="Y114" s="641">
        <v>250000</v>
      </c>
      <c r="Z114" s="641">
        <v>250000</v>
      </c>
      <c r="AA114" s="641">
        <v>250000</v>
      </c>
    </row>
    <row r="115" spans="1:27">
      <c r="A115" s="1"/>
      <c r="B115" s="736"/>
      <c r="C115" s="641"/>
      <c r="D115" s="641"/>
      <c r="E115" s="641"/>
      <c r="F115" s="641"/>
      <c r="G115" s="641"/>
      <c r="H115" s="641"/>
      <c r="I115" s="641"/>
      <c r="J115" s="641"/>
      <c r="K115" s="641"/>
      <c r="L115" s="641"/>
      <c r="M115" s="641"/>
      <c r="N115" s="641"/>
      <c r="O115" s="641"/>
      <c r="P115" s="641"/>
      <c r="Q115" s="641"/>
      <c r="R115" s="641"/>
      <c r="S115" s="641"/>
      <c r="T115" s="641"/>
      <c r="U115" s="641"/>
      <c r="V115" s="641"/>
      <c r="W115" s="641"/>
      <c r="X115" s="641"/>
      <c r="Y115" s="641"/>
      <c r="Z115" s="641"/>
      <c r="AA115" s="641"/>
    </row>
    <row r="116" spans="1:27" ht="15.6">
      <c r="A116" s="1"/>
      <c r="B116" s="736"/>
      <c r="C116" s="863">
        <v>65555471</v>
      </c>
      <c r="D116" s="863">
        <v>110118443</v>
      </c>
      <c r="E116" s="863">
        <v>85682293</v>
      </c>
      <c r="F116" s="863">
        <v>130532848</v>
      </c>
      <c r="G116" s="863">
        <v>18967534</v>
      </c>
      <c r="H116" s="863">
        <v>31038184</v>
      </c>
      <c r="I116" s="863">
        <v>9502661</v>
      </c>
      <c r="J116" s="863">
        <v>87824177</v>
      </c>
      <c r="K116" s="863">
        <v>78863982</v>
      </c>
      <c r="L116" s="863">
        <v>142058585</v>
      </c>
      <c r="M116" s="863">
        <v>69345984</v>
      </c>
      <c r="N116" s="863">
        <v>71096734</v>
      </c>
      <c r="O116" s="863">
        <v>23603634</v>
      </c>
      <c r="P116" s="863">
        <v>36185884</v>
      </c>
      <c r="Q116" s="863">
        <v>35062537</v>
      </c>
      <c r="R116" s="863">
        <v>36551487</v>
      </c>
      <c r="S116" s="863">
        <v>26005637</v>
      </c>
      <c r="T116" s="863">
        <v>10708201</v>
      </c>
      <c r="U116" s="863">
        <v>60808255</v>
      </c>
      <c r="V116" s="863">
        <v>49426671</v>
      </c>
      <c r="W116" s="863">
        <v>58531772</v>
      </c>
      <c r="X116" s="863">
        <v>80663088</v>
      </c>
      <c r="Y116" s="863">
        <v>80363088</v>
      </c>
      <c r="Z116" s="863">
        <v>20103088</v>
      </c>
      <c r="AA116" s="863">
        <v>75531923</v>
      </c>
    </row>
    <row r="117" spans="1:27">
      <c r="A117" s="4"/>
      <c r="B117" s="15"/>
      <c r="C117" s="865"/>
      <c r="D117" s="865"/>
      <c r="E117" s="865"/>
      <c r="F117" s="865"/>
      <c r="G117" s="865"/>
      <c r="H117" s="865"/>
      <c r="I117" s="865"/>
      <c r="J117" s="865"/>
      <c r="K117" s="865"/>
      <c r="L117" s="865"/>
      <c r="M117" s="865"/>
      <c r="N117" s="865"/>
      <c r="O117" s="865"/>
      <c r="P117" s="865"/>
      <c r="Q117" s="865"/>
      <c r="R117" s="865"/>
      <c r="S117" s="865"/>
      <c r="T117" s="865"/>
      <c r="U117" s="865"/>
      <c r="V117" s="865"/>
      <c r="W117" s="865"/>
      <c r="X117" s="865"/>
      <c r="Y117" s="865"/>
      <c r="Z117" s="865"/>
      <c r="AA117" s="865"/>
    </row>
    <row r="118" spans="1:27">
      <c r="A118" s="5"/>
      <c r="B118"/>
      <c r="C118" s="864"/>
      <c r="D118" s="864"/>
      <c r="E118" s="864"/>
      <c r="F118" s="864"/>
      <c r="G118" s="864"/>
      <c r="H118" s="864"/>
      <c r="I118" s="864"/>
      <c r="J118" s="864"/>
      <c r="K118" s="864"/>
      <c r="L118" s="864"/>
      <c r="M118" s="864"/>
      <c r="N118" s="864"/>
      <c r="O118" s="864"/>
      <c r="P118" s="864"/>
      <c r="Q118" s="864"/>
      <c r="R118" s="864"/>
      <c r="S118" s="864"/>
      <c r="T118" s="864"/>
      <c r="U118" s="864"/>
      <c r="V118" s="864"/>
      <c r="W118" s="864"/>
      <c r="X118" s="864"/>
      <c r="Y118" s="864"/>
      <c r="Z118" s="864"/>
      <c r="AA118" s="864"/>
    </row>
    <row r="119" spans="1:27" s="688" customFormat="1" ht="21">
      <c r="A119" s="1449" t="s">
        <v>226</v>
      </c>
      <c r="B119" s="1446"/>
      <c r="C119" s="850">
        <v>281565927</v>
      </c>
      <c r="D119" s="850">
        <v>170065678</v>
      </c>
      <c r="E119" s="850">
        <v>134602979</v>
      </c>
      <c r="F119" s="850">
        <v>171406537</v>
      </c>
      <c r="G119" s="850">
        <v>60812098</v>
      </c>
      <c r="H119" s="850">
        <v>63040746</v>
      </c>
      <c r="I119" s="850">
        <v>140219132</v>
      </c>
      <c r="J119" s="850">
        <v>117401292</v>
      </c>
      <c r="K119" s="850">
        <v>109085892</v>
      </c>
      <c r="L119" s="850">
        <v>168049251</v>
      </c>
      <c r="M119" s="850">
        <v>99520728</v>
      </c>
      <c r="N119" s="850">
        <v>101451081</v>
      </c>
      <c r="O119" s="850">
        <v>53568416</v>
      </c>
      <c r="P119" s="850">
        <v>71058645</v>
      </c>
      <c r="Q119" s="850">
        <v>67299909</v>
      </c>
      <c r="R119" s="850">
        <v>69248047</v>
      </c>
      <c r="S119" s="850">
        <v>54093678</v>
      </c>
      <c r="T119" s="850">
        <v>43867131</v>
      </c>
      <c r="U119" s="850">
        <v>87951699</v>
      </c>
      <c r="V119" s="850">
        <v>75838824</v>
      </c>
      <c r="W119" s="850">
        <v>84314791</v>
      </c>
      <c r="X119" s="850">
        <v>103306899</v>
      </c>
      <c r="Y119" s="850">
        <v>104330248</v>
      </c>
      <c r="Z119" s="850">
        <v>49242540</v>
      </c>
      <c r="AA119" s="850">
        <v>104490428</v>
      </c>
    </row>
    <row r="120" spans="1:27">
      <c r="A120" s="5"/>
      <c r="B120"/>
      <c r="C120" s="864"/>
      <c r="D120" s="864"/>
      <c r="E120" s="864"/>
      <c r="F120" s="864"/>
      <c r="G120" s="864"/>
      <c r="H120" s="864"/>
      <c r="I120" s="864"/>
      <c r="J120" s="864"/>
      <c r="K120" s="864"/>
      <c r="L120" s="864"/>
      <c r="M120" s="864"/>
      <c r="N120" s="864"/>
      <c r="O120" s="864"/>
      <c r="P120" s="864"/>
      <c r="Q120" s="864"/>
      <c r="R120" s="864"/>
      <c r="S120" s="864"/>
      <c r="T120" s="864"/>
      <c r="U120" s="864"/>
      <c r="V120" s="864"/>
      <c r="W120" s="864"/>
      <c r="X120" s="864"/>
      <c r="Y120" s="864"/>
      <c r="Z120" s="864"/>
      <c r="AA120" s="864"/>
    </row>
    <row r="121" spans="1:27" ht="16.2" thickBot="1">
      <c r="A121" s="758"/>
      <c r="B121" s="759"/>
      <c r="C121" s="866"/>
      <c r="D121" s="866"/>
      <c r="E121" s="866"/>
      <c r="F121" s="866"/>
      <c r="G121" s="866"/>
      <c r="H121" s="866"/>
      <c r="I121" s="866"/>
      <c r="J121" s="866"/>
      <c r="K121" s="866"/>
      <c r="L121" s="866"/>
      <c r="M121" s="866"/>
      <c r="N121" s="866"/>
      <c r="O121" s="866"/>
      <c r="P121" s="866"/>
      <c r="Q121" s="866"/>
      <c r="R121" s="866"/>
      <c r="S121" s="866"/>
      <c r="T121" s="866"/>
      <c r="U121" s="866"/>
      <c r="V121" s="866"/>
      <c r="W121" s="866"/>
      <c r="X121" s="866"/>
      <c r="Y121" s="866"/>
      <c r="Z121" s="866"/>
      <c r="AA121" s="866"/>
    </row>
    <row r="122" spans="1:27" ht="15" thickTop="1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  <c r="R122" s="864"/>
      <c r="S122" s="864"/>
      <c r="T122" s="864"/>
      <c r="U122" s="864"/>
      <c r="V122" s="864"/>
      <c r="W122" s="864"/>
      <c r="X122" s="864"/>
      <c r="Y122" s="864"/>
      <c r="Z122" s="864"/>
      <c r="AA122" s="864"/>
    </row>
    <row r="123" spans="1:27" s="691" customFormat="1" ht="21">
      <c r="A123" s="1442" t="s">
        <v>227</v>
      </c>
      <c r="B123" s="1443"/>
      <c r="C123" s="867">
        <v>317392927</v>
      </c>
      <c r="D123" s="867">
        <v>300386678</v>
      </c>
      <c r="E123" s="867">
        <v>298664979</v>
      </c>
      <c r="F123" s="867">
        <v>300241537</v>
      </c>
      <c r="G123" s="867">
        <v>225466098</v>
      </c>
      <c r="H123" s="867">
        <v>224363246</v>
      </c>
      <c r="I123" s="867">
        <v>296477132</v>
      </c>
      <c r="J123" s="867">
        <v>294660292</v>
      </c>
      <c r="K123" s="867">
        <v>296797892</v>
      </c>
      <c r="L123" s="867">
        <v>298068751</v>
      </c>
      <c r="M123" s="867">
        <v>294458728</v>
      </c>
      <c r="N123" s="867">
        <v>293950081</v>
      </c>
      <c r="O123" s="867">
        <v>217041416</v>
      </c>
      <c r="P123" s="867">
        <v>215802645</v>
      </c>
      <c r="Q123" s="867">
        <v>215630409</v>
      </c>
      <c r="R123" s="867">
        <v>214800047</v>
      </c>
      <c r="S123" s="867">
        <v>213808178</v>
      </c>
      <c r="T123" s="867">
        <v>215480131</v>
      </c>
      <c r="U123" s="867">
        <v>214617199</v>
      </c>
      <c r="V123" s="867">
        <v>215746324</v>
      </c>
      <c r="W123" s="867">
        <v>217276291</v>
      </c>
      <c r="X123" s="867">
        <v>216046399</v>
      </c>
      <c r="Y123" s="867">
        <v>217269748</v>
      </c>
      <c r="Z123" s="867">
        <v>213301040</v>
      </c>
      <c r="AA123" s="867">
        <v>214964928</v>
      </c>
    </row>
    <row r="124" spans="1:27">
      <c r="A124" s="5"/>
      <c r="B124"/>
      <c r="C124" s="852"/>
      <c r="D124" s="852"/>
      <c r="E124" s="852"/>
      <c r="F124" s="852"/>
      <c r="G124" s="852"/>
      <c r="H124" s="852"/>
      <c r="I124" s="852"/>
      <c r="J124" s="852"/>
      <c r="K124" s="852"/>
      <c r="L124" s="852"/>
      <c r="M124" s="852"/>
      <c r="N124" s="852"/>
      <c r="O124" s="852"/>
      <c r="P124" s="852"/>
      <c r="Q124" s="852"/>
      <c r="R124" s="852"/>
      <c r="S124" s="852"/>
      <c r="T124" s="852"/>
      <c r="U124" s="852"/>
      <c r="V124" s="852"/>
      <c r="W124" s="852"/>
      <c r="X124" s="852"/>
      <c r="Y124" s="852"/>
      <c r="Z124" s="852"/>
      <c r="AA124" s="852"/>
    </row>
    <row r="125" spans="1:27" ht="18">
      <c r="A125" s="754" t="s">
        <v>21</v>
      </c>
      <c r="B125" s="755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  <c r="U125" s="692"/>
      <c r="V125" s="692"/>
      <c r="W125" s="692"/>
      <c r="X125" s="692"/>
      <c r="Y125" s="692"/>
      <c r="Z125" s="692"/>
      <c r="AA125" s="692"/>
    </row>
    <row r="126" spans="1:27">
      <c r="A126" s="1"/>
      <c r="B126" s="736"/>
      <c r="C126" s="641"/>
      <c r="D126" s="641"/>
      <c r="E126" s="641"/>
      <c r="F126" s="641"/>
      <c r="G126" s="641"/>
      <c r="H126" s="641"/>
      <c r="I126" s="641"/>
      <c r="J126" s="641"/>
      <c r="K126" s="641"/>
      <c r="L126" s="641"/>
      <c r="M126" s="641"/>
      <c r="N126" s="641"/>
      <c r="O126" s="641"/>
      <c r="P126" s="641"/>
      <c r="Q126" s="641"/>
      <c r="R126" s="641"/>
      <c r="S126" s="641"/>
      <c r="T126" s="641"/>
      <c r="U126" s="641"/>
      <c r="V126" s="641"/>
      <c r="W126" s="641"/>
      <c r="X126" s="641"/>
      <c r="Y126" s="641"/>
      <c r="Z126" s="641"/>
      <c r="AA126" s="641"/>
    </row>
    <row r="127" spans="1:27">
      <c r="A127" s="4" t="s">
        <v>76</v>
      </c>
      <c r="B127" s="15"/>
      <c r="C127" s="689">
        <v>5000000</v>
      </c>
      <c r="D127" s="689">
        <v>5000000</v>
      </c>
      <c r="E127" s="689">
        <v>5000000</v>
      </c>
      <c r="F127" s="689">
        <v>5000000</v>
      </c>
      <c r="G127" s="689">
        <v>5000000</v>
      </c>
      <c r="H127" s="689">
        <v>5000000</v>
      </c>
      <c r="I127" s="689">
        <v>5000000</v>
      </c>
      <c r="J127" s="689">
        <v>5000000</v>
      </c>
      <c r="K127" s="689">
        <v>5000000</v>
      </c>
      <c r="L127" s="689">
        <v>5000000</v>
      </c>
      <c r="M127" s="689">
        <v>5000000</v>
      </c>
      <c r="N127" s="689">
        <v>5000000</v>
      </c>
      <c r="O127" s="689">
        <v>5000000</v>
      </c>
      <c r="P127" s="689">
        <v>5000000</v>
      </c>
      <c r="Q127" s="689">
        <v>5000000</v>
      </c>
      <c r="R127" s="689">
        <v>5000000</v>
      </c>
      <c r="S127" s="689">
        <v>5000000</v>
      </c>
      <c r="T127" s="689">
        <v>5000000</v>
      </c>
      <c r="U127" s="689">
        <v>5000000</v>
      </c>
      <c r="V127" s="689">
        <v>5000000</v>
      </c>
      <c r="W127" s="689">
        <v>5000000</v>
      </c>
      <c r="X127" s="689">
        <v>5000000</v>
      </c>
      <c r="Y127" s="689">
        <v>5000000</v>
      </c>
      <c r="Z127" s="689">
        <v>5000000</v>
      </c>
      <c r="AA127" s="689">
        <v>5000000</v>
      </c>
    </row>
    <row r="128" spans="1:27">
      <c r="A128" s="4" t="s">
        <v>186</v>
      </c>
      <c r="B128" s="15"/>
      <c r="C128" s="689">
        <v>679000</v>
      </c>
      <c r="D128" s="689">
        <v>679000</v>
      </c>
      <c r="E128" s="689">
        <v>679000</v>
      </c>
      <c r="F128" s="689">
        <v>679000</v>
      </c>
      <c r="G128" s="689">
        <v>679000</v>
      </c>
      <c r="H128" s="689">
        <v>679000</v>
      </c>
      <c r="I128" s="689">
        <v>679000</v>
      </c>
      <c r="J128" s="689">
        <v>679000</v>
      </c>
      <c r="K128" s="689">
        <v>679000</v>
      </c>
      <c r="L128" s="689">
        <v>679000</v>
      </c>
      <c r="M128" s="689">
        <v>679000</v>
      </c>
      <c r="N128" s="689">
        <v>679000</v>
      </c>
      <c r="O128" s="689">
        <v>679000</v>
      </c>
      <c r="P128" s="689">
        <v>679000</v>
      </c>
      <c r="Q128" s="689">
        <v>679000</v>
      </c>
      <c r="R128" s="689">
        <v>679000</v>
      </c>
      <c r="S128" s="689">
        <v>679000</v>
      </c>
      <c r="T128" s="689">
        <v>679000</v>
      </c>
      <c r="U128" s="689">
        <v>679000</v>
      </c>
      <c r="V128" s="689">
        <v>679000</v>
      </c>
      <c r="W128" s="689">
        <v>679000</v>
      </c>
      <c r="X128" s="689">
        <v>679000</v>
      </c>
      <c r="Y128" s="689">
        <v>679000</v>
      </c>
      <c r="Z128" s="689">
        <v>679000</v>
      </c>
      <c r="AA128" s="689">
        <v>679000</v>
      </c>
    </row>
    <row r="129" spans="1:27">
      <c r="A129" s="4" t="s">
        <v>261</v>
      </c>
      <c r="B129" s="15"/>
      <c r="C129" s="689">
        <v>200000</v>
      </c>
      <c r="D129" s="689">
        <v>200000</v>
      </c>
      <c r="E129" s="689">
        <v>200000</v>
      </c>
      <c r="F129" s="689">
        <v>200000</v>
      </c>
      <c r="G129" s="689">
        <v>200000</v>
      </c>
      <c r="H129" s="689">
        <v>200000</v>
      </c>
      <c r="I129" s="689">
        <v>200000</v>
      </c>
      <c r="J129" s="689">
        <v>200000</v>
      </c>
      <c r="K129" s="689">
        <v>200000</v>
      </c>
      <c r="L129" s="689">
        <v>200000</v>
      </c>
      <c r="M129" s="689">
        <v>200000</v>
      </c>
      <c r="N129" s="689">
        <v>200000</v>
      </c>
      <c r="O129" s="689">
        <v>200000</v>
      </c>
      <c r="P129" s="689">
        <v>200000</v>
      </c>
      <c r="Q129" s="689">
        <v>200000</v>
      </c>
      <c r="R129" s="689">
        <v>200000</v>
      </c>
      <c r="S129" s="689">
        <v>200000</v>
      </c>
      <c r="T129" s="689">
        <v>200000</v>
      </c>
      <c r="U129" s="689">
        <v>200000</v>
      </c>
      <c r="V129" s="689">
        <v>200000</v>
      </c>
      <c r="W129" s="689">
        <v>200000</v>
      </c>
      <c r="X129" s="689">
        <v>200000</v>
      </c>
      <c r="Y129" s="689">
        <v>200000</v>
      </c>
      <c r="Z129" s="689">
        <v>200000</v>
      </c>
      <c r="AA129" s="689">
        <v>200000</v>
      </c>
    </row>
    <row r="130" spans="1:27">
      <c r="A130" s="4" t="s">
        <v>669</v>
      </c>
      <c r="B130" s="15"/>
      <c r="C130" s="689">
        <v>55000</v>
      </c>
      <c r="D130" s="689">
        <v>55000</v>
      </c>
      <c r="E130" s="689">
        <v>55000</v>
      </c>
      <c r="F130" s="689">
        <v>55000</v>
      </c>
      <c r="G130" s="689">
        <v>55000</v>
      </c>
      <c r="H130" s="689">
        <v>55000</v>
      </c>
      <c r="I130" s="689">
        <v>55000</v>
      </c>
      <c r="J130" s="689">
        <v>55000</v>
      </c>
      <c r="K130" s="689">
        <v>55000</v>
      </c>
      <c r="L130" s="689">
        <v>55000</v>
      </c>
      <c r="M130" s="689">
        <v>55000</v>
      </c>
      <c r="N130" s="689">
        <v>55000</v>
      </c>
      <c r="O130" s="689">
        <v>55000</v>
      </c>
      <c r="P130" s="689">
        <v>55000</v>
      </c>
      <c r="Q130" s="689">
        <v>55000</v>
      </c>
      <c r="R130" s="689">
        <v>55000</v>
      </c>
      <c r="S130" s="689">
        <v>55000</v>
      </c>
      <c r="T130" s="689">
        <v>55000</v>
      </c>
      <c r="U130" s="689">
        <v>55000</v>
      </c>
      <c r="V130" s="689">
        <v>55000</v>
      </c>
      <c r="W130" s="689">
        <v>55000</v>
      </c>
      <c r="X130" s="689">
        <v>55000</v>
      </c>
      <c r="Y130" s="689">
        <v>55000</v>
      </c>
      <c r="Z130" s="689">
        <v>55000</v>
      </c>
      <c r="AA130" s="689">
        <v>55000</v>
      </c>
    </row>
    <row r="131" spans="1:27">
      <c r="A131" s="4" t="s">
        <v>667</v>
      </c>
      <c r="B131" s="15"/>
      <c r="C131" s="689">
        <v>0</v>
      </c>
      <c r="D131" s="689">
        <v>0</v>
      </c>
      <c r="E131" s="689">
        <v>0</v>
      </c>
      <c r="F131" s="689">
        <v>0</v>
      </c>
      <c r="G131" s="689">
        <v>0</v>
      </c>
      <c r="H131" s="689">
        <v>0</v>
      </c>
      <c r="I131" s="689">
        <v>0</v>
      </c>
      <c r="J131" s="689">
        <v>0</v>
      </c>
      <c r="K131" s="689">
        <v>0</v>
      </c>
      <c r="L131" s="689">
        <v>0</v>
      </c>
      <c r="M131" s="689">
        <v>0</v>
      </c>
      <c r="N131" s="689">
        <v>0</v>
      </c>
      <c r="O131" s="689">
        <v>0</v>
      </c>
      <c r="P131" s="689">
        <v>0</v>
      </c>
      <c r="Q131" s="689">
        <v>0</v>
      </c>
      <c r="R131" s="689">
        <v>0</v>
      </c>
      <c r="S131" s="689">
        <v>0</v>
      </c>
      <c r="T131" s="689">
        <v>0</v>
      </c>
      <c r="U131" s="689">
        <v>0</v>
      </c>
      <c r="V131" s="689">
        <v>0</v>
      </c>
      <c r="W131" s="689">
        <v>0</v>
      </c>
      <c r="X131" s="689">
        <v>0</v>
      </c>
      <c r="Y131" s="689">
        <v>0</v>
      </c>
      <c r="Z131" s="689">
        <v>0</v>
      </c>
      <c r="AA131" s="689">
        <v>0</v>
      </c>
    </row>
    <row r="132" spans="1:27">
      <c r="A132" s="4" t="s">
        <v>697</v>
      </c>
      <c r="B132" s="15"/>
      <c r="C132" s="689">
        <v>0</v>
      </c>
      <c r="D132" s="689">
        <v>0</v>
      </c>
      <c r="E132" s="689">
        <v>0</v>
      </c>
      <c r="F132" s="689">
        <v>0</v>
      </c>
      <c r="G132" s="689">
        <v>0</v>
      </c>
      <c r="H132" s="689">
        <v>0</v>
      </c>
      <c r="I132" s="689">
        <v>0</v>
      </c>
      <c r="J132" s="689">
        <v>0</v>
      </c>
      <c r="K132" s="689">
        <v>0</v>
      </c>
      <c r="L132" s="689">
        <v>0</v>
      </c>
      <c r="M132" s="689">
        <v>0</v>
      </c>
      <c r="N132" s="689">
        <v>0</v>
      </c>
      <c r="O132" s="689">
        <v>0</v>
      </c>
      <c r="P132" s="689">
        <v>0</v>
      </c>
      <c r="Q132" s="689">
        <v>0</v>
      </c>
      <c r="R132" s="689">
        <v>0</v>
      </c>
      <c r="S132" s="689">
        <v>0</v>
      </c>
      <c r="T132" s="689">
        <v>0</v>
      </c>
      <c r="U132" s="689">
        <v>0</v>
      </c>
      <c r="V132" s="689">
        <v>0</v>
      </c>
      <c r="W132" s="689">
        <v>0</v>
      </c>
      <c r="X132" s="693">
        <v>0</v>
      </c>
      <c r="Y132" s="689">
        <v>60000</v>
      </c>
      <c r="Z132" s="689">
        <v>60000</v>
      </c>
      <c r="AA132" s="689">
        <v>60000</v>
      </c>
    </row>
    <row r="133" spans="1:27">
      <c r="A133" s="1" t="s">
        <v>26</v>
      </c>
      <c r="B133" s="736"/>
      <c r="C133" s="641">
        <v>50000</v>
      </c>
      <c r="D133" s="641">
        <v>50000</v>
      </c>
      <c r="E133" s="641">
        <v>50000</v>
      </c>
      <c r="F133" s="641">
        <v>50000</v>
      </c>
      <c r="G133" s="641">
        <v>50000</v>
      </c>
      <c r="H133" s="641">
        <v>50000</v>
      </c>
      <c r="I133" s="641">
        <v>50000</v>
      </c>
      <c r="J133" s="641">
        <v>50000</v>
      </c>
      <c r="K133" s="641">
        <v>50000</v>
      </c>
      <c r="L133" s="641">
        <v>50000</v>
      </c>
      <c r="M133" s="641">
        <v>50000</v>
      </c>
      <c r="N133" s="641">
        <v>50000</v>
      </c>
      <c r="O133" s="641">
        <v>50000</v>
      </c>
      <c r="P133" s="641">
        <v>50000</v>
      </c>
      <c r="Q133" s="641">
        <v>50000</v>
      </c>
      <c r="R133" s="641">
        <v>50000</v>
      </c>
      <c r="S133" s="641">
        <v>50000</v>
      </c>
      <c r="T133" s="641">
        <v>50000</v>
      </c>
      <c r="U133" s="641">
        <v>50000</v>
      </c>
      <c r="V133" s="641">
        <v>50000</v>
      </c>
      <c r="W133" s="641">
        <v>50000</v>
      </c>
      <c r="X133" s="641">
        <v>50000</v>
      </c>
      <c r="Y133" s="641">
        <v>50000</v>
      </c>
      <c r="Z133" s="641">
        <v>50000</v>
      </c>
      <c r="AA133" s="641">
        <v>50000</v>
      </c>
    </row>
    <row r="134" spans="1:27">
      <c r="A134" s="1" t="s">
        <v>570</v>
      </c>
      <c r="B134" s="736"/>
      <c r="C134" s="641">
        <v>2250000</v>
      </c>
      <c r="D134" s="641">
        <v>2250000</v>
      </c>
      <c r="E134" s="641">
        <v>2250000</v>
      </c>
      <c r="F134" s="641">
        <v>2250000</v>
      </c>
      <c r="G134" s="641">
        <v>2250000</v>
      </c>
      <c r="H134" s="641">
        <v>2250000</v>
      </c>
      <c r="I134" s="641">
        <v>2250000</v>
      </c>
      <c r="J134" s="641">
        <v>2250000</v>
      </c>
      <c r="K134" s="641">
        <v>2250000</v>
      </c>
      <c r="L134" s="641">
        <v>2250000</v>
      </c>
      <c r="M134" s="641">
        <v>2250000</v>
      </c>
      <c r="N134" s="641">
        <v>2250000</v>
      </c>
      <c r="O134" s="641">
        <v>2250000</v>
      </c>
      <c r="P134" s="641">
        <v>2250000</v>
      </c>
      <c r="Q134" s="641">
        <v>2250000</v>
      </c>
      <c r="R134" s="641">
        <v>2250000</v>
      </c>
      <c r="S134" s="641">
        <v>2250000</v>
      </c>
      <c r="T134" s="641">
        <v>2250000</v>
      </c>
      <c r="U134" s="641">
        <v>2250000</v>
      </c>
      <c r="V134" s="641">
        <v>2250000</v>
      </c>
      <c r="W134" s="641">
        <v>2250000</v>
      </c>
      <c r="X134" s="641">
        <v>2250000</v>
      </c>
      <c r="Y134" s="641">
        <v>2250000</v>
      </c>
      <c r="Z134" s="641">
        <v>2250000</v>
      </c>
      <c r="AA134" s="641">
        <v>2250000</v>
      </c>
    </row>
    <row r="135" spans="1:27">
      <c r="A135" s="1" t="s">
        <v>571</v>
      </c>
      <c r="B135" s="736"/>
      <c r="C135" s="641">
        <v>190000</v>
      </c>
      <c r="D135" s="641">
        <v>190000</v>
      </c>
      <c r="E135" s="641">
        <v>190000</v>
      </c>
      <c r="F135" s="641">
        <v>190000</v>
      </c>
      <c r="G135" s="641">
        <v>190000</v>
      </c>
      <c r="H135" s="641">
        <v>190000</v>
      </c>
      <c r="I135" s="641">
        <v>190000</v>
      </c>
      <c r="J135" s="641">
        <v>190000</v>
      </c>
      <c r="K135" s="641">
        <v>190000</v>
      </c>
      <c r="L135" s="641">
        <v>190000</v>
      </c>
      <c r="M135" s="641">
        <v>190000</v>
      </c>
      <c r="N135" s="641">
        <v>190000</v>
      </c>
      <c r="O135" s="641">
        <v>190000</v>
      </c>
      <c r="P135" s="641">
        <v>190000</v>
      </c>
      <c r="Q135" s="641">
        <v>190000</v>
      </c>
      <c r="R135" s="641">
        <v>190000</v>
      </c>
      <c r="S135" s="641">
        <v>190000</v>
      </c>
      <c r="T135" s="641">
        <v>190000</v>
      </c>
      <c r="U135" s="641">
        <v>190000</v>
      </c>
      <c r="V135" s="641">
        <v>190000</v>
      </c>
      <c r="W135" s="641">
        <v>190000</v>
      </c>
      <c r="X135" s="641">
        <v>190000</v>
      </c>
      <c r="Y135" s="641">
        <v>190000</v>
      </c>
      <c r="Z135" s="641">
        <v>190000</v>
      </c>
      <c r="AA135" s="641">
        <v>190000</v>
      </c>
    </row>
    <row r="136" spans="1:27">
      <c r="A136" s="1" t="s">
        <v>198</v>
      </c>
      <c r="B136" s="736"/>
      <c r="C136" s="641">
        <v>100000</v>
      </c>
      <c r="D136" s="641">
        <v>100000</v>
      </c>
      <c r="E136" s="641">
        <v>100000</v>
      </c>
      <c r="F136" s="641">
        <v>100000</v>
      </c>
      <c r="G136" s="641">
        <v>100000</v>
      </c>
      <c r="H136" s="641">
        <v>100000</v>
      </c>
      <c r="I136" s="641">
        <v>100000</v>
      </c>
      <c r="J136" s="641">
        <v>100000</v>
      </c>
      <c r="K136" s="641">
        <v>100000</v>
      </c>
      <c r="L136" s="641">
        <v>100000</v>
      </c>
      <c r="M136" s="641">
        <v>100000</v>
      </c>
      <c r="N136" s="641">
        <v>100000</v>
      </c>
      <c r="O136" s="641">
        <v>100000</v>
      </c>
      <c r="P136" s="641">
        <v>100000</v>
      </c>
      <c r="Q136" s="641">
        <v>100000</v>
      </c>
      <c r="R136" s="641">
        <v>100000</v>
      </c>
      <c r="S136" s="641">
        <v>100000</v>
      </c>
      <c r="T136" s="641">
        <v>100000</v>
      </c>
      <c r="U136" s="641">
        <v>100000</v>
      </c>
      <c r="V136" s="641">
        <v>100000</v>
      </c>
      <c r="W136" s="641">
        <v>100000</v>
      </c>
      <c r="X136" s="641">
        <v>100000</v>
      </c>
      <c r="Y136" s="641">
        <v>100000</v>
      </c>
      <c r="Z136" s="641">
        <v>100000</v>
      </c>
      <c r="AA136" s="641">
        <v>100000</v>
      </c>
    </row>
    <row r="137" spans="1:27">
      <c r="A137" s="1" t="s">
        <v>676</v>
      </c>
      <c r="B137" s="736"/>
      <c r="C137" s="641">
        <v>0</v>
      </c>
      <c r="D137" s="641">
        <v>0</v>
      </c>
      <c r="E137" s="641">
        <v>0</v>
      </c>
      <c r="F137" s="641">
        <v>0</v>
      </c>
      <c r="G137" s="641">
        <v>0</v>
      </c>
      <c r="H137" s="641">
        <v>0</v>
      </c>
      <c r="I137" s="641">
        <v>0</v>
      </c>
      <c r="J137" s="641">
        <v>0</v>
      </c>
      <c r="K137" s="641">
        <v>0</v>
      </c>
      <c r="L137" s="641">
        <v>0</v>
      </c>
      <c r="M137" s="641">
        <v>0</v>
      </c>
      <c r="N137" s="641">
        <v>0</v>
      </c>
      <c r="O137" s="641">
        <v>0</v>
      </c>
      <c r="P137" s="641">
        <v>0</v>
      </c>
      <c r="Q137" s="641">
        <v>0</v>
      </c>
      <c r="R137" s="641">
        <v>0</v>
      </c>
      <c r="S137" s="641">
        <v>0</v>
      </c>
      <c r="T137" s="641">
        <v>0</v>
      </c>
      <c r="U137" s="641">
        <v>0</v>
      </c>
      <c r="V137" s="641">
        <v>0</v>
      </c>
      <c r="W137" s="641">
        <v>0</v>
      </c>
      <c r="X137" s="641">
        <v>0</v>
      </c>
      <c r="Y137" s="641">
        <v>0</v>
      </c>
      <c r="Z137" s="641">
        <v>0</v>
      </c>
      <c r="AA137" s="641">
        <v>0</v>
      </c>
    </row>
    <row r="138" spans="1:27">
      <c r="A138" s="1" t="s">
        <v>627</v>
      </c>
      <c r="B138" s="736"/>
      <c r="C138" s="641">
        <v>0</v>
      </c>
      <c r="D138" s="641">
        <v>0</v>
      </c>
      <c r="E138" s="641">
        <v>0</v>
      </c>
      <c r="F138" s="641">
        <v>0</v>
      </c>
      <c r="G138" s="641">
        <v>0</v>
      </c>
      <c r="H138" s="641">
        <v>0</v>
      </c>
      <c r="I138" s="641">
        <v>0</v>
      </c>
      <c r="J138" s="641">
        <v>0</v>
      </c>
      <c r="K138" s="641">
        <v>0</v>
      </c>
      <c r="L138" s="641">
        <v>0</v>
      </c>
      <c r="M138" s="641">
        <v>0</v>
      </c>
      <c r="N138" s="641">
        <v>0</v>
      </c>
      <c r="O138" s="641">
        <v>0</v>
      </c>
      <c r="P138" s="641">
        <v>0</v>
      </c>
      <c r="Q138" s="641">
        <v>0</v>
      </c>
      <c r="R138" s="641">
        <v>0</v>
      </c>
      <c r="S138" s="641">
        <v>0</v>
      </c>
      <c r="T138" s="641">
        <v>0</v>
      </c>
      <c r="U138" s="641">
        <v>0</v>
      </c>
      <c r="V138" s="641">
        <v>0</v>
      </c>
      <c r="W138" s="641">
        <v>0</v>
      </c>
      <c r="X138" s="641">
        <v>0</v>
      </c>
      <c r="Y138" s="641">
        <v>0</v>
      </c>
      <c r="Z138" s="641">
        <v>0</v>
      </c>
      <c r="AA138" s="641">
        <v>0</v>
      </c>
    </row>
    <row r="139" spans="1:27">
      <c r="A139" s="1" t="s">
        <v>656</v>
      </c>
      <c r="B139" s="736"/>
      <c r="C139" s="684">
        <v>0</v>
      </c>
      <c r="D139" s="641">
        <v>300000</v>
      </c>
      <c r="E139" s="641">
        <v>300000</v>
      </c>
      <c r="F139" s="641">
        <v>300000</v>
      </c>
      <c r="G139" s="641">
        <v>300000</v>
      </c>
      <c r="H139" s="641">
        <v>300000</v>
      </c>
      <c r="I139" s="684">
        <v>300000</v>
      </c>
      <c r="J139" s="641">
        <v>0</v>
      </c>
      <c r="K139" s="641">
        <v>0</v>
      </c>
      <c r="L139" s="641">
        <v>0</v>
      </c>
      <c r="M139" s="641">
        <v>0</v>
      </c>
      <c r="N139" s="641">
        <v>0</v>
      </c>
      <c r="O139" s="641">
        <v>0</v>
      </c>
      <c r="P139" s="641">
        <v>0</v>
      </c>
      <c r="Q139" s="641">
        <v>0</v>
      </c>
      <c r="R139" s="641">
        <v>0</v>
      </c>
      <c r="S139" s="641">
        <v>0</v>
      </c>
      <c r="T139" s="641">
        <v>0</v>
      </c>
      <c r="U139" s="641">
        <v>0</v>
      </c>
      <c r="V139" s="641">
        <v>0</v>
      </c>
      <c r="W139" s="641">
        <v>0</v>
      </c>
      <c r="X139" s="641">
        <v>0</v>
      </c>
      <c r="Y139" s="641">
        <v>0</v>
      </c>
      <c r="Z139" s="641">
        <v>0</v>
      </c>
      <c r="AA139" s="684">
        <v>0</v>
      </c>
    </row>
    <row r="140" spans="1:27">
      <c r="A140" s="4" t="s">
        <v>660</v>
      </c>
      <c r="B140" s="15"/>
      <c r="C140" s="689">
        <v>400000</v>
      </c>
      <c r="D140" s="689">
        <v>400000</v>
      </c>
      <c r="E140" s="689">
        <v>400000</v>
      </c>
      <c r="F140" s="689">
        <v>400000</v>
      </c>
      <c r="G140" s="689">
        <v>400000</v>
      </c>
      <c r="H140" s="689">
        <v>400000</v>
      </c>
      <c r="I140" s="689">
        <v>400000</v>
      </c>
      <c r="J140" s="689">
        <v>400000</v>
      </c>
      <c r="K140" s="689">
        <v>400000</v>
      </c>
      <c r="L140" s="689">
        <v>400000</v>
      </c>
      <c r="M140" s="689">
        <v>400000</v>
      </c>
      <c r="N140" s="689">
        <v>400000</v>
      </c>
      <c r="O140" s="689">
        <v>400000</v>
      </c>
      <c r="P140" s="689">
        <v>400000</v>
      </c>
      <c r="Q140" s="689">
        <v>400000</v>
      </c>
      <c r="R140" s="689">
        <v>400000</v>
      </c>
      <c r="S140" s="689">
        <v>400000</v>
      </c>
      <c r="T140" s="689">
        <v>400000</v>
      </c>
      <c r="U140" s="689">
        <v>400000</v>
      </c>
      <c r="V140" s="689">
        <v>400000</v>
      </c>
      <c r="W140" s="689">
        <v>400000</v>
      </c>
      <c r="X140" s="689">
        <v>400000</v>
      </c>
      <c r="Y140" s="689">
        <v>400000</v>
      </c>
      <c r="Z140" s="689">
        <v>400000</v>
      </c>
      <c r="AA140" s="689">
        <v>400000</v>
      </c>
    </row>
    <row r="141" spans="1:27">
      <c r="A141" s="4" t="s">
        <v>191</v>
      </c>
      <c r="B141" s="15"/>
      <c r="C141" s="689">
        <v>150000</v>
      </c>
      <c r="D141" s="689">
        <v>150000</v>
      </c>
      <c r="E141" s="689">
        <v>150000</v>
      </c>
      <c r="F141" s="689">
        <v>150000</v>
      </c>
      <c r="G141" s="689">
        <v>150000</v>
      </c>
      <c r="H141" s="689">
        <v>150000</v>
      </c>
      <c r="I141" s="689">
        <v>150000</v>
      </c>
      <c r="J141" s="689">
        <v>150000</v>
      </c>
      <c r="K141" s="689">
        <v>150000</v>
      </c>
      <c r="L141" s="689">
        <v>150000</v>
      </c>
      <c r="M141" s="689">
        <v>150000</v>
      </c>
      <c r="N141" s="689">
        <v>150000</v>
      </c>
      <c r="O141" s="689">
        <v>150000</v>
      </c>
      <c r="P141" s="689">
        <v>150000</v>
      </c>
      <c r="Q141" s="689">
        <v>150000</v>
      </c>
      <c r="R141" s="689">
        <v>150000</v>
      </c>
      <c r="S141" s="689">
        <v>150000</v>
      </c>
      <c r="T141" s="689">
        <v>150000</v>
      </c>
      <c r="U141" s="689">
        <v>150000</v>
      </c>
      <c r="V141" s="689">
        <v>150000</v>
      </c>
      <c r="W141" s="689">
        <v>150000</v>
      </c>
      <c r="X141" s="693">
        <v>150000</v>
      </c>
      <c r="Y141" s="693">
        <v>450000</v>
      </c>
      <c r="Z141" s="689">
        <v>150000</v>
      </c>
      <c r="AA141" s="689">
        <v>150000</v>
      </c>
    </row>
    <row r="142" spans="1:27">
      <c r="A142" s="4" t="s">
        <v>711</v>
      </c>
      <c r="B142" s="15"/>
      <c r="C142" s="689">
        <v>0</v>
      </c>
      <c r="D142" s="689">
        <v>0</v>
      </c>
      <c r="E142" s="689">
        <v>0</v>
      </c>
      <c r="F142" s="689">
        <v>0</v>
      </c>
      <c r="G142" s="689">
        <v>0</v>
      </c>
      <c r="H142" s="689">
        <v>0</v>
      </c>
      <c r="I142" s="689">
        <v>0</v>
      </c>
      <c r="J142" s="689">
        <v>0</v>
      </c>
      <c r="K142" s="689">
        <v>0</v>
      </c>
      <c r="L142" s="689">
        <v>0</v>
      </c>
      <c r="M142" s="689">
        <v>0</v>
      </c>
      <c r="N142" s="689">
        <v>0</v>
      </c>
      <c r="O142" s="689">
        <v>0</v>
      </c>
      <c r="P142" s="689">
        <v>0</v>
      </c>
      <c r="Q142" s="689">
        <v>0</v>
      </c>
      <c r="R142" s="689">
        <v>0</v>
      </c>
      <c r="S142" s="689">
        <v>0</v>
      </c>
      <c r="T142" s="689">
        <v>0</v>
      </c>
      <c r="U142" s="689">
        <v>0</v>
      </c>
      <c r="V142" s="689">
        <v>0</v>
      </c>
      <c r="W142" s="689">
        <v>0</v>
      </c>
      <c r="X142" s="689">
        <v>0</v>
      </c>
      <c r="Y142" s="693">
        <v>0</v>
      </c>
      <c r="Z142" s="689">
        <v>2500000</v>
      </c>
      <c r="AA142" s="693">
        <v>2500000</v>
      </c>
    </row>
    <row r="143" spans="1:27">
      <c r="A143" s="4" t="s">
        <v>671</v>
      </c>
      <c r="B143" s="15"/>
      <c r="C143" s="689">
        <v>0</v>
      </c>
      <c r="D143" s="689">
        <v>0</v>
      </c>
      <c r="E143" s="689">
        <v>0</v>
      </c>
      <c r="F143" s="689">
        <v>0</v>
      </c>
      <c r="G143" s="689">
        <v>0</v>
      </c>
      <c r="H143" s="689">
        <v>0</v>
      </c>
      <c r="I143" s="689">
        <v>0</v>
      </c>
      <c r="J143" s="689">
        <v>0</v>
      </c>
      <c r="K143" s="689">
        <v>0</v>
      </c>
      <c r="L143" s="689">
        <v>0</v>
      </c>
      <c r="M143" s="689">
        <v>0</v>
      </c>
      <c r="N143" s="689">
        <v>0</v>
      </c>
      <c r="O143" s="689">
        <v>0</v>
      </c>
      <c r="P143" s="689">
        <v>0</v>
      </c>
      <c r="Q143" s="689">
        <v>0</v>
      </c>
      <c r="R143" s="689">
        <v>0</v>
      </c>
      <c r="S143" s="689">
        <v>0</v>
      </c>
      <c r="T143" s="689">
        <v>0</v>
      </c>
      <c r="U143" s="689">
        <v>0</v>
      </c>
      <c r="V143" s="689">
        <v>0</v>
      </c>
      <c r="W143" s="689">
        <v>0</v>
      </c>
      <c r="X143" s="689">
        <v>0</v>
      </c>
      <c r="Y143" s="689">
        <v>0</v>
      </c>
      <c r="Z143" s="689">
        <v>0</v>
      </c>
      <c r="AA143" s="689">
        <v>0</v>
      </c>
    </row>
    <row r="144" spans="1:27">
      <c r="A144" s="4"/>
      <c r="B144" s="15"/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689"/>
      <c r="R144" s="689"/>
      <c r="S144" s="689"/>
      <c r="T144" s="689"/>
      <c r="U144" s="689"/>
      <c r="V144" s="689"/>
      <c r="W144" s="689"/>
      <c r="X144" s="689"/>
      <c r="Y144" s="689"/>
      <c r="Z144" s="689"/>
      <c r="AA144" s="689"/>
    </row>
    <row r="145" spans="1:27" ht="16.2" thickBot="1">
      <c r="A145" s="737"/>
      <c r="B145" s="738"/>
      <c r="C145" s="848">
        <v>4074000</v>
      </c>
      <c r="D145" s="848">
        <v>4374000</v>
      </c>
      <c r="E145" s="848">
        <v>4374000</v>
      </c>
      <c r="F145" s="848">
        <v>4374000</v>
      </c>
      <c r="G145" s="848">
        <v>4374000</v>
      </c>
      <c r="H145" s="848">
        <v>4374000</v>
      </c>
      <c r="I145" s="848">
        <v>4374000</v>
      </c>
      <c r="J145" s="848">
        <v>4074000</v>
      </c>
      <c r="K145" s="848">
        <v>4074000</v>
      </c>
      <c r="L145" s="848">
        <v>4074000</v>
      </c>
      <c r="M145" s="848">
        <v>4074000</v>
      </c>
      <c r="N145" s="848">
        <v>4074000</v>
      </c>
      <c r="O145" s="848">
        <v>4074000</v>
      </c>
      <c r="P145" s="848">
        <v>4074000</v>
      </c>
      <c r="Q145" s="848">
        <v>4074000</v>
      </c>
      <c r="R145" s="848">
        <v>4074000</v>
      </c>
      <c r="S145" s="848">
        <v>4074000</v>
      </c>
      <c r="T145" s="848">
        <v>4074000</v>
      </c>
      <c r="U145" s="848">
        <v>4074000</v>
      </c>
      <c r="V145" s="848">
        <v>4074000</v>
      </c>
      <c r="W145" s="848">
        <v>4074000</v>
      </c>
      <c r="X145" s="848">
        <v>4074000</v>
      </c>
      <c r="Y145" s="848">
        <v>4434000</v>
      </c>
      <c r="Z145" s="848">
        <v>6634000</v>
      </c>
      <c r="AA145" s="848">
        <v>6934000</v>
      </c>
    </row>
    <row r="146" spans="1:27" ht="16.2" thickBot="1">
      <c r="A146" s="5"/>
      <c r="B146"/>
      <c r="C146" s="853"/>
      <c r="D146" s="853"/>
      <c r="E146" s="853"/>
      <c r="F146" s="853"/>
      <c r="G146" s="853"/>
      <c r="H146" s="853"/>
      <c r="I146" s="853"/>
      <c r="J146" s="853"/>
      <c r="K146" s="853"/>
      <c r="L146" s="853"/>
      <c r="M146" s="853"/>
      <c r="N146" s="853"/>
      <c r="O146" s="853"/>
      <c r="P146" s="853"/>
      <c r="Q146" s="853"/>
      <c r="R146" s="853"/>
      <c r="S146" s="853"/>
      <c r="T146" s="853"/>
      <c r="U146" s="853"/>
      <c r="V146" s="853"/>
      <c r="W146" s="853"/>
      <c r="X146" s="853"/>
      <c r="Y146" s="853"/>
      <c r="Z146" s="853"/>
      <c r="AA146" s="853"/>
    </row>
    <row r="147" spans="1:27">
      <c r="A147" s="760" t="s">
        <v>12</v>
      </c>
      <c r="B147" s="761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4"/>
      <c r="N147" s="694"/>
      <c r="O147" s="694"/>
      <c r="P147" s="694"/>
      <c r="Q147" s="694"/>
      <c r="R147" s="694"/>
      <c r="S147" s="694"/>
      <c r="T147" s="694"/>
      <c r="U147" s="694"/>
      <c r="V147" s="694"/>
      <c r="W147" s="694"/>
      <c r="X147" s="694"/>
      <c r="Y147" s="694"/>
      <c r="Z147" s="694"/>
      <c r="AA147" s="694"/>
    </row>
    <row r="148" spans="1:27">
      <c r="A148" s="762"/>
      <c r="B148" s="763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5"/>
      <c r="P148" s="695"/>
      <c r="Q148" s="695"/>
      <c r="R148" s="695"/>
      <c r="S148" s="695"/>
      <c r="T148" s="695"/>
      <c r="U148" s="695"/>
      <c r="V148" s="695"/>
      <c r="W148" s="695"/>
      <c r="X148" s="695"/>
      <c r="Y148" s="695"/>
      <c r="Z148" s="695"/>
      <c r="AA148" s="695"/>
    </row>
    <row r="149" spans="1:27">
      <c r="A149" s="1" t="s">
        <v>22</v>
      </c>
      <c r="B149" s="736"/>
      <c r="C149" s="641">
        <v>192000</v>
      </c>
      <c r="D149" s="641">
        <v>192000</v>
      </c>
      <c r="E149" s="641">
        <v>192000</v>
      </c>
      <c r="F149" s="641">
        <v>192000</v>
      </c>
      <c r="G149" s="641">
        <v>192000</v>
      </c>
      <c r="H149" s="641">
        <v>192000</v>
      </c>
      <c r="I149" s="641">
        <v>192000</v>
      </c>
      <c r="J149" s="641">
        <v>192000</v>
      </c>
      <c r="K149" s="641">
        <v>192000</v>
      </c>
      <c r="L149" s="641">
        <v>192000</v>
      </c>
      <c r="M149" s="641">
        <v>192000</v>
      </c>
      <c r="N149" s="641">
        <v>192000</v>
      </c>
      <c r="O149" s="641">
        <v>192000</v>
      </c>
      <c r="P149" s="641">
        <v>192000</v>
      </c>
      <c r="Q149" s="641">
        <v>192000</v>
      </c>
      <c r="R149" s="641">
        <v>192000</v>
      </c>
      <c r="S149" s="641">
        <v>192000</v>
      </c>
      <c r="T149" s="641">
        <v>192000</v>
      </c>
      <c r="U149" s="641">
        <v>192000</v>
      </c>
      <c r="V149" s="641">
        <v>192000</v>
      </c>
      <c r="W149" s="641">
        <v>192000</v>
      </c>
      <c r="X149" s="641">
        <v>192000</v>
      </c>
      <c r="Y149" s="641">
        <v>192000</v>
      </c>
      <c r="Z149" s="641">
        <v>192000</v>
      </c>
      <c r="AA149" s="641">
        <v>192000</v>
      </c>
    </row>
    <row r="150" spans="1:27">
      <c r="A150" s="1"/>
      <c r="B150" s="736"/>
      <c r="C150" s="641"/>
      <c r="D150" s="641"/>
      <c r="E150" s="641"/>
      <c r="F150" s="641"/>
      <c r="G150" s="641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  <c r="T150" s="641"/>
      <c r="U150" s="641"/>
      <c r="V150" s="641"/>
      <c r="W150" s="641"/>
      <c r="X150" s="641"/>
      <c r="Y150" s="641"/>
      <c r="Z150" s="641"/>
      <c r="AA150" s="641"/>
    </row>
    <row r="151" spans="1:27">
      <c r="A151" s="1"/>
      <c r="B151" s="736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  <c r="T151" s="641"/>
      <c r="U151" s="641"/>
      <c r="V151" s="641"/>
      <c r="W151" s="641"/>
      <c r="X151" s="641"/>
      <c r="Y151" s="641"/>
      <c r="Z151" s="641"/>
      <c r="AA151" s="641"/>
    </row>
    <row r="152" spans="1:27">
      <c r="A152" s="1"/>
      <c r="B152" s="736"/>
      <c r="C152" s="641"/>
      <c r="D152" s="641"/>
      <c r="E152" s="641"/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641"/>
      <c r="S152" s="641"/>
      <c r="T152" s="641"/>
      <c r="U152" s="641"/>
      <c r="V152" s="641"/>
      <c r="W152" s="641"/>
      <c r="X152" s="641"/>
      <c r="Y152" s="641"/>
      <c r="Z152" s="641"/>
      <c r="AA152" s="641"/>
    </row>
    <row r="153" spans="1:27">
      <c r="A153" s="1" t="s">
        <v>26</v>
      </c>
      <c r="B153" s="736"/>
      <c r="C153" s="641">
        <v>139500</v>
      </c>
      <c r="D153" s="641">
        <v>139500</v>
      </c>
      <c r="E153" s="641">
        <v>139500</v>
      </c>
      <c r="F153" s="641">
        <v>139500</v>
      </c>
      <c r="G153" s="641">
        <v>139500</v>
      </c>
      <c r="H153" s="641">
        <v>139500</v>
      </c>
      <c r="I153" s="641">
        <v>139500</v>
      </c>
      <c r="J153" s="641">
        <v>139500</v>
      </c>
      <c r="K153" s="684">
        <v>139500</v>
      </c>
      <c r="L153" s="641">
        <v>108000</v>
      </c>
      <c r="M153" s="641">
        <v>108000</v>
      </c>
      <c r="N153" s="641">
        <v>108000</v>
      </c>
      <c r="O153" s="641">
        <v>108000</v>
      </c>
      <c r="P153" s="641">
        <v>108000</v>
      </c>
      <c r="Q153" s="641">
        <v>108000</v>
      </c>
      <c r="R153" s="641">
        <v>108000</v>
      </c>
      <c r="S153" s="641">
        <v>108000</v>
      </c>
      <c r="T153" s="641">
        <v>108000</v>
      </c>
      <c r="U153" s="641">
        <v>108000</v>
      </c>
      <c r="V153" s="641">
        <v>108000</v>
      </c>
      <c r="W153" s="641">
        <v>108000</v>
      </c>
      <c r="X153" s="641">
        <v>108000</v>
      </c>
      <c r="Y153" s="641">
        <v>108000</v>
      </c>
      <c r="Z153" s="641">
        <v>108000</v>
      </c>
      <c r="AA153" s="641">
        <v>108000</v>
      </c>
    </row>
    <row r="154" spans="1:27">
      <c r="A154" s="1"/>
      <c r="B154" s="736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41"/>
    </row>
    <row r="155" spans="1:27">
      <c r="A155" s="1"/>
      <c r="B155" s="736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1"/>
      <c r="P155" s="641"/>
      <c r="Q155" s="641"/>
      <c r="R155" s="641"/>
      <c r="S155" s="641"/>
      <c r="T155" s="641"/>
      <c r="U155" s="641"/>
      <c r="V155" s="641"/>
      <c r="W155" s="641"/>
      <c r="X155" s="641"/>
      <c r="Y155" s="641"/>
      <c r="Z155" s="641"/>
      <c r="AA155" s="641"/>
    </row>
    <row r="156" spans="1:27">
      <c r="A156" s="1" t="s">
        <v>571</v>
      </c>
      <c r="B156" s="736"/>
      <c r="C156" s="641">
        <v>100000</v>
      </c>
      <c r="D156" s="641">
        <v>100000</v>
      </c>
      <c r="E156" s="641">
        <v>100000</v>
      </c>
      <c r="F156" s="641">
        <v>100000</v>
      </c>
      <c r="G156" s="641">
        <v>100000</v>
      </c>
      <c r="H156" s="641">
        <v>100000</v>
      </c>
      <c r="I156" s="641">
        <v>100000</v>
      </c>
      <c r="J156" s="641">
        <v>100000</v>
      </c>
      <c r="K156" s="641">
        <v>100000</v>
      </c>
      <c r="L156" s="641">
        <v>100000</v>
      </c>
      <c r="M156" s="641">
        <v>100000</v>
      </c>
      <c r="N156" s="641">
        <v>100000</v>
      </c>
      <c r="O156" s="641">
        <v>100000</v>
      </c>
      <c r="P156" s="641">
        <v>100000</v>
      </c>
      <c r="Q156" s="641">
        <v>100000</v>
      </c>
      <c r="R156" s="641">
        <v>100000</v>
      </c>
      <c r="S156" s="641">
        <v>100000</v>
      </c>
      <c r="T156" s="641">
        <v>100000</v>
      </c>
      <c r="U156" s="641">
        <v>100000</v>
      </c>
      <c r="V156" s="641">
        <v>100000</v>
      </c>
      <c r="W156" s="641">
        <v>100000</v>
      </c>
      <c r="X156" s="641">
        <v>100000</v>
      </c>
      <c r="Y156" s="641">
        <v>100000</v>
      </c>
      <c r="Z156" s="641">
        <v>100000</v>
      </c>
      <c r="AA156" s="641">
        <v>100000</v>
      </c>
    </row>
    <row r="157" spans="1:27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  <c r="T157" s="641"/>
      <c r="U157" s="641"/>
      <c r="V157" s="641"/>
      <c r="W157" s="641"/>
      <c r="X157" s="641"/>
      <c r="Y157" s="641"/>
      <c r="Z157" s="641"/>
      <c r="AA157" s="641"/>
    </row>
    <row r="158" spans="1:27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  <c r="T158" s="641"/>
      <c r="U158" s="641"/>
      <c r="V158" s="641"/>
      <c r="W158" s="641"/>
      <c r="X158" s="641"/>
      <c r="Y158" s="641"/>
      <c r="Z158" s="641"/>
      <c r="AA158" s="641"/>
    </row>
    <row r="159" spans="1:27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  <c r="U159" s="641"/>
      <c r="V159" s="641"/>
      <c r="W159" s="641"/>
      <c r="X159" s="641"/>
      <c r="Y159" s="641"/>
      <c r="Z159" s="641"/>
      <c r="AA159" s="641"/>
    </row>
    <row r="160" spans="1:27">
      <c r="A160" s="1"/>
      <c r="B160" s="736"/>
      <c r="C160" s="641"/>
      <c r="D160" s="641"/>
      <c r="E160" s="641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 s="641"/>
      <c r="X160" s="641"/>
      <c r="Y160" s="641"/>
      <c r="Z160" s="641"/>
      <c r="AA160" s="641"/>
    </row>
    <row r="161" spans="1:27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  <c r="U161" s="641"/>
      <c r="V161" s="641"/>
      <c r="W161" s="641"/>
      <c r="X161" s="641"/>
      <c r="Y161" s="641"/>
      <c r="Z161" s="641"/>
      <c r="AA161" s="641"/>
    </row>
    <row r="162" spans="1:27">
      <c r="A162" s="4"/>
      <c r="B162" s="15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  <c r="T162" s="689"/>
      <c r="U162" s="689"/>
      <c r="V162" s="689"/>
      <c r="W162" s="689"/>
      <c r="X162" s="689"/>
      <c r="Y162" s="689"/>
      <c r="Z162" s="689"/>
      <c r="AA162" s="689"/>
    </row>
    <row r="163" spans="1:27">
      <c r="A163" s="4"/>
      <c r="B163" s="15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  <c r="T163" s="689"/>
      <c r="U163" s="689"/>
      <c r="V163" s="689"/>
      <c r="W163" s="689"/>
      <c r="X163" s="689"/>
      <c r="Y163" s="689"/>
      <c r="Z163" s="689"/>
      <c r="AA163" s="689"/>
    </row>
    <row r="164" spans="1:27">
      <c r="A164" s="4"/>
      <c r="B164" s="15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689"/>
      <c r="R164" s="689"/>
      <c r="S164" s="689"/>
      <c r="T164" s="689"/>
      <c r="U164" s="689"/>
      <c r="V164" s="689"/>
      <c r="W164" s="689"/>
      <c r="X164" s="689"/>
      <c r="Y164" s="689"/>
      <c r="Z164" s="689"/>
      <c r="AA164" s="689"/>
    </row>
    <row r="165" spans="1:27" ht="16.2" thickBot="1">
      <c r="A165" s="737"/>
      <c r="B165" s="738"/>
      <c r="C165" s="848">
        <v>431500</v>
      </c>
      <c r="D165" s="848">
        <v>431500</v>
      </c>
      <c r="E165" s="848">
        <v>431500</v>
      </c>
      <c r="F165" s="848">
        <v>431500</v>
      </c>
      <c r="G165" s="848">
        <v>431500</v>
      </c>
      <c r="H165" s="848">
        <v>431500</v>
      </c>
      <c r="I165" s="848">
        <v>431500</v>
      </c>
      <c r="J165" s="848">
        <v>431500</v>
      </c>
      <c r="K165" s="848">
        <v>431500</v>
      </c>
      <c r="L165" s="848">
        <v>400000</v>
      </c>
      <c r="M165" s="848">
        <v>400000</v>
      </c>
      <c r="N165" s="848">
        <v>400000</v>
      </c>
      <c r="O165" s="848">
        <v>400000</v>
      </c>
      <c r="P165" s="848">
        <v>400000</v>
      </c>
      <c r="Q165" s="848">
        <v>400000</v>
      </c>
      <c r="R165" s="848">
        <v>400000</v>
      </c>
      <c r="S165" s="848">
        <v>400000</v>
      </c>
      <c r="T165" s="848">
        <v>400000</v>
      </c>
      <c r="U165" s="848">
        <v>400000</v>
      </c>
      <c r="V165" s="848">
        <v>400000</v>
      </c>
      <c r="W165" s="848">
        <v>400000</v>
      </c>
      <c r="X165" s="848">
        <v>400000</v>
      </c>
      <c r="Y165" s="848">
        <v>400000</v>
      </c>
      <c r="Z165" s="848">
        <v>400000</v>
      </c>
      <c r="AA165" s="848">
        <v>400000</v>
      </c>
    </row>
    <row r="166" spans="1:27" s="697" customFormat="1">
      <c r="A166" s="764" t="s">
        <v>23</v>
      </c>
      <c r="B166" s="765"/>
      <c r="C166" s="696"/>
      <c r="D166" s="696"/>
      <c r="E166" s="696"/>
      <c r="F166" s="696"/>
      <c r="G166" s="696"/>
      <c r="H166" s="696"/>
      <c r="I166" s="696"/>
      <c r="J166" s="696"/>
      <c r="K166" s="696"/>
      <c r="L166" s="696"/>
      <c r="M166" s="696"/>
      <c r="N166" s="696"/>
      <c r="O166" s="696"/>
      <c r="P166" s="696"/>
      <c r="Q166" s="696"/>
      <c r="R166" s="696"/>
      <c r="S166" s="696"/>
      <c r="T166" s="696"/>
      <c r="U166" s="696"/>
      <c r="V166" s="696"/>
      <c r="W166" s="696"/>
      <c r="X166" s="696"/>
      <c r="Y166" s="696"/>
      <c r="Z166" s="696"/>
      <c r="AA166" s="696"/>
    </row>
    <row r="167" spans="1:27" s="697" customFormat="1">
      <c r="A167" s="766"/>
      <c r="B167" s="767"/>
      <c r="C167" s="698"/>
      <c r="D167" s="698"/>
      <c r="E167" s="698"/>
      <c r="F167" s="698"/>
      <c r="G167" s="698"/>
      <c r="H167" s="698"/>
      <c r="I167" s="698"/>
      <c r="J167" s="698"/>
      <c r="K167" s="698"/>
      <c r="L167" s="698"/>
      <c r="M167" s="698"/>
      <c r="N167" s="698"/>
      <c r="O167" s="698"/>
      <c r="P167" s="698"/>
      <c r="Q167" s="698"/>
      <c r="R167" s="698"/>
      <c r="S167" s="698"/>
      <c r="T167" s="698"/>
      <c r="U167" s="698"/>
      <c r="V167" s="698"/>
      <c r="W167" s="698"/>
      <c r="X167" s="698"/>
      <c r="Y167" s="698"/>
      <c r="Z167" s="698"/>
      <c r="AA167" s="698"/>
    </row>
    <row r="168" spans="1:27">
      <c r="A168" s="14" t="s">
        <v>152</v>
      </c>
      <c r="B168" s="15"/>
      <c r="C168" s="693">
        <v>300000</v>
      </c>
      <c r="D168" s="689">
        <v>50000</v>
      </c>
      <c r="E168" s="689">
        <v>50000</v>
      </c>
      <c r="F168" s="689">
        <v>50000</v>
      </c>
      <c r="G168" s="689">
        <v>50000</v>
      </c>
      <c r="H168" s="689">
        <v>50000</v>
      </c>
      <c r="I168" s="689">
        <v>50000</v>
      </c>
      <c r="J168" s="689">
        <v>50000</v>
      </c>
      <c r="K168" s="689">
        <v>50000</v>
      </c>
      <c r="L168" s="689">
        <v>50000</v>
      </c>
      <c r="M168" s="689">
        <v>50000</v>
      </c>
      <c r="N168" s="689">
        <v>50000</v>
      </c>
      <c r="O168" s="689">
        <v>50000</v>
      </c>
      <c r="P168" s="689">
        <v>50000</v>
      </c>
      <c r="Q168" s="689">
        <v>50000</v>
      </c>
      <c r="R168" s="689">
        <v>50000</v>
      </c>
      <c r="S168" s="689">
        <v>50000</v>
      </c>
      <c r="T168" s="689">
        <v>50000</v>
      </c>
      <c r="U168" s="689">
        <v>50000</v>
      </c>
      <c r="V168" s="689">
        <v>50000</v>
      </c>
      <c r="W168" s="689">
        <v>50000</v>
      </c>
      <c r="X168" s="689">
        <v>50000</v>
      </c>
      <c r="Y168" s="689">
        <v>50000</v>
      </c>
      <c r="Z168" s="693">
        <v>50000</v>
      </c>
      <c r="AA168" s="693">
        <v>1050000</v>
      </c>
    </row>
    <row r="169" spans="1:27">
      <c r="A169" s="14" t="s">
        <v>646</v>
      </c>
      <c r="B169" s="15"/>
      <c r="C169" s="689">
        <v>0</v>
      </c>
      <c r="D169" s="689">
        <v>0</v>
      </c>
      <c r="E169" s="689">
        <v>2550000</v>
      </c>
      <c r="F169" s="689">
        <v>2550000</v>
      </c>
      <c r="G169" s="689">
        <v>2550000</v>
      </c>
      <c r="H169" s="689">
        <v>2550000</v>
      </c>
      <c r="I169" s="689">
        <v>2550000</v>
      </c>
      <c r="J169" s="689">
        <v>2550000</v>
      </c>
      <c r="K169" s="689">
        <v>2550000</v>
      </c>
      <c r="L169" s="689">
        <v>2550000</v>
      </c>
      <c r="M169" s="689">
        <v>2550000</v>
      </c>
      <c r="N169" s="689">
        <v>2550000</v>
      </c>
      <c r="O169" s="689">
        <v>2550000</v>
      </c>
      <c r="P169" s="689">
        <v>2550000</v>
      </c>
      <c r="Q169" s="689">
        <v>2550000</v>
      </c>
      <c r="R169" s="689">
        <v>2550000</v>
      </c>
      <c r="S169" s="689">
        <v>2550000</v>
      </c>
      <c r="T169" s="689">
        <v>2550000</v>
      </c>
      <c r="U169" s="689">
        <v>2550000</v>
      </c>
      <c r="V169" s="689">
        <v>2550000</v>
      </c>
      <c r="W169" s="689">
        <v>2550000</v>
      </c>
      <c r="X169" s="689">
        <v>2550000</v>
      </c>
      <c r="Y169" s="689">
        <v>2550000</v>
      </c>
      <c r="Z169" s="689">
        <v>2550000</v>
      </c>
      <c r="AA169" s="693">
        <v>2550000</v>
      </c>
    </row>
    <row r="170" spans="1:27">
      <c r="A170" s="14" t="s">
        <v>663</v>
      </c>
      <c r="B170" s="15"/>
      <c r="C170" s="689">
        <v>75000000</v>
      </c>
      <c r="D170" s="689">
        <v>75000000</v>
      </c>
      <c r="E170" s="689">
        <v>75000000</v>
      </c>
      <c r="F170" s="693">
        <v>75000000</v>
      </c>
      <c r="G170" s="689">
        <v>0</v>
      </c>
      <c r="H170" s="693">
        <v>0</v>
      </c>
      <c r="I170" s="689">
        <v>75000000</v>
      </c>
      <c r="J170" s="689">
        <v>75000000</v>
      </c>
      <c r="K170" s="689">
        <v>75000000</v>
      </c>
      <c r="L170" s="689">
        <v>75000000</v>
      </c>
      <c r="M170" s="689">
        <v>75000000</v>
      </c>
      <c r="N170" s="693">
        <v>75000000</v>
      </c>
      <c r="O170" s="689">
        <v>0</v>
      </c>
      <c r="P170" s="689">
        <v>0</v>
      </c>
      <c r="Q170" s="689">
        <v>0</v>
      </c>
      <c r="R170" s="689">
        <v>0</v>
      </c>
      <c r="S170" s="689">
        <v>0</v>
      </c>
      <c r="T170" s="689">
        <v>0</v>
      </c>
      <c r="U170" s="689">
        <v>0</v>
      </c>
      <c r="V170" s="689">
        <v>0</v>
      </c>
      <c r="W170" s="689">
        <v>0</v>
      </c>
      <c r="X170" s="689">
        <v>0</v>
      </c>
      <c r="Y170" s="689">
        <v>0</v>
      </c>
      <c r="Z170" s="689">
        <v>0</v>
      </c>
      <c r="AA170" s="689">
        <v>0</v>
      </c>
    </row>
    <row r="171" spans="1:27">
      <c r="A171" s="14" t="s">
        <v>691</v>
      </c>
      <c r="B171" s="15"/>
      <c r="C171" s="689">
        <v>0</v>
      </c>
      <c r="D171" s="689">
        <v>0</v>
      </c>
      <c r="E171" s="689">
        <v>102000</v>
      </c>
      <c r="F171" s="689">
        <v>102000</v>
      </c>
      <c r="G171" s="689">
        <v>102000</v>
      </c>
      <c r="H171" s="689">
        <v>102000</v>
      </c>
      <c r="I171" s="689">
        <v>102000</v>
      </c>
      <c r="J171" s="689">
        <v>102000</v>
      </c>
      <c r="K171" s="689">
        <v>102000</v>
      </c>
      <c r="L171" s="689">
        <v>102000</v>
      </c>
      <c r="M171" s="689">
        <v>102000</v>
      </c>
      <c r="N171" s="689">
        <v>102000</v>
      </c>
      <c r="O171" s="689">
        <v>102000</v>
      </c>
      <c r="P171" s="689">
        <v>102000</v>
      </c>
      <c r="Q171" s="689">
        <v>102000</v>
      </c>
      <c r="R171" s="689">
        <v>102000</v>
      </c>
      <c r="S171" s="689">
        <v>102000</v>
      </c>
      <c r="T171" s="689">
        <v>102000</v>
      </c>
      <c r="U171" s="689">
        <v>102000</v>
      </c>
      <c r="V171" s="689">
        <v>102000</v>
      </c>
      <c r="W171" s="689">
        <v>102000</v>
      </c>
      <c r="X171" s="689">
        <v>102000</v>
      </c>
      <c r="Y171" s="689">
        <v>102000</v>
      </c>
      <c r="Z171" s="689">
        <v>102000</v>
      </c>
      <c r="AA171" s="689">
        <v>102000</v>
      </c>
    </row>
    <row r="172" spans="1:27">
      <c r="A172" s="1017" t="s">
        <v>625</v>
      </c>
      <c r="B172" s="15"/>
      <c r="C172" s="1019">
        <v>450000</v>
      </c>
      <c r="D172" s="1019">
        <v>450000</v>
      </c>
      <c r="E172" s="1019">
        <v>450000</v>
      </c>
      <c r="F172" s="1019">
        <v>450000</v>
      </c>
      <c r="G172" s="1019">
        <v>450000</v>
      </c>
      <c r="H172" s="1019">
        <v>450000</v>
      </c>
      <c r="I172" s="1019">
        <v>450000</v>
      </c>
      <c r="J172" s="1019">
        <v>450000</v>
      </c>
      <c r="K172" s="1019">
        <v>450000</v>
      </c>
      <c r="L172" s="1019">
        <v>450000</v>
      </c>
      <c r="M172" s="1019">
        <v>450000</v>
      </c>
      <c r="N172" s="1019">
        <v>450000</v>
      </c>
      <c r="O172" s="1019">
        <v>450000</v>
      </c>
      <c r="P172" s="1019">
        <v>450000</v>
      </c>
      <c r="Q172" s="1019">
        <v>450000</v>
      </c>
      <c r="R172" s="1019">
        <v>450000</v>
      </c>
      <c r="S172" s="1019">
        <v>450000</v>
      </c>
      <c r="T172" s="1019">
        <v>450000</v>
      </c>
      <c r="U172" s="1019">
        <v>450000</v>
      </c>
      <c r="V172" s="1019">
        <v>450000</v>
      </c>
      <c r="W172" s="1019">
        <v>450000</v>
      </c>
      <c r="X172" s="1019">
        <v>450000</v>
      </c>
      <c r="Y172" s="1019">
        <v>450000</v>
      </c>
      <c r="Z172" s="1019">
        <v>450000</v>
      </c>
      <c r="AA172" s="1019">
        <v>450000</v>
      </c>
    </row>
    <row r="173" spans="1:27">
      <c r="A173" s="1018" t="s">
        <v>626</v>
      </c>
      <c r="B173" s="736"/>
      <c r="C173" s="1020">
        <v>350000</v>
      </c>
      <c r="D173" s="1020">
        <v>350000</v>
      </c>
      <c r="E173" s="1020">
        <v>350000</v>
      </c>
      <c r="F173" s="1020">
        <v>350000</v>
      </c>
      <c r="G173" s="1020">
        <v>350000</v>
      </c>
      <c r="H173" s="1020">
        <v>350000</v>
      </c>
      <c r="I173" s="1020">
        <v>350000</v>
      </c>
      <c r="J173" s="1020">
        <v>350000</v>
      </c>
      <c r="K173" s="1020">
        <v>350000</v>
      </c>
      <c r="L173" s="1020">
        <v>350000</v>
      </c>
      <c r="M173" s="1020">
        <v>350000</v>
      </c>
      <c r="N173" s="1020">
        <v>350000</v>
      </c>
      <c r="O173" s="1020">
        <v>350000</v>
      </c>
      <c r="P173" s="1020">
        <v>350000</v>
      </c>
      <c r="Q173" s="1020">
        <v>350000</v>
      </c>
      <c r="R173" s="1020">
        <v>350000</v>
      </c>
      <c r="S173" s="1020">
        <v>350000</v>
      </c>
      <c r="T173" s="1020">
        <v>350000</v>
      </c>
      <c r="U173" s="1020">
        <v>350000</v>
      </c>
      <c r="V173" s="1020">
        <v>350000</v>
      </c>
      <c r="W173" s="1020">
        <v>350000</v>
      </c>
      <c r="X173" s="1020">
        <v>350000</v>
      </c>
      <c r="Y173" s="1020">
        <v>350000</v>
      </c>
      <c r="Z173" s="1020">
        <v>350000</v>
      </c>
      <c r="AA173" s="1020">
        <v>350000</v>
      </c>
    </row>
    <row r="174" spans="1:27">
      <c r="A174" s="6" t="s">
        <v>719</v>
      </c>
      <c r="B174" s="736"/>
      <c r="C174" s="641">
        <v>0</v>
      </c>
      <c r="D174" s="641">
        <v>0</v>
      </c>
      <c r="E174" s="641">
        <v>0</v>
      </c>
      <c r="F174" s="684">
        <v>0</v>
      </c>
      <c r="G174" s="641">
        <v>1000000</v>
      </c>
      <c r="H174" s="684">
        <v>1000000</v>
      </c>
      <c r="I174" s="641">
        <v>0</v>
      </c>
      <c r="J174" s="641">
        <v>0</v>
      </c>
      <c r="K174" s="641">
        <v>0</v>
      </c>
      <c r="L174" s="641">
        <v>0</v>
      </c>
      <c r="M174" s="641">
        <v>0</v>
      </c>
      <c r="N174" s="641">
        <v>0</v>
      </c>
      <c r="O174" s="641">
        <v>0</v>
      </c>
      <c r="P174" s="641">
        <v>0</v>
      </c>
      <c r="Q174" s="641">
        <v>0</v>
      </c>
      <c r="R174" s="641">
        <v>0</v>
      </c>
      <c r="S174" s="641">
        <v>0</v>
      </c>
      <c r="T174" s="641">
        <v>0</v>
      </c>
      <c r="U174" s="641">
        <v>0</v>
      </c>
      <c r="V174" s="641">
        <v>0</v>
      </c>
      <c r="W174" s="641">
        <v>0</v>
      </c>
      <c r="X174" s="641">
        <v>0</v>
      </c>
      <c r="Y174" s="641">
        <v>0</v>
      </c>
      <c r="Z174" s="641">
        <v>0</v>
      </c>
      <c r="AA174" s="641">
        <v>0</v>
      </c>
    </row>
    <row r="175" spans="1:27">
      <c r="A175" s="6" t="s">
        <v>717</v>
      </c>
      <c r="B175" s="736"/>
      <c r="C175" s="641">
        <v>0</v>
      </c>
      <c r="D175" s="641">
        <v>0</v>
      </c>
      <c r="E175" s="641">
        <v>0</v>
      </c>
      <c r="F175" s="641">
        <v>0</v>
      </c>
      <c r="G175" s="641">
        <v>0</v>
      </c>
      <c r="H175" s="641">
        <v>0</v>
      </c>
      <c r="I175" s="684">
        <v>0</v>
      </c>
      <c r="J175" s="684">
        <v>500000</v>
      </c>
      <c r="K175" s="684">
        <v>0</v>
      </c>
      <c r="L175" s="684">
        <v>1750000</v>
      </c>
      <c r="M175" s="684">
        <v>400000</v>
      </c>
      <c r="N175" s="641"/>
      <c r="O175" s="641"/>
      <c r="P175" s="641"/>
      <c r="Q175" s="641"/>
      <c r="R175" s="641"/>
      <c r="S175" s="641"/>
      <c r="T175" s="641"/>
      <c r="U175" s="641"/>
      <c r="V175" s="641"/>
      <c r="W175" s="641"/>
      <c r="X175" s="641"/>
      <c r="Y175" s="641"/>
      <c r="Z175" s="641"/>
      <c r="AA175" s="641"/>
    </row>
    <row r="176" spans="1:27">
      <c r="A176" s="6" t="s">
        <v>628</v>
      </c>
      <c r="B176" s="736"/>
      <c r="C176" s="641">
        <v>0</v>
      </c>
      <c r="D176" s="641">
        <v>0</v>
      </c>
      <c r="E176" s="641">
        <v>0</v>
      </c>
      <c r="F176" s="641">
        <v>0</v>
      </c>
      <c r="G176" s="641">
        <v>0</v>
      </c>
      <c r="H176" s="641">
        <v>0</v>
      </c>
      <c r="I176" s="641">
        <v>0</v>
      </c>
      <c r="J176" s="641">
        <v>0</v>
      </c>
      <c r="K176" s="641">
        <v>0</v>
      </c>
      <c r="L176" s="641">
        <v>0</v>
      </c>
      <c r="M176" s="641">
        <v>0</v>
      </c>
      <c r="N176" s="641">
        <v>0</v>
      </c>
      <c r="O176" s="641">
        <v>0</v>
      </c>
      <c r="P176" s="641">
        <v>0</v>
      </c>
      <c r="Q176" s="641">
        <v>0</v>
      </c>
      <c r="R176" s="641">
        <v>0</v>
      </c>
      <c r="S176" s="641">
        <v>0</v>
      </c>
      <c r="T176" s="641">
        <v>0</v>
      </c>
      <c r="U176" s="684"/>
      <c r="V176" s="641">
        <v>300000</v>
      </c>
      <c r="W176" s="641">
        <v>300000</v>
      </c>
      <c r="X176" s="684">
        <v>300000</v>
      </c>
      <c r="Y176" s="641">
        <v>0</v>
      </c>
      <c r="Z176" s="641">
        <v>0</v>
      </c>
      <c r="AA176" s="641">
        <v>0</v>
      </c>
    </row>
    <row r="177" spans="1:27">
      <c r="A177" s="6" t="s">
        <v>716</v>
      </c>
      <c r="B177" s="736"/>
      <c r="C177" s="641">
        <v>0</v>
      </c>
      <c r="D177" s="641">
        <v>0</v>
      </c>
      <c r="E177" s="641">
        <v>0</v>
      </c>
      <c r="F177" s="641">
        <v>0</v>
      </c>
      <c r="G177" s="641">
        <v>0</v>
      </c>
      <c r="H177" s="641">
        <v>0</v>
      </c>
      <c r="I177" s="684">
        <v>0</v>
      </c>
      <c r="J177" s="641">
        <v>460000</v>
      </c>
      <c r="K177" s="684">
        <v>460000</v>
      </c>
      <c r="L177" s="641"/>
      <c r="M177" s="641"/>
      <c r="N177" s="641"/>
      <c r="O177" s="641"/>
      <c r="P177" s="641"/>
      <c r="Q177" s="641"/>
      <c r="R177" s="641"/>
      <c r="S177" s="641"/>
      <c r="T177" s="641"/>
      <c r="U177" s="641"/>
      <c r="V177" s="641"/>
      <c r="W177" s="641"/>
      <c r="X177" s="641"/>
      <c r="Y177" s="641"/>
      <c r="Z177" s="641"/>
      <c r="AA177" s="641"/>
    </row>
    <row r="178" spans="1:27">
      <c r="A178" s="6" t="s">
        <v>697</v>
      </c>
      <c r="B178" s="736"/>
      <c r="C178" s="684">
        <v>14500000</v>
      </c>
      <c r="D178" s="641"/>
      <c r="E178" s="641"/>
      <c r="F178" s="641"/>
      <c r="G178" s="641"/>
      <c r="H178" s="641"/>
      <c r="I178" s="641"/>
      <c r="J178" s="641"/>
      <c r="K178" s="641"/>
      <c r="L178" s="641"/>
      <c r="M178" s="641"/>
      <c r="N178" s="641"/>
      <c r="O178" s="641"/>
      <c r="P178" s="641"/>
      <c r="Q178" s="641"/>
      <c r="R178" s="641"/>
      <c r="S178" s="641"/>
      <c r="T178" s="641"/>
      <c r="U178" s="641"/>
      <c r="V178" s="641"/>
      <c r="W178" s="641"/>
      <c r="X178" s="641"/>
      <c r="Y178" s="641"/>
      <c r="Z178" s="641"/>
      <c r="AA178" s="641"/>
    </row>
    <row r="179" spans="1:27">
      <c r="A179" s="6" t="s">
        <v>624</v>
      </c>
      <c r="B179" s="736"/>
      <c r="C179" s="641">
        <v>3000000</v>
      </c>
      <c r="D179" s="641">
        <v>3000000</v>
      </c>
      <c r="E179" s="641">
        <v>3000000</v>
      </c>
      <c r="F179" s="641">
        <v>3000000</v>
      </c>
      <c r="G179" s="641">
        <v>3000000</v>
      </c>
      <c r="H179" s="641">
        <v>3000000</v>
      </c>
      <c r="I179" s="641">
        <v>3000000</v>
      </c>
      <c r="J179" s="641">
        <v>3000000</v>
      </c>
      <c r="K179" s="641">
        <v>3000000</v>
      </c>
      <c r="L179" s="641">
        <v>3000000</v>
      </c>
      <c r="M179" s="641">
        <v>3000000</v>
      </c>
      <c r="N179" s="641">
        <v>3000000</v>
      </c>
      <c r="O179" s="641">
        <v>3000000</v>
      </c>
      <c r="P179" s="641">
        <v>3000000</v>
      </c>
      <c r="Q179" s="641">
        <v>3000000</v>
      </c>
      <c r="R179" s="641">
        <v>3000000</v>
      </c>
      <c r="S179" s="641">
        <v>3000000</v>
      </c>
      <c r="T179" s="641">
        <v>3000000</v>
      </c>
      <c r="U179" s="641">
        <v>3000000</v>
      </c>
      <c r="V179" s="641">
        <v>3000000</v>
      </c>
      <c r="W179" s="641">
        <v>3000000</v>
      </c>
      <c r="X179" s="641">
        <v>3000000</v>
      </c>
      <c r="Y179" s="641">
        <v>3000000</v>
      </c>
      <c r="Z179" s="641">
        <v>3000000</v>
      </c>
      <c r="AA179" s="641">
        <v>3000000</v>
      </c>
    </row>
    <row r="180" spans="1:27">
      <c r="A180" s="6" t="s">
        <v>119</v>
      </c>
      <c r="B180" s="736"/>
      <c r="C180" s="641">
        <v>15500000</v>
      </c>
      <c r="D180" s="641">
        <v>15500000</v>
      </c>
      <c r="E180" s="641">
        <v>15500000</v>
      </c>
      <c r="F180" s="641">
        <v>15500000</v>
      </c>
      <c r="G180" s="641">
        <v>15500000</v>
      </c>
      <c r="H180" s="641">
        <v>15500000</v>
      </c>
      <c r="I180" s="641">
        <v>15500000</v>
      </c>
      <c r="J180" s="641">
        <v>15500000</v>
      </c>
      <c r="K180" s="641">
        <v>15500000</v>
      </c>
      <c r="L180" s="641">
        <v>15500000</v>
      </c>
      <c r="M180" s="641">
        <v>15500000</v>
      </c>
      <c r="N180" s="641">
        <v>15500000</v>
      </c>
      <c r="O180" s="641">
        <v>15500000</v>
      </c>
      <c r="P180" s="641">
        <v>15500000</v>
      </c>
      <c r="Q180" s="641">
        <v>15500000</v>
      </c>
      <c r="R180" s="641">
        <v>15500000</v>
      </c>
      <c r="S180" s="641">
        <v>15500000</v>
      </c>
      <c r="T180" s="641">
        <v>15500000</v>
      </c>
      <c r="U180" s="641">
        <v>15500000</v>
      </c>
      <c r="V180" s="641">
        <v>15500000</v>
      </c>
      <c r="W180" s="641">
        <v>15500000</v>
      </c>
      <c r="X180" s="641">
        <v>15500000</v>
      </c>
      <c r="Y180" s="641">
        <v>15500000</v>
      </c>
      <c r="Z180" s="641">
        <v>15500000</v>
      </c>
      <c r="AA180" s="641">
        <v>15500000</v>
      </c>
    </row>
    <row r="181" spans="1:27">
      <c r="A181" s="6" t="s">
        <v>179</v>
      </c>
      <c r="B181" s="736"/>
      <c r="C181" s="641">
        <v>5500000</v>
      </c>
      <c r="D181" s="641">
        <v>5500000</v>
      </c>
      <c r="E181" s="641">
        <v>5500000</v>
      </c>
      <c r="F181" s="641">
        <v>5500000</v>
      </c>
      <c r="G181" s="641">
        <v>5500000</v>
      </c>
      <c r="H181" s="641">
        <v>5500000</v>
      </c>
      <c r="I181" s="641">
        <v>5500000</v>
      </c>
      <c r="J181" s="641">
        <v>5500000</v>
      </c>
      <c r="K181" s="641">
        <v>5500000</v>
      </c>
      <c r="L181" s="641">
        <v>5500000</v>
      </c>
      <c r="M181" s="641">
        <v>5500000</v>
      </c>
      <c r="N181" s="641">
        <v>5500000</v>
      </c>
      <c r="O181" s="641">
        <v>5500000</v>
      </c>
      <c r="P181" s="641">
        <v>5500000</v>
      </c>
      <c r="Q181" s="641">
        <v>5500000</v>
      </c>
      <c r="R181" s="641">
        <v>5500000</v>
      </c>
      <c r="S181" s="641">
        <v>5500000</v>
      </c>
      <c r="T181" s="641">
        <v>5500000</v>
      </c>
      <c r="U181" s="641">
        <v>5500000</v>
      </c>
      <c r="V181" s="641">
        <v>5500000</v>
      </c>
      <c r="W181" s="641">
        <v>5500000</v>
      </c>
      <c r="X181" s="641">
        <v>5500000</v>
      </c>
      <c r="Y181" s="641">
        <v>5500000</v>
      </c>
      <c r="Z181" s="641">
        <v>5500000</v>
      </c>
      <c r="AA181" s="641">
        <v>5500000</v>
      </c>
    </row>
    <row r="182" spans="1:27">
      <c r="A182" s="6" t="s">
        <v>161</v>
      </c>
      <c r="B182" s="736"/>
      <c r="C182" s="641">
        <v>7000000</v>
      </c>
      <c r="D182" s="641">
        <v>7000000</v>
      </c>
      <c r="E182" s="641">
        <v>7000000</v>
      </c>
      <c r="F182" s="641">
        <v>7000000</v>
      </c>
      <c r="G182" s="641">
        <v>7000000</v>
      </c>
      <c r="H182" s="641">
        <v>7000000</v>
      </c>
      <c r="I182" s="641">
        <v>7000000</v>
      </c>
      <c r="J182" s="641">
        <v>7000000</v>
      </c>
      <c r="K182" s="641">
        <v>7000000</v>
      </c>
      <c r="L182" s="641">
        <v>7000000</v>
      </c>
      <c r="M182" s="641">
        <v>7000000</v>
      </c>
      <c r="N182" s="641">
        <v>7000000</v>
      </c>
      <c r="O182" s="641">
        <v>7000000</v>
      </c>
      <c r="P182" s="641">
        <v>7000000</v>
      </c>
      <c r="Q182" s="641">
        <v>7000000</v>
      </c>
      <c r="R182" s="641">
        <v>7000000</v>
      </c>
      <c r="S182" s="641">
        <v>7000000</v>
      </c>
      <c r="T182" s="641">
        <v>7000000</v>
      </c>
      <c r="U182" s="641">
        <v>7000000</v>
      </c>
      <c r="V182" s="641">
        <v>7000000</v>
      </c>
      <c r="W182" s="641">
        <v>7000000</v>
      </c>
      <c r="X182" s="641">
        <v>7000000</v>
      </c>
      <c r="Y182" s="641">
        <v>7000000</v>
      </c>
      <c r="Z182" s="641">
        <v>7000000</v>
      </c>
      <c r="AA182" s="641">
        <v>7000000</v>
      </c>
    </row>
    <row r="183" spans="1:27" ht="16.2" thickBot="1">
      <c r="A183" s="7"/>
      <c r="B183" s="738"/>
      <c r="C183" s="848">
        <v>121600000</v>
      </c>
      <c r="D183" s="848">
        <v>106850000</v>
      </c>
      <c r="E183" s="848">
        <v>109502000</v>
      </c>
      <c r="F183" s="848">
        <f>SUM(F168:F182)</f>
        <v>109502000</v>
      </c>
      <c r="G183" s="848">
        <v>35502000</v>
      </c>
      <c r="H183" s="848">
        <v>35502000</v>
      </c>
      <c r="I183" s="848">
        <v>109502000</v>
      </c>
      <c r="J183" s="848">
        <v>110462000</v>
      </c>
      <c r="K183" s="848">
        <v>109962000</v>
      </c>
      <c r="L183" s="848">
        <v>111252000</v>
      </c>
      <c r="M183" s="848">
        <v>109902000</v>
      </c>
      <c r="N183" s="848">
        <v>34502000</v>
      </c>
      <c r="O183" s="848">
        <v>34502000</v>
      </c>
      <c r="P183" s="848">
        <v>34502000</v>
      </c>
      <c r="Q183" s="848">
        <v>34502000</v>
      </c>
      <c r="R183" s="848">
        <v>34502000</v>
      </c>
      <c r="S183" s="848">
        <v>34502000</v>
      </c>
      <c r="T183" s="848">
        <v>34502000</v>
      </c>
      <c r="U183" s="848">
        <v>34802000</v>
      </c>
      <c r="V183" s="848">
        <v>34802000</v>
      </c>
      <c r="W183" s="848">
        <v>34802000</v>
      </c>
      <c r="X183" s="848">
        <v>34802000</v>
      </c>
      <c r="Y183" s="848">
        <v>34502000</v>
      </c>
      <c r="Z183" s="848">
        <v>34502000</v>
      </c>
      <c r="AA183" s="848">
        <v>35502000</v>
      </c>
    </row>
    <row r="184" spans="1:27" ht="16.2" thickBot="1">
      <c r="A184" s="9"/>
      <c r="B184" s="10"/>
      <c r="C184" s="869"/>
      <c r="D184" s="869"/>
      <c r="E184" s="869"/>
      <c r="F184" s="869"/>
      <c r="G184" s="869"/>
      <c r="H184" s="869"/>
      <c r="I184" s="869"/>
      <c r="J184" s="869"/>
      <c r="K184" s="869"/>
      <c r="L184" s="869"/>
      <c r="M184" s="869"/>
      <c r="N184" s="869"/>
      <c r="O184" s="869"/>
      <c r="P184" s="869"/>
      <c r="Q184" s="869"/>
      <c r="R184" s="869"/>
      <c r="S184" s="869"/>
      <c r="T184" s="869"/>
      <c r="U184" s="869"/>
      <c r="V184" s="869"/>
      <c r="W184" s="869"/>
      <c r="X184" s="869"/>
      <c r="Y184" s="869"/>
      <c r="Z184" s="869"/>
      <c r="AA184" s="869"/>
    </row>
    <row r="185" spans="1:27" ht="16.2" thickBot="1">
      <c r="A185" s="768"/>
      <c r="B185" s="769"/>
      <c r="C185" s="868"/>
      <c r="D185" s="868"/>
      <c r="E185" s="868"/>
      <c r="F185" s="868"/>
      <c r="G185" s="868"/>
      <c r="H185" s="868"/>
      <c r="I185" s="868"/>
      <c r="J185" s="868"/>
      <c r="K185" s="868"/>
      <c r="L185" s="868"/>
      <c r="M185" s="868"/>
      <c r="N185" s="868"/>
      <c r="O185" s="868"/>
      <c r="P185" s="868"/>
      <c r="Q185" s="868"/>
      <c r="R185" s="868"/>
      <c r="S185" s="868"/>
      <c r="T185" s="868"/>
      <c r="U185" s="868"/>
      <c r="V185" s="868"/>
      <c r="W185" s="868"/>
      <c r="X185" s="868"/>
      <c r="Y185" s="868"/>
      <c r="Z185" s="868"/>
      <c r="AA185" s="868"/>
    </row>
    <row r="186" spans="1:27" s="699" customFormat="1" ht="18.600000000000001" thickBot="1">
      <c r="A186" s="770" t="s">
        <v>35</v>
      </c>
      <c r="B186" s="771"/>
      <c r="C186" s="870">
        <v>200298427</v>
      </c>
      <c r="D186" s="870">
        <v>198342178</v>
      </c>
      <c r="E186" s="870">
        <v>193968479</v>
      </c>
      <c r="F186" s="870">
        <f>SUM(F123+F145-F183+F165)</f>
        <v>195545037</v>
      </c>
      <c r="G186" s="870">
        <v>194769598</v>
      </c>
      <c r="H186" s="870">
        <v>193666746</v>
      </c>
      <c r="I186" s="870">
        <v>191780632</v>
      </c>
      <c r="J186" s="870">
        <v>188703792</v>
      </c>
      <c r="K186" s="870">
        <v>191341392</v>
      </c>
      <c r="L186" s="870">
        <v>191290751</v>
      </c>
      <c r="M186" s="870">
        <v>189030728</v>
      </c>
      <c r="N186" s="870">
        <v>263922081</v>
      </c>
      <c r="O186" s="870">
        <v>187013416</v>
      </c>
      <c r="P186" s="870">
        <v>185774645</v>
      </c>
      <c r="Q186" s="870">
        <v>185602409</v>
      </c>
      <c r="R186" s="870">
        <v>184772047</v>
      </c>
      <c r="S186" s="870">
        <v>183780178</v>
      </c>
      <c r="T186" s="870">
        <v>185452131</v>
      </c>
      <c r="U186" s="870">
        <v>184289199</v>
      </c>
      <c r="V186" s="870">
        <v>185418324</v>
      </c>
      <c r="W186" s="870">
        <v>186948291</v>
      </c>
      <c r="X186" s="870">
        <v>185718399</v>
      </c>
      <c r="Y186" s="870">
        <v>187601748</v>
      </c>
      <c r="Z186" s="870">
        <v>185833040</v>
      </c>
      <c r="AA186" s="870">
        <v>186796928</v>
      </c>
    </row>
    <row r="187" spans="1:27" s="699" customFormat="1" ht="18">
      <c r="A187" s="772"/>
      <c r="B187" s="773"/>
      <c r="C187" s="871"/>
      <c r="D187" s="871"/>
      <c r="E187" s="871"/>
      <c r="F187" s="871"/>
      <c r="G187" s="871"/>
      <c r="H187" s="871"/>
      <c r="I187" s="871"/>
      <c r="J187" s="871"/>
      <c r="K187" s="871"/>
      <c r="L187" s="871"/>
      <c r="M187" s="871"/>
      <c r="N187" s="871"/>
      <c r="O187" s="871"/>
      <c r="P187" s="871"/>
      <c r="Q187" s="871"/>
      <c r="R187" s="871"/>
      <c r="S187" s="871"/>
      <c r="T187" s="871"/>
      <c r="U187" s="871"/>
      <c r="V187" s="871"/>
      <c r="W187" s="871"/>
      <c r="X187" s="871"/>
      <c r="Y187" s="871"/>
      <c r="Z187" s="871"/>
      <c r="AA187" s="871"/>
    </row>
    <row r="188" spans="1:27">
      <c r="A188" s="5"/>
      <c r="B188"/>
      <c r="C188" s="852"/>
      <c r="D188" s="852"/>
      <c r="E188" s="852"/>
      <c r="F188" s="852"/>
      <c r="G188" s="852"/>
      <c r="H188" s="852"/>
      <c r="I188" s="852"/>
      <c r="J188" s="852"/>
      <c r="K188" s="852"/>
      <c r="L188" s="852"/>
      <c r="M188" s="852"/>
      <c r="N188" s="852"/>
      <c r="O188" s="852"/>
      <c r="P188" s="852"/>
      <c r="Q188" s="852"/>
      <c r="R188" s="852"/>
      <c r="S188" s="852"/>
      <c r="T188" s="852"/>
      <c r="U188" s="852"/>
      <c r="V188" s="852"/>
      <c r="W188" s="852"/>
      <c r="X188" s="852"/>
      <c r="Y188" s="852"/>
      <c r="Z188" s="852"/>
      <c r="AA188" s="852"/>
    </row>
    <row r="189" spans="1:27">
      <c r="A189" s="5" t="s">
        <v>25</v>
      </c>
      <c r="B189"/>
      <c r="C189" s="8">
        <v>317392927</v>
      </c>
      <c r="D189" s="8">
        <v>300386678</v>
      </c>
      <c r="E189" s="8">
        <v>298664979</v>
      </c>
      <c r="F189" s="8">
        <v>300241537</v>
      </c>
      <c r="G189" s="8">
        <v>225466098</v>
      </c>
      <c r="H189" s="8">
        <v>224363246</v>
      </c>
      <c r="I189" s="8">
        <v>296477132</v>
      </c>
      <c r="J189" s="8">
        <v>294660292</v>
      </c>
      <c r="K189" s="8">
        <v>296797892</v>
      </c>
      <c r="L189" s="8">
        <v>298068751</v>
      </c>
      <c r="M189" s="8">
        <v>294458728</v>
      </c>
      <c r="N189" s="8">
        <v>293950081</v>
      </c>
      <c r="O189" s="8">
        <v>217041416</v>
      </c>
      <c r="P189" s="8">
        <v>215802645</v>
      </c>
      <c r="Q189" s="8">
        <v>215630409</v>
      </c>
      <c r="R189" s="8">
        <v>214800047</v>
      </c>
      <c r="S189" s="8">
        <v>213808178</v>
      </c>
      <c r="T189" s="8">
        <v>215480131</v>
      </c>
      <c r="U189" s="8">
        <v>214617199</v>
      </c>
      <c r="V189" s="8">
        <v>215746324</v>
      </c>
      <c r="W189" s="8">
        <v>217276291</v>
      </c>
      <c r="X189" s="8">
        <v>216046399</v>
      </c>
      <c r="Y189" s="8">
        <v>217269748</v>
      </c>
      <c r="Z189" s="8">
        <v>213301040</v>
      </c>
      <c r="AA189" s="8">
        <v>214964928</v>
      </c>
    </row>
    <row r="190" spans="1:27" ht="18">
      <c r="A190" s="774" t="s">
        <v>13</v>
      </c>
      <c r="B190" s="2"/>
      <c r="C190" s="24">
        <v>200298427</v>
      </c>
      <c r="D190" s="24">
        <v>198342178</v>
      </c>
      <c r="E190" s="24">
        <v>193968479</v>
      </c>
      <c r="F190" s="24">
        <f>F186</f>
        <v>195545037</v>
      </c>
      <c r="G190" s="24">
        <v>194769598</v>
      </c>
      <c r="H190" s="24">
        <v>193666746</v>
      </c>
      <c r="I190" s="24">
        <v>191780632</v>
      </c>
      <c r="J190" s="24">
        <v>188703792</v>
      </c>
      <c r="K190" s="24">
        <v>191341392</v>
      </c>
      <c r="L190" s="24">
        <v>191290751</v>
      </c>
      <c r="M190" s="24">
        <v>189030728</v>
      </c>
      <c r="N190" s="24">
        <v>263922081</v>
      </c>
      <c r="O190" s="24">
        <v>187013416</v>
      </c>
      <c r="P190" s="24">
        <v>185774645</v>
      </c>
      <c r="Q190" s="24">
        <v>185602409</v>
      </c>
      <c r="R190" s="24">
        <v>184772047</v>
      </c>
      <c r="S190" s="24">
        <v>183780178</v>
      </c>
      <c r="T190" s="24">
        <v>185452131</v>
      </c>
      <c r="U190" s="24">
        <v>184289199</v>
      </c>
      <c r="V190" s="24">
        <v>185418324</v>
      </c>
      <c r="W190" s="24">
        <v>186948291</v>
      </c>
      <c r="X190" s="24">
        <v>185718399</v>
      </c>
      <c r="Y190" s="24">
        <v>187601748</v>
      </c>
      <c r="Z190" s="24">
        <v>185833040</v>
      </c>
      <c r="AA190" s="24">
        <v>186796928</v>
      </c>
    </row>
    <row r="191" spans="1:27" ht="18">
      <c r="A191" s="774"/>
      <c r="B191" s="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15" thickBot="1">
      <c r="A192" s="5"/>
      <c r="B19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30">
      <c r="A193" s="775" t="s">
        <v>18</v>
      </c>
      <c r="B193" s="726"/>
      <c r="C193" s="700">
        <v>17006249</v>
      </c>
      <c r="D193" s="700">
        <v>1721699</v>
      </c>
      <c r="E193" s="700">
        <v>-1576558</v>
      </c>
      <c r="F193" s="700">
        <v>74775439</v>
      </c>
      <c r="G193" s="700">
        <v>1102852</v>
      </c>
      <c r="H193" s="700">
        <v>-72113886</v>
      </c>
      <c r="I193" s="700">
        <v>1816840</v>
      </c>
      <c r="J193" s="700">
        <v>-2137600</v>
      </c>
      <c r="K193" s="700">
        <v>-1270859</v>
      </c>
      <c r="L193" s="700">
        <v>3610023</v>
      </c>
      <c r="M193" s="700">
        <v>508647</v>
      </c>
      <c r="N193" s="700">
        <v>76908665</v>
      </c>
      <c r="O193" s="700">
        <v>1238771</v>
      </c>
      <c r="P193" s="700">
        <v>172236</v>
      </c>
      <c r="Q193" s="700">
        <v>830362</v>
      </c>
      <c r="R193" s="700">
        <v>991869</v>
      </c>
      <c r="S193" s="700">
        <v>-1671953</v>
      </c>
      <c r="T193" s="700">
        <v>862932</v>
      </c>
      <c r="U193" s="700">
        <v>-1129125</v>
      </c>
      <c r="V193" s="700">
        <v>-1529967</v>
      </c>
      <c r="W193" s="700">
        <v>1229892</v>
      </c>
      <c r="X193" s="700">
        <v>-1223349</v>
      </c>
      <c r="Y193" s="700">
        <v>3968708</v>
      </c>
      <c r="Z193" s="700">
        <v>-1663888</v>
      </c>
      <c r="AA193" s="700">
        <v>0</v>
      </c>
    </row>
    <row r="194" spans="1:30" ht="15" thickBot="1">
      <c r="A194" s="5"/>
      <c r="B194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30">
      <c r="A195" s="776"/>
      <c r="B195" s="777"/>
      <c r="C195" s="872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  <c r="O195" s="872"/>
      <c r="P195" s="872"/>
      <c r="Q195" s="872"/>
      <c r="R195" s="872"/>
      <c r="S195" s="872"/>
      <c r="T195" s="872"/>
      <c r="U195" s="872"/>
      <c r="V195" s="872"/>
      <c r="W195" s="872"/>
      <c r="X195" s="872"/>
      <c r="Y195" s="872"/>
      <c r="Z195" s="872"/>
      <c r="AA195" s="872"/>
    </row>
    <row r="196" spans="1:30">
      <c r="A196" s="20" t="s">
        <v>183</v>
      </c>
      <c r="B196" s="778"/>
      <c r="C196" s="873">
        <v>6112000</v>
      </c>
      <c r="D196" s="873">
        <v>541000</v>
      </c>
      <c r="E196" s="873">
        <v>995000</v>
      </c>
      <c r="F196" s="873">
        <v>619000</v>
      </c>
      <c r="G196" s="873">
        <v>755000</v>
      </c>
      <c r="H196" s="873">
        <v>764000</v>
      </c>
      <c r="I196" s="873">
        <v>1411000</v>
      </c>
      <c r="J196" s="873">
        <v>348000</v>
      </c>
      <c r="K196" s="873">
        <v>643500</v>
      </c>
      <c r="L196" s="873">
        <v>611500</v>
      </c>
      <c r="M196" s="873">
        <v>671000</v>
      </c>
      <c r="N196" s="873">
        <v>672500</v>
      </c>
      <c r="O196" s="873">
        <v>636000</v>
      </c>
      <c r="P196" s="873">
        <v>518500</v>
      </c>
      <c r="Q196" s="873">
        <v>552500</v>
      </c>
      <c r="R196" s="873">
        <v>826500</v>
      </c>
      <c r="S196" s="873">
        <v>765500</v>
      </c>
      <c r="T196" s="873">
        <v>664000</v>
      </c>
      <c r="U196" s="873">
        <v>730000</v>
      </c>
      <c r="V196" s="873">
        <v>774500</v>
      </c>
      <c r="W196" s="873">
        <v>688000</v>
      </c>
      <c r="X196" s="873">
        <v>-49900</v>
      </c>
      <c r="Y196" s="873">
        <v>624000</v>
      </c>
      <c r="Z196" s="873">
        <v>893500</v>
      </c>
      <c r="AA196" s="873">
        <v>0</v>
      </c>
    </row>
    <row r="197" spans="1:30">
      <c r="A197" s="20" t="s">
        <v>24</v>
      </c>
      <c r="B197" s="778"/>
      <c r="C197" s="873">
        <v>6012000</v>
      </c>
      <c r="D197" s="873">
        <v>491000</v>
      </c>
      <c r="E197" s="873">
        <v>995000</v>
      </c>
      <c r="F197" s="873">
        <v>579000</v>
      </c>
      <c r="G197" s="873">
        <v>667000</v>
      </c>
      <c r="H197" s="873">
        <v>622000</v>
      </c>
      <c r="I197" s="873">
        <v>1271000</v>
      </c>
      <c r="J197" s="873">
        <v>298000</v>
      </c>
      <c r="K197" s="873">
        <v>537500</v>
      </c>
      <c r="L197" s="873">
        <v>531500</v>
      </c>
      <c r="M197" s="873">
        <v>591000</v>
      </c>
      <c r="N197" s="873">
        <v>554500</v>
      </c>
      <c r="O197" s="873">
        <v>546000</v>
      </c>
      <c r="P197" s="873">
        <v>518500</v>
      </c>
      <c r="Q197" s="873">
        <v>552500</v>
      </c>
      <c r="R197" s="873">
        <v>826500</v>
      </c>
      <c r="S197" s="873">
        <v>679500</v>
      </c>
      <c r="T197" s="873">
        <v>556000</v>
      </c>
      <c r="U197" s="873">
        <v>630000</v>
      </c>
      <c r="V197" s="873">
        <v>724500</v>
      </c>
      <c r="W197" s="873">
        <v>638000</v>
      </c>
      <c r="X197" s="873">
        <v>-249900</v>
      </c>
      <c r="Y197" s="873">
        <v>524000</v>
      </c>
      <c r="Z197" s="873">
        <v>873500</v>
      </c>
      <c r="AA197" s="873">
        <v>0</v>
      </c>
    </row>
    <row r="198" spans="1:30">
      <c r="A198" s="28" t="s">
        <v>19</v>
      </c>
      <c r="B198" s="746" t="s">
        <v>283</v>
      </c>
      <c r="C198" s="874">
        <v>4060000</v>
      </c>
      <c r="D198" s="874">
        <v>0</v>
      </c>
      <c r="E198" s="874">
        <v>3477000</v>
      </c>
      <c r="F198" s="874">
        <v>450000</v>
      </c>
      <c r="G198" s="874">
        <v>596500</v>
      </c>
      <c r="H198" s="874">
        <v>181500</v>
      </c>
      <c r="I198" s="874">
        <v>1019000</v>
      </c>
      <c r="J198" s="874">
        <v>525000</v>
      </c>
      <c r="K198" s="874">
        <v>1695500</v>
      </c>
      <c r="L198" s="874">
        <v>0</v>
      </c>
      <c r="M198" s="874">
        <v>1360000</v>
      </c>
      <c r="N198" s="874">
        <v>181500</v>
      </c>
      <c r="O198" s="874">
        <v>270000</v>
      </c>
      <c r="P198" s="874">
        <v>1683000</v>
      </c>
      <c r="Q198" s="874">
        <v>0</v>
      </c>
      <c r="R198" s="874">
        <v>1133000</v>
      </c>
      <c r="S198" s="874">
        <v>350000</v>
      </c>
      <c r="T198" s="874">
        <v>486500</v>
      </c>
      <c r="U198" s="874">
        <v>621000</v>
      </c>
      <c r="V198" s="874">
        <v>972500</v>
      </c>
      <c r="W198" s="874">
        <v>2103000</v>
      </c>
      <c r="X198" s="874">
        <v>0</v>
      </c>
      <c r="Y198" s="874">
        <v>0</v>
      </c>
      <c r="Z198" s="874">
        <v>2408500</v>
      </c>
      <c r="AA198" s="874">
        <v>0</v>
      </c>
    </row>
    <row r="199" spans="1:30" s="265" customFormat="1">
      <c r="A199" s="779" t="s">
        <v>189</v>
      </c>
      <c r="B199" s="780"/>
      <c r="C199" s="701">
        <v>23573500</v>
      </c>
      <c r="D199" s="701">
        <v>19513500</v>
      </c>
      <c r="E199" s="701">
        <v>19513500</v>
      </c>
      <c r="F199" s="701">
        <v>16036500</v>
      </c>
      <c r="G199" s="701">
        <v>15586500</v>
      </c>
      <c r="H199" s="701">
        <v>14990000</v>
      </c>
      <c r="I199" s="701">
        <v>14808500</v>
      </c>
      <c r="J199" s="701">
        <v>13789500</v>
      </c>
      <c r="K199" s="701">
        <v>13264500</v>
      </c>
      <c r="L199" s="701">
        <v>11569000</v>
      </c>
      <c r="M199" s="701">
        <v>11569000</v>
      </c>
      <c r="N199" s="701">
        <v>10209000</v>
      </c>
      <c r="O199" s="701">
        <v>10027500</v>
      </c>
      <c r="P199" s="701">
        <v>9757500</v>
      </c>
      <c r="Q199" s="701">
        <v>8074500</v>
      </c>
      <c r="R199" s="701">
        <v>8074500</v>
      </c>
      <c r="S199" s="701">
        <v>6941500</v>
      </c>
      <c r="T199" s="701">
        <v>6591500</v>
      </c>
      <c r="U199" s="701">
        <v>6105000</v>
      </c>
      <c r="V199" s="701">
        <v>5484000</v>
      </c>
      <c r="W199" s="701">
        <v>4511500</v>
      </c>
      <c r="X199" s="701">
        <v>2408500</v>
      </c>
      <c r="Y199" s="701">
        <v>2408500</v>
      </c>
      <c r="Z199" s="701">
        <v>2408500</v>
      </c>
      <c r="AA199" s="701">
        <v>0</v>
      </c>
    </row>
    <row r="200" spans="1:30">
      <c r="A200" s="28" t="s">
        <v>180</v>
      </c>
      <c r="B200" s="746" t="s">
        <v>284</v>
      </c>
      <c r="C200" s="874">
        <v>100000</v>
      </c>
      <c r="D200" s="874">
        <v>50000</v>
      </c>
      <c r="E200" s="874">
        <v>0</v>
      </c>
      <c r="F200" s="874">
        <v>40000</v>
      </c>
      <c r="G200" s="874">
        <v>88000</v>
      </c>
      <c r="H200" s="874">
        <v>142000</v>
      </c>
      <c r="I200" s="874">
        <v>140000</v>
      </c>
      <c r="J200" s="874">
        <v>50000</v>
      </c>
      <c r="K200" s="874">
        <v>106000</v>
      </c>
      <c r="L200" s="874">
        <v>80000</v>
      </c>
      <c r="M200" s="874">
        <v>80000</v>
      </c>
      <c r="N200" s="874">
        <v>118000</v>
      </c>
      <c r="O200" s="874">
        <v>90000</v>
      </c>
      <c r="P200" s="874">
        <v>0</v>
      </c>
      <c r="Q200" s="874">
        <v>0</v>
      </c>
      <c r="R200" s="874">
        <v>0</v>
      </c>
      <c r="S200" s="874">
        <v>86000</v>
      </c>
      <c r="T200" s="874">
        <v>108000</v>
      </c>
      <c r="U200" s="874">
        <v>100000</v>
      </c>
      <c r="V200" s="874">
        <v>50000</v>
      </c>
      <c r="W200" s="874">
        <v>50000</v>
      </c>
      <c r="X200" s="874">
        <v>200000</v>
      </c>
      <c r="Y200" s="874">
        <v>100000</v>
      </c>
      <c r="Z200" s="874">
        <v>20000</v>
      </c>
      <c r="AA200" s="874">
        <v>0</v>
      </c>
    </row>
    <row r="201" spans="1:30" s="265" customFormat="1">
      <c r="A201" s="779" t="s">
        <v>190</v>
      </c>
      <c r="B201" s="780"/>
      <c r="C201" s="702">
        <v>1798000</v>
      </c>
      <c r="D201" s="702">
        <v>1698000</v>
      </c>
      <c r="E201" s="702">
        <v>1648000</v>
      </c>
      <c r="F201" s="702">
        <v>1648000</v>
      </c>
      <c r="G201" s="702">
        <v>1608000</v>
      </c>
      <c r="H201" s="702">
        <v>1520000</v>
      </c>
      <c r="I201" s="702">
        <v>1378000</v>
      </c>
      <c r="J201" s="702">
        <v>1238000</v>
      </c>
      <c r="K201" s="702">
        <v>1188000</v>
      </c>
      <c r="L201" s="702">
        <v>1082000</v>
      </c>
      <c r="M201" s="702">
        <v>1002000</v>
      </c>
      <c r="N201" s="702">
        <v>922000</v>
      </c>
      <c r="O201" s="702">
        <v>804000</v>
      </c>
      <c r="P201" s="702">
        <v>714000</v>
      </c>
      <c r="Q201" s="702">
        <v>714000</v>
      </c>
      <c r="R201" s="702">
        <v>714000</v>
      </c>
      <c r="S201" s="702">
        <v>714000</v>
      </c>
      <c r="T201" s="702">
        <v>628000</v>
      </c>
      <c r="U201" s="702">
        <v>520000</v>
      </c>
      <c r="V201" s="702">
        <v>420000</v>
      </c>
      <c r="W201" s="702">
        <v>370000</v>
      </c>
      <c r="X201" s="702">
        <v>320000</v>
      </c>
      <c r="Y201" s="702">
        <v>120000</v>
      </c>
      <c r="Z201" s="702">
        <v>20000</v>
      </c>
      <c r="AA201" s="702">
        <v>0</v>
      </c>
    </row>
    <row r="202" spans="1:30">
      <c r="A202" s="20"/>
      <c r="B202" s="781"/>
      <c r="C202" s="873"/>
      <c r="D202" s="873"/>
      <c r="E202" s="873"/>
      <c r="F202" s="873"/>
      <c r="G202" s="873"/>
      <c r="H202" s="873"/>
      <c r="I202" s="873"/>
      <c r="J202" s="873"/>
      <c r="K202" s="873"/>
      <c r="L202" s="873"/>
      <c r="M202" s="873"/>
      <c r="N202" s="873"/>
      <c r="O202" s="873"/>
      <c r="P202" s="873"/>
      <c r="Q202" s="873"/>
      <c r="R202" s="873"/>
      <c r="S202" s="873"/>
      <c r="T202" s="873"/>
      <c r="U202" s="873"/>
      <c r="V202" s="873"/>
      <c r="W202" s="873"/>
      <c r="X202" s="873"/>
      <c r="Y202" s="873"/>
      <c r="Z202" s="873"/>
      <c r="AA202" s="873"/>
    </row>
    <row r="203" spans="1:30">
      <c r="A203" s="28" t="s">
        <v>63</v>
      </c>
      <c r="B203" s="746" t="s">
        <v>285</v>
      </c>
      <c r="C203" s="875">
        <v>0</v>
      </c>
      <c r="D203" s="875">
        <v>0</v>
      </c>
      <c r="E203" s="875">
        <v>0</v>
      </c>
      <c r="F203" s="875">
        <v>0</v>
      </c>
      <c r="G203" s="875">
        <v>0</v>
      </c>
      <c r="H203" s="875">
        <v>0</v>
      </c>
      <c r="I203" s="875">
        <v>0</v>
      </c>
      <c r="J203" s="875">
        <v>0</v>
      </c>
      <c r="K203" s="875">
        <v>0</v>
      </c>
      <c r="L203" s="875">
        <v>0</v>
      </c>
      <c r="M203" s="875">
        <v>0</v>
      </c>
      <c r="N203" s="875">
        <v>0</v>
      </c>
      <c r="O203" s="875">
        <v>0</v>
      </c>
      <c r="P203" s="875">
        <v>0</v>
      </c>
      <c r="Q203" s="875">
        <v>0</v>
      </c>
      <c r="R203" s="875">
        <v>0</v>
      </c>
      <c r="S203" s="875">
        <v>0</v>
      </c>
      <c r="T203" s="875">
        <v>0</v>
      </c>
      <c r="U203" s="875">
        <v>0</v>
      </c>
      <c r="V203" s="875">
        <v>0</v>
      </c>
      <c r="W203" s="875">
        <v>0</v>
      </c>
      <c r="X203" s="875">
        <v>0</v>
      </c>
      <c r="Y203" s="875">
        <v>0</v>
      </c>
      <c r="Z203" s="875">
        <v>0</v>
      </c>
      <c r="AA203" s="875">
        <v>0</v>
      </c>
      <c r="AD203" s="703"/>
    </row>
    <row r="204" spans="1:30">
      <c r="A204" s="28" t="s">
        <v>12</v>
      </c>
      <c r="B204" s="746" t="s">
        <v>286</v>
      </c>
      <c r="C204" s="875">
        <v>0</v>
      </c>
      <c r="D204" s="875">
        <v>0</v>
      </c>
      <c r="E204" s="875">
        <v>0</v>
      </c>
      <c r="F204" s="875">
        <v>0</v>
      </c>
      <c r="G204" s="875">
        <v>0</v>
      </c>
      <c r="H204" s="875">
        <v>0</v>
      </c>
      <c r="I204" s="875">
        <v>0</v>
      </c>
      <c r="J204" s="875">
        <v>0</v>
      </c>
      <c r="K204" s="875">
        <v>0</v>
      </c>
      <c r="L204" s="875">
        <v>0</v>
      </c>
      <c r="M204" s="875">
        <v>0</v>
      </c>
      <c r="N204" s="875">
        <v>0</v>
      </c>
      <c r="O204" s="875">
        <v>0</v>
      </c>
      <c r="P204" s="875">
        <v>0</v>
      </c>
      <c r="Q204" s="875">
        <v>0</v>
      </c>
      <c r="R204" s="875">
        <v>0</v>
      </c>
      <c r="S204" s="875">
        <v>0</v>
      </c>
      <c r="T204" s="875">
        <v>0</v>
      </c>
      <c r="U204" s="875">
        <v>0</v>
      </c>
      <c r="V204" s="875">
        <v>0</v>
      </c>
      <c r="W204" s="875">
        <v>0</v>
      </c>
      <c r="X204" s="875">
        <v>0</v>
      </c>
      <c r="Y204" s="875">
        <v>0</v>
      </c>
      <c r="Z204" s="875">
        <v>0</v>
      </c>
      <c r="AA204" s="875">
        <v>0</v>
      </c>
    </row>
    <row r="205" spans="1:30">
      <c r="A205" s="1"/>
      <c r="B205" s="748"/>
      <c r="C205" s="876"/>
      <c r="D205" s="876"/>
      <c r="E205" s="876"/>
      <c r="F205" s="876"/>
      <c r="G205" s="876"/>
      <c r="H205" s="876"/>
      <c r="I205" s="876"/>
      <c r="J205" s="876"/>
      <c r="K205" s="876"/>
      <c r="L205" s="876"/>
      <c r="M205" s="876"/>
      <c r="N205" s="876"/>
      <c r="O205" s="876"/>
      <c r="P205" s="876"/>
      <c r="Q205" s="876"/>
      <c r="R205" s="876"/>
      <c r="S205" s="876"/>
      <c r="T205" s="876"/>
      <c r="U205" s="876"/>
      <c r="V205" s="876"/>
      <c r="W205" s="876"/>
      <c r="X205" s="876"/>
      <c r="Y205" s="876"/>
      <c r="Z205" s="876"/>
      <c r="AA205" s="876"/>
    </row>
    <row r="206" spans="1:30">
      <c r="A206" s="782" t="s">
        <v>47</v>
      </c>
      <c r="B206" s="781"/>
      <c r="C206" s="702">
        <v>-1806900</v>
      </c>
      <c r="D206" s="702">
        <v>-3858900</v>
      </c>
      <c r="E206" s="702">
        <v>-4399900</v>
      </c>
      <c r="F206" s="702">
        <v>-1917900</v>
      </c>
      <c r="G206" s="702">
        <v>-2086900</v>
      </c>
      <c r="H206" s="702">
        <v>-2245400</v>
      </c>
      <c r="I206" s="702">
        <v>-2827900</v>
      </c>
      <c r="J206" s="702">
        <v>-3219900</v>
      </c>
      <c r="K206" s="702">
        <v>-3042900</v>
      </c>
      <c r="L206" s="702">
        <v>-1990900</v>
      </c>
      <c r="M206" s="702">
        <v>-2602400</v>
      </c>
      <c r="N206" s="702">
        <v>-1913400</v>
      </c>
      <c r="O206" s="702">
        <v>-2404400</v>
      </c>
      <c r="P206" s="702">
        <v>-2770400</v>
      </c>
      <c r="Q206" s="702">
        <v>-1605900</v>
      </c>
      <c r="R206" s="702">
        <v>-2158400</v>
      </c>
      <c r="S206" s="702">
        <v>-1851900</v>
      </c>
      <c r="T206" s="702">
        <v>-2267400</v>
      </c>
      <c r="U206" s="702">
        <v>-2444900</v>
      </c>
      <c r="V206" s="702">
        <v>-2553900</v>
      </c>
      <c r="W206" s="702">
        <v>-2355900</v>
      </c>
      <c r="X206" s="702">
        <v>-940900</v>
      </c>
      <c r="Y206" s="702">
        <v>-891000</v>
      </c>
      <c r="Z206" s="702">
        <v>-1515000</v>
      </c>
      <c r="AA206" s="702">
        <v>0</v>
      </c>
    </row>
    <row r="207" spans="1:30">
      <c r="A207" s="1"/>
      <c r="B207" s="748"/>
      <c r="C207" s="876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  <c r="O207" s="876"/>
      <c r="P207" s="876"/>
      <c r="Q207" s="876"/>
      <c r="R207" s="876"/>
      <c r="S207" s="876"/>
      <c r="T207" s="876"/>
      <c r="U207" s="876"/>
      <c r="V207" s="876"/>
      <c r="W207" s="876"/>
      <c r="X207" s="876"/>
      <c r="Y207" s="876"/>
      <c r="Z207" s="876"/>
      <c r="AA207" s="876"/>
    </row>
    <row r="208" spans="1:30">
      <c r="A208" s="28" t="s">
        <v>21</v>
      </c>
      <c r="B208" s="746" t="s">
        <v>287</v>
      </c>
      <c r="C208" s="875">
        <v>16000</v>
      </c>
      <c r="D208" s="875">
        <v>0</v>
      </c>
      <c r="E208" s="875">
        <v>0</v>
      </c>
      <c r="F208" s="875">
        <v>0</v>
      </c>
      <c r="G208" s="875">
        <v>0</v>
      </c>
      <c r="H208" s="875">
        <v>0</v>
      </c>
      <c r="I208" s="875">
        <v>300000</v>
      </c>
      <c r="J208" s="875">
        <v>0</v>
      </c>
      <c r="K208" s="875">
        <v>0</v>
      </c>
      <c r="L208" s="875">
        <v>0</v>
      </c>
      <c r="M208" s="875">
        <v>0</v>
      </c>
      <c r="N208" s="875">
        <v>0</v>
      </c>
      <c r="O208" s="875">
        <v>290999</v>
      </c>
      <c r="P208" s="875">
        <v>0</v>
      </c>
      <c r="Q208" s="875">
        <v>0</v>
      </c>
      <c r="R208" s="875">
        <v>0</v>
      </c>
      <c r="S208" s="875">
        <v>0</v>
      </c>
      <c r="T208" s="875">
        <v>0</v>
      </c>
      <c r="U208" s="875">
        <v>0</v>
      </c>
      <c r="V208" s="875">
        <v>0</v>
      </c>
      <c r="W208" s="875">
        <v>0</v>
      </c>
      <c r="X208" s="875">
        <v>0</v>
      </c>
      <c r="Y208" s="875">
        <v>300000</v>
      </c>
      <c r="Z208" s="875">
        <v>0</v>
      </c>
      <c r="AA208" s="875">
        <v>0</v>
      </c>
    </row>
    <row r="209" spans="1:27">
      <c r="A209" s="28" t="s">
        <v>64</v>
      </c>
      <c r="B209" s="746" t="s">
        <v>281</v>
      </c>
      <c r="C209" s="875">
        <v>300000</v>
      </c>
      <c r="D209" s="875">
        <v>0</v>
      </c>
      <c r="E209" s="875">
        <v>0</v>
      </c>
      <c r="F209" s="875">
        <v>0</v>
      </c>
      <c r="G209" s="875">
        <v>0</v>
      </c>
      <c r="H209" s="875">
        <v>0</v>
      </c>
      <c r="I209" s="875">
        <v>0</v>
      </c>
      <c r="J209" s="875">
        <v>0</v>
      </c>
      <c r="K209" s="875">
        <v>0</v>
      </c>
      <c r="L209" s="875">
        <v>0</v>
      </c>
      <c r="M209" s="875">
        <v>0</v>
      </c>
      <c r="N209" s="875">
        <v>0</v>
      </c>
      <c r="O209" s="875">
        <v>0</v>
      </c>
      <c r="P209" s="875">
        <v>0</v>
      </c>
      <c r="Q209" s="875">
        <v>0</v>
      </c>
      <c r="R209" s="875">
        <v>0</v>
      </c>
      <c r="S209" s="875">
        <v>0</v>
      </c>
      <c r="T209" s="875">
        <v>0</v>
      </c>
      <c r="U209" s="875">
        <v>0</v>
      </c>
      <c r="V209" s="875">
        <v>0</v>
      </c>
      <c r="W209" s="875">
        <v>0</v>
      </c>
      <c r="X209" s="875">
        <v>360000</v>
      </c>
      <c r="Y209" s="875">
        <v>2500000</v>
      </c>
      <c r="Z209" s="875">
        <v>0</v>
      </c>
      <c r="AA209" s="875">
        <v>0</v>
      </c>
    </row>
    <row r="210" spans="1:27">
      <c r="A210" s="1"/>
      <c r="B210" s="748"/>
      <c r="C210" s="876"/>
      <c r="D210" s="876"/>
      <c r="E210" s="876"/>
      <c r="F210" s="876"/>
      <c r="G210" s="876"/>
      <c r="H210" s="876"/>
      <c r="I210" s="876"/>
      <c r="J210" s="876"/>
      <c r="K210" s="876"/>
      <c r="L210" s="876"/>
      <c r="M210" s="876"/>
      <c r="N210" s="876"/>
      <c r="O210" s="876"/>
      <c r="P210" s="876"/>
      <c r="Q210" s="876"/>
      <c r="R210" s="876"/>
      <c r="S210" s="876"/>
      <c r="T210" s="876"/>
      <c r="U210" s="876"/>
      <c r="V210" s="876"/>
      <c r="W210" s="876"/>
      <c r="X210" s="876"/>
      <c r="Y210" s="876"/>
      <c r="Z210" s="876"/>
      <c r="AA210" s="876"/>
    </row>
    <row r="211" spans="1:27">
      <c r="A211" s="1444" t="s">
        <v>324</v>
      </c>
      <c r="B211" s="1445"/>
      <c r="C211" s="1058">
        <v>35000</v>
      </c>
      <c r="D211" s="1058">
        <v>35000</v>
      </c>
      <c r="E211" s="1058">
        <v>35000</v>
      </c>
      <c r="F211" s="1058">
        <v>35000</v>
      </c>
      <c r="G211" s="1058">
        <v>35000</v>
      </c>
      <c r="H211" s="1058">
        <v>35000</v>
      </c>
      <c r="I211" s="1058">
        <v>35000</v>
      </c>
      <c r="J211" s="1058">
        <v>35000</v>
      </c>
      <c r="K211" s="1058">
        <v>35000</v>
      </c>
      <c r="L211" s="1058">
        <v>35000</v>
      </c>
      <c r="M211" s="1058">
        <v>28000</v>
      </c>
      <c r="N211" s="1058">
        <v>28000</v>
      </c>
      <c r="O211" s="1058">
        <v>28000</v>
      </c>
      <c r="P211" s="1058">
        <v>28000</v>
      </c>
      <c r="Q211" s="721">
        <v>0</v>
      </c>
      <c r="R211" s="721">
        <v>0</v>
      </c>
      <c r="S211" s="721">
        <v>0</v>
      </c>
      <c r="T211" s="721">
        <v>0</v>
      </c>
      <c r="U211" s="721">
        <v>0</v>
      </c>
      <c r="V211" s="721">
        <v>0</v>
      </c>
      <c r="W211" s="721">
        <v>0</v>
      </c>
      <c r="X211" s="721">
        <v>0</v>
      </c>
      <c r="Y211" s="721">
        <v>0</v>
      </c>
      <c r="Z211" s="721">
        <v>0</v>
      </c>
      <c r="AA211" s="721">
        <v>0</v>
      </c>
    </row>
    <row r="212" spans="1:27">
      <c r="A212" s="1444" t="s">
        <v>325</v>
      </c>
      <c r="B212" s="1445"/>
      <c r="C212" s="1058">
        <v>14950</v>
      </c>
      <c r="D212" s="721">
        <v>14950</v>
      </c>
      <c r="E212" s="1058">
        <v>14950</v>
      </c>
      <c r="F212" s="1058">
        <v>14950</v>
      </c>
      <c r="G212" s="1058">
        <v>14950</v>
      </c>
      <c r="H212" s="1058">
        <v>13500</v>
      </c>
      <c r="I212" s="1058">
        <v>7500</v>
      </c>
      <c r="J212" s="1058">
        <v>7500</v>
      </c>
      <c r="K212" s="1058">
        <v>7500</v>
      </c>
      <c r="L212" s="1058">
        <v>7500</v>
      </c>
      <c r="M212" s="1058">
        <v>7500</v>
      </c>
      <c r="N212" s="1058">
        <v>1500</v>
      </c>
      <c r="O212" s="1058">
        <v>1500</v>
      </c>
      <c r="P212" s="1058">
        <v>1500</v>
      </c>
      <c r="Q212" s="721">
        <v>0</v>
      </c>
      <c r="R212" s="721">
        <v>0</v>
      </c>
      <c r="S212" s="721">
        <v>0</v>
      </c>
      <c r="T212" s="721">
        <v>0</v>
      </c>
      <c r="U212" s="721">
        <v>0</v>
      </c>
      <c r="V212" s="721">
        <v>0</v>
      </c>
      <c r="W212" s="721">
        <v>0</v>
      </c>
      <c r="X212" s="721">
        <v>0</v>
      </c>
      <c r="Y212" s="721">
        <v>0</v>
      </c>
      <c r="Z212" s="721">
        <v>0</v>
      </c>
      <c r="AA212" s="721">
        <v>0</v>
      </c>
    </row>
    <row r="213" spans="1:27">
      <c r="A213" s="783" t="s">
        <v>339</v>
      </c>
      <c r="B213" s="784"/>
      <c r="C213" s="721">
        <v>732000</v>
      </c>
      <c r="D213" s="721">
        <v>662500</v>
      </c>
      <c r="E213" s="721">
        <v>662500</v>
      </c>
      <c r="F213" s="721">
        <v>662500</v>
      </c>
      <c r="G213" s="1058">
        <v>662500</v>
      </c>
      <c r="H213" s="1058">
        <v>638500</v>
      </c>
      <c r="I213" s="1058">
        <v>585500</v>
      </c>
      <c r="J213" s="1058">
        <v>585500</v>
      </c>
      <c r="K213" s="1058">
        <v>530000</v>
      </c>
      <c r="L213" s="721">
        <v>295000</v>
      </c>
      <c r="M213" s="721">
        <v>295000</v>
      </c>
      <c r="N213" s="721">
        <v>295000</v>
      </c>
      <c r="O213" s="721">
        <v>295000</v>
      </c>
      <c r="P213" s="1058">
        <v>295000</v>
      </c>
      <c r="Q213" s="721">
        <v>69500</v>
      </c>
      <c r="R213" s="721">
        <v>69500</v>
      </c>
      <c r="S213" s="721">
        <v>69500</v>
      </c>
      <c r="T213" s="721">
        <v>69500</v>
      </c>
      <c r="U213" s="721">
        <v>69500</v>
      </c>
      <c r="V213" s="721">
        <v>69500</v>
      </c>
      <c r="W213" s="721">
        <v>69500</v>
      </c>
      <c r="X213" s="721">
        <v>69500</v>
      </c>
      <c r="Y213" s="721">
        <v>69500</v>
      </c>
      <c r="Z213" s="721">
        <v>0</v>
      </c>
      <c r="AA213" s="721">
        <v>0</v>
      </c>
    </row>
    <row r="214" spans="1:27">
      <c r="A214" s="783" t="s">
        <v>561</v>
      </c>
      <c r="B214" s="784"/>
      <c r="C214" s="1058">
        <v>0</v>
      </c>
      <c r="D214" s="721">
        <v>0</v>
      </c>
      <c r="E214" s="1058">
        <v>0</v>
      </c>
      <c r="F214" s="1058">
        <v>0</v>
      </c>
      <c r="G214" s="1058">
        <v>0</v>
      </c>
      <c r="H214" s="1058">
        <v>0</v>
      </c>
      <c r="I214" s="1058">
        <v>0</v>
      </c>
      <c r="J214" s="1058">
        <v>0</v>
      </c>
      <c r="K214" s="1058">
        <v>0</v>
      </c>
      <c r="L214" s="1058">
        <v>0</v>
      </c>
      <c r="M214" s="1058">
        <v>0</v>
      </c>
      <c r="N214" s="1058">
        <v>0</v>
      </c>
      <c r="O214" s="1058">
        <v>0</v>
      </c>
      <c r="P214" s="1058">
        <v>0</v>
      </c>
      <c r="Q214" s="721">
        <v>0</v>
      </c>
      <c r="R214" s="721">
        <v>0</v>
      </c>
      <c r="S214" s="721">
        <v>0</v>
      </c>
      <c r="T214" s="721">
        <v>0</v>
      </c>
      <c r="U214" s="721">
        <v>0</v>
      </c>
      <c r="V214" s="721">
        <v>0</v>
      </c>
      <c r="W214" s="721">
        <v>0</v>
      </c>
      <c r="X214" s="721">
        <v>0</v>
      </c>
      <c r="Y214" s="721">
        <v>0</v>
      </c>
      <c r="Z214" s="721">
        <v>0</v>
      </c>
      <c r="AA214" s="721">
        <v>0</v>
      </c>
    </row>
    <row r="215" spans="1:27">
      <c r="A215" s="965"/>
      <c r="B215" s="966"/>
      <c r="C215" s="967">
        <v>781950</v>
      </c>
      <c r="D215" s="967">
        <v>712450</v>
      </c>
      <c r="E215" s="967">
        <v>712450</v>
      </c>
      <c r="F215" s="967">
        <v>712450</v>
      </c>
      <c r="G215" s="967">
        <v>712450</v>
      </c>
      <c r="H215" s="967">
        <v>687000</v>
      </c>
      <c r="I215" s="967">
        <v>628000</v>
      </c>
      <c r="J215" s="967">
        <v>628000</v>
      </c>
      <c r="K215" s="967">
        <v>572500</v>
      </c>
      <c r="L215" s="967">
        <v>337500</v>
      </c>
      <c r="M215" s="967">
        <v>330500</v>
      </c>
      <c r="N215" s="967">
        <v>324500</v>
      </c>
      <c r="O215" s="967">
        <v>324500</v>
      </c>
      <c r="P215" s="967">
        <v>324500</v>
      </c>
      <c r="Q215" s="967">
        <v>69500</v>
      </c>
      <c r="R215" s="967">
        <v>69500</v>
      </c>
      <c r="S215" s="967">
        <v>69500</v>
      </c>
      <c r="T215" s="967">
        <v>69500</v>
      </c>
      <c r="U215" s="967">
        <v>69500</v>
      </c>
      <c r="V215" s="967">
        <v>69500</v>
      </c>
      <c r="W215" s="967">
        <v>69500</v>
      </c>
      <c r="X215" s="967">
        <v>69500</v>
      </c>
      <c r="Y215" s="967">
        <v>69500</v>
      </c>
      <c r="Z215" s="967">
        <v>0</v>
      </c>
      <c r="AA215" s="967">
        <v>0</v>
      </c>
    </row>
    <row r="216" spans="1:27">
      <c r="A216" s="1"/>
      <c r="B216" s="748"/>
      <c r="C216" s="876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  <c r="O216" s="876"/>
      <c r="P216" s="876"/>
      <c r="Q216" s="876"/>
      <c r="R216" s="876"/>
      <c r="S216" s="876"/>
      <c r="T216" s="876"/>
      <c r="U216" s="876"/>
      <c r="V216" s="876"/>
      <c r="W216" s="876"/>
      <c r="X216" s="876"/>
      <c r="Y216" s="876"/>
      <c r="Z216" s="876"/>
      <c r="AA216" s="876"/>
    </row>
    <row r="217" spans="1:27">
      <c r="A217" s="1" t="s">
        <v>557</v>
      </c>
      <c r="B217" s="748"/>
      <c r="C217" s="1057">
        <v>230550</v>
      </c>
      <c r="D217" s="893">
        <v>221750</v>
      </c>
      <c r="E217" s="1057">
        <v>221750</v>
      </c>
      <c r="F217" s="1057">
        <v>218500</v>
      </c>
      <c r="G217" s="1057">
        <v>216500</v>
      </c>
      <c r="H217" s="1057">
        <v>216500</v>
      </c>
      <c r="I217" s="1057">
        <v>168950</v>
      </c>
      <c r="J217" s="1057">
        <v>168950</v>
      </c>
      <c r="K217" s="1057">
        <v>158000</v>
      </c>
      <c r="L217" s="1057">
        <v>149000</v>
      </c>
      <c r="M217" s="1057">
        <v>148500</v>
      </c>
      <c r="N217" s="1057">
        <v>145950</v>
      </c>
      <c r="O217" s="1057">
        <v>143700</v>
      </c>
      <c r="P217" s="1057">
        <v>141350</v>
      </c>
      <c r="Q217" s="1057">
        <v>133050</v>
      </c>
      <c r="R217" s="1057">
        <v>133050</v>
      </c>
      <c r="S217" s="893">
        <v>132250</v>
      </c>
      <c r="T217" s="893">
        <v>123700</v>
      </c>
      <c r="U217" s="893">
        <v>119650</v>
      </c>
      <c r="V217" s="893">
        <v>119650</v>
      </c>
      <c r="W217" s="893">
        <v>119650</v>
      </c>
      <c r="X217" s="893">
        <v>114800</v>
      </c>
      <c r="Y217" s="893">
        <v>114800</v>
      </c>
      <c r="Z217" s="893">
        <v>86450</v>
      </c>
      <c r="AA217" s="893">
        <v>0</v>
      </c>
    </row>
    <row r="218" spans="1:27">
      <c r="A218" s="1" t="s">
        <v>558</v>
      </c>
      <c r="B218" s="748"/>
      <c r="C218" s="1057">
        <v>257400</v>
      </c>
      <c r="D218" s="1057">
        <v>252850</v>
      </c>
      <c r="E218" s="1057">
        <v>251300</v>
      </c>
      <c r="F218" s="1057">
        <v>247800</v>
      </c>
      <c r="G218" s="1057">
        <v>247050</v>
      </c>
      <c r="H218" s="1057">
        <v>244050</v>
      </c>
      <c r="I218" s="1057">
        <v>242500</v>
      </c>
      <c r="J218" s="1057">
        <v>242500</v>
      </c>
      <c r="K218" s="1057">
        <v>234700</v>
      </c>
      <c r="L218" s="1057">
        <v>233700</v>
      </c>
      <c r="M218" s="1057">
        <v>233200</v>
      </c>
      <c r="N218" s="1057">
        <v>231950</v>
      </c>
      <c r="O218" s="1057">
        <v>231950</v>
      </c>
      <c r="P218" s="1057">
        <v>231200</v>
      </c>
      <c r="Q218" s="1057">
        <v>227900</v>
      </c>
      <c r="R218" s="1057">
        <v>227900</v>
      </c>
      <c r="S218" s="893">
        <v>225900</v>
      </c>
      <c r="T218" s="893">
        <v>224900</v>
      </c>
      <c r="U218" s="893">
        <v>222900</v>
      </c>
      <c r="V218" s="893">
        <v>222900</v>
      </c>
      <c r="W218" s="893">
        <v>222900</v>
      </c>
      <c r="X218" s="893">
        <v>220350</v>
      </c>
      <c r="Y218" s="893">
        <v>220350</v>
      </c>
      <c r="Z218" s="893">
        <v>192250</v>
      </c>
      <c r="AA218" s="893">
        <v>0</v>
      </c>
    </row>
    <row r="219" spans="1:27">
      <c r="A219" s="1" t="s">
        <v>559</v>
      </c>
      <c r="B219" s="748"/>
      <c r="C219" s="893">
        <v>266750</v>
      </c>
      <c r="D219" s="893">
        <v>256450</v>
      </c>
      <c r="E219" s="893">
        <v>256450</v>
      </c>
      <c r="F219" s="893">
        <v>256450</v>
      </c>
      <c r="G219" s="1057">
        <v>256450</v>
      </c>
      <c r="H219" s="1057">
        <v>252100</v>
      </c>
      <c r="I219" s="1057">
        <v>247250</v>
      </c>
      <c r="J219" s="1057">
        <v>247250</v>
      </c>
      <c r="K219" s="1057">
        <v>146700</v>
      </c>
      <c r="L219" s="893">
        <v>121950</v>
      </c>
      <c r="M219" s="893">
        <v>121950</v>
      </c>
      <c r="N219" s="893">
        <v>121950</v>
      </c>
      <c r="O219" s="893">
        <v>121950</v>
      </c>
      <c r="P219" s="1057">
        <v>121950</v>
      </c>
      <c r="Q219" s="893">
        <v>114100</v>
      </c>
      <c r="R219" s="893">
        <v>114100</v>
      </c>
      <c r="S219" s="893">
        <v>114100</v>
      </c>
      <c r="T219" s="893">
        <v>96800</v>
      </c>
      <c r="U219" s="893">
        <v>96800</v>
      </c>
      <c r="V219" s="893">
        <v>96800</v>
      </c>
      <c r="W219" s="893">
        <v>96800</v>
      </c>
      <c r="X219" s="893">
        <v>96800</v>
      </c>
      <c r="Y219" s="893">
        <v>96800</v>
      </c>
      <c r="Z219" s="893">
        <v>66750</v>
      </c>
      <c r="AA219" s="893">
        <v>0</v>
      </c>
    </row>
    <row r="220" spans="1:27">
      <c r="A220" s="1" t="s">
        <v>560</v>
      </c>
      <c r="B220" s="748"/>
      <c r="C220" s="1057">
        <v>435950</v>
      </c>
      <c r="D220" s="893">
        <v>422700</v>
      </c>
      <c r="E220" s="1057">
        <v>422700</v>
      </c>
      <c r="F220" s="1057">
        <v>421650</v>
      </c>
      <c r="G220" s="1057">
        <v>415300</v>
      </c>
      <c r="H220" s="1057">
        <v>304500</v>
      </c>
      <c r="I220" s="1057">
        <v>302000</v>
      </c>
      <c r="J220" s="1057">
        <v>302000</v>
      </c>
      <c r="K220" s="1057">
        <v>293500</v>
      </c>
      <c r="L220" s="1057">
        <v>272450</v>
      </c>
      <c r="M220" s="1057">
        <v>270400</v>
      </c>
      <c r="N220" s="1057">
        <v>266800</v>
      </c>
      <c r="O220" s="1057">
        <v>266050</v>
      </c>
      <c r="P220" s="1057">
        <v>263550</v>
      </c>
      <c r="Q220" s="1057">
        <v>252200</v>
      </c>
      <c r="R220" s="1057">
        <v>252200</v>
      </c>
      <c r="S220" s="893">
        <v>251500</v>
      </c>
      <c r="T220" s="893">
        <v>249950</v>
      </c>
      <c r="U220" s="893">
        <v>241450</v>
      </c>
      <c r="V220" s="893">
        <v>241450</v>
      </c>
      <c r="W220" s="893">
        <v>241450</v>
      </c>
      <c r="X220" s="893">
        <v>233700</v>
      </c>
      <c r="Y220" s="893">
        <v>233700</v>
      </c>
      <c r="Z220" s="893">
        <v>202950</v>
      </c>
      <c r="AA220" s="893">
        <v>0</v>
      </c>
    </row>
    <row r="221" spans="1:27">
      <c r="A221" s="1"/>
      <c r="B221" s="748"/>
      <c r="C221" s="892">
        <v>1190650</v>
      </c>
      <c r="D221" s="892">
        <v>1153750</v>
      </c>
      <c r="E221" s="892">
        <v>1152200</v>
      </c>
      <c r="F221" s="892">
        <v>1144400</v>
      </c>
      <c r="G221" s="892">
        <v>1135300</v>
      </c>
      <c r="H221" s="892">
        <v>1017150</v>
      </c>
      <c r="I221" s="892">
        <v>960700</v>
      </c>
      <c r="J221" s="892">
        <v>960700</v>
      </c>
      <c r="K221" s="892">
        <v>832900</v>
      </c>
      <c r="L221" s="892">
        <v>777100</v>
      </c>
      <c r="M221" s="892">
        <v>774050</v>
      </c>
      <c r="N221" s="892">
        <v>766650</v>
      </c>
      <c r="O221" s="892">
        <v>763650</v>
      </c>
      <c r="P221" s="892">
        <v>758050</v>
      </c>
      <c r="Q221" s="892">
        <v>727250</v>
      </c>
      <c r="R221" s="892">
        <v>727250</v>
      </c>
      <c r="S221" s="892">
        <v>723750</v>
      </c>
      <c r="T221" s="892">
        <v>695350</v>
      </c>
      <c r="U221" s="892">
        <v>680800</v>
      </c>
      <c r="V221" s="892">
        <v>680800</v>
      </c>
      <c r="W221" s="892">
        <v>680800</v>
      </c>
      <c r="X221" s="892">
        <v>665650</v>
      </c>
      <c r="Y221" s="892">
        <v>665650</v>
      </c>
      <c r="Z221" s="892">
        <v>548400</v>
      </c>
      <c r="AA221" s="892">
        <v>0</v>
      </c>
    </row>
    <row r="222" spans="1:27">
      <c r="A222" s="1"/>
      <c r="B222" s="748"/>
      <c r="C222" s="876"/>
      <c r="D222" s="876"/>
      <c r="E222" s="876"/>
      <c r="F222" s="876"/>
      <c r="G222" s="876"/>
      <c r="H222" s="876"/>
      <c r="I222" s="876"/>
      <c r="J222" s="876"/>
      <c r="K222" s="876"/>
      <c r="L222" s="876"/>
      <c r="M222" s="876"/>
      <c r="N222" s="876"/>
      <c r="O222" s="876"/>
      <c r="P222" s="876"/>
      <c r="Q222" s="876"/>
      <c r="R222" s="876"/>
      <c r="S222" s="876"/>
      <c r="T222" s="876"/>
      <c r="U222" s="876"/>
      <c r="V222" s="876"/>
      <c r="W222" s="876"/>
      <c r="X222" s="876"/>
      <c r="Y222" s="876"/>
      <c r="Z222" s="876"/>
      <c r="AA222" s="876"/>
    </row>
    <row r="223" spans="1:27">
      <c r="A223" s="28" t="s">
        <v>11</v>
      </c>
      <c r="B223" s="746" t="s">
        <v>265</v>
      </c>
      <c r="C223" s="875">
        <v>14750000</v>
      </c>
      <c r="D223" s="875">
        <v>0</v>
      </c>
      <c r="E223" s="875">
        <v>0</v>
      </c>
      <c r="F223" s="875">
        <v>75000000</v>
      </c>
      <c r="G223" s="875">
        <v>0</v>
      </c>
      <c r="H223" s="875">
        <v>1000000</v>
      </c>
      <c r="I223" s="875">
        <v>0</v>
      </c>
      <c r="J223" s="875">
        <v>500000</v>
      </c>
      <c r="K223" s="875">
        <v>460000</v>
      </c>
      <c r="L223" s="875">
        <v>1750000</v>
      </c>
      <c r="M223" s="875">
        <v>400000</v>
      </c>
      <c r="N223" s="875">
        <v>75000000</v>
      </c>
      <c r="O223" s="875">
        <v>0</v>
      </c>
      <c r="P223" s="875">
        <v>0</v>
      </c>
      <c r="Q223" s="875">
        <v>0</v>
      </c>
      <c r="R223" s="875">
        <v>0</v>
      </c>
      <c r="S223" s="875">
        <v>0</v>
      </c>
      <c r="T223" s="875">
        <v>0</v>
      </c>
      <c r="U223" s="875">
        <v>0</v>
      </c>
      <c r="V223" s="875">
        <v>0</v>
      </c>
      <c r="W223" s="875">
        <v>1878000</v>
      </c>
      <c r="X223" s="875">
        <v>300000</v>
      </c>
      <c r="Y223" s="875">
        <v>0</v>
      </c>
      <c r="Z223" s="875">
        <v>0</v>
      </c>
      <c r="AA223" s="875">
        <v>0</v>
      </c>
    </row>
    <row r="224" spans="1:27">
      <c r="A224" s="28" t="s">
        <v>65</v>
      </c>
      <c r="B224" s="746" t="s">
        <v>264</v>
      </c>
      <c r="C224" s="875">
        <v>0</v>
      </c>
      <c r="D224" s="875">
        <v>0</v>
      </c>
      <c r="E224" s="875">
        <v>0</v>
      </c>
      <c r="F224" s="875">
        <v>1000000</v>
      </c>
      <c r="G224" s="875">
        <v>0</v>
      </c>
      <c r="H224" s="875">
        <v>75000000</v>
      </c>
      <c r="I224" s="875">
        <v>960000</v>
      </c>
      <c r="J224" s="875">
        <v>0</v>
      </c>
      <c r="K224" s="875">
        <v>1750000</v>
      </c>
      <c r="L224" s="875">
        <v>400000</v>
      </c>
      <c r="M224" s="875">
        <v>0</v>
      </c>
      <c r="N224" s="875">
        <v>0</v>
      </c>
      <c r="O224" s="875">
        <v>0</v>
      </c>
      <c r="P224" s="875">
        <v>0</v>
      </c>
      <c r="Q224" s="875">
        <v>0</v>
      </c>
      <c r="R224" s="875">
        <v>0</v>
      </c>
      <c r="S224" s="875">
        <v>0</v>
      </c>
      <c r="T224" s="875">
        <v>0</v>
      </c>
      <c r="U224" s="875">
        <v>2168000</v>
      </c>
      <c r="V224" s="875">
        <v>0</v>
      </c>
      <c r="W224" s="875">
        <v>0</v>
      </c>
      <c r="X224" s="875">
        <v>0</v>
      </c>
      <c r="Y224" s="875">
        <v>0</v>
      </c>
      <c r="Z224" s="875">
        <v>1200000</v>
      </c>
      <c r="AA224" s="875">
        <v>0</v>
      </c>
    </row>
    <row r="225" spans="1:27">
      <c r="A225" s="1"/>
      <c r="B225" s="748"/>
      <c r="C225" s="876"/>
      <c r="D225" s="876"/>
      <c r="E225" s="876"/>
      <c r="F225" s="876"/>
      <c r="G225" s="876"/>
      <c r="H225" s="876"/>
      <c r="I225" s="876"/>
      <c r="J225" s="876"/>
      <c r="K225" s="876"/>
      <c r="L225" s="876"/>
      <c r="M225" s="876"/>
      <c r="N225" s="876"/>
      <c r="O225" s="876"/>
      <c r="P225" s="876"/>
      <c r="Q225" s="876"/>
      <c r="R225" s="876"/>
      <c r="S225" s="876"/>
      <c r="T225" s="876"/>
      <c r="U225" s="876"/>
      <c r="V225" s="876"/>
      <c r="W225" s="876"/>
      <c r="X225" s="876"/>
      <c r="Y225" s="876"/>
      <c r="Z225" s="876"/>
      <c r="AA225" s="876"/>
    </row>
    <row r="226" spans="1:27" ht="15" thickBot="1">
      <c r="A226" s="4"/>
      <c r="B226" s="753"/>
      <c r="C226" s="877"/>
      <c r="D226" s="877"/>
      <c r="E226" s="877"/>
      <c r="F226" s="877"/>
      <c r="G226" s="877"/>
      <c r="H226" s="877"/>
      <c r="I226" s="877"/>
      <c r="J226" s="877"/>
      <c r="K226" s="877"/>
      <c r="L226" s="877"/>
      <c r="M226" s="877"/>
      <c r="N226" s="877"/>
      <c r="O226" s="877"/>
      <c r="P226" s="877"/>
      <c r="Q226" s="877"/>
      <c r="R226" s="877"/>
      <c r="S226" s="877"/>
      <c r="T226" s="877"/>
      <c r="U226" s="877"/>
      <c r="V226" s="877"/>
      <c r="W226" s="877"/>
      <c r="X226" s="877"/>
      <c r="Y226" s="877"/>
      <c r="Z226" s="877"/>
      <c r="AA226" s="877"/>
    </row>
    <row r="227" spans="1:27" s="685" customFormat="1" ht="15" thickTop="1">
      <c r="A227" s="785" t="s">
        <v>173</v>
      </c>
      <c r="B227" s="786" t="s">
        <v>491</v>
      </c>
      <c r="C227" s="878">
        <v>1491550</v>
      </c>
      <c r="D227" s="878">
        <v>264437</v>
      </c>
      <c r="E227" s="878">
        <v>688448</v>
      </c>
      <c r="F227" s="878">
        <v>292636</v>
      </c>
      <c r="G227" s="878">
        <v>388558</v>
      </c>
      <c r="H227" s="878">
        <v>590681</v>
      </c>
      <c r="I227" s="878">
        <v>852311</v>
      </c>
      <c r="J227" s="878">
        <v>237000</v>
      </c>
      <c r="K227" s="878">
        <v>359499</v>
      </c>
      <c r="L227" s="878">
        <v>383761</v>
      </c>
      <c r="M227" s="878">
        <v>583251</v>
      </c>
      <c r="N227" s="878">
        <v>437492</v>
      </c>
      <c r="O227" s="878">
        <v>465985</v>
      </c>
      <c r="P227" s="878">
        <v>485606</v>
      </c>
      <c r="Q227" s="878">
        <v>303061</v>
      </c>
      <c r="R227" s="878">
        <v>270930</v>
      </c>
      <c r="S227" s="878">
        <v>490286</v>
      </c>
      <c r="T227" s="878">
        <v>380207</v>
      </c>
      <c r="U227" s="878">
        <v>215809</v>
      </c>
      <c r="V227" s="878">
        <v>786543</v>
      </c>
      <c r="W227" s="878">
        <v>436396</v>
      </c>
      <c r="X227" s="878">
        <v>84600</v>
      </c>
      <c r="Y227" s="878">
        <v>461893</v>
      </c>
      <c r="Z227" s="878">
        <v>340813</v>
      </c>
      <c r="AA227" s="878">
        <v>0</v>
      </c>
    </row>
    <row r="228" spans="1:27" s="685" customFormat="1">
      <c r="A228" s="787"/>
      <c r="B228" s="788"/>
      <c r="C228" s="702">
        <v>11291753</v>
      </c>
      <c r="D228" s="702">
        <v>9800203</v>
      </c>
      <c r="E228" s="702">
        <v>9535766</v>
      </c>
      <c r="F228" s="702">
        <v>8847318</v>
      </c>
      <c r="G228" s="702">
        <v>8554682</v>
      </c>
      <c r="H228" s="702">
        <v>8166124</v>
      </c>
      <c r="I228" s="702">
        <v>7575443</v>
      </c>
      <c r="J228" s="702">
        <v>6723132</v>
      </c>
      <c r="K228" s="702">
        <v>6486132</v>
      </c>
      <c r="L228" s="702">
        <v>6126633</v>
      </c>
      <c r="M228" s="702">
        <v>5742872</v>
      </c>
      <c r="N228" s="702">
        <v>5159621</v>
      </c>
      <c r="O228" s="702">
        <v>4722129</v>
      </c>
      <c r="P228" s="702">
        <v>4256144</v>
      </c>
      <c r="Q228" s="702">
        <v>3770538</v>
      </c>
      <c r="R228" s="702">
        <v>3467477</v>
      </c>
      <c r="S228" s="702">
        <v>3196547</v>
      </c>
      <c r="T228" s="702">
        <v>2706261</v>
      </c>
      <c r="U228" s="702">
        <v>2326054</v>
      </c>
      <c r="V228" s="702">
        <v>2110245</v>
      </c>
      <c r="W228" s="702">
        <v>1323702</v>
      </c>
      <c r="X228" s="702">
        <v>887306</v>
      </c>
      <c r="Y228" s="702">
        <v>802706</v>
      </c>
      <c r="Z228" s="702">
        <v>340813</v>
      </c>
      <c r="AA228" s="702">
        <v>0</v>
      </c>
    </row>
    <row r="229" spans="1:27" s="685" customFormat="1">
      <c r="A229" s="789" t="s">
        <v>100</v>
      </c>
      <c r="B229" s="790"/>
      <c r="C229" s="879"/>
      <c r="D229" s="879"/>
      <c r="E229" s="879"/>
      <c r="F229" s="879"/>
      <c r="G229" s="879"/>
      <c r="H229" s="879"/>
      <c r="I229" s="879"/>
      <c r="J229" s="879"/>
      <c r="K229" s="879"/>
      <c r="L229" s="879"/>
      <c r="M229" s="879"/>
      <c r="N229" s="879"/>
      <c r="O229" s="879"/>
      <c r="P229" s="879"/>
      <c r="Q229" s="879"/>
      <c r="R229" s="879"/>
      <c r="S229" s="879"/>
      <c r="T229" s="879"/>
      <c r="U229" s="879"/>
      <c r="V229" s="879"/>
      <c r="W229" s="879"/>
      <c r="X229" s="879"/>
      <c r="Y229" s="879"/>
      <c r="Z229" s="879"/>
      <c r="AA229" s="879"/>
    </row>
    <row r="230" spans="1:27" s="685" customFormat="1">
      <c r="A230" s="791" t="s">
        <v>337</v>
      </c>
      <c r="B230" s="792" t="s">
        <v>492</v>
      </c>
      <c r="C230" s="880">
        <v>0</v>
      </c>
      <c r="D230" s="880">
        <v>0</v>
      </c>
      <c r="E230" s="880">
        <v>0</v>
      </c>
      <c r="F230" s="880">
        <v>0</v>
      </c>
      <c r="G230" s="880">
        <v>0</v>
      </c>
      <c r="H230" s="880">
        <v>0</v>
      </c>
      <c r="I230" s="880">
        <v>0</v>
      </c>
      <c r="J230" s="880">
        <v>0</v>
      </c>
      <c r="K230" s="880">
        <v>0</v>
      </c>
      <c r="L230" s="880">
        <v>0</v>
      </c>
      <c r="M230" s="880">
        <v>0</v>
      </c>
      <c r="N230" s="880">
        <v>0</v>
      </c>
      <c r="O230" s="880">
        <v>0</v>
      </c>
      <c r="P230" s="880">
        <v>0</v>
      </c>
      <c r="Q230" s="880">
        <v>0</v>
      </c>
      <c r="R230" s="880">
        <v>0</v>
      </c>
      <c r="S230" s="880">
        <v>0</v>
      </c>
      <c r="T230" s="880">
        <v>0</v>
      </c>
      <c r="U230" s="880">
        <v>0</v>
      </c>
      <c r="V230" s="880">
        <v>0</v>
      </c>
      <c r="W230" s="880">
        <v>0</v>
      </c>
      <c r="X230" s="880">
        <v>0</v>
      </c>
      <c r="Y230" s="880">
        <v>0</v>
      </c>
      <c r="Z230" s="880">
        <v>0</v>
      </c>
      <c r="AA230" s="880">
        <v>0</v>
      </c>
    </row>
    <row r="231" spans="1:27" s="685" customFormat="1">
      <c r="A231" s="791"/>
      <c r="B231" s="792"/>
      <c r="C231" s="702">
        <v>0</v>
      </c>
      <c r="D231" s="702">
        <v>0</v>
      </c>
      <c r="E231" s="702">
        <v>0</v>
      </c>
      <c r="F231" s="702">
        <v>0</v>
      </c>
      <c r="G231" s="702">
        <v>0</v>
      </c>
      <c r="H231" s="702">
        <v>0</v>
      </c>
      <c r="I231" s="702">
        <v>0</v>
      </c>
      <c r="J231" s="702">
        <v>0</v>
      </c>
      <c r="K231" s="702">
        <v>0</v>
      </c>
      <c r="L231" s="702">
        <v>0</v>
      </c>
      <c r="M231" s="702">
        <v>0</v>
      </c>
      <c r="N231" s="702">
        <v>0</v>
      </c>
      <c r="O231" s="702">
        <v>0</v>
      </c>
      <c r="P231" s="702">
        <v>0</v>
      </c>
      <c r="Q231" s="702">
        <v>0</v>
      </c>
      <c r="R231" s="702">
        <v>0</v>
      </c>
      <c r="S231" s="702">
        <v>0</v>
      </c>
      <c r="T231" s="702">
        <v>0</v>
      </c>
      <c r="U231" s="702">
        <v>0</v>
      </c>
      <c r="V231" s="702">
        <v>0</v>
      </c>
      <c r="W231" s="702">
        <v>0</v>
      </c>
      <c r="X231" s="702">
        <v>0</v>
      </c>
      <c r="Y231" s="702">
        <v>0</v>
      </c>
      <c r="Z231" s="702">
        <v>0</v>
      </c>
      <c r="AA231" s="702">
        <v>0</v>
      </c>
    </row>
    <row r="232" spans="1:27" s="685" customFormat="1">
      <c r="A232" s="791" t="s">
        <v>353</v>
      </c>
      <c r="B232" s="792" t="s">
        <v>493</v>
      </c>
      <c r="C232" s="880">
        <v>0</v>
      </c>
      <c r="D232" s="880">
        <v>0</v>
      </c>
      <c r="E232" s="880">
        <v>0</v>
      </c>
      <c r="F232" s="880">
        <v>0</v>
      </c>
      <c r="G232" s="880">
        <v>19000</v>
      </c>
      <c r="H232" s="880">
        <v>0</v>
      </c>
      <c r="I232" s="880">
        <v>31416</v>
      </c>
      <c r="J232" s="880">
        <v>0</v>
      </c>
      <c r="K232" s="880">
        <v>0</v>
      </c>
      <c r="L232" s="880">
        <v>14000</v>
      </c>
      <c r="M232" s="880">
        <v>0</v>
      </c>
      <c r="N232" s="880">
        <v>6000</v>
      </c>
      <c r="O232" s="880">
        <v>22000</v>
      </c>
      <c r="P232" s="880">
        <v>0</v>
      </c>
      <c r="Q232" s="880">
        <v>0</v>
      </c>
      <c r="R232" s="880">
        <v>0</v>
      </c>
      <c r="S232" s="880">
        <v>0</v>
      </c>
      <c r="T232" s="880">
        <v>0</v>
      </c>
      <c r="U232" s="880">
        <v>0</v>
      </c>
      <c r="V232" s="880">
        <v>0</v>
      </c>
      <c r="W232" s="880">
        <v>0</v>
      </c>
      <c r="X232" s="880">
        <v>0</v>
      </c>
      <c r="Y232" s="880">
        <v>0</v>
      </c>
      <c r="Z232" s="880">
        <v>11000</v>
      </c>
      <c r="AA232" s="880">
        <v>0</v>
      </c>
    </row>
    <row r="233" spans="1:27" s="685" customFormat="1">
      <c r="A233" s="791"/>
      <c r="B233" s="792"/>
      <c r="C233" s="702">
        <v>103416</v>
      </c>
      <c r="D233" s="702">
        <v>103416</v>
      </c>
      <c r="E233" s="702">
        <v>103416</v>
      </c>
      <c r="F233" s="702">
        <v>103416</v>
      </c>
      <c r="G233" s="702">
        <v>103416</v>
      </c>
      <c r="H233" s="702">
        <v>84416</v>
      </c>
      <c r="I233" s="702">
        <v>84416</v>
      </c>
      <c r="J233" s="702">
        <v>53000</v>
      </c>
      <c r="K233" s="702">
        <v>53000</v>
      </c>
      <c r="L233" s="702">
        <v>53000</v>
      </c>
      <c r="M233" s="702">
        <v>39000</v>
      </c>
      <c r="N233" s="702">
        <v>39000</v>
      </c>
      <c r="O233" s="702">
        <v>33000</v>
      </c>
      <c r="P233" s="702">
        <v>11000</v>
      </c>
      <c r="Q233" s="702">
        <v>11000</v>
      </c>
      <c r="R233" s="702">
        <v>11000</v>
      </c>
      <c r="S233" s="702">
        <v>11000</v>
      </c>
      <c r="T233" s="702">
        <v>11000</v>
      </c>
      <c r="U233" s="702">
        <v>11000</v>
      </c>
      <c r="V233" s="702">
        <v>11000</v>
      </c>
      <c r="W233" s="702">
        <v>11000</v>
      </c>
      <c r="X233" s="702">
        <v>11000</v>
      </c>
      <c r="Y233" s="702">
        <v>11000</v>
      </c>
      <c r="Z233" s="702">
        <v>11000</v>
      </c>
      <c r="AA233" s="702">
        <v>0</v>
      </c>
    </row>
    <row r="234" spans="1:27" s="685" customFormat="1">
      <c r="A234" s="791" t="s">
        <v>245</v>
      </c>
      <c r="B234" s="792" t="s">
        <v>494</v>
      </c>
      <c r="C234" s="880">
        <v>0</v>
      </c>
      <c r="D234" s="880">
        <v>0</v>
      </c>
      <c r="E234" s="880">
        <v>0</v>
      </c>
      <c r="F234" s="880">
        <v>0</v>
      </c>
      <c r="G234" s="880">
        <v>0</v>
      </c>
      <c r="H234" s="880">
        <v>0</v>
      </c>
      <c r="I234" s="880">
        <v>0</v>
      </c>
      <c r="J234" s="880">
        <v>0</v>
      </c>
      <c r="K234" s="880">
        <v>0</v>
      </c>
      <c r="L234" s="880">
        <v>0</v>
      </c>
      <c r="M234" s="880">
        <v>0</v>
      </c>
      <c r="N234" s="880">
        <v>0</v>
      </c>
      <c r="O234" s="880">
        <v>0</v>
      </c>
      <c r="P234" s="880">
        <v>0</v>
      </c>
      <c r="Q234" s="880">
        <v>0</v>
      </c>
      <c r="R234" s="880">
        <v>137500</v>
      </c>
      <c r="S234" s="880">
        <v>0</v>
      </c>
      <c r="T234" s="880">
        <v>0</v>
      </c>
      <c r="U234" s="880">
        <v>0</v>
      </c>
      <c r="V234" s="880">
        <v>0</v>
      </c>
      <c r="W234" s="880">
        <v>0</v>
      </c>
      <c r="X234" s="880">
        <v>0</v>
      </c>
      <c r="Y234" s="880">
        <v>0</v>
      </c>
      <c r="Z234" s="880">
        <v>0</v>
      </c>
      <c r="AA234" s="880">
        <v>0</v>
      </c>
    </row>
    <row r="235" spans="1:27" s="685" customFormat="1">
      <c r="A235" s="791"/>
      <c r="B235" s="792"/>
      <c r="C235" s="702">
        <v>137500</v>
      </c>
      <c r="D235" s="702">
        <v>137500</v>
      </c>
      <c r="E235" s="702">
        <v>137500</v>
      </c>
      <c r="F235" s="702">
        <v>137500</v>
      </c>
      <c r="G235" s="702">
        <v>137500</v>
      </c>
      <c r="H235" s="702">
        <v>137500</v>
      </c>
      <c r="I235" s="702">
        <v>137500</v>
      </c>
      <c r="J235" s="702">
        <v>137500</v>
      </c>
      <c r="K235" s="702">
        <v>137500</v>
      </c>
      <c r="L235" s="702">
        <v>137500</v>
      </c>
      <c r="M235" s="702">
        <v>137500</v>
      </c>
      <c r="N235" s="702">
        <v>137500</v>
      </c>
      <c r="O235" s="702">
        <v>137500</v>
      </c>
      <c r="P235" s="702">
        <v>137500</v>
      </c>
      <c r="Q235" s="702">
        <v>137500</v>
      </c>
      <c r="R235" s="702">
        <v>137500</v>
      </c>
      <c r="S235" s="702">
        <v>0</v>
      </c>
      <c r="T235" s="702">
        <v>0</v>
      </c>
      <c r="U235" s="702">
        <v>0</v>
      </c>
      <c r="V235" s="702">
        <v>0</v>
      </c>
      <c r="W235" s="702">
        <v>0</v>
      </c>
      <c r="X235" s="702">
        <v>0</v>
      </c>
      <c r="Y235" s="702">
        <v>0</v>
      </c>
      <c r="Z235" s="702">
        <v>0</v>
      </c>
      <c r="AA235" s="702">
        <v>0</v>
      </c>
    </row>
    <row r="236" spans="1:27" s="685" customFormat="1">
      <c r="A236" s="791" t="s">
        <v>349</v>
      </c>
      <c r="B236" s="792" t="s">
        <v>495</v>
      </c>
      <c r="C236" s="880">
        <v>0</v>
      </c>
      <c r="D236" s="880">
        <v>0</v>
      </c>
      <c r="E236" s="880">
        <v>0</v>
      </c>
      <c r="F236" s="880">
        <v>0</v>
      </c>
      <c r="G236" s="880">
        <v>0</v>
      </c>
      <c r="H236" s="880">
        <v>0</v>
      </c>
      <c r="I236" s="880">
        <v>0</v>
      </c>
      <c r="J236" s="880">
        <v>0</v>
      </c>
      <c r="K236" s="880">
        <v>0</v>
      </c>
      <c r="L236" s="880">
        <v>0</v>
      </c>
      <c r="M236" s="880">
        <v>0</v>
      </c>
      <c r="N236" s="880">
        <v>0</v>
      </c>
      <c r="O236" s="880">
        <v>0</v>
      </c>
      <c r="P236" s="880">
        <v>0</v>
      </c>
      <c r="Q236" s="880">
        <v>0</v>
      </c>
      <c r="R236" s="880">
        <v>0</v>
      </c>
      <c r="S236" s="880">
        <v>0</v>
      </c>
      <c r="T236" s="880">
        <v>0</v>
      </c>
      <c r="U236" s="880">
        <v>0</v>
      </c>
      <c r="V236" s="880">
        <v>0</v>
      </c>
      <c r="W236" s="880">
        <v>0</v>
      </c>
      <c r="X236" s="880">
        <v>0</v>
      </c>
      <c r="Y236" s="880">
        <v>0</v>
      </c>
      <c r="Z236" s="880">
        <v>0</v>
      </c>
      <c r="AA236" s="880">
        <v>0</v>
      </c>
    </row>
    <row r="237" spans="1:27" s="685" customFormat="1">
      <c r="A237" s="791"/>
      <c r="B237" s="792"/>
      <c r="C237" s="702">
        <v>0</v>
      </c>
      <c r="D237" s="702">
        <v>0</v>
      </c>
      <c r="E237" s="702">
        <v>0</v>
      </c>
      <c r="F237" s="702">
        <v>0</v>
      </c>
      <c r="G237" s="702">
        <v>0</v>
      </c>
      <c r="H237" s="702">
        <v>0</v>
      </c>
      <c r="I237" s="702">
        <v>0</v>
      </c>
      <c r="J237" s="702">
        <v>0</v>
      </c>
      <c r="K237" s="702">
        <v>0</v>
      </c>
      <c r="L237" s="702">
        <v>0</v>
      </c>
      <c r="M237" s="702">
        <v>0</v>
      </c>
      <c r="N237" s="702">
        <v>0</v>
      </c>
      <c r="O237" s="702">
        <v>0</v>
      </c>
      <c r="P237" s="702">
        <v>0</v>
      </c>
      <c r="Q237" s="702">
        <v>0</v>
      </c>
      <c r="R237" s="702">
        <v>0</v>
      </c>
      <c r="S237" s="702">
        <v>0</v>
      </c>
      <c r="T237" s="702">
        <v>0</v>
      </c>
      <c r="U237" s="702">
        <v>0</v>
      </c>
      <c r="V237" s="702">
        <v>0</v>
      </c>
      <c r="W237" s="702">
        <v>0</v>
      </c>
      <c r="X237" s="702">
        <v>0</v>
      </c>
      <c r="Y237" s="702">
        <v>0</v>
      </c>
      <c r="Z237" s="702">
        <v>0</v>
      </c>
      <c r="AA237" s="702">
        <v>0</v>
      </c>
    </row>
    <row r="238" spans="1:27" s="685" customFormat="1">
      <c r="A238" s="791" t="s">
        <v>247</v>
      </c>
      <c r="B238" s="792" t="s">
        <v>496</v>
      </c>
      <c r="C238" s="880">
        <v>0</v>
      </c>
      <c r="D238" s="880">
        <v>0</v>
      </c>
      <c r="E238" s="880">
        <v>0</v>
      </c>
      <c r="F238" s="880">
        <v>0</v>
      </c>
      <c r="G238" s="880">
        <v>0</v>
      </c>
      <c r="H238" s="880">
        <v>0</v>
      </c>
      <c r="I238" s="880">
        <v>0</v>
      </c>
      <c r="J238" s="880">
        <v>0</v>
      </c>
      <c r="K238" s="880">
        <v>0</v>
      </c>
      <c r="L238" s="880">
        <v>0</v>
      </c>
      <c r="M238" s="880">
        <v>0</v>
      </c>
      <c r="N238" s="880">
        <v>0</v>
      </c>
      <c r="O238" s="880">
        <v>0</v>
      </c>
      <c r="P238" s="880">
        <v>0</v>
      </c>
      <c r="Q238" s="880">
        <v>102400</v>
      </c>
      <c r="R238" s="880">
        <v>0</v>
      </c>
      <c r="S238" s="880">
        <v>0</v>
      </c>
      <c r="T238" s="880">
        <v>0</v>
      </c>
      <c r="U238" s="880">
        <v>0</v>
      </c>
      <c r="V238" s="880">
        <v>0</v>
      </c>
      <c r="W238" s="880">
        <v>0</v>
      </c>
      <c r="X238" s="880">
        <v>0</v>
      </c>
      <c r="Y238" s="880">
        <v>0</v>
      </c>
      <c r="Z238" s="880">
        <v>0</v>
      </c>
      <c r="AA238" s="880">
        <v>0</v>
      </c>
    </row>
    <row r="239" spans="1:27" s="685" customFormat="1">
      <c r="A239" s="791"/>
      <c r="B239" s="792"/>
      <c r="C239" s="702">
        <v>102400</v>
      </c>
      <c r="D239" s="702">
        <v>102400</v>
      </c>
      <c r="E239" s="702">
        <v>102400</v>
      </c>
      <c r="F239" s="702">
        <v>102400</v>
      </c>
      <c r="G239" s="702">
        <v>102400</v>
      </c>
      <c r="H239" s="702">
        <v>102400</v>
      </c>
      <c r="I239" s="702">
        <v>102400</v>
      </c>
      <c r="J239" s="702">
        <v>102400</v>
      </c>
      <c r="K239" s="702">
        <v>102400</v>
      </c>
      <c r="L239" s="702">
        <v>102400</v>
      </c>
      <c r="M239" s="702">
        <v>102400</v>
      </c>
      <c r="N239" s="702">
        <v>102400</v>
      </c>
      <c r="O239" s="702">
        <v>102400</v>
      </c>
      <c r="P239" s="702">
        <v>102400</v>
      </c>
      <c r="Q239" s="702">
        <v>102400</v>
      </c>
      <c r="R239" s="702">
        <v>0</v>
      </c>
      <c r="S239" s="702">
        <v>0</v>
      </c>
      <c r="T239" s="702">
        <v>0</v>
      </c>
      <c r="U239" s="702">
        <v>0</v>
      </c>
      <c r="V239" s="702">
        <v>0</v>
      </c>
      <c r="W239" s="702">
        <v>0</v>
      </c>
      <c r="X239" s="702">
        <v>0</v>
      </c>
      <c r="Y239" s="702">
        <v>0</v>
      </c>
      <c r="Z239" s="702">
        <v>0</v>
      </c>
      <c r="AA239" s="702">
        <v>0</v>
      </c>
    </row>
    <row r="240" spans="1:27" s="685" customFormat="1">
      <c r="A240" s="791" t="s">
        <v>187</v>
      </c>
      <c r="B240" s="792" t="s">
        <v>497</v>
      </c>
      <c r="C240" s="880">
        <v>1545000</v>
      </c>
      <c r="D240" s="880">
        <v>0</v>
      </c>
      <c r="E240" s="880">
        <v>0</v>
      </c>
      <c r="F240" s="880">
        <v>0</v>
      </c>
      <c r="G240" s="880">
        <v>0</v>
      </c>
      <c r="H240" s="880">
        <v>0</v>
      </c>
      <c r="I240" s="880">
        <v>100000</v>
      </c>
      <c r="J240" s="880">
        <v>0</v>
      </c>
      <c r="K240" s="880">
        <v>0</v>
      </c>
      <c r="L240" s="880">
        <v>0</v>
      </c>
      <c r="M240" s="880">
        <v>0</v>
      </c>
      <c r="N240" s="880">
        <v>0</v>
      </c>
      <c r="O240" s="880">
        <v>0</v>
      </c>
      <c r="P240" s="880">
        <v>0</v>
      </c>
      <c r="Q240" s="880">
        <v>0</v>
      </c>
      <c r="R240" s="880">
        <v>0</v>
      </c>
      <c r="S240" s="880">
        <v>0</v>
      </c>
      <c r="T240" s="880">
        <v>0</v>
      </c>
      <c r="U240" s="880">
        <v>0</v>
      </c>
      <c r="V240" s="880">
        <v>0</v>
      </c>
      <c r="W240" s="880">
        <v>0</v>
      </c>
      <c r="X240" s="880">
        <v>0</v>
      </c>
      <c r="Y240" s="880">
        <v>0</v>
      </c>
      <c r="Z240" s="880">
        <v>0</v>
      </c>
      <c r="AA240" s="880">
        <v>0</v>
      </c>
    </row>
    <row r="241" spans="1:27" s="685" customFormat="1">
      <c r="A241" s="791"/>
      <c r="B241" s="792"/>
      <c r="C241" s="702">
        <v>1645000</v>
      </c>
      <c r="D241" s="702">
        <v>100000</v>
      </c>
      <c r="E241" s="702">
        <v>100000</v>
      </c>
      <c r="F241" s="702">
        <v>100000</v>
      </c>
      <c r="G241" s="702">
        <v>100000</v>
      </c>
      <c r="H241" s="702">
        <v>100000</v>
      </c>
      <c r="I241" s="702">
        <v>100000</v>
      </c>
      <c r="J241" s="702">
        <v>0</v>
      </c>
      <c r="K241" s="702">
        <v>0</v>
      </c>
      <c r="L241" s="702">
        <v>0</v>
      </c>
      <c r="M241" s="702">
        <v>0</v>
      </c>
      <c r="N241" s="702">
        <v>0</v>
      </c>
      <c r="O241" s="702">
        <v>0</v>
      </c>
      <c r="P241" s="702">
        <v>0</v>
      </c>
      <c r="Q241" s="702">
        <v>0</v>
      </c>
      <c r="R241" s="702">
        <v>0</v>
      </c>
      <c r="S241" s="702">
        <v>0</v>
      </c>
      <c r="T241" s="702">
        <v>0</v>
      </c>
      <c r="U241" s="702">
        <v>0</v>
      </c>
      <c r="V241" s="702">
        <v>0</v>
      </c>
      <c r="W241" s="702">
        <v>0</v>
      </c>
      <c r="X241" s="702">
        <v>0</v>
      </c>
      <c r="Y241" s="702">
        <v>0</v>
      </c>
      <c r="Z241" s="702">
        <v>0</v>
      </c>
      <c r="AA241" s="702">
        <v>0</v>
      </c>
    </row>
    <row r="242" spans="1:27" s="685" customFormat="1">
      <c r="A242" s="791" t="s">
        <v>246</v>
      </c>
      <c r="B242" s="792" t="s">
        <v>498</v>
      </c>
      <c r="C242" s="880">
        <v>0</v>
      </c>
      <c r="D242" s="880">
        <v>0</v>
      </c>
      <c r="E242" s="880">
        <v>0</v>
      </c>
      <c r="F242" s="880">
        <v>0</v>
      </c>
      <c r="G242" s="880">
        <v>0</v>
      </c>
      <c r="H242" s="880">
        <v>0</v>
      </c>
      <c r="I242" s="880">
        <v>0</v>
      </c>
      <c r="J242" s="880">
        <v>0</v>
      </c>
      <c r="K242" s="880">
        <v>0</v>
      </c>
      <c r="L242" s="880">
        <v>0</v>
      </c>
      <c r="M242" s="880">
        <v>0</v>
      </c>
      <c r="N242" s="880">
        <v>0</v>
      </c>
      <c r="O242" s="880">
        <v>0</v>
      </c>
      <c r="P242" s="880">
        <v>0</v>
      </c>
      <c r="Q242" s="880">
        <v>0</v>
      </c>
      <c r="R242" s="880">
        <v>0</v>
      </c>
      <c r="S242" s="880">
        <v>0</v>
      </c>
      <c r="T242" s="880">
        <v>0</v>
      </c>
      <c r="U242" s="880">
        <v>0</v>
      </c>
      <c r="V242" s="880">
        <v>0</v>
      </c>
      <c r="W242" s="880">
        <v>0</v>
      </c>
      <c r="X242" s="880">
        <v>0</v>
      </c>
      <c r="Y242" s="880">
        <v>0</v>
      </c>
      <c r="Z242" s="880">
        <v>0</v>
      </c>
      <c r="AA242" s="880">
        <v>0</v>
      </c>
    </row>
    <row r="243" spans="1:27" s="685" customFormat="1">
      <c r="A243" s="791"/>
      <c r="B243" s="792"/>
      <c r="C243" s="702">
        <v>0</v>
      </c>
      <c r="D243" s="702">
        <v>0</v>
      </c>
      <c r="E243" s="702">
        <v>0</v>
      </c>
      <c r="F243" s="702">
        <v>0</v>
      </c>
      <c r="G243" s="702">
        <v>0</v>
      </c>
      <c r="H243" s="702">
        <v>0</v>
      </c>
      <c r="I243" s="702">
        <v>0</v>
      </c>
      <c r="J243" s="702">
        <v>0</v>
      </c>
      <c r="K243" s="702">
        <v>0</v>
      </c>
      <c r="L243" s="702">
        <v>0</v>
      </c>
      <c r="M243" s="702">
        <v>0</v>
      </c>
      <c r="N243" s="702">
        <v>0</v>
      </c>
      <c r="O243" s="702">
        <v>0</v>
      </c>
      <c r="P243" s="702">
        <v>0</v>
      </c>
      <c r="Q243" s="702">
        <v>0</v>
      </c>
      <c r="R243" s="702">
        <v>0</v>
      </c>
      <c r="S243" s="702">
        <v>0</v>
      </c>
      <c r="T243" s="702">
        <v>0</v>
      </c>
      <c r="U243" s="702">
        <v>0</v>
      </c>
      <c r="V243" s="702">
        <v>0</v>
      </c>
      <c r="W243" s="702">
        <v>0</v>
      </c>
      <c r="X243" s="702">
        <v>0</v>
      </c>
      <c r="Y243" s="702">
        <v>0</v>
      </c>
      <c r="Z243" s="702">
        <v>0</v>
      </c>
      <c r="AA243" s="702">
        <v>0</v>
      </c>
    </row>
    <row r="244" spans="1:27" s="685" customFormat="1">
      <c r="A244" s="791" t="s">
        <v>334</v>
      </c>
      <c r="B244" s="792" t="s">
        <v>499</v>
      </c>
      <c r="C244" s="880">
        <v>0</v>
      </c>
      <c r="D244" s="880">
        <v>0</v>
      </c>
      <c r="E244" s="880">
        <v>0</v>
      </c>
      <c r="F244" s="880">
        <v>0</v>
      </c>
      <c r="G244" s="880">
        <v>0</v>
      </c>
      <c r="H244" s="880">
        <v>0</v>
      </c>
      <c r="I244" s="880">
        <v>0</v>
      </c>
      <c r="J244" s="880">
        <v>0</v>
      </c>
      <c r="K244" s="880">
        <v>0</v>
      </c>
      <c r="L244" s="880">
        <v>0</v>
      </c>
      <c r="M244" s="880">
        <v>0</v>
      </c>
      <c r="N244" s="880">
        <v>0</v>
      </c>
      <c r="O244" s="880">
        <v>0</v>
      </c>
      <c r="P244" s="880">
        <v>0</v>
      </c>
      <c r="Q244" s="880">
        <v>0</v>
      </c>
      <c r="R244" s="880">
        <v>0</v>
      </c>
      <c r="S244" s="880">
        <v>0</v>
      </c>
      <c r="T244" s="880">
        <v>0</v>
      </c>
      <c r="U244" s="880">
        <v>0</v>
      </c>
      <c r="V244" s="880">
        <v>0</v>
      </c>
      <c r="W244" s="880">
        <v>0</v>
      </c>
      <c r="X244" s="880">
        <v>0</v>
      </c>
      <c r="Y244" s="880">
        <v>0</v>
      </c>
      <c r="Z244" s="880">
        <v>0</v>
      </c>
      <c r="AA244" s="880">
        <v>0</v>
      </c>
    </row>
    <row r="245" spans="1:27" s="685" customFormat="1">
      <c r="A245" s="791"/>
      <c r="B245" s="792"/>
      <c r="C245" s="702">
        <v>0</v>
      </c>
      <c r="D245" s="702">
        <v>0</v>
      </c>
      <c r="E245" s="702">
        <v>0</v>
      </c>
      <c r="F245" s="702">
        <v>0</v>
      </c>
      <c r="G245" s="702">
        <v>0</v>
      </c>
      <c r="H245" s="702">
        <v>0</v>
      </c>
      <c r="I245" s="702">
        <v>0</v>
      </c>
      <c r="J245" s="702">
        <v>0</v>
      </c>
      <c r="K245" s="702">
        <v>0</v>
      </c>
      <c r="L245" s="702">
        <v>0</v>
      </c>
      <c r="M245" s="702">
        <v>0</v>
      </c>
      <c r="N245" s="702">
        <v>0</v>
      </c>
      <c r="O245" s="702">
        <v>0</v>
      </c>
      <c r="P245" s="702">
        <v>0</v>
      </c>
      <c r="Q245" s="702">
        <v>0</v>
      </c>
      <c r="R245" s="702">
        <v>0</v>
      </c>
      <c r="S245" s="702">
        <v>0</v>
      </c>
      <c r="T245" s="702">
        <v>0</v>
      </c>
      <c r="U245" s="702">
        <v>0</v>
      </c>
      <c r="V245" s="702">
        <v>0</v>
      </c>
      <c r="W245" s="702">
        <v>0</v>
      </c>
      <c r="X245" s="702">
        <v>0</v>
      </c>
      <c r="Y245" s="702">
        <v>0</v>
      </c>
      <c r="Z245" s="702">
        <v>0</v>
      </c>
      <c r="AA245" s="702">
        <v>0</v>
      </c>
    </row>
    <row r="246" spans="1:27" s="685" customFormat="1">
      <c r="A246" s="791" t="s">
        <v>27</v>
      </c>
      <c r="B246" s="792" t="s">
        <v>500</v>
      </c>
      <c r="C246" s="880">
        <v>0</v>
      </c>
      <c r="D246" s="880">
        <v>50000</v>
      </c>
      <c r="E246" s="880">
        <v>0</v>
      </c>
      <c r="F246" s="880">
        <v>0</v>
      </c>
      <c r="G246" s="880">
        <v>0</v>
      </c>
      <c r="H246" s="880">
        <v>146500</v>
      </c>
      <c r="I246" s="880">
        <v>0</v>
      </c>
      <c r="J246" s="880">
        <v>0</v>
      </c>
      <c r="K246" s="880">
        <v>0</v>
      </c>
      <c r="L246" s="880">
        <v>0</v>
      </c>
      <c r="M246" s="880">
        <v>0</v>
      </c>
      <c r="N246" s="880">
        <v>12500</v>
      </c>
      <c r="O246" s="880">
        <v>0</v>
      </c>
      <c r="P246" s="880">
        <v>0</v>
      </c>
      <c r="Q246" s="880">
        <v>0</v>
      </c>
      <c r="R246" s="880">
        <v>0</v>
      </c>
      <c r="S246" s="880">
        <v>0</v>
      </c>
      <c r="T246" s="880">
        <v>0</v>
      </c>
      <c r="U246" s="880">
        <v>0</v>
      </c>
      <c r="V246" s="880">
        <v>120000</v>
      </c>
      <c r="W246" s="880">
        <v>0</v>
      </c>
      <c r="X246" s="880">
        <v>0</v>
      </c>
      <c r="Y246" s="880">
        <v>0</v>
      </c>
      <c r="Z246" s="880">
        <v>0</v>
      </c>
      <c r="AA246" s="880">
        <v>0</v>
      </c>
    </row>
    <row r="247" spans="1:27" s="685" customFormat="1">
      <c r="A247" s="791"/>
      <c r="B247" s="792"/>
      <c r="C247" s="702">
        <v>329000</v>
      </c>
      <c r="D247" s="702">
        <v>329000</v>
      </c>
      <c r="E247" s="702">
        <v>279000</v>
      </c>
      <c r="F247" s="702">
        <v>279000</v>
      </c>
      <c r="G247" s="702">
        <v>279000</v>
      </c>
      <c r="H247" s="702">
        <v>279000</v>
      </c>
      <c r="I247" s="702">
        <v>132500</v>
      </c>
      <c r="J247" s="702">
        <v>132500</v>
      </c>
      <c r="K247" s="702">
        <v>132500</v>
      </c>
      <c r="L247" s="702">
        <v>132500</v>
      </c>
      <c r="M247" s="702">
        <v>132500</v>
      </c>
      <c r="N247" s="702">
        <v>132500</v>
      </c>
      <c r="O247" s="702">
        <v>120000</v>
      </c>
      <c r="P247" s="702">
        <v>120000</v>
      </c>
      <c r="Q247" s="702">
        <v>120000</v>
      </c>
      <c r="R247" s="702">
        <v>120000</v>
      </c>
      <c r="S247" s="702">
        <v>120000</v>
      </c>
      <c r="T247" s="702">
        <v>120000</v>
      </c>
      <c r="U247" s="702">
        <v>120000</v>
      </c>
      <c r="V247" s="702">
        <v>120000</v>
      </c>
      <c r="W247" s="702">
        <v>0</v>
      </c>
      <c r="X247" s="702">
        <v>0</v>
      </c>
      <c r="Y247" s="702">
        <v>0</v>
      </c>
      <c r="Z247" s="702">
        <v>0</v>
      </c>
      <c r="AA247" s="702">
        <v>0</v>
      </c>
    </row>
    <row r="248" spans="1:27" s="685" customFormat="1">
      <c r="A248" s="791" t="s">
        <v>180</v>
      </c>
      <c r="B248" s="792"/>
      <c r="C248" s="1021">
        <v>0</v>
      </c>
      <c r="D248" s="1021">
        <v>0</v>
      </c>
      <c r="E248" s="1021">
        <v>0</v>
      </c>
      <c r="F248" s="1021">
        <v>0</v>
      </c>
      <c r="G248" s="1021">
        <v>0</v>
      </c>
      <c r="H248" s="1021">
        <v>0</v>
      </c>
      <c r="I248" s="1021">
        <v>0</v>
      </c>
      <c r="J248" s="1021">
        <v>0</v>
      </c>
      <c r="K248" s="1021">
        <v>0</v>
      </c>
      <c r="L248" s="1021">
        <v>0</v>
      </c>
      <c r="M248" s="1021">
        <v>0</v>
      </c>
      <c r="N248" s="1021">
        <v>0</v>
      </c>
      <c r="O248" s="1021">
        <v>0</v>
      </c>
      <c r="P248" s="1021">
        <v>0</v>
      </c>
      <c r="Q248" s="1021">
        <v>0</v>
      </c>
      <c r="R248" s="1021">
        <v>0</v>
      </c>
      <c r="S248" s="1021">
        <v>0</v>
      </c>
      <c r="T248" s="1021">
        <v>0</v>
      </c>
      <c r="U248" s="1021">
        <v>0</v>
      </c>
      <c r="V248" s="1021">
        <v>0</v>
      </c>
      <c r="W248" s="1021">
        <v>0</v>
      </c>
      <c r="X248" s="1021">
        <v>0</v>
      </c>
      <c r="Y248" s="1021">
        <v>0</v>
      </c>
      <c r="Z248" s="1021">
        <v>0</v>
      </c>
      <c r="AA248" s="1021">
        <v>0</v>
      </c>
    </row>
    <row r="249" spans="1:27" s="685" customFormat="1">
      <c r="A249" s="791"/>
      <c r="B249" s="792"/>
      <c r="C249" s="702">
        <v>0</v>
      </c>
      <c r="D249" s="702">
        <v>0</v>
      </c>
      <c r="E249" s="702">
        <v>0</v>
      </c>
      <c r="F249" s="702">
        <v>0</v>
      </c>
      <c r="G249" s="702">
        <v>0</v>
      </c>
      <c r="H249" s="702">
        <v>0</v>
      </c>
      <c r="I249" s="702">
        <v>0</v>
      </c>
      <c r="J249" s="702">
        <v>0</v>
      </c>
      <c r="K249" s="702">
        <v>0</v>
      </c>
      <c r="L249" s="702">
        <v>0</v>
      </c>
      <c r="M249" s="702">
        <v>0</v>
      </c>
      <c r="N249" s="702">
        <v>0</v>
      </c>
      <c r="O249" s="702">
        <v>0</v>
      </c>
      <c r="P249" s="702">
        <v>0</v>
      </c>
      <c r="Q249" s="702">
        <v>0</v>
      </c>
      <c r="R249" s="702">
        <v>0</v>
      </c>
      <c r="S249" s="702">
        <v>0</v>
      </c>
      <c r="T249" s="702">
        <v>0</v>
      </c>
      <c r="U249" s="702">
        <v>0</v>
      </c>
      <c r="V249" s="702">
        <v>0</v>
      </c>
      <c r="W249" s="702">
        <v>0</v>
      </c>
      <c r="X249" s="702">
        <v>0</v>
      </c>
      <c r="Y249" s="702">
        <v>0</v>
      </c>
      <c r="Z249" s="702">
        <v>0</v>
      </c>
      <c r="AA249" s="702">
        <v>0</v>
      </c>
    </row>
    <row r="250" spans="1:27" s="685" customFormat="1">
      <c r="A250" s="791" t="s">
        <v>59</v>
      </c>
      <c r="B250" s="792"/>
      <c r="C250" s="881">
        <v>1545000</v>
      </c>
      <c r="D250" s="881">
        <v>50000</v>
      </c>
      <c r="E250" s="881">
        <v>0</v>
      </c>
      <c r="F250" s="881">
        <v>0</v>
      </c>
      <c r="G250" s="881">
        <v>19000</v>
      </c>
      <c r="H250" s="881">
        <v>146500</v>
      </c>
      <c r="I250" s="881">
        <v>131416</v>
      </c>
      <c r="J250" s="881">
        <v>0</v>
      </c>
      <c r="K250" s="881">
        <v>0</v>
      </c>
      <c r="L250" s="881">
        <v>14000</v>
      </c>
      <c r="M250" s="881">
        <v>0</v>
      </c>
      <c r="N250" s="881">
        <v>18500</v>
      </c>
      <c r="O250" s="881">
        <v>22000</v>
      </c>
      <c r="P250" s="881">
        <v>0</v>
      </c>
      <c r="Q250" s="881">
        <v>102400</v>
      </c>
      <c r="R250" s="881">
        <v>137500</v>
      </c>
      <c r="S250" s="881">
        <v>0</v>
      </c>
      <c r="T250" s="881">
        <v>0</v>
      </c>
      <c r="U250" s="881">
        <v>0</v>
      </c>
      <c r="V250" s="881">
        <v>120000</v>
      </c>
      <c r="W250" s="881">
        <v>0</v>
      </c>
      <c r="X250" s="881">
        <v>0</v>
      </c>
      <c r="Y250" s="881">
        <v>0</v>
      </c>
      <c r="Z250" s="881">
        <v>11000</v>
      </c>
      <c r="AA250" s="881">
        <v>0</v>
      </c>
    </row>
    <row r="251" spans="1:27" s="685" customFormat="1">
      <c r="A251" s="791"/>
      <c r="B251" s="792"/>
      <c r="C251" s="702">
        <v>2317316</v>
      </c>
      <c r="D251" s="702">
        <v>772316</v>
      </c>
      <c r="E251" s="702">
        <v>722316</v>
      </c>
      <c r="F251" s="702">
        <v>722316</v>
      </c>
      <c r="G251" s="702">
        <v>722316</v>
      </c>
      <c r="H251" s="702">
        <v>703316</v>
      </c>
      <c r="I251" s="702">
        <v>556816</v>
      </c>
      <c r="J251" s="702">
        <v>425400</v>
      </c>
      <c r="K251" s="702">
        <v>425400</v>
      </c>
      <c r="L251" s="702">
        <v>425400</v>
      </c>
      <c r="M251" s="702">
        <v>411400</v>
      </c>
      <c r="N251" s="702">
        <v>411400</v>
      </c>
      <c r="O251" s="702">
        <v>392900</v>
      </c>
      <c r="P251" s="702">
        <v>370900</v>
      </c>
      <c r="Q251" s="702">
        <v>370900</v>
      </c>
      <c r="R251" s="702">
        <v>268500</v>
      </c>
      <c r="S251" s="702">
        <v>131000</v>
      </c>
      <c r="T251" s="702">
        <v>131000</v>
      </c>
      <c r="U251" s="702">
        <v>131000</v>
      </c>
      <c r="V251" s="702">
        <v>131000</v>
      </c>
      <c r="W251" s="702">
        <v>11000</v>
      </c>
      <c r="X251" s="702">
        <v>11000</v>
      </c>
      <c r="Y251" s="702">
        <v>11000</v>
      </c>
      <c r="Z251" s="702">
        <v>11000</v>
      </c>
      <c r="AA251" s="702">
        <v>0</v>
      </c>
    </row>
    <row r="252" spans="1:27" s="685" customFormat="1">
      <c r="A252" s="793" t="s">
        <v>350</v>
      </c>
      <c r="B252" s="794"/>
      <c r="C252" s="882">
        <v>-53450</v>
      </c>
      <c r="D252" s="882">
        <v>214437</v>
      </c>
      <c r="E252" s="882">
        <v>688448</v>
      </c>
      <c r="F252" s="882">
        <v>292636</v>
      </c>
      <c r="G252" s="882">
        <v>369558</v>
      </c>
      <c r="H252" s="882">
        <v>444181</v>
      </c>
      <c r="I252" s="882">
        <v>720895</v>
      </c>
      <c r="J252" s="882">
        <v>237000</v>
      </c>
      <c r="K252" s="882">
        <v>359499</v>
      </c>
      <c r="L252" s="882">
        <v>369761</v>
      </c>
      <c r="M252" s="882">
        <v>583251</v>
      </c>
      <c r="N252" s="882">
        <v>418992</v>
      </c>
      <c r="O252" s="882">
        <v>443985</v>
      </c>
      <c r="P252" s="882">
        <v>485606</v>
      </c>
      <c r="Q252" s="882">
        <v>200661</v>
      </c>
      <c r="R252" s="882">
        <v>133430</v>
      </c>
      <c r="S252" s="882">
        <v>490286</v>
      </c>
      <c r="T252" s="882">
        <v>380207</v>
      </c>
      <c r="U252" s="882">
        <v>215809</v>
      </c>
      <c r="V252" s="882">
        <v>666543</v>
      </c>
      <c r="W252" s="882">
        <v>436396</v>
      </c>
      <c r="X252" s="882">
        <v>84600</v>
      </c>
      <c r="Y252" s="882">
        <v>461893</v>
      </c>
      <c r="Z252" s="882">
        <v>329813</v>
      </c>
      <c r="AA252" s="882">
        <v>0</v>
      </c>
    </row>
    <row r="253" spans="1:27" s="685" customFormat="1">
      <c r="A253" s="793"/>
      <c r="B253" s="794"/>
      <c r="C253" s="702">
        <v>8974437</v>
      </c>
      <c r="D253" s="702">
        <v>9027887</v>
      </c>
      <c r="E253" s="702">
        <v>8813450</v>
      </c>
      <c r="F253" s="702">
        <v>8125002</v>
      </c>
      <c r="G253" s="702">
        <v>7832366</v>
      </c>
      <c r="H253" s="702">
        <v>7462808</v>
      </c>
      <c r="I253" s="702">
        <v>7018627</v>
      </c>
      <c r="J253" s="702">
        <v>6297732</v>
      </c>
      <c r="K253" s="702">
        <v>6060732</v>
      </c>
      <c r="L253" s="702">
        <v>5701233</v>
      </c>
      <c r="M253" s="702">
        <v>5331472</v>
      </c>
      <c r="N253" s="702">
        <v>4748221</v>
      </c>
      <c r="O253" s="702">
        <v>4329229</v>
      </c>
      <c r="P253" s="702">
        <v>3885244</v>
      </c>
      <c r="Q253" s="702">
        <v>3399638</v>
      </c>
      <c r="R253" s="702">
        <v>3198977</v>
      </c>
      <c r="S253" s="702">
        <v>3065547</v>
      </c>
      <c r="T253" s="702">
        <v>2575261</v>
      </c>
      <c r="U253" s="702">
        <v>2195054</v>
      </c>
      <c r="V253" s="702">
        <v>1979245</v>
      </c>
      <c r="W253" s="702">
        <v>1312702</v>
      </c>
      <c r="X253" s="702">
        <v>876306</v>
      </c>
      <c r="Y253" s="702">
        <v>791706</v>
      </c>
      <c r="Z253" s="702">
        <v>329813</v>
      </c>
      <c r="AA253" s="702">
        <v>0</v>
      </c>
    </row>
    <row r="254" spans="1:27" s="685" customFormat="1">
      <c r="A254" s="795"/>
      <c r="B254" s="748"/>
      <c r="C254" s="704"/>
      <c r="D254" s="704"/>
      <c r="E254" s="704"/>
      <c r="F254" s="704"/>
      <c r="G254" s="704"/>
      <c r="H254" s="704"/>
      <c r="I254" s="704"/>
      <c r="J254" s="704"/>
      <c r="K254" s="704"/>
      <c r="L254" s="704"/>
      <c r="M254" s="704"/>
      <c r="N254" s="704"/>
      <c r="O254" s="704"/>
      <c r="P254" s="704"/>
      <c r="Q254" s="704"/>
      <c r="R254" s="704"/>
      <c r="S254" s="704"/>
      <c r="T254" s="704"/>
      <c r="U254" s="704"/>
      <c r="V254" s="704"/>
      <c r="W254" s="704"/>
      <c r="X254" s="704"/>
      <c r="Y254" s="704"/>
      <c r="Z254" s="704"/>
      <c r="AA254" s="704"/>
    </row>
    <row r="255" spans="1:27" s="685" customFormat="1">
      <c r="A255" s="796" t="s">
        <v>174</v>
      </c>
      <c r="B255" s="788" t="s">
        <v>288</v>
      </c>
      <c r="C255" s="880">
        <v>1698809</v>
      </c>
      <c r="D255" s="880">
        <v>315507</v>
      </c>
      <c r="E255" s="880">
        <v>477921</v>
      </c>
      <c r="F255" s="880">
        <v>335223</v>
      </c>
      <c r="G255" s="880">
        <v>586591</v>
      </c>
      <c r="H255" s="880">
        <v>431465</v>
      </c>
      <c r="I255" s="880">
        <v>935954</v>
      </c>
      <c r="J255" s="880">
        <v>58800</v>
      </c>
      <c r="K255" s="880">
        <v>316205</v>
      </c>
      <c r="L255" s="880">
        <v>397658</v>
      </c>
      <c r="M255" s="880">
        <v>490962</v>
      </c>
      <c r="N255" s="880">
        <v>274731</v>
      </c>
      <c r="O255" s="880">
        <v>425957</v>
      </c>
      <c r="P255" s="880">
        <v>593098</v>
      </c>
      <c r="Q255" s="880">
        <v>98850</v>
      </c>
      <c r="R255" s="880">
        <v>648392</v>
      </c>
      <c r="S255" s="880">
        <v>594042</v>
      </c>
      <c r="T255" s="880">
        <v>350949</v>
      </c>
      <c r="U255" s="880">
        <v>303698</v>
      </c>
      <c r="V255" s="880">
        <v>410389</v>
      </c>
      <c r="W255" s="880">
        <v>309602</v>
      </c>
      <c r="X255" s="880">
        <v>33100</v>
      </c>
      <c r="Y255" s="880">
        <v>230403</v>
      </c>
      <c r="Z255" s="880">
        <v>338572</v>
      </c>
      <c r="AA255" s="880">
        <v>0</v>
      </c>
    </row>
    <row r="256" spans="1:27" s="685" customFormat="1">
      <c r="A256" s="787"/>
      <c r="B256" s="788"/>
      <c r="C256" s="702">
        <v>10656878</v>
      </c>
      <c r="D256" s="702">
        <v>8958069</v>
      </c>
      <c r="E256" s="702">
        <v>8642562</v>
      </c>
      <c r="F256" s="702">
        <v>8164641</v>
      </c>
      <c r="G256" s="702">
        <v>7829418</v>
      </c>
      <c r="H256" s="702">
        <v>7242827</v>
      </c>
      <c r="I256" s="702">
        <v>6811362</v>
      </c>
      <c r="J256" s="702">
        <v>5875408</v>
      </c>
      <c r="K256" s="702">
        <v>5816608</v>
      </c>
      <c r="L256" s="702">
        <v>5500403</v>
      </c>
      <c r="M256" s="702">
        <v>5102745</v>
      </c>
      <c r="N256" s="702">
        <v>4611783</v>
      </c>
      <c r="O256" s="702">
        <v>4337052</v>
      </c>
      <c r="P256" s="702">
        <v>3911095</v>
      </c>
      <c r="Q256" s="702">
        <v>3317997</v>
      </c>
      <c r="R256" s="702">
        <v>3219147</v>
      </c>
      <c r="S256" s="702">
        <v>2570755</v>
      </c>
      <c r="T256" s="702">
        <v>1976713</v>
      </c>
      <c r="U256" s="702">
        <v>1625764</v>
      </c>
      <c r="V256" s="702">
        <v>1322066</v>
      </c>
      <c r="W256" s="702">
        <v>911677</v>
      </c>
      <c r="X256" s="702">
        <v>602075</v>
      </c>
      <c r="Y256" s="702">
        <v>568975</v>
      </c>
      <c r="Z256" s="702">
        <v>338572</v>
      </c>
      <c r="AA256" s="702">
        <v>0</v>
      </c>
    </row>
    <row r="257" spans="1:27" s="685" customFormat="1">
      <c r="A257" s="789" t="s">
        <v>100</v>
      </c>
      <c r="B257" s="790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4"/>
      <c r="P257" s="704"/>
      <c r="Q257" s="704"/>
      <c r="R257" s="704"/>
      <c r="S257" s="704"/>
      <c r="T257" s="704"/>
      <c r="U257" s="704"/>
      <c r="V257" s="704"/>
      <c r="W257" s="704"/>
      <c r="X257" s="704"/>
      <c r="Y257" s="704"/>
      <c r="Z257" s="704"/>
      <c r="AA257" s="704"/>
    </row>
    <row r="258" spans="1:27" s="685" customFormat="1">
      <c r="A258" s="791" t="s">
        <v>337</v>
      </c>
      <c r="B258" s="792" t="s">
        <v>501</v>
      </c>
      <c r="C258" s="880">
        <v>0</v>
      </c>
      <c r="D258" s="880">
        <v>0</v>
      </c>
      <c r="E258" s="880">
        <v>0</v>
      </c>
      <c r="F258" s="880">
        <v>0</v>
      </c>
      <c r="G258" s="880">
        <v>0</v>
      </c>
      <c r="H258" s="880">
        <v>0</v>
      </c>
      <c r="I258" s="880">
        <v>0</v>
      </c>
      <c r="J258" s="880">
        <v>0</v>
      </c>
      <c r="K258" s="880">
        <v>0</v>
      </c>
      <c r="L258" s="880">
        <v>0</v>
      </c>
      <c r="M258" s="880">
        <v>0</v>
      </c>
      <c r="N258" s="880">
        <v>0</v>
      </c>
      <c r="O258" s="880">
        <v>0</v>
      </c>
      <c r="P258" s="880">
        <v>0</v>
      </c>
      <c r="Q258" s="880">
        <v>0</v>
      </c>
      <c r="R258" s="880">
        <v>0</v>
      </c>
      <c r="S258" s="880">
        <v>0</v>
      </c>
      <c r="T258" s="880">
        <v>0</v>
      </c>
      <c r="U258" s="880">
        <v>0</v>
      </c>
      <c r="V258" s="880">
        <v>0</v>
      </c>
      <c r="W258" s="880">
        <v>0</v>
      </c>
      <c r="X258" s="880">
        <v>0</v>
      </c>
      <c r="Y258" s="880">
        <v>0</v>
      </c>
      <c r="Z258" s="880">
        <v>0</v>
      </c>
      <c r="AA258" s="880">
        <v>0</v>
      </c>
    </row>
    <row r="259" spans="1:27" s="685" customFormat="1">
      <c r="A259" s="791"/>
      <c r="B259" s="792"/>
      <c r="C259" s="702">
        <v>0</v>
      </c>
      <c r="D259" s="702">
        <v>0</v>
      </c>
      <c r="E259" s="702">
        <v>0</v>
      </c>
      <c r="F259" s="702">
        <v>0</v>
      </c>
      <c r="G259" s="702">
        <v>0</v>
      </c>
      <c r="H259" s="702">
        <v>0</v>
      </c>
      <c r="I259" s="702">
        <v>0</v>
      </c>
      <c r="J259" s="702">
        <v>0</v>
      </c>
      <c r="K259" s="702">
        <v>0</v>
      </c>
      <c r="L259" s="702">
        <v>0</v>
      </c>
      <c r="M259" s="702">
        <v>0</v>
      </c>
      <c r="N259" s="702">
        <v>0</v>
      </c>
      <c r="O259" s="702">
        <v>0</v>
      </c>
      <c r="P259" s="702">
        <v>0</v>
      </c>
      <c r="Q259" s="702">
        <v>0</v>
      </c>
      <c r="R259" s="702">
        <v>0</v>
      </c>
      <c r="S259" s="702">
        <v>0</v>
      </c>
      <c r="T259" s="702">
        <v>0</v>
      </c>
      <c r="U259" s="702">
        <v>0</v>
      </c>
      <c r="V259" s="702">
        <v>0</v>
      </c>
      <c r="W259" s="702">
        <v>0</v>
      </c>
      <c r="X259" s="702">
        <v>0</v>
      </c>
      <c r="Y259" s="702">
        <v>0</v>
      </c>
      <c r="Z259" s="702">
        <v>0</v>
      </c>
      <c r="AA259" s="702">
        <v>0</v>
      </c>
    </row>
    <row r="260" spans="1:27" s="685" customFormat="1">
      <c r="A260" s="791" t="s">
        <v>353</v>
      </c>
      <c r="B260" s="792" t="s">
        <v>502</v>
      </c>
      <c r="C260" s="880">
        <v>0</v>
      </c>
      <c r="D260" s="880">
        <v>0</v>
      </c>
      <c r="E260" s="880">
        <v>0</v>
      </c>
      <c r="F260" s="880">
        <v>0</v>
      </c>
      <c r="G260" s="880">
        <v>0</v>
      </c>
      <c r="H260" s="880">
        <v>0</v>
      </c>
      <c r="I260" s="880">
        <v>0</v>
      </c>
      <c r="J260" s="880">
        <v>0</v>
      </c>
      <c r="K260" s="880">
        <v>0</v>
      </c>
      <c r="L260" s="880">
        <v>9000</v>
      </c>
      <c r="M260" s="880">
        <v>0</v>
      </c>
      <c r="N260" s="880">
        <v>0</v>
      </c>
      <c r="O260" s="880">
        <v>0</v>
      </c>
      <c r="P260" s="880">
        <v>0</v>
      </c>
      <c r="Q260" s="880">
        <v>0</v>
      </c>
      <c r="R260" s="880">
        <v>0</v>
      </c>
      <c r="S260" s="880">
        <v>0</v>
      </c>
      <c r="T260" s="880">
        <v>0</v>
      </c>
      <c r="U260" s="880">
        <v>0</v>
      </c>
      <c r="V260" s="880">
        <v>0</v>
      </c>
      <c r="W260" s="880">
        <v>0</v>
      </c>
      <c r="X260" s="880">
        <v>0</v>
      </c>
      <c r="Y260" s="880">
        <v>0</v>
      </c>
      <c r="Z260" s="880">
        <v>0</v>
      </c>
      <c r="AA260" s="880">
        <v>0</v>
      </c>
    </row>
    <row r="261" spans="1:27" s="685" customFormat="1">
      <c r="A261" s="791"/>
      <c r="B261" s="792"/>
      <c r="C261" s="702">
        <v>9000</v>
      </c>
      <c r="D261" s="702">
        <v>9000</v>
      </c>
      <c r="E261" s="702">
        <v>9000</v>
      </c>
      <c r="F261" s="702">
        <v>9000</v>
      </c>
      <c r="G261" s="702">
        <v>9000</v>
      </c>
      <c r="H261" s="702">
        <v>9000</v>
      </c>
      <c r="I261" s="702">
        <v>9000</v>
      </c>
      <c r="J261" s="702">
        <v>9000</v>
      </c>
      <c r="K261" s="702">
        <v>9000</v>
      </c>
      <c r="L261" s="702">
        <v>9000</v>
      </c>
      <c r="M261" s="702">
        <v>0</v>
      </c>
      <c r="N261" s="702">
        <v>0</v>
      </c>
      <c r="O261" s="702">
        <v>0</v>
      </c>
      <c r="P261" s="702">
        <v>0</v>
      </c>
      <c r="Q261" s="702">
        <v>0</v>
      </c>
      <c r="R261" s="702">
        <v>0</v>
      </c>
      <c r="S261" s="702">
        <v>0</v>
      </c>
      <c r="T261" s="702">
        <v>0</v>
      </c>
      <c r="U261" s="702">
        <v>0</v>
      </c>
      <c r="V261" s="702">
        <v>0</v>
      </c>
      <c r="W261" s="702">
        <v>0</v>
      </c>
      <c r="X261" s="702">
        <v>0</v>
      </c>
      <c r="Y261" s="702">
        <v>0</v>
      </c>
      <c r="Z261" s="702">
        <v>0</v>
      </c>
      <c r="AA261" s="702">
        <v>0</v>
      </c>
    </row>
    <row r="262" spans="1:27" s="685" customFormat="1">
      <c r="A262" s="791" t="s">
        <v>245</v>
      </c>
      <c r="B262" s="792" t="s">
        <v>503</v>
      </c>
      <c r="C262" s="880">
        <v>91000</v>
      </c>
      <c r="D262" s="880">
        <v>0</v>
      </c>
      <c r="E262" s="880">
        <v>0</v>
      </c>
      <c r="F262" s="880">
        <v>0</v>
      </c>
      <c r="G262" s="880">
        <v>0</v>
      </c>
      <c r="H262" s="880">
        <v>0</v>
      </c>
      <c r="I262" s="880">
        <v>0</v>
      </c>
      <c r="J262" s="880">
        <v>0</v>
      </c>
      <c r="K262" s="880">
        <v>0</v>
      </c>
      <c r="L262" s="880">
        <v>0</v>
      </c>
      <c r="M262" s="880">
        <v>0</v>
      </c>
      <c r="N262" s="880">
        <v>0</v>
      </c>
      <c r="O262" s="880">
        <v>0</v>
      </c>
      <c r="P262" s="880">
        <v>0</v>
      </c>
      <c r="Q262" s="880">
        <v>0</v>
      </c>
      <c r="R262" s="880">
        <v>0</v>
      </c>
      <c r="S262" s="880">
        <v>0</v>
      </c>
      <c r="T262" s="880">
        <v>0</v>
      </c>
      <c r="U262" s="880">
        <v>0</v>
      </c>
      <c r="V262" s="880">
        <v>0</v>
      </c>
      <c r="W262" s="880">
        <v>0</v>
      </c>
      <c r="X262" s="880">
        <v>0</v>
      </c>
      <c r="Y262" s="880">
        <v>0</v>
      </c>
      <c r="Z262" s="880">
        <v>0</v>
      </c>
      <c r="AA262" s="880">
        <v>0</v>
      </c>
    </row>
    <row r="263" spans="1:27" s="685" customFormat="1">
      <c r="A263" s="791"/>
      <c r="B263" s="792"/>
      <c r="C263" s="702">
        <v>91000</v>
      </c>
      <c r="D263" s="702">
        <v>0</v>
      </c>
      <c r="E263" s="702">
        <v>0</v>
      </c>
      <c r="F263" s="702">
        <v>0</v>
      </c>
      <c r="G263" s="702">
        <v>0</v>
      </c>
      <c r="H263" s="702">
        <v>0</v>
      </c>
      <c r="I263" s="702">
        <v>0</v>
      </c>
      <c r="J263" s="702">
        <v>0</v>
      </c>
      <c r="K263" s="702">
        <v>0</v>
      </c>
      <c r="L263" s="702">
        <v>0</v>
      </c>
      <c r="M263" s="702">
        <v>0</v>
      </c>
      <c r="N263" s="702">
        <v>0</v>
      </c>
      <c r="O263" s="702">
        <v>0</v>
      </c>
      <c r="P263" s="702">
        <v>0</v>
      </c>
      <c r="Q263" s="702">
        <v>0</v>
      </c>
      <c r="R263" s="702">
        <v>0</v>
      </c>
      <c r="S263" s="702">
        <v>0</v>
      </c>
      <c r="T263" s="702">
        <v>0</v>
      </c>
      <c r="U263" s="702">
        <v>0</v>
      </c>
      <c r="V263" s="702">
        <v>0</v>
      </c>
      <c r="W263" s="702">
        <v>0</v>
      </c>
      <c r="X263" s="702">
        <v>0</v>
      </c>
      <c r="Y263" s="702">
        <v>0</v>
      </c>
      <c r="Z263" s="702">
        <v>0</v>
      </c>
      <c r="AA263" s="702">
        <v>0</v>
      </c>
    </row>
    <row r="264" spans="1:27" s="685" customFormat="1">
      <c r="A264" s="791" t="s">
        <v>349</v>
      </c>
      <c r="B264" s="792" t="s">
        <v>504</v>
      </c>
      <c r="C264" s="880">
        <v>0</v>
      </c>
      <c r="D264" s="880">
        <v>0</v>
      </c>
      <c r="E264" s="880">
        <v>0</v>
      </c>
      <c r="F264" s="880">
        <v>0</v>
      </c>
      <c r="G264" s="880">
        <v>0</v>
      </c>
      <c r="H264" s="880">
        <v>0</v>
      </c>
      <c r="I264" s="880">
        <v>0</v>
      </c>
      <c r="J264" s="880">
        <v>0</v>
      </c>
      <c r="K264" s="880">
        <v>0</v>
      </c>
      <c r="L264" s="880">
        <v>0</v>
      </c>
      <c r="M264" s="880">
        <v>0</v>
      </c>
      <c r="N264" s="880">
        <v>0</v>
      </c>
      <c r="O264" s="880">
        <v>0</v>
      </c>
      <c r="P264" s="880">
        <v>0</v>
      </c>
      <c r="Q264" s="880">
        <v>0</v>
      </c>
      <c r="R264" s="880">
        <v>0</v>
      </c>
      <c r="S264" s="880">
        <v>0</v>
      </c>
      <c r="T264" s="880">
        <v>0</v>
      </c>
      <c r="U264" s="880">
        <v>0</v>
      </c>
      <c r="V264" s="880">
        <v>0</v>
      </c>
      <c r="W264" s="880">
        <v>0</v>
      </c>
      <c r="X264" s="880">
        <v>0</v>
      </c>
      <c r="Y264" s="880">
        <v>0</v>
      </c>
      <c r="Z264" s="880">
        <v>0</v>
      </c>
      <c r="AA264" s="880">
        <v>0</v>
      </c>
    </row>
    <row r="265" spans="1:27" s="685" customFormat="1">
      <c r="A265" s="791"/>
      <c r="B265" s="792"/>
      <c r="C265" s="702">
        <v>0</v>
      </c>
      <c r="D265" s="702">
        <v>0</v>
      </c>
      <c r="E265" s="702">
        <v>0</v>
      </c>
      <c r="F265" s="702">
        <v>0</v>
      </c>
      <c r="G265" s="702">
        <v>0</v>
      </c>
      <c r="H265" s="702">
        <v>0</v>
      </c>
      <c r="I265" s="702">
        <v>0</v>
      </c>
      <c r="J265" s="702">
        <v>0</v>
      </c>
      <c r="K265" s="702">
        <v>0</v>
      </c>
      <c r="L265" s="702">
        <v>0</v>
      </c>
      <c r="M265" s="702">
        <v>0</v>
      </c>
      <c r="N265" s="702">
        <v>0</v>
      </c>
      <c r="O265" s="702">
        <v>0</v>
      </c>
      <c r="P265" s="702">
        <v>0</v>
      </c>
      <c r="Q265" s="702">
        <v>0</v>
      </c>
      <c r="R265" s="702">
        <v>0</v>
      </c>
      <c r="S265" s="702">
        <v>0</v>
      </c>
      <c r="T265" s="702">
        <v>0</v>
      </c>
      <c r="U265" s="702">
        <v>0</v>
      </c>
      <c r="V265" s="702">
        <v>0</v>
      </c>
      <c r="W265" s="702">
        <v>0</v>
      </c>
      <c r="X265" s="702">
        <v>0</v>
      </c>
      <c r="Y265" s="702">
        <v>0</v>
      </c>
      <c r="Z265" s="702">
        <v>0</v>
      </c>
      <c r="AA265" s="702">
        <v>0</v>
      </c>
    </row>
    <row r="266" spans="1:27" s="685" customFormat="1">
      <c r="A266" s="791" t="s">
        <v>247</v>
      </c>
      <c r="B266" s="792" t="s">
        <v>505</v>
      </c>
      <c r="C266" s="880">
        <v>0</v>
      </c>
      <c r="D266" s="880">
        <v>0</v>
      </c>
      <c r="E266" s="880">
        <v>0</v>
      </c>
      <c r="F266" s="880">
        <v>0</v>
      </c>
      <c r="G266" s="880">
        <v>0</v>
      </c>
      <c r="H266" s="880">
        <v>0</v>
      </c>
      <c r="I266" s="880">
        <v>0</v>
      </c>
      <c r="J266" s="880">
        <v>0</v>
      </c>
      <c r="K266" s="880">
        <v>0</v>
      </c>
      <c r="L266" s="880">
        <v>0</v>
      </c>
      <c r="M266" s="880">
        <v>0</v>
      </c>
      <c r="N266" s="880">
        <v>0</v>
      </c>
      <c r="O266" s="880">
        <v>0</v>
      </c>
      <c r="P266" s="880">
        <v>0</v>
      </c>
      <c r="Q266" s="880">
        <v>0</v>
      </c>
      <c r="R266" s="880">
        <v>0</v>
      </c>
      <c r="S266" s="880">
        <v>0</v>
      </c>
      <c r="T266" s="880">
        <v>0</v>
      </c>
      <c r="U266" s="880">
        <v>0</v>
      </c>
      <c r="V266" s="880">
        <v>0</v>
      </c>
      <c r="W266" s="880">
        <v>0</v>
      </c>
      <c r="X266" s="880">
        <v>0</v>
      </c>
      <c r="Y266" s="880">
        <v>0</v>
      </c>
      <c r="Z266" s="880">
        <v>102400</v>
      </c>
      <c r="AA266" s="880">
        <v>0</v>
      </c>
    </row>
    <row r="267" spans="1:27" s="685" customFormat="1">
      <c r="A267" s="791"/>
      <c r="B267" s="792"/>
      <c r="C267" s="702">
        <v>102400</v>
      </c>
      <c r="D267" s="702">
        <v>102400</v>
      </c>
      <c r="E267" s="702">
        <v>102400</v>
      </c>
      <c r="F267" s="702">
        <v>102400</v>
      </c>
      <c r="G267" s="702">
        <v>102400</v>
      </c>
      <c r="H267" s="702">
        <v>102400</v>
      </c>
      <c r="I267" s="702">
        <v>102400</v>
      </c>
      <c r="J267" s="702">
        <v>102400</v>
      </c>
      <c r="K267" s="702">
        <v>102400</v>
      </c>
      <c r="L267" s="702">
        <v>102400</v>
      </c>
      <c r="M267" s="702">
        <v>102400</v>
      </c>
      <c r="N267" s="702">
        <v>102400</v>
      </c>
      <c r="O267" s="702">
        <v>102400</v>
      </c>
      <c r="P267" s="702">
        <v>102400</v>
      </c>
      <c r="Q267" s="702">
        <v>102400</v>
      </c>
      <c r="R267" s="702">
        <v>102400</v>
      </c>
      <c r="S267" s="702">
        <v>102400</v>
      </c>
      <c r="T267" s="702">
        <v>102400</v>
      </c>
      <c r="U267" s="702">
        <v>102400</v>
      </c>
      <c r="V267" s="702">
        <v>102400</v>
      </c>
      <c r="W267" s="702">
        <v>102400</v>
      </c>
      <c r="X267" s="702">
        <v>102400</v>
      </c>
      <c r="Y267" s="702">
        <v>102400</v>
      </c>
      <c r="Z267" s="702">
        <v>102400</v>
      </c>
      <c r="AA267" s="702">
        <v>0</v>
      </c>
    </row>
    <row r="268" spans="1:27" s="685" customFormat="1">
      <c r="A268" s="791" t="s">
        <v>187</v>
      </c>
      <c r="B268" s="792" t="s">
        <v>506</v>
      </c>
      <c r="C268" s="880">
        <v>1465000</v>
      </c>
      <c r="D268" s="880">
        <v>0</v>
      </c>
      <c r="E268" s="880">
        <v>0</v>
      </c>
      <c r="F268" s="880">
        <v>0</v>
      </c>
      <c r="G268" s="880">
        <v>0</v>
      </c>
      <c r="H268" s="880">
        <v>0</v>
      </c>
      <c r="I268" s="880">
        <v>0</v>
      </c>
      <c r="J268" s="880">
        <v>0</v>
      </c>
      <c r="K268" s="880">
        <v>0</v>
      </c>
      <c r="L268" s="880">
        <v>0</v>
      </c>
      <c r="M268" s="880">
        <v>0</v>
      </c>
      <c r="N268" s="880">
        <v>0</v>
      </c>
      <c r="O268" s="880">
        <v>0</v>
      </c>
      <c r="P268" s="880">
        <v>0</v>
      </c>
      <c r="Q268" s="880">
        <v>0</v>
      </c>
      <c r="R268" s="880">
        <v>0</v>
      </c>
      <c r="S268" s="880">
        <v>0</v>
      </c>
      <c r="T268" s="880">
        <v>0</v>
      </c>
      <c r="U268" s="880">
        <v>0</v>
      </c>
      <c r="V268" s="880">
        <v>0</v>
      </c>
      <c r="W268" s="880">
        <v>0</v>
      </c>
      <c r="X268" s="880">
        <v>0</v>
      </c>
      <c r="Y268" s="880">
        <v>0</v>
      </c>
      <c r="Z268" s="880">
        <v>0</v>
      </c>
      <c r="AA268" s="880">
        <v>0</v>
      </c>
    </row>
    <row r="269" spans="1:27" s="685" customFormat="1">
      <c r="A269" s="791"/>
      <c r="B269" s="792"/>
      <c r="C269" s="702">
        <v>1465000</v>
      </c>
      <c r="D269" s="702">
        <v>0</v>
      </c>
      <c r="E269" s="702">
        <v>0</v>
      </c>
      <c r="F269" s="702">
        <v>0</v>
      </c>
      <c r="G269" s="702">
        <v>0</v>
      </c>
      <c r="H269" s="702">
        <v>0</v>
      </c>
      <c r="I269" s="702">
        <v>0</v>
      </c>
      <c r="J269" s="702">
        <v>0</v>
      </c>
      <c r="K269" s="702">
        <v>0</v>
      </c>
      <c r="L269" s="702">
        <v>0</v>
      </c>
      <c r="M269" s="702">
        <v>0</v>
      </c>
      <c r="N269" s="702">
        <v>0</v>
      </c>
      <c r="O269" s="702">
        <v>0</v>
      </c>
      <c r="P269" s="702">
        <v>0</v>
      </c>
      <c r="Q269" s="702">
        <v>0</v>
      </c>
      <c r="R269" s="702">
        <v>0</v>
      </c>
      <c r="S269" s="702">
        <v>0</v>
      </c>
      <c r="T269" s="702">
        <v>0</v>
      </c>
      <c r="U269" s="702">
        <v>0</v>
      </c>
      <c r="V269" s="702">
        <v>0</v>
      </c>
      <c r="W269" s="702">
        <v>0</v>
      </c>
      <c r="X269" s="702">
        <v>0</v>
      </c>
      <c r="Y269" s="702">
        <v>0</v>
      </c>
      <c r="Z269" s="702">
        <v>0</v>
      </c>
      <c r="AA269" s="702">
        <v>0</v>
      </c>
    </row>
    <row r="270" spans="1:27" s="685" customFormat="1">
      <c r="A270" s="791" t="s">
        <v>246</v>
      </c>
      <c r="B270" s="792" t="s">
        <v>507</v>
      </c>
      <c r="C270" s="880">
        <v>0</v>
      </c>
      <c r="D270" s="880">
        <v>0</v>
      </c>
      <c r="E270" s="880">
        <v>0</v>
      </c>
      <c r="F270" s="880">
        <v>0</v>
      </c>
      <c r="G270" s="880">
        <v>0</v>
      </c>
      <c r="H270" s="880">
        <v>0</v>
      </c>
      <c r="I270" s="880">
        <v>0</v>
      </c>
      <c r="J270" s="880">
        <v>0</v>
      </c>
      <c r="K270" s="880">
        <v>0</v>
      </c>
      <c r="L270" s="880">
        <v>0</v>
      </c>
      <c r="M270" s="880">
        <v>0</v>
      </c>
      <c r="N270" s="880">
        <v>0</v>
      </c>
      <c r="O270" s="880">
        <v>0</v>
      </c>
      <c r="P270" s="880">
        <v>0</v>
      </c>
      <c r="Q270" s="880">
        <v>0</v>
      </c>
      <c r="R270" s="880">
        <v>0</v>
      </c>
      <c r="S270" s="880">
        <v>0</v>
      </c>
      <c r="T270" s="880">
        <v>0</v>
      </c>
      <c r="U270" s="880">
        <v>0</v>
      </c>
      <c r="V270" s="880">
        <v>0</v>
      </c>
      <c r="W270" s="880">
        <v>0</v>
      </c>
      <c r="X270" s="880">
        <v>0</v>
      </c>
      <c r="Y270" s="880">
        <v>0</v>
      </c>
      <c r="Z270" s="880">
        <v>0</v>
      </c>
      <c r="AA270" s="880">
        <v>0</v>
      </c>
    </row>
    <row r="271" spans="1:27" s="685" customFormat="1">
      <c r="A271" s="791"/>
      <c r="B271" s="792"/>
      <c r="C271" s="702">
        <v>0</v>
      </c>
      <c r="D271" s="702">
        <v>0</v>
      </c>
      <c r="E271" s="702">
        <v>0</v>
      </c>
      <c r="F271" s="702">
        <v>0</v>
      </c>
      <c r="G271" s="702">
        <v>0</v>
      </c>
      <c r="H271" s="702">
        <v>0</v>
      </c>
      <c r="I271" s="702">
        <v>0</v>
      </c>
      <c r="J271" s="702">
        <v>0</v>
      </c>
      <c r="K271" s="702">
        <v>0</v>
      </c>
      <c r="L271" s="702">
        <v>0</v>
      </c>
      <c r="M271" s="702">
        <v>0</v>
      </c>
      <c r="N271" s="702">
        <v>0</v>
      </c>
      <c r="O271" s="702">
        <v>0</v>
      </c>
      <c r="P271" s="702">
        <v>0</v>
      </c>
      <c r="Q271" s="702">
        <v>0</v>
      </c>
      <c r="R271" s="702">
        <v>0</v>
      </c>
      <c r="S271" s="702">
        <v>0</v>
      </c>
      <c r="T271" s="702">
        <v>0</v>
      </c>
      <c r="U271" s="702">
        <v>0</v>
      </c>
      <c r="V271" s="702">
        <v>0</v>
      </c>
      <c r="W271" s="702">
        <v>0</v>
      </c>
      <c r="X271" s="702">
        <v>0</v>
      </c>
      <c r="Y271" s="702">
        <v>0</v>
      </c>
      <c r="Z271" s="702">
        <v>0</v>
      </c>
      <c r="AA271" s="702">
        <v>0</v>
      </c>
    </row>
    <row r="272" spans="1:27" s="685" customFormat="1">
      <c r="A272" s="791" t="s">
        <v>334</v>
      </c>
      <c r="B272" s="792" t="s">
        <v>508</v>
      </c>
      <c r="C272" s="880">
        <v>0</v>
      </c>
      <c r="D272" s="880">
        <v>0</v>
      </c>
      <c r="E272" s="880">
        <v>0</v>
      </c>
      <c r="F272" s="880">
        <v>0</v>
      </c>
      <c r="G272" s="880">
        <v>0</v>
      </c>
      <c r="H272" s="880">
        <v>0</v>
      </c>
      <c r="I272" s="880">
        <v>0</v>
      </c>
      <c r="J272" s="880">
        <v>0</v>
      </c>
      <c r="K272" s="880">
        <v>0</v>
      </c>
      <c r="L272" s="880">
        <v>0</v>
      </c>
      <c r="M272" s="880">
        <v>0</v>
      </c>
      <c r="N272" s="880">
        <v>0</v>
      </c>
      <c r="O272" s="880">
        <v>0</v>
      </c>
      <c r="P272" s="880">
        <v>0</v>
      </c>
      <c r="Q272" s="880">
        <v>0</v>
      </c>
      <c r="R272" s="880">
        <v>0</v>
      </c>
      <c r="S272" s="880">
        <v>0</v>
      </c>
      <c r="T272" s="880">
        <v>0</v>
      </c>
      <c r="U272" s="880">
        <v>0</v>
      </c>
      <c r="V272" s="880">
        <v>0</v>
      </c>
      <c r="W272" s="880">
        <v>0</v>
      </c>
      <c r="X272" s="880">
        <v>0</v>
      </c>
      <c r="Y272" s="880">
        <v>0</v>
      </c>
      <c r="Z272" s="880">
        <v>0</v>
      </c>
      <c r="AA272" s="880">
        <v>0</v>
      </c>
    </row>
    <row r="273" spans="1:27" s="685" customFormat="1">
      <c r="A273" s="791"/>
      <c r="B273" s="792"/>
      <c r="C273" s="702">
        <v>0</v>
      </c>
      <c r="D273" s="702">
        <v>0</v>
      </c>
      <c r="E273" s="702">
        <v>0</v>
      </c>
      <c r="F273" s="702">
        <v>0</v>
      </c>
      <c r="G273" s="702">
        <v>0</v>
      </c>
      <c r="H273" s="702">
        <v>0</v>
      </c>
      <c r="I273" s="702">
        <v>0</v>
      </c>
      <c r="J273" s="702">
        <v>0</v>
      </c>
      <c r="K273" s="702">
        <v>0</v>
      </c>
      <c r="L273" s="702">
        <v>0</v>
      </c>
      <c r="M273" s="702">
        <v>0</v>
      </c>
      <c r="N273" s="702">
        <v>0</v>
      </c>
      <c r="O273" s="702">
        <v>0</v>
      </c>
      <c r="P273" s="702">
        <v>0</v>
      </c>
      <c r="Q273" s="702">
        <v>0</v>
      </c>
      <c r="R273" s="702">
        <v>0</v>
      </c>
      <c r="S273" s="702">
        <v>0</v>
      </c>
      <c r="T273" s="702">
        <v>0</v>
      </c>
      <c r="U273" s="702">
        <v>0</v>
      </c>
      <c r="V273" s="702">
        <v>0</v>
      </c>
      <c r="W273" s="702">
        <v>0</v>
      </c>
      <c r="X273" s="702">
        <v>0</v>
      </c>
      <c r="Y273" s="702">
        <v>0</v>
      </c>
      <c r="Z273" s="702">
        <v>0</v>
      </c>
      <c r="AA273" s="702">
        <v>0</v>
      </c>
    </row>
    <row r="274" spans="1:27" s="685" customFormat="1">
      <c r="A274" s="791" t="s">
        <v>27</v>
      </c>
      <c r="B274" s="792" t="s">
        <v>509</v>
      </c>
      <c r="C274" s="880">
        <v>0</v>
      </c>
      <c r="D274" s="880">
        <v>0</v>
      </c>
      <c r="E274" s="880">
        <v>0</v>
      </c>
      <c r="F274" s="880">
        <v>0</v>
      </c>
      <c r="G274" s="880">
        <v>45000</v>
      </c>
      <c r="H274" s="880">
        <v>146500</v>
      </c>
      <c r="I274" s="880">
        <v>0</v>
      </c>
      <c r="J274" s="880">
        <v>0</v>
      </c>
      <c r="K274" s="880">
        <v>0</v>
      </c>
      <c r="L274" s="880">
        <v>5190</v>
      </c>
      <c r="M274" s="880">
        <v>0</v>
      </c>
      <c r="N274" s="880">
        <v>12500</v>
      </c>
      <c r="O274" s="880">
        <v>0</v>
      </c>
      <c r="P274" s="880">
        <v>0</v>
      </c>
      <c r="Q274" s="880">
        <v>0</v>
      </c>
      <c r="R274" s="880">
        <v>0</v>
      </c>
      <c r="S274" s="880">
        <v>0</v>
      </c>
      <c r="T274" s="880">
        <v>0</v>
      </c>
      <c r="U274" s="880">
        <v>0</v>
      </c>
      <c r="V274" s="880">
        <v>0</v>
      </c>
      <c r="W274" s="880">
        <v>0</v>
      </c>
      <c r="X274" s="880">
        <v>0</v>
      </c>
      <c r="Y274" s="880">
        <v>0</v>
      </c>
      <c r="Z274" s="880">
        <v>0</v>
      </c>
      <c r="AA274" s="880">
        <v>0</v>
      </c>
    </row>
    <row r="275" spans="1:27" s="685" customFormat="1">
      <c r="A275" s="791"/>
      <c r="B275" s="792"/>
      <c r="C275" s="968">
        <v>209190</v>
      </c>
      <c r="D275" s="968">
        <v>209190</v>
      </c>
      <c r="E275" s="968">
        <v>209190</v>
      </c>
      <c r="F275" s="968">
        <v>209190</v>
      </c>
      <c r="G275" s="968">
        <v>209190</v>
      </c>
      <c r="H275" s="968">
        <v>164190</v>
      </c>
      <c r="I275" s="968">
        <v>17690</v>
      </c>
      <c r="J275" s="968">
        <v>17690</v>
      </c>
      <c r="K275" s="968">
        <v>17690</v>
      </c>
      <c r="L275" s="968">
        <v>17690</v>
      </c>
      <c r="M275" s="968">
        <v>12500</v>
      </c>
      <c r="N275" s="968">
        <v>12500</v>
      </c>
      <c r="O275" s="968">
        <v>0</v>
      </c>
      <c r="P275" s="968">
        <v>0</v>
      </c>
      <c r="Q275" s="968">
        <v>0</v>
      </c>
      <c r="R275" s="968">
        <v>0</v>
      </c>
      <c r="S275" s="968">
        <v>0</v>
      </c>
      <c r="T275" s="968">
        <v>0</v>
      </c>
      <c r="U275" s="968">
        <v>0</v>
      </c>
      <c r="V275" s="968">
        <v>0</v>
      </c>
      <c r="W275" s="968">
        <v>0</v>
      </c>
      <c r="X275" s="968">
        <v>0</v>
      </c>
      <c r="Y275" s="968">
        <v>0</v>
      </c>
      <c r="Z275" s="968">
        <v>0</v>
      </c>
      <c r="AA275" s="968">
        <v>0</v>
      </c>
    </row>
    <row r="276" spans="1:27" s="685" customFormat="1">
      <c r="A276" s="791" t="s">
        <v>180</v>
      </c>
      <c r="B276" s="792"/>
      <c r="C276" s="1023">
        <v>0</v>
      </c>
      <c r="D276" s="1023">
        <v>0</v>
      </c>
      <c r="E276" s="1023">
        <v>0</v>
      </c>
      <c r="F276" s="1023">
        <v>0</v>
      </c>
      <c r="G276" s="1023">
        <v>0</v>
      </c>
      <c r="H276" s="1023">
        <v>18000</v>
      </c>
      <c r="I276" s="1023">
        <v>0</v>
      </c>
      <c r="J276" s="1023">
        <v>0</v>
      </c>
      <c r="K276" s="1023">
        <v>0</v>
      </c>
      <c r="L276" s="1023">
        <v>0</v>
      </c>
      <c r="M276" s="1023">
        <v>0</v>
      </c>
      <c r="N276" s="1023">
        <v>0</v>
      </c>
      <c r="O276" s="1023">
        <v>0</v>
      </c>
      <c r="P276" s="1023">
        <v>0</v>
      </c>
      <c r="Q276" s="1023">
        <v>0</v>
      </c>
      <c r="R276" s="1023">
        <v>0</v>
      </c>
      <c r="S276" s="1023">
        <v>0</v>
      </c>
      <c r="T276" s="1023">
        <v>0</v>
      </c>
      <c r="U276" s="1023">
        <v>0</v>
      </c>
      <c r="V276" s="1023">
        <v>0</v>
      </c>
      <c r="W276" s="1023">
        <v>0</v>
      </c>
      <c r="X276" s="1023">
        <v>0</v>
      </c>
      <c r="Y276" s="1023">
        <v>0</v>
      </c>
      <c r="Z276" s="1023">
        <v>0</v>
      </c>
      <c r="AA276" s="1023">
        <v>0</v>
      </c>
    </row>
    <row r="277" spans="1:27" s="685" customFormat="1">
      <c r="A277" s="791"/>
      <c r="B277" s="792"/>
      <c r="C277" s="968">
        <v>18000</v>
      </c>
      <c r="D277" s="968">
        <v>18000</v>
      </c>
      <c r="E277" s="968">
        <v>18000</v>
      </c>
      <c r="F277" s="968">
        <v>18000</v>
      </c>
      <c r="G277" s="968">
        <v>18000</v>
      </c>
      <c r="H277" s="968">
        <v>18000</v>
      </c>
      <c r="I277" s="968">
        <v>0</v>
      </c>
      <c r="J277" s="968">
        <v>0</v>
      </c>
      <c r="K277" s="968">
        <v>0</v>
      </c>
      <c r="L277" s="968">
        <v>0</v>
      </c>
      <c r="M277" s="968">
        <v>0</v>
      </c>
      <c r="N277" s="968">
        <v>0</v>
      </c>
      <c r="O277" s="968">
        <v>0</v>
      </c>
      <c r="P277" s="968">
        <v>0</v>
      </c>
      <c r="Q277" s="968">
        <v>0</v>
      </c>
      <c r="R277" s="968">
        <v>0</v>
      </c>
      <c r="S277" s="968">
        <v>0</v>
      </c>
      <c r="T277" s="968">
        <v>0</v>
      </c>
      <c r="U277" s="968">
        <v>0</v>
      </c>
      <c r="V277" s="968">
        <v>0</v>
      </c>
      <c r="W277" s="968">
        <v>0</v>
      </c>
      <c r="X277" s="968">
        <v>0</v>
      </c>
      <c r="Y277" s="968">
        <v>0</v>
      </c>
      <c r="Z277" s="968">
        <v>0</v>
      </c>
      <c r="AA277" s="968">
        <v>0</v>
      </c>
    </row>
    <row r="278" spans="1:27" s="685" customFormat="1">
      <c r="A278" s="791" t="s">
        <v>59</v>
      </c>
      <c r="B278" s="792"/>
      <c r="C278" s="880">
        <v>1556000</v>
      </c>
      <c r="D278" s="880">
        <v>0</v>
      </c>
      <c r="E278" s="880">
        <v>0</v>
      </c>
      <c r="F278" s="880">
        <v>0</v>
      </c>
      <c r="G278" s="880">
        <v>45000</v>
      </c>
      <c r="H278" s="880">
        <v>164500</v>
      </c>
      <c r="I278" s="880">
        <v>0</v>
      </c>
      <c r="J278" s="880">
        <v>0</v>
      </c>
      <c r="K278" s="880">
        <v>0</v>
      </c>
      <c r="L278" s="880">
        <v>14190</v>
      </c>
      <c r="M278" s="880">
        <v>0</v>
      </c>
      <c r="N278" s="880">
        <v>12500</v>
      </c>
      <c r="O278" s="880">
        <v>0</v>
      </c>
      <c r="P278" s="880">
        <v>0</v>
      </c>
      <c r="Q278" s="880">
        <v>0</v>
      </c>
      <c r="R278" s="880">
        <v>0</v>
      </c>
      <c r="S278" s="880">
        <v>0</v>
      </c>
      <c r="T278" s="880">
        <v>0</v>
      </c>
      <c r="U278" s="880">
        <v>0</v>
      </c>
      <c r="V278" s="880">
        <v>0</v>
      </c>
      <c r="W278" s="880">
        <v>0</v>
      </c>
      <c r="X278" s="880">
        <v>0</v>
      </c>
      <c r="Y278" s="880">
        <v>0</v>
      </c>
      <c r="Z278" s="880">
        <v>102400</v>
      </c>
      <c r="AA278" s="880">
        <v>0</v>
      </c>
    </row>
    <row r="279" spans="1:27" s="685" customFormat="1">
      <c r="A279" s="791"/>
      <c r="B279" s="792"/>
      <c r="C279" s="702">
        <v>1894590</v>
      </c>
      <c r="D279" s="702">
        <v>338590</v>
      </c>
      <c r="E279" s="702">
        <v>338590</v>
      </c>
      <c r="F279" s="702">
        <v>338590</v>
      </c>
      <c r="G279" s="702">
        <v>338590</v>
      </c>
      <c r="H279" s="702">
        <v>293590</v>
      </c>
      <c r="I279" s="702">
        <v>129090</v>
      </c>
      <c r="J279" s="702">
        <v>129090</v>
      </c>
      <c r="K279" s="702">
        <v>129090</v>
      </c>
      <c r="L279" s="702">
        <v>129090</v>
      </c>
      <c r="M279" s="702">
        <v>114900</v>
      </c>
      <c r="N279" s="702">
        <v>114900</v>
      </c>
      <c r="O279" s="702">
        <v>102400</v>
      </c>
      <c r="P279" s="702">
        <v>102400</v>
      </c>
      <c r="Q279" s="702">
        <v>102400</v>
      </c>
      <c r="R279" s="702">
        <v>102400</v>
      </c>
      <c r="S279" s="702">
        <v>102400</v>
      </c>
      <c r="T279" s="702">
        <v>102400</v>
      </c>
      <c r="U279" s="702">
        <v>102400</v>
      </c>
      <c r="V279" s="702">
        <v>102400</v>
      </c>
      <c r="W279" s="702">
        <v>102400</v>
      </c>
      <c r="X279" s="702">
        <v>102400</v>
      </c>
      <c r="Y279" s="702">
        <v>102400</v>
      </c>
      <c r="Z279" s="702">
        <v>102400</v>
      </c>
      <c r="AA279" s="702">
        <v>0</v>
      </c>
    </row>
    <row r="280" spans="1:27" s="685" customFormat="1">
      <c r="A280" s="793" t="s">
        <v>350</v>
      </c>
      <c r="B280" s="794"/>
      <c r="C280" s="882">
        <v>142809</v>
      </c>
      <c r="D280" s="882">
        <v>315507</v>
      </c>
      <c r="E280" s="882">
        <v>477921</v>
      </c>
      <c r="F280" s="882">
        <v>335223</v>
      </c>
      <c r="G280" s="882">
        <v>541591</v>
      </c>
      <c r="H280" s="882">
        <v>266965</v>
      </c>
      <c r="I280" s="882">
        <v>935954</v>
      </c>
      <c r="J280" s="882">
        <v>58800</v>
      </c>
      <c r="K280" s="882">
        <v>316205</v>
      </c>
      <c r="L280" s="882">
        <v>383468</v>
      </c>
      <c r="M280" s="882">
        <v>490962</v>
      </c>
      <c r="N280" s="882">
        <v>262231</v>
      </c>
      <c r="O280" s="882">
        <v>425957</v>
      </c>
      <c r="P280" s="882">
        <v>593098</v>
      </c>
      <c r="Q280" s="882">
        <v>98850</v>
      </c>
      <c r="R280" s="882">
        <v>648392</v>
      </c>
      <c r="S280" s="882">
        <v>594042</v>
      </c>
      <c r="T280" s="882">
        <v>350949</v>
      </c>
      <c r="U280" s="882">
        <v>303698</v>
      </c>
      <c r="V280" s="882">
        <v>410389</v>
      </c>
      <c r="W280" s="882">
        <v>309602</v>
      </c>
      <c r="X280" s="882">
        <v>33100</v>
      </c>
      <c r="Y280" s="882">
        <v>230403</v>
      </c>
      <c r="Z280" s="882">
        <v>236172</v>
      </c>
      <c r="AA280" s="882">
        <v>0</v>
      </c>
    </row>
    <row r="281" spans="1:27" s="685" customFormat="1">
      <c r="A281" s="793"/>
      <c r="B281" s="794"/>
      <c r="C281" s="702">
        <v>8762288</v>
      </c>
      <c r="D281" s="702">
        <v>8619479</v>
      </c>
      <c r="E281" s="702">
        <v>8303972</v>
      </c>
      <c r="F281" s="702">
        <v>7826051</v>
      </c>
      <c r="G281" s="702">
        <v>7490828</v>
      </c>
      <c r="H281" s="702">
        <v>6949237</v>
      </c>
      <c r="I281" s="702">
        <v>6682272</v>
      </c>
      <c r="J281" s="702">
        <v>5746318</v>
      </c>
      <c r="K281" s="702">
        <v>5687518</v>
      </c>
      <c r="L281" s="702">
        <v>5371313</v>
      </c>
      <c r="M281" s="702">
        <v>4987845</v>
      </c>
      <c r="N281" s="702">
        <v>4496883</v>
      </c>
      <c r="O281" s="702">
        <v>4234652</v>
      </c>
      <c r="P281" s="702">
        <v>3808695</v>
      </c>
      <c r="Q281" s="702">
        <v>3215597</v>
      </c>
      <c r="R281" s="702">
        <v>3116747</v>
      </c>
      <c r="S281" s="702">
        <v>2468355</v>
      </c>
      <c r="T281" s="702">
        <v>1874313</v>
      </c>
      <c r="U281" s="702">
        <v>1523364</v>
      </c>
      <c r="V281" s="702">
        <v>1219666</v>
      </c>
      <c r="W281" s="702">
        <v>809277</v>
      </c>
      <c r="X281" s="702">
        <v>499675</v>
      </c>
      <c r="Y281" s="702">
        <v>466575</v>
      </c>
      <c r="Z281" s="702">
        <v>236172</v>
      </c>
      <c r="AA281" s="702">
        <v>0</v>
      </c>
    </row>
    <row r="282" spans="1:27" s="685" customFormat="1">
      <c r="A282" s="795"/>
      <c r="B282" s="748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4"/>
      <c r="P282" s="704"/>
      <c r="Q282" s="704"/>
      <c r="R282" s="704"/>
      <c r="S282" s="704"/>
      <c r="T282" s="704"/>
      <c r="U282" s="704"/>
      <c r="V282" s="704"/>
      <c r="W282" s="704"/>
      <c r="X282" s="704"/>
      <c r="Y282" s="704"/>
      <c r="Z282" s="704"/>
      <c r="AA282" s="704"/>
    </row>
    <row r="283" spans="1:27" s="685" customFormat="1">
      <c r="A283" s="796" t="s">
        <v>228</v>
      </c>
      <c r="B283" s="788" t="s">
        <v>289</v>
      </c>
      <c r="C283" s="880">
        <v>2481505</v>
      </c>
      <c r="D283" s="880">
        <v>339115</v>
      </c>
      <c r="E283" s="880">
        <v>237910</v>
      </c>
      <c r="F283" s="880">
        <v>337011</v>
      </c>
      <c r="G283" s="880">
        <v>315334</v>
      </c>
      <c r="H283" s="880">
        <v>727673</v>
      </c>
      <c r="I283" s="880">
        <v>659918</v>
      </c>
      <c r="J283" s="880">
        <v>0</v>
      </c>
      <c r="K283" s="880">
        <v>429611</v>
      </c>
      <c r="L283" s="880">
        <v>609718</v>
      </c>
      <c r="M283" s="880">
        <v>540216</v>
      </c>
      <c r="N283" s="880">
        <v>617008</v>
      </c>
      <c r="O283" s="880">
        <v>314210</v>
      </c>
      <c r="P283" s="880">
        <v>475314</v>
      </c>
      <c r="Q283" s="880">
        <v>0</v>
      </c>
      <c r="R283" s="880">
        <v>358737</v>
      </c>
      <c r="S283" s="880">
        <v>422707</v>
      </c>
      <c r="T283" s="880">
        <v>543414</v>
      </c>
      <c r="U283" s="880">
        <v>517439</v>
      </c>
      <c r="V283" s="880">
        <v>381540</v>
      </c>
      <c r="W283" s="880">
        <v>88004</v>
      </c>
      <c r="X283" s="880">
        <v>0</v>
      </c>
      <c r="Y283" s="880">
        <v>411012</v>
      </c>
      <c r="Z283" s="880">
        <v>431140</v>
      </c>
      <c r="AA283" s="880">
        <v>0</v>
      </c>
    </row>
    <row r="284" spans="1:27" s="685" customFormat="1">
      <c r="A284" s="787"/>
      <c r="B284" s="788"/>
      <c r="C284" s="702">
        <v>11238536</v>
      </c>
      <c r="D284" s="702">
        <v>8757031</v>
      </c>
      <c r="E284" s="702">
        <v>8417916</v>
      </c>
      <c r="F284" s="702">
        <v>8180006</v>
      </c>
      <c r="G284" s="702">
        <v>7842995</v>
      </c>
      <c r="H284" s="702">
        <v>7527661</v>
      </c>
      <c r="I284" s="702">
        <v>6799988</v>
      </c>
      <c r="J284" s="702">
        <v>6140070</v>
      </c>
      <c r="K284" s="702">
        <v>6140070</v>
      </c>
      <c r="L284" s="702">
        <v>5710459</v>
      </c>
      <c r="M284" s="702">
        <v>5100741</v>
      </c>
      <c r="N284" s="702">
        <v>4560525</v>
      </c>
      <c r="O284" s="702">
        <v>3943517</v>
      </c>
      <c r="P284" s="702">
        <v>3629307</v>
      </c>
      <c r="Q284" s="702">
        <v>3153993</v>
      </c>
      <c r="R284" s="702">
        <v>3153993</v>
      </c>
      <c r="S284" s="702">
        <v>2795256</v>
      </c>
      <c r="T284" s="702">
        <v>2372549</v>
      </c>
      <c r="U284" s="702">
        <v>1829135</v>
      </c>
      <c r="V284" s="702">
        <v>1311696</v>
      </c>
      <c r="W284" s="702">
        <v>930156</v>
      </c>
      <c r="X284" s="702">
        <v>842152</v>
      </c>
      <c r="Y284" s="702">
        <v>842152</v>
      </c>
      <c r="Z284" s="702">
        <v>431140</v>
      </c>
      <c r="AA284" s="702">
        <v>0</v>
      </c>
    </row>
    <row r="285" spans="1:27" s="685" customFormat="1">
      <c r="A285" s="789" t="s">
        <v>100</v>
      </c>
      <c r="B285" s="790"/>
      <c r="C285" s="879"/>
      <c r="D285" s="879"/>
      <c r="E285" s="879"/>
      <c r="F285" s="879"/>
      <c r="G285" s="879"/>
      <c r="H285" s="879"/>
      <c r="I285" s="879"/>
      <c r="J285" s="879"/>
      <c r="K285" s="879"/>
      <c r="L285" s="879"/>
      <c r="M285" s="879"/>
      <c r="N285" s="879"/>
      <c r="O285" s="879"/>
      <c r="P285" s="879"/>
      <c r="Q285" s="879"/>
      <c r="R285" s="879"/>
      <c r="S285" s="879"/>
      <c r="T285" s="879"/>
      <c r="U285" s="879"/>
      <c r="V285" s="879"/>
      <c r="W285" s="879"/>
      <c r="X285" s="879"/>
      <c r="Y285" s="879"/>
      <c r="Z285" s="879"/>
      <c r="AA285" s="879"/>
    </row>
    <row r="286" spans="1:27" s="685" customFormat="1">
      <c r="A286" s="791" t="s">
        <v>337</v>
      </c>
      <c r="B286" s="792" t="s">
        <v>510</v>
      </c>
      <c r="C286" s="880">
        <v>0</v>
      </c>
      <c r="D286" s="880">
        <v>0</v>
      </c>
      <c r="E286" s="880">
        <v>0</v>
      </c>
      <c r="F286" s="880">
        <v>0</v>
      </c>
      <c r="G286" s="880">
        <v>0</v>
      </c>
      <c r="H286" s="880">
        <v>0</v>
      </c>
      <c r="I286" s="880">
        <v>0</v>
      </c>
      <c r="J286" s="880">
        <v>0</v>
      </c>
      <c r="K286" s="880">
        <v>0</v>
      </c>
      <c r="L286" s="880">
        <v>0</v>
      </c>
      <c r="M286" s="880">
        <v>0</v>
      </c>
      <c r="N286" s="880">
        <v>0</v>
      </c>
      <c r="O286" s="880">
        <v>0</v>
      </c>
      <c r="P286" s="880">
        <v>0</v>
      </c>
      <c r="Q286" s="880">
        <v>0</v>
      </c>
      <c r="R286" s="880">
        <v>0</v>
      </c>
      <c r="S286" s="880">
        <v>0</v>
      </c>
      <c r="T286" s="880">
        <v>0</v>
      </c>
      <c r="U286" s="880">
        <v>0</v>
      </c>
      <c r="V286" s="880">
        <v>0</v>
      </c>
      <c r="W286" s="880">
        <v>0</v>
      </c>
      <c r="X286" s="880">
        <v>0</v>
      </c>
      <c r="Y286" s="880">
        <v>0</v>
      </c>
      <c r="Z286" s="880">
        <v>0</v>
      </c>
      <c r="AA286" s="880">
        <v>0</v>
      </c>
    </row>
    <row r="287" spans="1:27" s="685" customFormat="1">
      <c r="A287" s="791"/>
      <c r="B287" s="792"/>
      <c r="C287" s="702">
        <v>0</v>
      </c>
      <c r="D287" s="702">
        <v>0</v>
      </c>
      <c r="E287" s="702">
        <v>0</v>
      </c>
      <c r="F287" s="702">
        <v>0</v>
      </c>
      <c r="G287" s="702">
        <v>0</v>
      </c>
      <c r="H287" s="702">
        <v>0</v>
      </c>
      <c r="I287" s="702">
        <v>0</v>
      </c>
      <c r="J287" s="702">
        <v>0</v>
      </c>
      <c r="K287" s="702">
        <v>0</v>
      </c>
      <c r="L287" s="702">
        <v>0</v>
      </c>
      <c r="M287" s="702">
        <v>0</v>
      </c>
      <c r="N287" s="702">
        <v>0</v>
      </c>
      <c r="O287" s="702">
        <v>0</v>
      </c>
      <c r="P287" s="702">
        <v>0</v>
      </c>
      <c r="Q287" s="702">
        <v>0</v>
      </c>
      <c r="R287" s="702">
        <v>0</v>
      </c>
      <c r="S287" s="702">
        <v>0</v>
      </c>
      <c r="T287" s="702">
        <v>0</v>
      </c>
      <c r="U287" s="702">
        <v>0</v>
      </c>
      <c r="V287" s="702">
        <v>0</v>
      </c>
      <c r="W287" s="702">
        <v>0</v>
      </c>
      <c r="X287" s="702">
        <v>0</v>
      </c>
      <c r="Y287" s="702">
        <v>0</v>
      </c>
      <c r="Z287" s="702">
        <v>0</v>
      </c>
      <c r="AA287" s="702">
        <v>0</v>
      </c>
    </row>
    <row r="288" spans="1:27" s="685" customFormat="1">
      <c r="A288" s="791" t="s">
        <v>353</v>
      </c>
      <c r="B288" s="792" t="s">
        <v>511</v>
      </c>
      <c r="C288" s="880">
        <v>0</v>
      </c>
      <c r="D288" s="880">
        <v>0</v>
      </c>
      <c r="E288" s="880">
        <v>0</v>
      </c>
      <c r="F288" s="880">
        <v>0</v>
      </c>
      <c r="G288" s="880">
        <v>0</v>
      </c>
      <c r="H288" s="880">
        <v>0</v>
      </c>
      <c r="I288" s="880">
        <v>0</v>
      </c>
      <c r="J288" s="880">
        <v>0</v>
      </c>
      <c r="K288" s="880">
        <v>0</v>
      </c>
      <c r="L288" s="880">
        <v>9000</v>
      </c>
      <c r="M288" s="880">
        <v>0</v>
      </c>
      <c r="N288" s="880">
        <v>0</v>
      </c>
      <c r="O288" s="880">
        <v>0</v>
      </c>
      <c r="P288" s="880">
        <v>0</v>
      </c>
      <c r="Q288" s="880">
        <v>4000</v>
      </c>
      <c r="R288" s="880">
        <v>0</v>
      </c>
      <c r="S288" s="880">
        <v>0</v>
      </c>
      <c r="T288" s="880">
        <v>0</v>
      </c>
      <c r="U288" s="880">
        <v>0</v>
      </c>
      <c r="V288" s="880">
        <v>0</v>
      </c>
      <c r="W288" s="880">
        <v>0</v>
      </c>
      <c r="X288" s="880">
        <v>0</v>
      </c>
      <c r="Y288" s="880">
        <v>0</v>
      </c>
      <c r="Z288" s="880">
        <v>0</v>
      </c>
      <c r="AA288" s="880">
        <v>0</v>
      </c>
    </row>
    <row r="289" spans="1:27" s="685" customFormat="1">
      <c r="A289" s="791"/>
      <c r="B289" s="792"/>
      <c r="C289" s="702">
        <v>13000</v>
      </c>
      <c r="D289" s="702">
        <v>13000</v>
      </c>
      <c r="E289" s="702">
        <v>13000</v>
      </c>
      <c r="F289" s="702">
        <v>13000</v>
      </c>
      <c r="G289" s="702">
        <v>13000</v>
      </c>
      <c r="H289" s="702">
        <v>13000</v>
      </c>
      <c r="I289" s="702">
        <v>13000</v>
      </c>
      <c r="J289" s="702">
        <v>13000</v>
      </c>
      <c r="K289" s="702">
        <v>13000</v>
      </c>
      <c r="L289" s="702">
        <v>13000</v>
      </c>
      <c r="M289" s="702">
        <v>4000</v>
      </c>
      <c r="N289" s="702">
        <v>4000</v>
      </c>
      <c r="O289" s="702">
        <v>4000</v>
      </c>
      <c r="P289" s="702">
        <v>4000</v>
      </c>
      <c r="Q289" s="702">
        <v>4000</v>
      </c>
      <c r="R289" s="702">
        <v>0</v>
      </c>
      <c r="S289" s="702">
        <v>0</v>
      </c>
      <c r="T289" s="702">
        <v>0</v>
      </c>
      <c r="U289" s="702">
        <v>0</v>
      </c>
      <c r="V289" s="702">
        <v>0</v>
      </c>
      <c r="W289" s="702">
        <v>0</v>
      </c>
      <c r="X289" s="702">
        <v>0</v>
      </c>
      <c r="Y289" s="702">
        <v>0</v>
      </c>
      <c r="Z289" s="702">
        <v>0</v>
      </c>
      <c r="AA289" s="702">
        <v>0</v>
      </c>
    </row>
    <row r="290" spans="1:27" s="685" customFormat="1">
      <c r="A290" s="791" t="s">
        <v>245</v>
      </c>
      <c r="B290" s="792" t="s">
        <v>512</v>
      </c>
      <c r="C290" s="880">
        <v>67899</v>
      </c>
      <c r="D290" s="880">
        <v>0</v>
      </c>
      <c r="E290" s="880">
        <v>0</v>
      </c>
      <c r="F290" s="880">
        <v>0</v>
      </c>
      <c r="G290" s="880">
        <v>0</v>
      </c>
      <c r="H290" s="880">
        <v>0</v>
      </c>
      <c r="I290" s="880">
        <v>0</v>
      </c>
      <c r="J290" s="880">
        <v>0</v>
      </c>
      <c r="K290" s="880">
        <v>0</v>
      </c>
      <c r="L290" s="880">
        <v>0</v>
      </c>
      <c r="M290" s="880">
        <v>0</v>
      </c>
      <c r="N290" s="880">
        <v>0</v>
      </c>
      <c r="O290" s="880">
        <v>0</v>
      </c>
      <c r="P290" s="880">
        <v>0</v>
      </c>
      <c r="Q290" s="880">
        <v>0</v>
      </c>
      <c r="R290" s="880">
        <v>0</v>
      </c>
      <c r="S290" s="880">
        <v>0</v>
      </c>
      <c r="T290" s="880">
        <v>0</v>
      </c>
      <c r="U290" s="880">
        <v>0</v>
      </c>
      <c r="V290" s="880">
        <v>0</v>
      </c>
      <c r="W290" s="880">
        <v>45999</v>
      </c>
      <c r="X290" s="880">
        <v>0</v>
      </c>
      <c r="Y290" s="880">
        <v>0</v>
      </c>
      <c r="Z290" s="880">
        <v>0</v>
      </c>
      <c r="AA290" s="880">
        <v>0</v>
      </c>
    </row>
    <row r="291" spans="1:27" s="685" customFormat="1">
      <c r="A291" s="791"/>
      <c r="B291" s="792"/>
      <c r="C291" s="702">
        <v>113898</v>
      </c>
      <c r="D291" s="702">
        <v>45999</v>
      </c>
      <c r="E291" s="702">
        <v>45999</v>
      </c>
      <c r="F291" s="702">
        <v>45999</v>
      </c>
      <c r="G291" s="702">
        <v>45999</v>
      </c>
      <c r="H291" s="702">
        <v>45999</v>
      </c>
      <c r="I291" s="702">
        <v>45999</v>
      </c>
      <c r="J291" s="702">
        <v>45999</v>
      </c>
      <c r="K291" s="702">
        <v>45999</v>
      </c>
      <c r="L291" s="702">
        <v>45999</v>
      </c>
      <c r="M291" s="702">
        <v>45999</v>
      </c>
      <c r="N291" s="702">
        <v>45999</v>
      </c>
      <c r="O291" s="702">
        <v>45999</v>
      </c>
      <c r="P291" s="702">
        <v>45999</v>
      </c>
      <c r="Q291" s="702">
        <v>45999</v>
      </c>
      <c r="R291" s="702">
        <v>45999</v>
      </c>
      <c r="S291" s="702">
        <v>45999</v>
      </c>
      <c r="T291" s="702">
        <v>45999</v>
      </c>
      <c r="U291" s="702">
        <v>45999</v>
      </c>
      <c r="V291" s="702">
        <v>45999</v>
      </c>
      <c r="W291" s="702">
        <v>45999</v>
      </c>
      <c r="X291" s="702">
        <v>0</v>
      </c>
      <c r="Y291" s="702">
        <v>0</v>
      </c>
      <c r="Z291" s="702">
        <v>0</v>
      </c>
      <c r="AA291" s="702">
        <v>0</v>
      </c>
    </row>
    <row r="292" spans="1:27" s="685" customFormat="1">
      <c r="A292" s="791" t="s">
        <v>349</v>
      </c>
      <c r="B292" s="792" t="s">
        <v>513</v>
      </c>
      <c r="C292" s="880">
        <v>0</v>
      </c>
      <c r="D292" s="880">
        <v>0</v>
      </c>
      <c r="E292" s="880">
        <v>0</v>
      </c>
      <c r="F292" s="880">
        <v>0</v>
      </c>
      <c r="G292" s="880">
        <v>0</v>
      </c>
      <c r="H292" s="880">
        <v>0</v>
      </c>
      <c r="I292" s="880">
        <v>0</v>
      </c>
      <c r="J292" s="880">
        <v>0</v>
      </c>
      <c r="K292" s="880">
        <v>0</v>
      </c>
      <c r="L292" s="880">
        <v>0</v>
      </c>
      <c r="M292" s="880">
        <v>0</v>
      </c>
      <c r="N292" s="880">
        <v>0</v>
      </c>
      <c r="O292" s="880">
        <v>0</v>
      </c>
      <c r="P292" s="880">
        <v>0</v>
      </c>
      <c r="Q292" s="880">
        <v>0</v>
      </c>
      <c r="R292" s="880">
        <v>0</v>
      </c>
      <c r="S292" s="880">
        <v>0</v>
      </c>
      <c r="T292" s="880">
        <v>0</v>
      </c>
      <c r="U292" s="880">
        <v>0</v>
      </c>
      <c r="V292" s="880">
        <v>0</v>
      </c>
      <c r="W292" s="880">
        <v>0</v>
      </c>
      <c r="X292" s="880">
        <v>0</v>
      </c>
      <c r="Y292" s="880">
        <v>0</v>
      </c>
      <c r="Z292" s="880">
        <v>0</v>
      </c>
      <c r="AA292" s="880">
        <v>0</v>
      </c>
    </row>
    <row r="293" spans="1:27" s="685" customFormat="1">
      <c r="A293" s="791"/>
      <c r="B293" s="792"/>
      <c r="C293" s="702">
        <v>0</v>
      </c>
      <c r="D293" s="702">
        <v>0</v>
      </c>
      <c r="E293" s="702">
        <v>0</v>
      </c>
      <c r="F293" s="702">
        <v>0</v>
      </c>
      <c r="G293" s="702">
        <v>0</v>
      </c>
      <c r="H293" s="702">
        <v>0</v>
      </c>
      <c r="I293" s="702">
        <v>0</v>
      </c>
      <c r="J293" s="702">
        <v>0</v>
      </c>
      <c r="K293" s="702">
        <v>0</v>
      </c>
      <c r="L293" s="702">
        <v>0</v>
      </c>
      <c r="M293" s="702">
        <v>0</v>
      </c>
      <c r="N293" s="702">
        <v>0</v>
      </c>
      <c r="O293" s="702">
        <v>0</v>
      </c>
      <c r="P293" s="702">
        <v>0</v>
      </c>
      <c r="Q293" s="702">
        <v>0</v>
      </c>
      <c r="R293" s="702">
        <v>0</v>
      </c>
      <c r="S293" s="702">
        <v>0</v>
      </c>
      <c r="T293" s="702">
        <v>0</v>
      </c>
      <c r="U293" s="702">
        <v>0</v>
      </c>
      <c r="V293" s="702">
        <v>0</v>
      </c>
      <c r="W293" s="702">
        <v>0</v>
      </c>
      <c r="X293" s="702">
        <v>0</v>
      </c>
      <c r="Y293" s="702">
        <v>0</v>
      </c>
      <c r="Z293" s="702">
        <v>0</v>
      </c>
      <c r="AA293" s="702">
        <v>0</v>
      </c>
    </row>
    <row r="294" spans="1:27" s="685" customFormat="1">
      <c r="A294" s="791" t="s">
        <v>247</v>
      </c>
      <c r="B294" s="792" t="s">
        <v>514</v>
      </c>
      <c r="C294" s="880">
        <v>0</v>
      </c>
      <c r="D294" s="880">
        <v>0</v>
      </c>
      <c r="E294" s="880">
        <v>0</v>
      </c>
      <c r="F294" s="880">
        <v>0</v>
      </c>
      <c r="G294" s="880">
        <v>202400</v>
      </c>
      <c r="H294" s="880">
        <v>0</v>
      </c>
      <c r="I294" s="880">
        <v>0</v>
      </c>
      <c r="J294" s="880">
        <v>0</v>
      </c>
      <c r="K294" s="880">
        <v>0</v>
      </c>
      <c r="L294" s="880">
        <v>0</v>
      </c>
      <c r="M294" s="880">
        <v>0</v>
      </c>
      <c r="N294" s="880">
        <v>0</v>
      </c>
      <c r="O294" s="880">
        <v>0</v>
      </c>
      <c r="P294" s="880">
        <v>0</v>
      </c>
      <c r="Q294" s="880">
        <v>0</v>
      </c>
      <c r="R294" s="880">
        <v>0</v>
      </c>
      <c r="S294" s="880">
        <v>0</v>
      </c>
      <c r="T294" s="880">
        <v>0</v>
      </c>
      <c r="U294" s="880">
        <v>0</v>
      </c>
      <c r="V294" s="880">
        <v>0</v>
      </c>
      <c r="W294" s="880">
        <v>0</v>
      </c>
      <c r="X294" s="880">
        <v>0</v>
      </c>
      <c r="Y294" s="880">
        <v>0</v>
      </c>
      <c r="Z294" s="880">
        <v>0</v>
      </c>
      <c r="AA294" s="880">
        <v>0</v>
      </c>
    </row>
    <row r="295" spans="1:27" s="685" customFormat="1">
      <c r="A295" s="791"/>
      <c r="B295" s="792"/>
      <c r="C295" s="702">
        <v>202400</v>
      </c>
      <c r="D295" s="702">
        <v>202400</v>
      </c>
      <c r="E295" s="702">
        <v>202400</v>
      </c>
      <c r="F295" s="702">
        <v>202400</v>
      </c>
      <c r="G295" s="702">
        <v>202400</v>
      </c>
      <c r="H295" s="702">
        <v>0</v>
      </c>
      <c r="I295" s="702">
        <v>0</v>
      </c>
      <c r="J295" s="702">
        <v>0</v>
      </c>
      <c r="K295" s="702">
        <v>0</v>
      </c>
      <c r="L295" s="702">
        <v>0</v>
      </c>
      <c r="M295" s="702">
        <v>0</v>
      </c>
      <c r="N295" s="702">
        <v>0</v>
      </c>
      <c r="O295" s="702">
        <v>0</v>
      </c>
      <c r="P295" s="702">
        <v>0</v>
      </c>
      <c r="Q295" s="702">
        <v>0</v>
      </c>
      <c r="R295" s="702">
        <v>0</v>
      </c>
      <c r="S295" s="702">
        <v>0</v>
      </c>
      <c r="T295" s="702">
        <v>0</v>
      </c>
      <c r="U295" s="702">
        <v>0</v>
      </c>
      <c r="V295" s="702">
        <v>0</v>
      </c>
      <c r="W295" s="702">
        <v>0</v>
      </c>
      <c r="X295" s="702">
        <v>0</v>
      </c>
      <c r="Y295" s="702">
        <v>0</v>
      </c>
      <c r="Z295" s="702">
        <v>0</v>
      </c>
      <c r="AA295" s="702">
        <v>0</v>
      </c>
    </row>
    <row r="296" spans="1:27" s="685" customFormat="1">
      <c r="A296" s="791" t="s">
        <v>187</v>
      </c>
      <c r="B296" s="792" t="s">
        <v>515</v>
      </c>
      <c r="C296" s="880">
        <v>1763000</v>
      </c>
      <c r="D296" s="880">
        <v>0</v>
      </c>
      <c r="E296" s="880">
        <v>0</v>
      </c>
      <c r="F296" s="880">
        <v>0</v>
      </c>
      <c r="G296" s="880">
        <v>0</v>
      </c>
      <c r="H296" s="880">
        <v>0</v>
      </c>
      <c r="I296" s="880">
        <v>0</v>
      </c>
      <c r="J296" s="880">
        <v>0</v>
      </c>
      <c r="K296" s="880">
        <v>0</v>
      </c>
      <c r="L296" s="880">
        <v>0</v>
      </c>
      <c r="M296" s="880">
        <v>0</v>
      </c>
      <c r="N296" s="880">
        <v>0</v>
      </c>
      <c r="O296" s="880">
        <v>0</v>
      </c>
      <c r="P296" s="880">
        <v>0</v>
      </c>
      <c r="Q296" s="880">
        <v>0</v>
      </c>
      <c r="R296" s="880">
        <v>0</v>
      </c>
      <c r="S296" s="880">
        <v>0</v>
      </c>
      <c r="T296" s="880">
        <v>0</v>
      </c>
      <c r="U296" s="880">
        <v>0</v>
      </c>
      <c r="V296" s="880">
        <v>0</v>
      </c>
      <c r="W296" s="880">
        <v>0</v>
      </c>
      <c r="X296" s="880">
        <v>0</v>
      </c>
      <c r="Y296" s="880">
        <v>0</v>
      </c>
      <c r="Z296" s="880">
        <v>0</v>
      </c>
      <c r="AA296" s="880">
        <v>0</v>
      </c>
    </row>
    <row r="297" spans="1:27" s="685" customFormat="1">
      <c r="A297" s="791"/>
      <c r="B297" s="792"/>
      <c r="C297" s="702">
        <v>1763000</v>
      </c>
      <c r="D297" s="702">
        <v>0</v>
      </c>
      <c r="E297" s="702">
        <v>0</v>
      </c>
      <c r="F297" s="702">
        <v>0</v>
      </c>
      <c r="G297" s="702">
        <v>0</v>
      </c>
      <c r="H297" s="702">
        <v>0</v>
      </c>
      <c r="I297" s="702">
        <v>0</v>
      </c>
      <c r="J297" s="702">
        <v>0</v>
      </c>
      <c r="K297" s="702">
        <v>0</v>
      </c>
      <c r="L297" s="702">
        <v>0</v>
      </c>
      <c r="M297" s="702">
        <v>0</v>
      </c>
      <c r="N297" s="702">
        <v>0</v>
      </c>
      <c r="O297" s="702">
        <v>0</v>
      </c>
      <c r="P297" s="702">
        <v>0</v>
      </c>
      <c r="Q297" s="702">
        <v>0</v>
      </c>
      <c r="R297" s="702">
        <v>0</v>
      </c>
      <c r="S297" s="702">
        <v>0</v>
      </c>
      <c r="T297" s="702">
        <v>0</v>
      </c>
      <c r="U297" s="702">
        <v>0</v>
      </c>
      <c r="V297" s="702">
        <v>0</v>
      </c>
      <c r="W297" s="702">
        <v>0</v>
      </c>
      <c r="X297" s="702">
        <v>0</v>
      </c>
      <c r="Y297" s="702">
        <v>0</v>
      </c>
      <c r="Z297" s="702">
        <v>0</v>
      </c>
      <c r="AA297" s="702">
        <v>0</v>
      </c>
    </row>
    <row r="298" spans="1:27" s="685" customFormat="1">
      <c r="A298" s="791" t="s">
        <v>246</v>
      </c>
      <c r="B298" s="792" t="s">
        <v>516</v>
      </c>
      <c r="C298" s="880">
        <v>0</v>
      </c>
      <c r="D298" s="880">
        <v>0</v>
      </c>
      <c r="E298" s="880">
        <v>0</v>
      </c>
      <c r="F298" s="880">
        <v>0</v>
      </c>
      <c r="G298" s="880">
        <v>0</v>
      </c>
      <c r="H298" s="880">
        <v>0</v>
      </c>
      <c r="I298" s="880">
        <v>0</v>
      </c>
      <c r="J298" s="880">
        <v>0</v>
      </c>
      <c r="K298" s="880">
        <v>0</v>
      </c>
      <c r="L298" s="880">
        <v>0</v>
      </c>
      <c r="M298" s="880">
        <v>0</v>
      </c>
      <c r="N298" s="880">
        <v>0</v>
      </c>
      <c r="O298" s="880">
        <v>0</v>
      </c>
      <c r="P298" s="880">
        <v>0</v>
      </c>
      <c r="Q298" s="880">
        <v>0</v>
      </c>
      <c r="R298" s="880">
        <v>0</v>
      </c>
      <c r="S298" s="880">
        <v>0</v>
      </c>
      <c r="T298" s="880">
        <v>0</v>
      </c>
      <c r="U298" s="880">
        <v>0</v>
      </c>
      <c r="V298" s="880">
        <v>0</v>
      </c>
      <c r="W298" s="880">
        <v>0</v>
      </c>
      <c r="X298" s="880">
        <v>0</v>
      </c>
      <c r="Y298" s="880">
        <v>0</v>
      </c>
      <c r="Z298" s="880">
        <v>0</v>
      </c>
      <c r="AA298" s="880">
        <v>0</v>
      </c>
    </row>
    <row r="299" spans="1:27" s="685" customFormat="1">
      <c r="A299" s="791"/>
      <c r="B299" s="792"/>
      <c r="C299" s="702">
        <v>0</v>
      </c>
      <c r="D299" s="702">
        <v>0</v>
      </c>
      <c r="E299" s="702">
        <v>0</v>
      </c>
      <c r="F299" s="702">
        <v>0</v>
      </c>
      <c r="G299" s="702">
        <v>0</v>
      </c>
      <c r="H299" s="702">
        <v>0</v>
      </c>
      <c r="I299" s="702">
        <v>0</v>
      </c>
      <c r="J299" s="702">
        <v>0</v>
      </c>
      <c r="K299" s="702">
        <v>0</v>
      </c>
      <c r="L299" s="702">
        <v>0</v>
      </c>
      <c r="M299" s="702">
        <v>0</v>
      </c>
      <c r="N299" s="702">
        <v>0</v>
      </c>
      <c r="O299" s="702">
        <v>0</v>
      </c>
      <c r="P299" s="702">
        <v>0</v>
      </c>
      <c r="Q299" s="702">
        <v>0</v>
      </c>
      <c r="R299" s="702">
        <v>0</v>
      </c>
      <c r="S299" s="702">
        <v>0</v>
      </c>
      <c r="T299" s="702">
        <v>0</v>
      </c>
      <c r="U299" s="702">
        <v>0</v>
      </c>
      <c r="V299" s="702">
        <v>0</v>
      </c>
      <c r="W299" s="702">
        <v>0</v>
      </c>
      <c r="X299" s="702">
        <v>0</v>
      </c>
      <c r="Y299" s="702">
        <v>0</v>
      </c>
      <c r="Z299" s="702">
        <v>0</v>
      </c>
      <c r="AA299" s="702">
        <v>0</v>
      </c>
    </row>
    <row r="300" spans="1:27" s="685" customFormat="1">
      <c r="A300" s="791" t="s">
        <v>334</v>
      </c>
      <c r="B300" s="792" t="s">
        <v>517</v>
      </c>
      <c r="C300" s="880">
        <v>0</v>
      </c>
      <c r="D300" s="880">
        <v>0</v>
      </c>
      <c r="E300" s="880">
        <v>0</v>
      </c>
      <c r="F300" s="880">
        <v>0</v>
      </c>
      <c r="G300" s="880">
        <v>0</v>
      </c>
      <c r="H300" s="880">
        <v>0</v>
      </c>
      <c r="I300" s="880">
        <v>0</v>
      </c>
      <c r="J300" s="880">
        <v>0</v>
      </c>
      <c r="K300" s="880">
        <v>0</v>
      </c>
      <c r="L300" s="880">
        <v>0</v>
      </c>
      <c r="M300" s="880">
        <v>0</v>
      </c>
      <c r="N300" s="880">
        <v>0</v>
      </c>
      <c r="O300" s="880">
        <v>0</v>
      </c>
      <c r="P300" s="880">
        <v>0</v>
      </c>
      <c r="Q300" s="880">
        <v>0</v>
      </c>
      <c r="R300" s="880">
        <v>0</v>
      </c>
      <c r="S300" s="880">
        <v>0</v>
      </c>
      <c r="T300" s="880">
        <v>0</v>
      </c>
      <c r="U300" s="880">
        <v>0</v>
      </c>
      <c r="V300" s="880">
        <v>0</v>
      </c>
      <c r="W300" s="880">
        <v>0</v>
      </c>
      <c r="X300" s="880">
        <v>0</v>
      </c>
      <c r="Y300" s="880">
        <v>0</v>
      </c>
      <c r="Z300" s="880">
        <v>0</v>
      </c>
      <c r="AA300" s="880">
        <v>0</v>
      </c>
    </row>
    <row r="301" spans="1:27" s="685" customFormat="1">
      <c r="A301" s="791"/>
      <c r="B301" s="792"/>
      <c r="C301" s="702">
        <v>0</v>
      </c>
      <c r="D301" s="702">
        <v>0</v>
      </c>
      <c r="E301" s="702">
        <v>0</v>
      </c>
      <c r="F301" s="702">
        <v>0</v>
      </c>
      <c r="G301" s="702">
        <v>0</v>
      </c>
      <c r="H301" s="702">
        <v>0</v>
      </c>
      <c r="I301" s="702">
        <v>0</v>
      </c>
      <c r="J301" s="702">
        <v>0</v>
      </c>
      <c r="K301" s="702">
        <v>0</v>
      </c>
      <c r="L301" s="702">
        <v>0</v>
      </c>
      <c r="M301" s="702">
        <v>0</v>
      </c>
      <c r="N301" s="702">
        <v>0</v>
      </c>
      <c r="O301" s="702">
        <v>0</v>
      </c>
      <c r="P301" s="702">
        <v>0</v>
      </c>
      <c r="Q301" s="702">
        <v>0</v>
      </c>
      <c r="R301" s="702">
        <v>0</v>
      </c>
      <c r="S301" s="702">
        <v>0</v>
      </c>
      <c r="T301" s="702">
        <v>0</v>
      </c>
      <c r="U301" s="702">
        <v>0</v>
      </c>
      <c r="V301" s="702">
        <v>0</v>
      </c>
      <c r="W301" s="702">
        <v>0</v>
      </c>
      <c r="X301" s="702">
        <v>0</v>
      </c>
      <c r="Y301" s="702">
        <v>0</v>
      </c>
      <c r="Z301" s="702">
        <v>0</v>
      </c>
      <c r="AA301" s="702">
        <v>0</v>
      </c>
    </row>
    <row r="302" spans="1:27" s="685" customFormat="1">
      <c r="A302" s="791" t="s">
        <v>27</v>
      </c>
      <c r="B302" s="792" t="s">
        <v>303</v>
      </c>
      <c r="C302" s="880">
        <v>0</v>
      </c>
      <c r="D302" s="880">
        <v>0</v>
      </c>
      <c r="E302" s="880">
        <v>0</v>
      </c>
      <c r="F302" s="880">
        <v>0</v>
      </c>
      <c r="G302" s="880">
        <v>20000</v>
      </c>
      <c r="H302" s="880">
        <v>146500</v>
      </c>
      <c r="I302" s="880">
        <v>30000</v>
      </c>
      <c r="J302" s="880">
        <v>0</v>
      </c>
      <c r="K302" s="880">
        <v>0</v>
      </c>
      <c r="L302" s="880">
        <v>0</v>
      </c>
      <c r="M302" s="880">
        <v>20000</v>
      </c>
      <c r="N302" s="880">
        <v>12500</v>
      </c>
      <c r="O302" s="880">
        <v>0</v>
      </c>
      <c r="P302" s="880">
        <v>0</v>
      </c>
      <c r="Q302" s="880">
        <v>0</v>
      </c>
      <c r="R302" s="880">
        <v>0</v>
      </c>
      <c r="S302" s="880">
        <v>0</v>
      </c>
      <c r="T302" s="880">
        <v>0</v>
      </c>
      <c r="U302" s="880">
        <v>20000</v>
      </c>
      <c r="V302" s="880">
        <v>0</v>
      </c>
      <c r="W302" s="880">
        <v>0</v>
      </c>
      <c r="X302" s="880">
        <v>0</v>
      </c>
      <c r="Y302" s="880">
        <v>0</v>
      </c>
      <c r="Z302" s="880">
        <v>0</v>
      </c>
      <c r="AA302" s="880">
        <v>0</v>
      </c>
    </row>
    <row r="303" spans="1:27" s="685" customFormat="1">
      <c r="A303" s="791"/>
      <c r="B303" s="792"/>
      <c r="C303" s="702">
        <v>249000</v>
      </c>
      <c r="D303" s="702">
        <v>249000</v>
      </c>
      <c r="E303" s="702">
        <v>249000</v>
      </c>
      <c r="F303" s="702">
        <v>249000</v>
      </c>
      <c r="G303" s="702">
        <v>249000</v>
      </c>
      <c r="H303" s="702">
        <v>229000</v>
      </c>
      <c r="I303" s="702">
        <v>82500</v>
      </c>
      <c r="J303" s="702">
        <v>52500</v>
      </c>
      <c r="K303" s="702">
        <v>52500</v>
      </c>
      <c r="L303" s="702">
        <v>52500</v>
      </c>
      <c r="M303" s="702">
        <v>52500</v>
      </c>
      <c r="N303" s="702">
        <v>32500</v>
      </c>
      <c r="O303" s="702">
        <v>20000</v>
      </c>
      <c r="P303" s="702">
        <v>20000</v>
      </c>
      <c r="Q303" s="702">
        <v>20000</v>
      </c>
      <c r="R303" s="702">
        <v>20000</v>
      </c>
      <c r="S303" s="702">
        <v>20000</v>
      </c>
      <c r="T303" s="702">
        <v>20000</v>
      </c>
      <c r="U303" s="702">
        <v>20000</v>
      </c>
      <c r="V303" s="702">
        <v>0</v>
      </c>
      <c r="W303" s="702">
        <v>0</v>
      </c>
      <c r="X303" s="702">
        <v>0</v>
      </c>
      <c r="Y303" s="702">
        <v>0</v>
      </c>
      <c r="Z303" s="702">
        <v>0</v>
      </c>
      <c r="AA303" s="702">
        <v>0</v>
      </c>
    </row>
    <row r="304" spans="1:27" s="685" customFormat="1">
      <c r="A304" s="791" t="s">
        <v>180</v>
      </c>
      <c r="B304" s="792"/>
      <c r="C304" s="1021">
        <v>0</v>
      </c>
      <c r="D304" s="1021">
        <v>0</v>
      </c>
      <c r="E304" s="1021">
        <v>0</v>
      </c>
      <c r="F304" s="1021">
        <v>0</v>
      </c>
      <c r="G304" s="1021">
        <v>0</v>
      </c>
      <c r="H304" s="1021">
        <v>18000</v>
      </c>
      <c r="I304" s="1021">
        <v>0</v>
      </c>
      <c r="J304" s="1021">
        <v>0</v>
      </c>
      <c r="K304" s="1021">
        <v>0</v>
      </c>
      <c r="L304" s="1021">
        <v>0</v>
      </c>
      <c r="M304" s="1021">
        <v>0</v>
      </c>
      <c r="N304" s="1021">
        <v>0</v>
      </c>
      <c r="O304" s="1021">
        <v>0</v>
      </c>
      <c r="P304" s="1021">
        <v>0</v>
      </c>
      <c r="Q304" s="1021">
        <v>0</v>
      </c>
      <c r="R304" s="1021">
        <v>0</v>
      </c>
      <c r="S304" s="1021">
        <v>18000</v>
      </c>
      <c r="T304" s="1021">
        <v>0</v>
      </c>
      <c r="U304" s="1021">
        <v>0</v>
      </c>
      <c r="V304" s="1021">
        <v>0</v>
      </c>
      <c r="W304" s="1021">
        <v>0</v>
      </c>
      <c r="X304" s="1021">
        <v>0</v>
      </c>
      <c r="Y304" s="1021">
        <v>0</v>
      </c>
      <c r="Z304" s="1021">
        <v>0</v>
      </c>
      <c r="AA304" s="1021">
        <v>0</v>
      </c>
    </row>
    <row r="305" spans="1:27" s="685" customFormat="1">
      <c r="A305" s="791"/>
      <c r="B305" s="792"/>
      <c r="C305" s="702">
        <v>36000</v>
      </c>
      <c r="D305" s="702">
        <v>36000</v>
      </c>
      <c r="E305" s="702">
        <v>36000</v>
      </c>
      <c r="F305" s="702">
        <v>36000</v>
      </c>
      <c r="G305" s="702">
        <v>36000</v>
      </c>
      <c r="H305" s="702">
        <v>36000</v>
      </c>
      <c r="I305" s="702">
        <v>18000</v>
      </c>
      <c r="J305" s="702">
        <v>18000</v>
      </c>
      <c r="K305" s="702">
        <v>18000</v>
      </c>
      <c r="L305" s="702">
        <v>18000</v>
      </c>
      <c r="M305" s="702">
        <v>18000</v>
      </c>
      <c r="N305" s="702">
        <v>18000</v>
      </c>
      <c r="O305" s="702">
        <v>18000</v>
      </c>
      <c r="P305" s="702">
        <v>18000</v>
      </c>
      <c r="Q305" s="702">
        <v>18000</v>
      </c>
      <c r="R305" s="702">
        <v>18000</v>
      </c>
      <c r="S305" s="702">
        <v>18000</v>
      </c>
      <c r="T305" s="702">
        <v>0</v>
      </c>
      <c r="U305" s="702">
        <v>0</v>
      </c>
      <c r="V305" s="702">
        <v>0</v>
      </c>
      <c r="W305" s="702">
        <v>0</v>
      </c>
      <c r="X305" s="702">
        <v>0</v>
      </c>
      <c r="Y305" s="702">
        <v>0</v>
      </c>
      <c r="Z305" s="702">
        <v>0</v>
      </c>
      <c r="AA305" s="702">
        <v>0</v>
      </c>
    </row>
    <row r="306" spans="1:27" s="685" customFormat="1">
      <c r="A306" s="791" t="s">
        <v>59</v>
      </c>
      <c r="B306" s="792"/>
      <c r="C306" s="880">
        <v>1830899</v>
      </c>
      <c r="D306" s="880">
        <v>0</v>
      </c>
      <c r="E306" s="880">
        <v>0</v>
      </c>
      <c r="F306" s="880">
        <v>0</v>
      </c>
      <c r="G306" s="880">
        <v>222400</v>
      </c>
      <c r="H306" s="880">
        <v>164500</v>
      </c>
      <c r="I306" s="880">
        <v>30000</v>
      </c>
      <c r="J306" s="880">
        <v>0</v>
      </c>
      <c r="K306" s="880">
        <v>0</v>
      </c>
      <c r="L306" s="880">
        <v>9000</v>
      </c>
      <c r="M306" s="880">
        <v>20000</v>
      </c>
      <c r="N306" s="880">
        <v>12500</v>
      </c>
      <c r="O306" s="880">
        <v>0</v>
      </c>
      <c r="P306" s="880">
        <v>0</v>
      </c>
      <c r="Q306" s="880">
        <v>4000</v>
      </c>
      <c r="R306" s="880">
        <v>0</v>
      </c>
      <c r="S306" s="880">
        <v>18000</v>
      </c>
      <c r="T306" s="880">
        <v>0</v>
      </c>
      <c r="U306" s="880">
        <v>20000</v>
      </c>
      <c r="V306" s="880">
        <v>0</v>
      </c>
      <c r="W306" s="880">
        <v>45999</v>
      </c>
      <c r="X306" s="880">
        <v>0</v>
      </c>
      <c r="Y306" s="880">
        <v>0</v>
      </c>
      <c r="Z306" s="880">
        <v>0</v>
      </c>
      <c r="AA306" s="880">
        <v>0</v>
      </c>
    </row>
    <row r="307" spans="1:27" s="685" customFormat="1">
      <c r="A307" s="791"/>
      <c r="B307" s="792"/>
      <c r="C307" s="702">
        <v>2377298</v>
      </c>
      <c r="D307" s="702">
        <v>546399</v>
      </c>
      <c r="E307" s="702">
        <v>546399</v>
      </c>
      <c r="F307" s="702">
        <v>546399</v>
      </c>
      <c r="G307" s="702">
        <v>546399</v>
      </c>
      <c r="H307" s="702">
        <v>323999</v>
      </c>
      <c r="I307" s="702">
        <v>159499</v>
      </c>
      <c r="J307" s="702">
        <v>129499</v>
      </c>
      <c r="K307" s="702">
        <v>129499</v>
      </c>
      <c r="L307" s="702">
        <v>129499</v>
      </c>
      <c r="M307" s="702">
        <v>120499</v>
      </c>
      <c r="N307" s="702">
        <v>100499</v>
      </c>
      <c r="O307" s="702">
        <v>87999</v>
      </c>
      <c r="P307" s="702">
        <v>87999</v>
      </c>
      <c r="Q307" s="702">
        <v>87999</v>
      </c>
      <c r="R307" s="702">
        <v>83999</v>
      </c>
      <c r="S307" s="702">
        <v>83999</v>
      </c>
      <c r="T307" s="702">
        <v>65999</v>
      </c>
      <c r="U307" s="702">
        <v>65999</v>
      </c>
      <c r="V307" s="702">
        <v>45999</v>
      </c>
      <c r="W307" s="702">
        <v>45999</v>
      </c>
      <c r="X307" s="702">
        <v>0</v>
      </c>
      <c r="Y307" s="702">
        <v>0</v>
      </c>
      <c r="Z307" s="702">
        <v>0</v>
      </c>
      <c r="AA307" s="702">
        <v>0</v>
      </c>
    </row>
    <row r="308" spans="1:27" s="685" customFormat="1">
      <c r="A308" s="793" t="s">
        <v>350</v>
      </c>
      <c r="B308" s="794"/>
      <c r="C308" s="882">
        <v>650606</v>
      </c>
      <c r="D308" s="882">
        <v>339115</v>
      </c>
      <c r="E308" s="882">
        <v>237910</v>
      </c>
      <c r="F308" s="882">
        <v>337011</v>
      </c>
      <c r="G308" s="882">
        <v>92934</v>
      </c>
      <c r="H308" s="882">
        <v>563173</v>
      </c>
      <c r="I308" s="882">
        <v>629918</v>
      </c>
      <c r="J308" s="882">
        <v>0</v>
      </c>
      <c r="K308" s="882">
        <v>429611</v>
      </c>
      <c r="L308" s="882">
        <v>600718</v>
      </c>
      <c r="M308" s="882">
        <v>520216</v>
      </c>
      <c r="N308" s="882">
        <v>604508</v>
      </c>
      <c r="O308" s="882">
        <v>314210</v>
      </c>
      <c r="P308" s="882">
        <v>475314</v>
      </c>
      <c r="Q308" s="882">
        <v>-4000</v>
      </c>
      <c r="R308" s="882">
        <v>358737</v>
      </c>
      <c r="S308" s="882">
        <v>404707</v>
      </c>
      <c r="T308" s="882">
        <v>543414</v>
      </c>
      <c r="U308" s="882">
        <v>497439</v>
      </c>
      <c r="V308" s="882">
        <v>381540</v>
      </c>
      <c r="W308" s="882">
        <v>42005</v>
      </c>
      <c r="X308" s="882">
        <v>0</v>
      </c>
      <c r="Y308" s="882">
        <v>411012</v>
      </c>
      <c r="Z308" s="882">
        <v>431140</v>
      </c>
      <c r="AA308" s="882">
        <v>0</v>
      </c>
    </row>
    <row r="309" spans="1:27" s="685" customFormat="1">
      <c r="A309" s="793"/>
      <c r="B309" s="794"/>
      <c r="C309" s="702">
        <v>8861238</v>
      </c>
      <c r="D309" s="702">
        <v>8210632</v>
      </c>
      <c r="E309" s="702">
        <v>7871517</v>
      </c>
      <c r="F309" s="702">
        <v>7633607</v>
      </c>
      <c r="G309" s="702">
        <v>7296596</v>
      </c>
      <c r="H309" s="702">
        <v>7203662</v>
      </c>
      <c r="I309" s="702">
        <v>6640489</v>
      </c>
      <c r="J309" s="702">
        <v>6010571</v>
      </c>
      <c r="K309" s="702">
        <v>6010571</v>
      </c>
      <c r="L309" s="702">
        <v>5580960</v>
      </c>
      <c r="M309" s="702">
        <v>4980242</v>
      </c>
      <c r="N309" s="702">
        <v>4460026</v>
      </c>
      <c r="O309" s="702">
        <v>3855518</v>
      </c>
      <c r="P309" s="702">
        <v>3541308</v>
      </c>
      <c r="Q309" s="702">
        <v>3065994</v>
      </c>
      <c r="R309" s="702">
        <v>3069994</v>
      </c>
      <c r="S309" s="702">
        <v>2711257</v>
      </c>
      <c r="T309" s="702">
        <v>2306550</v>
      </c>
      <c r="U309" s="702">
        <v>1763136</v>
      </c>
      <c r="V309" s="702">
        <v>1265697</v>
      </c>
      <c r="W309" s="702">
        <v>884157</v>
      </c>
      <c r="X309" s="702">
        <v>842152</v>
      </c>
      <c r="Y309" s="702">
        <v>842152</v>
      </c>
      <c r="Z309" s="702">
        <v>431140</v>
      </c>
      <c r="AA309" s="702">
        <v>0</v>
      </c>
    </row>
    <row r="310" spans="1:27" s="685" customFormat="1">
      <c r="A310" s="797"/>
      <c r="B310" s="748"/>
      <c r="C310" s="879"/>
      <c r="D310" s="879"/>
      <c r="E310" s="879"/>
      <c r="F310" s="879"/>
      <c r="G310" s="879"/>
      <c r="H310" s="879"/>
      <c r="I310" s="879"/>
      <c r="J310" s="879"/>
      <c r="K310" s="879"/>
      <c r="L310" s="879"/>
      <c r="M310" s="879"/>
      <c r="N310" s="879"/>
      <c r="O310" s="879"/>
      <c r="P310" s="879"/>
      <c r="Q310" s="879"/>
      <c r="R310" s="879"/>
      <c r="S310" s="879"/>
      <c r="T310" s="879"/>
      <c r="U310" s="879"/>
      <c r="V310" s="879"/>
      <c r="W310" s="879"/>
      <c r="X310" s="879"/>
      <c r="Y310" s="879"/>
      <c r="Z310" s="879"/>
      <c r="AA310" s="879"/>
    </row>
    <row r="311" spans="1:27" s="685" customFormat="1">
      <c r="A311" s="796" t="s">
        <v>345</v>
      </c>
      <c r="B311" s="788" t="s">
        <v>518</v>
      </c>
      <c r="C311" s="880">
        <v>2027784</v>
      </c>
      <c r="D311" s="880">
        <v>435640</v>
      </c>
      <c r="E311" s="880">
        <v>464362</v>
      </c>
      <c r="F311" s="880">
        <v>531317</v>
      </c>
      <c r="G311" s="880">
        <v>397769</v>
      </c>
      <c r="H311" s="880">
        <v>491295</v>
      </c>
      <c r="I311" s="880">
        <v>899573</v>
      </c>
      <c r="J311" s="880">
        <v>65600</v>
      </c>
      <c r="K311" s="880">
        <v>416326</v>
      </c>
      <c r="L311" s="880">
        <v>424576</v>
      </c>
      <c r="M311" s="880">
        <v>444718</v>
      </c>
      <c r="N311" s="880">
        <v>394434</v>
      </c>
      <c r="O311" s="880">
        <v>431117</v>
      </c>
      <c r="P311" s="880">
        <v>428218</v>
      </c>
      <c r="Q311" s="880">
        <v>57350</v>
      </c>
      <c r="R311" s="880">
        <v>350310</v>
      </c>
      <c r="S311" s="880">
        <v>426510</v>
      </c>
      <c r="T311" s="880">
        <v>364977</v>
      </c>
      <c r="U311" s="880">
        <v>283329</v>
      </c>
      <c r="V311" s="880">
        <v>331751</v>
      </c>
      <c r="W311" s="880">
        <v>178889</v>
      </c>
      <c r="X311" s="880">
        <v>40850</v>
      </c>
      <c r="Y311" s="880">
        <v>367800</v>
      </c>
      <c r="Z311" s="880">
        <v>346387</v>
      </c>
      <c r="AA311" s="880">
        <v>0</v>
      </c>
    </row>
    <row r="312" spans="1:27" s="685" customFormat="1">
      <c r="A312" s="787"/>
      <c r="B312" s="788"/>
      <c r="C312" s="702">
        <v>10600882</v>
      </c>
      <c r="D312" s="702">
        <v>8573098</v>
      </c>
      <c r="E312" s="702">
        <v>8137458</v>
      </c>
      <c r="F312" s="702">
        <v>7673096</v>
      </c>
      <c r="G312" s="702">
        <v>7141779</v>
      </c>
      <c r="H312" s="702">
        <v>6744010</v>
      </c>
      <c r="I312" s="702">
        <v>6252715</v>
      </c>
      <c r="J312" s="702">
        <v>5353142</v>
      </c>
      <c r="K312" s="702">
        <v>5287542</v>
      </c>
      <c r="L312" s="702">
        <v>4871216</v>
      </c>
      <c r="M312" s="702">
        <v>4446640</v>
      </c>
      <c r="N312" s="702">
        <v>4001922</v>
      </c>
      <c r="O312" s="702">
        <v>3607488</v>
      </c>
      <c r="P312" s="702">
        <v>3176371</v>
      </c>
      <c r="Q312" s="702">
        <v>2748153</v>
      </c>
      <c r="R312" s="702">
        <v>2690803</v>
      </c>
      <c r="S312" s="702">
        <v>2340493</v>
      </c>
      <c r="T312" s="702">
        <v>1913983</v>
      </c>
      <c r="U312" s="702">
        <v>1549006</v>
      </c>
      <c r="V312" s="702">
        <v>1265677</v>
      </c>
      <c r="W312" s="702">
        <v>933926</v>
      </c>
      <c r="X312" s="702">
        <v>755037</v>
      </c>
      <c r="Y312" s="702">
        <v>714187</v>
      </c>
      <c r="Z312" s="702">
        <v>346387</v>
      </c>
      <c r="AA312" s="702">
        <v>0</v>
      </c>
    </row>
    <row r="313" spans="1:27" s="685" customFormat="1">
      <c r="A313" s="789" t="s">
        <v>100</v>
      </c>
      <c r="B313" s="790"/>
      <c r="C313" s="879"/>
      <c r="D313" s="879"/>
      <c r="E313" s="879"/>
      <c r="F313" s="879"/>
      <c r="G313" s="879"/>
      <c r="H313" s="879"/>
      <c r="I313" s="879"/>
      <c r="J313" s="879"/>
      <c r="K313" s="879"/>
      <c r="L313" s="879"/>
      <c r="M313" s="879"/>
      <c r="N313" s="879"/>
      <c r="O313" s="879"/>
      <c r="P313" s="879"/>
      <c r="Q313" s="879"/>
      <c r="R313" s="879"/>
      <c r="S313" s="879"/>
      <c r="T313" s="879"/>
      <c r="U313" s="879"/>
      <c r="V313" s="879"/>
      <c r="W313" s="879"/>
      <c r="X313" s="879"/>
      <c r="Y313" s="879"/>
      <c r="Z313" s="879"/>
      <c r="AA313" s="879"/>
    </row>
    <row r="314" spans="1:27" s="685" customFormat="1">
      <c r="A314" s="791" t="s">
        <v>337</v>
      </c>
      <c r="B314" s="792" t="s">
        <v>519</v>
      </c>
      <c r="C314" s="880">
        <v>0</v>
      </c>
      <c r="D314" s="880">
        <v>0</v>
      </c>
      <c r="E314" s="880">
        <v>0</v>
      </c>
      <c r="F314" s="880">
        <v>0</v>
      </c>
      <c r="G314" s="880">
        <v>0</v>
      </c>
      <c r="H314" s="880">
        <v>0</v>
      </c>
      <c r="I314" s="880">
        <v>0</v>
      </c>
      <c r="J314" s="880">
        <v>0</v>
      </c>
      <c r="K314" s="880">
        <v>0</v>
      </c>
      <c r="L314" s="880">
        <v>0</v>
      </c>
      <c r="M314" s="880">
        <v>0</v>
      </c>
      <c r="N314" s="880">
        <v>0</v>
      </c>
      <c r="O314" s="880">
        <v>0</v>
      </c>
      <c r="P314" s="880">
        <v>0</v>
      </c>
      <c r="Q314" s="880">
        <v>0</v>
      </c>
      <c r="R314" s="880">
        <v>0</v>
      </c>
      <c r="S314" s="880">
        <v>0</v>
      </c>
      <c r="T314" s="880">
        <v>0</v>
      </c>
      <c r="U314" s="880">
        <v>0</v>
      </c>
      <c r="V314" s="880">
        <v>0</v>
      </c>
      <c r="W314" s="880">
        <v>0</v>
      </c>
      <c r="X314" s="880">
        <v>0</v>
      </c>
      <c r="Y314" s="880">
        <v>0</v>
      </c>
      <c r="Z314" s="880">
        <v>0</v>
      </c>
      <c r="AA314" s="880">
        <v>0</v>
      </c>
    </row>
    <row r="315" spans="1:27" s="685" customFormat="1">
      <c r="A315" s="791"/>
      <c r="B315" s="792"/>
      <c r="C315" s="702">
        <v>0</v>
      </c>
      <c r="D315" s="702">
        <v>0</v>
      </c>
      <c r="E315" s="702">
        <v>0</v>
      </c>
      <c r="F315" s="702">
        <v>0</v>
      </c>
      <c r="G315" s="702">
        <v>0</v>
      </c>
      <c r="H315" s="702">
        <v>0</v>
      </c>
      <c r="I315" s="702">
        <v>0</v>
      </c>
      <c r="J315" s="702">
        <v>0</v>
      </c>
      <c r="K315" s="702">
        <v>0</v>
      </c>
      <c r="L315" s="702">
        <v>0</v>
      </c>
      <c r="M315" s="702">
        <v>0</v>
      </c>
      <c r="N315" s="702">
        <v>0</v>
      </c>
      <c r="O315" s="702">
        <v>0</v>
      </c>
      <c r="P315" s="702">
        <v>0</v>
      </c>
      <c r="Q315" s="702">
        <v>0</v>
      </c>
      <c r="R315" s="702">
        <v>0</v>
      </c>
      <c r="S315" s="702">
        <v>0</v>
      </c>
      <c r="T315" s="702">
        <v>0</v>
      </c>
      <c r="U315" s="702">
        <v>0</v>
      </c>
      <c r="V315" s="702">
        <v>0</v>
      </c>
      <c r="W315" s="702">
        <v>0</v>
      </c>
      <c r="X315" s="702">
        <v>0</v>
      </c>
      <c r="Y315" s="702">
        <v>0</v>
      </c>
      <c r="Z315" s="702">
        <v>0</v>
      </c>
      <c r="AA315" s="702">
        <v>0</v>
      </c>
    </row>
    <row r="316" spans="1:27" s="685" customFormat="1">
      <c r="A316" s="791" t="s">
        <v>353</v>
      </c>
      <c r="B316" s="792" t="s">
        <v>520</v>
      </c>
      <c r="C316" s="880">
        <v>0</v>
      </c>
      <c r="D316" s="880">
        <v>0</v>
      </c>
      <c r="E316" s="880">
        <v>0</v>
      </c>
      <c r="F316" s="880">
        <v>0</v>
      </c>
      <c r="G316" s="880">
        <v>0</v>
      </c>
      <c r="H316" s="880">
        <v>0</v>
      </c>
      <c r="I316" s="880">
        <v>15500</v>
      </c>
      <c r="J316" s="880">
        <v>0</v>
      </c>
      <c r="K316" s="880">
        <v>0</v>
      </c>
      <c r="L316" s="880">
        <v>0</v>
      </c>
      <c r="M316" s="880">
        <v>0</v>
      </c>
      <c r="N316" s="880">
        <v>0</v>
      </c>
      <c r="O316" s="880">
        <v>0</v>
      </c>
      <c r="P316" s="880">
        <v>0</v>
      </c>
      <c r="Q316" s="880">
        <v>0</v>
      </c>
      <c r="R316" s="880">
        <v>0</v>
      </c>
      <c r="S316" s="880">
        <v>0</v>
      </c>
      <c r="T316" s="880">
        <v>0</v>
      </c>
      <c r="U316" s="880">
        <v>0</v>
      </c>
      <c r="V316" s="880">
        <v>0</v>
      </c>
      <c r="W316" s="880">
        <v>0</v>
      </c>
      <c r="X316" s="880">
        <v>0</v>
      </c>
      <c r="Y316" s="880">
        <v>0</v>
      </c>
      <c r="Z316" s="880">
        <v>0</v>
      </c>
      <c r="AA316" s="880">
        <v>0</v>
      </c>
    </row>
    <row r="317" spans="1:27" s="685" customFormat="1">
      <c r="A317" s="791"/>
      <c r="B317" s="792"/>
      <c r="C317" s="702">
        <v>15500</v>
      </c>
      <c r="D317" s="702">
        <v>15500</v>
      </c>
      <c r="E317" s="702">
        <v>15500</v>
      </c>
      <c r="F317" s="702">
        <v>15500</v>
      </c>
      <c r="G317" s="702">
        <v>15500</v>
      </c>
      <c r="H317" s="702">
        <v>15500</v>
      </c>
      <c r="I317" s="702">
        <v>15500</v>
      </c>
      <c r="J317" s="702">
        <v>0</v>
      </c>
      <c r="K317" s="702">
        <v>0</v>
      </c>
      <c r="L317" s="702">
        <v>0</v>
      </c>
      <c r="M317" s="702">
        <v>0</v>
      </c>
      <c r="N317" s="702">
        <v>0</v>
      </c>
      <c r="O317" s="702">
        <v>0</v>
      </c>
      <c r="P317" s="702">
        <v>0</v>
      </c>
      <c r="Q317" s="702">
        <v>0</v>
      </c>
      <c r="R317" s="702">
        <v>0</v>
      </c>
      <c r="S317" s="702">
        <v>0</v>
      </c>
      <c r="T317" s="702">
        <v>0</v>
      </c>
      <c r="U317" s="702">
        <v>0</v>
      </c>
      <c r="V317" s="702">
        <v>0</v>
      </c>
      <c r="W317" s="702">
        <v>0</v>
      </c>
      <c r="X317" s="702">
        <v>0</v>
      </c>
      <c r="Y317" s="702">
        <v>0</v>
      </c>
      <c r="Z317" s="702">
        <v>0</v>
      </c>
      <c r="AA317" s="702">
        <v>0</v>
      </c>
    </row>
    <row r="318" spans="1:27" s="685" customFormat="1">
      <c r="A318" s="791" t="s">
        <v>245</v>
      </c>
      <c r="B318" s="792" t="s">
        <v>521</v>
      </c>
      <c r="C318" s="880">
        <v>0</v>
      </c>
      <c r="D318" s="880">
        <v>0</v>
      </c>
      <c r="E318" s="880">
        <v>0</v>
      </c>
      <c r="F318" s="880">
        <v>91000</v>
      </c>
      <c r="G318" s="880">
        <v>0</v>
      </c>
      <c r="H318" s="880">
        <v>0</v>
      </c>
      <c r="I318" s="880">
        <v>0</v>
      </c>
      <c r="J318" s="880">
        <v>0</v>
      </c>
      <c r="K318" s="880">
        <v>0</v>
      </c>
      <c r="L318" s="880">
        <v>0</v>
      </c>
      <c r="M318" s="880">
        <v>0</v>
      </c>
      <c r="N318" s="880">
        <v>0</v>
      </c>
      <c r="O318" s="880">
        <v>0</v>
      </c>
      <c r="P318" s="880">
        <v>0</v>
      </c>
      <c r="Q318" s="880">
        <v>0</v>
      </c>
      <c r="R318" s="880">
        <v>91000</v>
      </c>
      <c r="S318" s="880">
        <v>0</v>
      </c>
      <c r="T318" s="880">
        <v>0</v>
      </c>
      <c r="U318" s="880">
        <v>0</v>
      </c>
      <c r="V318" s="880">
        <v>0</v>
      </c>
      <c r="W318" s="880">
        <v>0</v>
      </c>
      <c r="X318" s="880">
        <v>0</v>
      </c>
      <c r="Y318" s="880">
        <v>0</v>
      </c>
      <c r="Z318" s="880">
        <v>0</v>
      </c>
      <c r="AA318" s="880">
        <v>0</v>
      </c>
    </row>
    <row r="319" spans="1:27" s="685" customFormat="1">
      <c r="A319" s="791"/>
      <c r="B319" s="792"/>
      <c r="C319" s="702">
        <v>182000</v>
      </c>
      <c r="D319" s="702">
        <v>182000</v>
      </c>
      <c r="E319" s="702">
        <v>182000</v>
      </c>
      <c r="F319" s="702">
        <v>182000</v>
      </c>
      <c r="G319" s="702">
        <v>91000</v>
      </c>
      <c r="H319" s="702">
        <v>91000</v>
      </c>
      <c r="I319" s="702">
        <v>91000</v>
      </c>
      <c r="J319" s="702">
        <v>91000</v>
      </c>
      <c r="K319" s="702">
        <v>91000</v>
      </c>
      <c r="L319" s="702">
        <v>91000</v>
      </c>
      <c r="M319" s="702">
        <v>91000</v>
      </c>
      <c r="N319" s="702">
        <v>91000</v>
      </c>
      <c r="O319" s="702">
        <v>91000</v>
      </c>
      <c r="P319" s="702">
        <v>91000</v>
      </c>
      <c r="Q319" s="702">
        <v>91000</v>
      </c>
      <c r="R319" s="702">
        <v>91000</v>
      </c>
      <c r="S319" s="702">
        <v>0</v>
      </c>
      <c r="T319" s="702">
        <v>0</v>
      </c>
      <c r="U319" s="702">
        <v>0</v>
      </c>
      <c r="V319" s="702">
        <v>0</v>
      </c>
      <c r="W319" s="702">
        <v>0</v>
      </c>
      <c r="X319" s="702">
        <v>0</v>
      </c>
      <c r="Y319" s="702">
        <v>0</v>
      </c>
      <c r="Z319" s="702">
        <v>0</v>
      </c>
      <c r="AA319" s="702">
        <v>0</v>
      </c>
    </row>
    <row r="320" spans="1:27" s="685" customFormat="1">
      <c r="A320" s="791" t="s">
        <v>349</v>
      </c>
      <c r="B320" s="792" t="s">
        <v>522</v>
      </c>
      <c r="C320" s="880">
        <v>0</v>
      </c>
      <c r="D320" s="880">
        <v>0</v>
      </c>
      <c r="E320" s="880">
        <v>0</v>
      </c>
      <c r="F320" s="880">
        <v>0</v>
      </c>
      <c r="G320" s="880">
        <v>0</v>
      </c>
      <c r="H320" s="880">
        <v>0</v>
      </c>
      <c r="I320" s="880">
        <v>0</v>
      </c>
      <c r="J320" s="880">
        <v>0</v>
      </c>
      <c r="K320" s="880">
        <v>0</v>
      </c>
      <c r="L320" s="880">
        <v>0</v>
      </c>
      <c r="M320" s="880">
        <v>0</v>
      </c>
      <c r="N320" s="880">
        <v>0</v>
      </c>
      <c r="O320" s="880">
        <v>0</v>
      </c>
      <c r="P320" s="880">
        <v>0</v>
      </c>
      <c r="Q320" s="880">
        <v>0</v>
      </c>
      <c r="R320" s="880">
        <v>0</v>
      </c>
      <c r="S320" s="880">
        <v>0</v>
      </c>
      <c r="T320" s="880">
        <v>0</v>
      </c>
      <c r="U320" s="880">
        <v>0</v>
      </c>
      <c r="V320" s="880">
        <v>0</v>
      </c>
      <c r="W320" s="880">
        <v>0</v>
      </c>
      <c r="X320" s="880">
        <v>0</v>
      </c>
      <c r="Y320" s="880">
        <v>0</v>
      </c>
      <c r="Z320" s="880">
        <v>0</v>
      </c>
      <c r="AA320" s="880">
        <v>0</v>
      </c>
    </row>
    <row r="321" spans="1:27" s="685" customFormat="1">
      <c r="A321" s="791"/>
      <c r="B321" s="792"/>
      <c r="C321" s="702">
        <v>0</v>
      </c>
      <c r="D321" s="702">
        <v>0</v>
      </c>
      <c r="E321" s="702">
        <v>0</v>
      </c>
      <c r="F321" s="702">
        <v>0</v>
      </c>
      <c r="G321" s="702">
        <v>0</v>
      </c>
      <c r="H321" s="702">
        <v>0</v>
      </c>
      <c r="I321" s="702">
        <v>0</v>
      </c>
      <c r="J321" s="702">
        <v>0</v>
      </c>
      <c r="K321" s="702">
        <v>0</v>
      </c>
      <c r="L321" s="702">
        <v>0</v>
      </c>
      <c r="M321" s="702">
        <v>0</v>
      </c>
      <c r="N321" s="702">
        <v>0</v>
      </c>
      <c r="O321" s="702">
        <v>0</v>
      </c>
      <c r="P321" s="702">
        <v>0</v>
      </c>
      <c r="Q321" s="702">
        <v>0</v>
      </c>
      <c r="R321" s="702">
        <v>0</v>
      </c>
      <c r="S321" s="702">
        <v>0</v>
      </c>
      <c r="T321" s="702">
        <v>0</v>
      </c>
      <c r="U321" s="702">
        <v>0</v>
      </c>
      <c r="V321" s="702">
        <v>0</v>
      </c>
      <c r="W321" s="702">
        <v>0</v>
      </c>
      <c r="X321" s="702">
        <v>0</v>
      </c>
      <c r="Y321" s="702">
        <v>0</v>
      </c>
      <c r="Z321" s="702">
        <v>0</v>
      </c>
      <c r="AA321" s="702">
        <v>0</v>
      </c>
    </row>
    <row r="322" spans="1:27" s="685" customFormat="1">
      <c r="A322" s="791" t="s">
        <v>247</v>
      </c>
      <c r="B322" s="792" t="s">
        <v>523</v>
      </c>
      <c r="C322" s="880">
        <v>0</v>
      </c>
      <c r="D322" s="880">
        <v>0</v>
      </c>
      <c r="E322" s="880">
        <v>0</v>
      </c>
      <c r="F322" s="880">
        <v>0</v>
      </c>
      <c r="G322" s="880">
        <v>0</v>
      </c>
      <c r="H322" s="880">
        <v>0</v>
      </c>
      <c r="I322" s="880">
        <v>0</v>
      </c>
      <c r="J322" s="880">
        <v>0</v>
      </c>
      <c r="K322" s="880">
        <v>0</v>
      </c>
      <c r="L322" s="880">
        <v>0</v>
      </c>
      <c r="M322" s="880">
        <v>0</v>
      </c>
      <c r="N322" s="880">
        <v>0</v>
      </c>
      <c r="O322" s="880">
        <v>0</v>
      </c>
      <c r="P322" s="880">
        <v>0</v>
      </c>
      <c r="Q322" s="880">
        <v>0</v>
      </c>
      <c r="R322" s="880">
        <v>0</v>
      </c>
      <c r="S322" s="880">
        <v>0</v>
      </c>
      <c r="T322" s="880">
        <v>0</v>
      </c>
      <c r="U322" s="880">
        <v>0</v>
      </c>
      <c r="V322" s="880">
        <v>0</v>
      </c>
      <c r="W322" s="880">
        <v>0</v>
      </c>
      <c r="X322" s="880">
        <v>0</v>
      </c>
      <c r="Y322" s="880">
        <v>0</v>
      </c>
      <c r="Z322" s="880">
        <v>102400</v>
      </c>
      <c r="AA322" s="880">
        <v>0</v>
      </c>
    </row>
    <row r="323" spans="1:27" s="685" customFormat="1">
      <c r="A323" s="791"/>
      <c r="B323" s="792"/>
      <c r="C323" s="702">
        <v>102400</v>
      </c>
      <c r="D323" s="702">
        <v>102400</v>
      </c>
      <c r="E323" s="702">
        <v>102400</v>
      </c>
      <c r="F323" s="702">
        <v>102400</v>
      </c>
      <c r="G323" s="702">
        <v>102400</v>
      </c>
      <c r="H323" s="702">
        <v>102400</v>
      </c>
      <c r="I323" s="702">
        <v>102400</v>
      </c>
      <c r="J323" s="702">
        <v>102400</v>
      </c>
      <c r="K323" s="702">
        <v>102400</v>
      </c>
      <c r="L323" s="702">
        <v>102400</v>
      </c>
      <c r="M323" s="702">
        <v>102400</v>
      </c>
      <c r="N323" s="702">
        <v>102400</v>
      </c>
      <c r="O323" s="702">
        <v>102400</v>
      </c>
      <c r="P323" s="702">
        <v>102400</v>
      </c>
      <c r="Q323" s="702">
        <v>102400</v>
      </c>
      <c r="R323" s="702">
        <v>102400</v>
      </c>
      <c r="S323" s="702">
        <v>102400</v>
      </c>
      <c r="T323" s="702">
        <v>102400</v>
      </c>
      <c r="U323" s="702">
        <v>102400</v>
      </c>
      <c r="V323" s="702">
        <v>102400</v>
      </c>
      <c r="W323" s="702">
        <v>102400</v>
      </c>
      <c r="X323" s="702">
        <v>102400</v>
      </c>
      <c r="Y323" s="702">
        <v>102400</v>
      </c>
      <c r="Z323" s="702">
        <v>102400</v>
      </c>
      <c r="AA323" s="702">
        <v>0</v>
      </c>
    </row>
    <row r="324" spans="1:27" s="685" customFormat="1">
      <c r="A324" s="791" t="s">
        <v>187</v>
      </c>
      <c r="B324" s="792" t="s">
        <v>524</v>
      </c>
      <c r="C324" s="880">
        <v>1464000</v>
      </c>
      <c r="D324" s="880">
        <v>0</v>
      </c>
      <c r="E324" s="880">
        <v>0</v>
      </c>
      <c r="F324" s="880">
        <v>0</v>
      </c>
      <c r="G324" s="880">
        <v>0</v>
      </c>
      <c r="H324" s="880">
        <v>0</v>
      </c>
      <c r="I324" s="880">
        <v>0</v>
      </c>
      <c r="J324" s="880">
        <v>0</v>
      </c>
      <c r="K324" s="880">
        <v>0</v>
      </c>
      <c r="L324" s="880">
        <v>0</v>
      </c>
      <c r="M324" s="880">
        <v>0</v>
      </c>
      <c r="N324" s="880">
        <v>0</v>
      </c>
      <c r="O324" s="880">
        <v>0</v>
      </c>
      <c r="P324" s="880">
        <v>0</v>
      </c>
      <c r="Q324" s="880">
        <v>0</v>
      </c>
      <c r="R324" s="880">
        <v>0</v>
      </c>
      <c r="S324" s="880">
        <v>0</v>
      </c>
      <c r="T324" s="880">
        <v>0</v>
      </c>
      <c r="U324" s="880">
        <v>0</v>
      </c>
      <c r="V324" s="880">
        <v>0</v>
      </c>
      <c r="W324" s="880">
        <v>0</v>
      </c>
      <c r="X324" s="880">
        <v>0</v>
      </c>
      <c r="Y324" s="880">
        <v>0</v>
      </c>
      <c r="Z324" s="880">
        <v>0</v>
      </c>
      <c r="AA324" s="880">
        <v>0</v>
      </c>
    </row>
    <row r="325" spans="1:27" s="685" customFormat="1">
      <c r="A325" s="791"/>
      <c r="B325" s="792"/>
      <c r="C325" s="702">
        <v>1464000</v>
      </c>
      <c r="D325" s="702">
        <v>0</v>
      </c>
      <c r="E325" s="702">
        <v>0</v>
      </c>
      <c r="F325" s="702">
        <v>0</v>
      </c>
      <c r="G325" s="702">
        <v>0</v>
      </c>
      <c r="H325" s="702">
        <v>0</v>
      </c>
      <c r="I325" s="702">
        <v>0</v>
      </c>
      <c r="J325" s="702">
        <v>0</v>
      </c>
      <c r="K325" s="702">
        <v>0</v>
      </c>
      <c r="L325" s="702">
        <v>0</v>
      </c>
      <c r="M325" s="702">
        <v>0</v>
      </c>
      <c r="N325" s="702">
        <v>0</v>
      </c>
      <c r="O325" s="702">
        <v>0</v>
      </c>
      <c r="P325" s="702">
        <v>0</v>
      </c>
      <c r="Q325" s="702">
        <v>0</v>
      </c>
      <c r="R325" s="702">
        <v>0</v>
      </c>
      <c r="S325" s="702">
        <v>0</v>
      </c>
      <c r="T325" s="702">
        <v>0</v>
      </c>
      <c r="U325" s="702">
        <v>0</v>
      </c>
      <c r="V325" s="702">
        <v>0</v>
      </c>
      <c r="W325" s="702">
        <v>0</v>
      </c>
      <c r="X325" s="702">
        <v>0</v>
      </c>
      <c r="Y325" s="702">
        <v>0</v>
      </c>
      <c r="Z325" s="702">
        <v>0</v>
      </c>
      <c r="AA325" s="702">
        <v>0</v>
      </c>
    </row>
    <row r="326" spans="1:27" s="685" customFormat="1">
      <c r="A326" s="791" t="s">
        <v>246</v>
      </c>
      <c r="B326" s="792" t="s">
        <v>525</v>
      </c>
      <c r="C326" s="880">
        <v>0</v>
      </c>
      <c r="D326" s="880">
        <v>0</v>
      </c>
      <c r="E326" s="880">
        <v>0</v>
      </c>
      <c r="F326" s="880">
        <v>0</v>
      </c>
      <c r="G326" s="880">
        <v>0</v>
      </c>
      <c r="H326" s="880">
        <v>0</v>
      </c>
      <c r="I326" s="880">
        <v>0</v>
      </c>
      <c r="J326" s="880">
        <v>0</v>
      </c>
      <c r="K326" s="880">
        <v>0</v>
      </c>
      <c r="L326" s="880">
        <v>0</v>
      </c>
      <c r="M326" s="880">
        <v>0</v>
      </c>
      <c r="N326" s="880">
        <v>0</v>
      </c>
      <c r="O326" s="880">
        <v>0</v>
      </c>
      <c r="P326" s="880">
        <v>0</v>
      </c>
      <c r="Q326" s="880">
        <v>0</v>
      </c>
      <c r="R326" s="880">
        <v>0</v>
      </c>
      <c r="S326" s="880">
        <v>0</v>
      </c>
      <c r="T326" s="880">
        <v>0</v>
      </c>
      <c r="U326" s="880">
        <v>0</v>
      </c>
      <c r="V326" s="880">
        <v>0</v>
      </c>
      <c r="W326" s="880">
        <v>0</v>
      </c>
      <c r="X326" s="880">
        <v>0</v>
      </c>
      <c r="Y326" s="880">
        <v>0</v>
      </c>
      <c r="Z326" s="880">
        <v>0</v>
      </c>
      <c r="AA326" s="880">
        <v>0</v>
      </c>
    </row>
    <row r="327" spans="1:27" s="685" customFormat="1">
      <c r="A327" s="791"/>
      <c r="B327" s="792"/>
      <c r="C327" s="702">
        <v>0</v>
      </c>
      <c r="D327" s="702">
        <v>0</v>
      </c>
      <c r="E327" s="702">
        <v>0</v>
      </c>
      <c r="F327" s="702">
        <v>0</v>
      </c>
      <c r="G327" s="702">
        <v>0</v>
      </c>
      <c r="H327" s="702">
        <v>0</v>
      </c>
      <c r="I327" s="702">
        <v>0</v>
      </c>
      <c r="J327" s="702">
        <v>0</v>
      </c>
      <c r="K327" s="702">
        <v>0</v>
      </c>
      <c r="L327" s="702">
        <v>0</v>
      </c>
      <c r="M327" s="702">
        <v>0</v>
      </c>
      <c r="N327" s="702">
        <v>0</v>
      </c>
      <c r="O327" s="702">
        <v>0</v>
      </c>
      <c r="P327" s="702">
        <v>0</v>
      </c>
      <c r="Q327" s="702">
        <v>0</v>
      </c>
      <c r="R327" s="702">
        <v>0</v>
      </c>
      <c r="S327" s="702">
        <v>0</v>
      </c>
      <c r="T327" s="702">
        <v>0</v>
      </c>
      <c r="U327" s="702">
        <v>0</v>
      </c>
      <c r="V327" s="702">
        <v>0</v>
      </c>
      <c r="W327" s="702">
        <v>0</v>
      </c>
      <c r="X327" s="702">
        <v>0</v>
      </c>
      <c r="Y327" s="702">
        <v>0</v>
      </c>
      <c r="Z327" s="702">
        <v>0</v>
      </c>
      <c r="AA327" s="702">
        <v>0</v>
      </c>
    </row>
    <row r="328" spans="1:27" s="685" customFormat="1">
      <c r="A328" s="791" t="s">
        <v>334</v>
      </c>
      <c r="B328" s="792" t="s">
        <v>526</v>
      </c>
      <c r="C328" s="880">
        <v>0</v>
      </c>
      <c r="D328" s="880">
        <v>0</v>
      </c>
      <c r="E328" s="880">
        <v>0</v>
      </c>
      <c r="F328" s="880">
        <v>0</v>
      </c>
      <c r="G328" s="880">
        <v>0</v>
      </c>
      <c r="H328" s="880">
        <v>0</v>
      </c>
      <c r="I328" s="880">
        <v>0</v>
      </c>
      <c r="J328" s="880">
        <v>0</v>
      </c>
      <c r="K328" s="880">
        <v>0</v>
      </c>
      <c r="L328" s="880">
        <v>0</v>
      </c>
      <c r="M328" s="880">
        <v>0</v>
      </c>
      <c r="N328" s="880">
        <v>0</v>
      </c>
      <c r="O328" s="880">
        <v>0</v>
      </c>
      <c r="P328" s="880">
        <v>0</v>
      </c>
      <c r="Q328" s="880">
        <v>0</v>
      </c>
      <c r="R328" s="880">
        <v>0</v>
      </c>
      <c r="S328" s="880">
        <v>0</v>
      </c>
      <c r="T328" s="880">
        <v>0</v>
      </c>
      <c r="U328" s="880">
        <v>0</v>
      </c>
      <c r="V328" s="880">
        <v>0</v>
      </c>
      <c r="W328" s="880">
        <v>0</v>
      </c>
      <c r="X328" s="880">
        <v>0</v>
      </c>
      <c r="Y328" s="880">
        <v>0</v>
      </c>
      <c r="Z328" s="880">
        <v>0</v>
      </c>
      <c r="AA328" s="880">
        <v>0</v>
      </c>
    </row>
    <row r="329" spans="1:27" s="685" customFormat="1">
      <c r="A329" s="791"/>
      <c r="B329" s="792"/>
      <c r="C329" s="702">
        <v>0</v>
      </c>
      <c r="D329" s="702">
        <v>0</v>
      </c>
      <c r="E329" s="702">
        <v>0</v>
      </c>
      <c r="F329" s="702">
        <v>0</v>
      </c>
      <c r="G329" s="702">
        <v>0</v>
      </c>
      <c r="H329" s="702">
        <v>0</v>
      </c>
      <c r="I329" s="702">
        <v>0</v>
      </c>
      <c r="J329" s="702">
        <v>0</v>
      </c>
      <c r="K329" s="702">
        <v>0</v>
      </c>
      <c r="L329" s="702">
        <v>0</v>
      </c>
      <c r="M329" s="702">
        <v>0</v>
      </c>
      <c r="N329" s="702">
        <v>0</v>
      </c>
      <c r="O329" s="702">
        <v>0</v>
      </c>
      <c r="P329" s="702">
        <v>0</v>
      </c>
      <c r="Q329" s="702">
        <v>0</v>
      </c>
      <c r="R329" s="702">
        <v>0</v>
      </c>
      <c r="S329" s="702">
        <v>0</v>
      </c>
      <c r="T329" s="702">
        <v>0</v>
      </c>
      <c r="U329" s="702">
        <v>0</v>
      </c>
      <c r="V329" s="702">
        <v>0</v>
      </c>
      <c r="W329" s="702">
        <v>0</v>
      </c>
      <c r="X329" s="702">
        <v>0</v>
      </c>
      <c r="Y329" s="702">
        <v>0</v>
      </c>
      <c r="Z329" s="702">
        <v>0</v>
      </c>
      <c r="AA329" s="702">
        <v>0</v>
      </c>
    </row>
    <row r="330" spans="1:27" s="685" customFormat="1">
      <c r="A330" s="791" t="s">
        <v>27</v>
      </c>
      <c r="B330" s="792" t="s">
        <v>527</v>
      </c>
      <c r="C330" s="880">
        <v>0</v>
      </c>
      <c r="D330" s="880">
        <v>0</v>
      </c>
      <c r="E330" s="880">
        <v>0</v>
      </c>
      <c r="F330" s="880">
        <v>48</v>
      </c>
      <c r="G330" s="880">
        <v>0</v>
      </c>
      <c r="H330" s="880">
        <v>146500</v>
      </c>
      <c r="I330" s="880">
        <v>20000</v>
      </c>
      <c r="J330" s="880">
        <v>0</v>
      </c>
      <c r="K330" s="880">
        <v>0</v>
      </c>
      <c r="L330" s="880">
        <v>50000</v>
      </c>
      <c r="M330" s="880">
        <v>0</v>
      </c>
      <c r="N330" s="880">
        <v>12500</v>
      </c>
      <c r="O330" s="880">
        <v>0</v>
      </c>
      <c r="P330" s="880">
        <v>0</v>
      </c>
      <c r="Q330" s="880">
        <v>0</v>
      </c>
      <c r="R330" s="880">
        <v>0</v>
      </c>
      <c r="S330" s="880">
        <v>0</v>
      </c>
      <c r="T330" s="880">
        <v>0</v>
      </c>
      <c r="U330" s="880">
        <v>0</v>
      </c>
      <c r="V330" s="880">
        <v>23190</v>
      </c>
      <c r="W330" s="880">
        <v>0</v>
      </c>
      <c r="X330" s="880">
        <v>0</v>
      </c>
      <c r="Y330" s="880">
        <v>0</v>
      </c>
      <c r="Z330" s="880">
        <v>0</v>
      </c>
      <c r="AA330" s="880">
        <v>0</v>
      </c>
    </row>
    <row r="331" spans="1:27" s="685" customFormat="1">
      <c r="A331" s="791"/>
      <c r="B331" s="792"/>
      <c r="C331" s="702">
        <v>252238</v>
      </c>
      <c r="D331" s="702">
        <v>252238</v>
      </c>
      <c r="E331" s="702">
        <v>252238</v>
      </c>
      <c r="F331" s="702">
        <v>252238</v>
      </c>
      <c r="G331" s="702">
        <v>252190</v>
      </c>
      <c r="H331" s="702">
        <v>252190</v>
      </c>
      <c r="I331" s="702">
        <v>105690</v>
      </c>
      <c r="J331" s="702">
        <v>85690</v>
      </c>
      <c r="K331" s="702">
        <v>85690</v>
      </c>
      <c r="L331" s="702">
        <v>85690</v>
      </c>
      <c r="M331" s="702">
        <v>35690</v>
      </c>
      <c r="N331" s="702">
        <v>35690</v>
      </c>
      <c r="O331" s="702">
        <v>23190</v>
      </c>
      <c r="P331" s="702">
        <v>23190</v>
      </c>
      <c r="Q331" s="702">
        <v>23190</v>
      </c>
      <c r="R331" s="702">
        <v>23190</v>
      </c>
      <c r="S331" s="702">
        <v>23190</v>
      </c>
      <c r="T331" s="702">
        <v>23190</v>
      </c>
      <c r="U331" s="702">
        <v>23190</v>
      </c>
      <c r="V331" s="702">
        <v>23190</v>
      </c>
      <c r="W331" s="702">
        <v>0</v>
      </c>
      <c r="X331" s="702">
        <v>0</v>
      </c>
      <c r="Y331" s="702">
        <v>0</v>
      </c>
      <c r="Z331" s="702">
        <v>0</v>
      </c>
      <c r="AA331" s="702">
        <v>0</v>
      </c>
    </row>
    <row r="332" spans="1:27" s="685" customFormat="1">
      <c r="A332" s="791" t="s">
        <v>180</v>
      </c>
      <c r="B332" s="792"/>
      <c r="C332" s="1021">
        <v>0</v>
      </c>
      <c r="D332" s="1021">
        <v>0</v>
      </c>
      <c r="E332" s="1021">
        <v>0</v>
      </c>
      <c r="F332" s="1021">
        <v>0</v>
      </c>
      <c r="G332" s="1021">
        <v>0</v>
      </c>
      <c r="H332" s="1021">
        <v>18000</v>
      </c>
      <c r="I332" s="1021">
        <v>0</v>
      </c>
      <c r="J332" s="1021">
        <v>0</v>
      </c>
      <c r="K332" s="1021">
        <v>0</v>
      </c>
      <c r="L332" s="1021">
        <v>0</v>
      </c>
      <c r="M332" s="1021">
        <v>0</v>
      </c>
      <c r="N332" s="1021">
        <v>0</v>
      </c>
      <c r="O332" s="1021">
        <v>0</v>
      </c>
      <c r="P332" s="1021">
        <v>0</v>
      </c>
      <c r="Q332" s="1021">
        <v>0</v>
      </c>
      <c r="R332" s="1021">
        <v>0</v>
      </c>
      <c r="S332" s="1021">
        <v>0</v>
      </c>
      <c r="T332" s="1021">
        <v>0</v>
      </c>
      <c r="U332" s="1021">
        <v>0</v>
      </c>
      <c r="V332" s="1021">
        <v>0</v>
      </c>
      <c r="W332" s="1021">
        <v>0</v>
      </c>
      <c r="X332" s="1021">
        <v>0</v>
      </c>
      <c r="Y332" s="1021">
        <v>0</v>
      </c>
      <c r="Z332" s="1021">
        <v>0</v>
      </c>
      <c r="AA332" s="1021">
        <v>0</v>
      </c>
    </row>
    <row r="333" spans="1:27" s="685" customFormat="1">
      <c r="A333" s="791"/>
      <c r="B333" s="792"/>
      <c r="C333" s="702">
        <v>18000</v>
      </c>
      <c r="D333" s="702">
        <v>18000</v>
      </c>
      <c r="E333" s="702">
        <v>18000</v>
      </c>
      <c r="F333" s="702">
        <v>18000</v>
      </c>
      <c r="G333" s="702">
        <v>18000</v>
      </c>
      <c r="H333" s="702">
        <v>18000</v>
      </c>
      <c r="I333" s="702">
        <v>0</v>
      </c>
      <c r="J333" s="702">
        <v>0</v>
      </c>
      <c r="K333" s="702">
        <v>0</v>
      </c>
      <c r="L333" s="702">
        <v>0</v>
      </c>
      <c r="M333" s="702">
        <v>0</v>
      </c>
      <c r="N333" s="702">
        <v>0</v>
      </c>
      <c r="O333" s="702">
        <v>0</v>
      </c>
      <c r="P333" s="702">
        <v>0</v>
      </c>
      <c r="Q333" s="702">
        <v>0</v>
      </c>
      <c r="R333" s="702">
        <v>0</v>
      </c>
      <c r="S333" s="702">
        <v>0</v>
      </c>
      <c r="T333" s="702">
        <v>0</v>
      </c>
      <c r="U333" s="702">
        <v>0</v>
      </c>
      <c r="V333" s="702">
        <v>0</v>
      </c>
      <c r="W333" s="702">
        <v>0</v>
      </c>
      <c r="X333" s="702">
        <v>0</v>
      </c>
      <c r="Y333" s="702">
        <v>0</v>
      </c>
      <c r="Z333" s="702">
        <v>0</v>
      </c>
      <c r="AA333" s="702">
        <v>0</v>
      </c>
    </row>
    <row r="334" spans="1:27" s="685" customFormat="1">
      <c r="A334" s="791" t="s">
        <v>59</v>
      </c>
      <c r="B334" s="792"/>
      <c r="C334" s="880">
        <v>1464000</v>
      </c>
      <c r="D334" s="880">
        <v>0</v>
      </c>
      <c r="E334" s="880">
        <v>0</v>
      </c>
      <c r="F334" s="880">
        <v>91048</v>
      </c>
      <c r="G334" s="880">
        <v>0</v>
      </c>
      <c r="H334" s="880">
        <v>164500</v>
      </c>
      <c r="I334" s="880">
        <v>35500</v>
      </c>
      <c r="J334" s="880">
        <v>0</v>
      </c>
      <c r="K334" s="880">
        <v>0</v>
      </c>
      <c r="L334" s="880">
        <v>50000</v>
      </c>
      <c r="M334" s="880">
        <v>0</v>
      </c>
      <c r="N334" s="880">
        <v>12500</v>
      </c>
      <c r="O334" s="880">
        <v>0</v>
      </c>
      <c r="P334" s="880">
        <v>0</v>
      </c>
      <c r="Q334" s="880">
        <v>0</v>
      </c>
      <c r="R334" s="880">
        <v>91000</v>
      </c>
      <c r="S334" s="880">
        <v>0</v>
      </c>
      <c r="T334" s="880">
        <v>0</v>
      </c>
      <c r="U334" s="880">
        <v>0</v>
      </c>
      <c r="V334" s="880">
        <v>23190</v>
      </c>
      <c r="W334" s="880">
        <v>0</v>
      </c>
      <c r="X334" s="880">
        <v>0</v>
      </c>
      <c r="Y334" s="880">
        <v>0</v>
      </c>
      <c r="Z334" s="880">
        <v>102400</v>
      </c>
      <c r="AA334" s="880">
        <v>0</v>
      </c>
    </row>
    <row r="335" spans="1:27" s="685" customFormat="1">
      <c r="A335" s="791"/>
      <c r="B335" s="792"/>
      <c r="C335" s="702">
        <v>2034138</v>
      </c>
      <c r="D335" s="702">
        <v>570138</v>
      </c>
      <c r="E335" s="702">
        <v>570138</v>
      </c>
      <c r="F335" s="702">
        <v>570138</v>
      </c>
      <c r="G335" s="702">
        <v>479090</v>
      </c>
      <c r="H335" s="702">
        <v>479090</v>
      </c>
      <c r="I335" s="702">
        <v>314590</v>
      </c>
      <c r="J335" s="702">
        <v>279090</v>
      </c>
      <c r="K335" s="702">
        <v>279090</v>
      </c>
      <c r="L335" s="702">
        <v>279090</v>
      </c>
      <c r="M335" s="702">
        <v>229090</v>
      </c>
      <c r="N335" s="702">
        <v>229090</v>
      </c>
      <c r="O335" s="702">
        <v>216590</v>
      </c>
      <c r="P335" s="702">
        <v>216590</v>
      </c>
      <c r="Q335" s="702">
        <v>216590</v>
      </c>
      <c r="R335" s="702">
        <v>216590</v>
      </c>
      <c r="S335" s="702">
        <v>125590</v>
      </c>
      <c r="T335" s="702">
        <v>125590</v>
      </c>
      <c r="U335" s="702">
        <v>125590</v>
      </c>
      <c r="V335" s="702">
        <v>125590</v>
      </c>
      <c r="W335" s="702">
        <v>102400</v>
      </c>
      <c r="X335" s="702">
        <v>102400</v>
      </c>
      <c r="Y335" s="702">
        <v>102400</v>
      </c>
      <c r="Z335" s="702">
        <v>102400</v>
      </c>
      <c r="AA335" s="702">
        <v>0</v>
      </c>
    </row>
    <row r="336" spans="1:27" s="685" customFormat="1">
      <c r="A336" s="793" t="s">
        <v>350</v>
      </c>
      <c r="B336" s="794"/>
      <c r="C336" s="882">
        <v>563784</v>
      </c>
      <c r="D336" s="882">
        <v>435640</v>
      </c>
      <c r="E336" s="882">
        <v>464362</v>
      </c>
      <c r="F336" s="882">
        <v>440269</v>
      </c>
      <c r="G336" s="882">
        <v>397769</v>
      </c>
      <c r="H336" s="882">
        <v>326795</v>
      </c>
      <c r="I336" s="882">
        <v>864073</v>
      </c>
      <c r="J336" s="882">
        <v>65600</v>
      </c>
      <c r="K336" s="882">
        <v>416326</v>
      </c>
      <c r="L336" s="882">
        <v>374576</v>
      </c>
      <c r="M336" s="882">
        <v>444718</v>
      </c>
      <c r="N336" s="882">
        <v>381934</v>
      </c>
      <c r="O336" s="882">
        <v>431117</v>
      </c>
      <c r="P336" s="882">
        <v>428218</v>
      </c>
      <c r="Q336" s="882">
        <v>57350</v>
      </c>
      <c r="R336" s="882">
        <v>259310</v>
      </c>
      <c r="S336" s="882">
        <v>426510</v>
      </c>
      <c r="T336" s="882">
        <v>364977</v>
      </c>
      <c r="U336" s="882">
        <v>283329</v>
      </c>
      <c r="V336" s="882">
        <v>308561</v>
      </c>
      <c r="W336" s="882">
        <v>178889</v>
      </c>
      <c r="X336" s="882">
        <v>40850</v>
      </c>
      <c r="Y336" s="882">
        <v>367800</v>
      </c>
      <c r="Z336" s="882">
        <v>243987</v>
      </c>
      <c r="AA336" s="882">
        <v>0</v>
      </c>
    </row>
    <row r="337" spans="1:27" s="685" customFormat="1">
      <c r="A337" s="793"/>
      <c r="B337" s="794"/>
      <c r="C337" s="702">
        <v>8566744</v>
      </c>
      <c r="D337" s="702">
        <v>8002960</v>
      </c>
      <c r="E337" s="702">
        <v>7567320</v>
      </c>
      <c r="F337" s="702">
        <v>7102958</v>
      </c>
      <c r="G337" s="702">
        <v>6662689</v>
      </c>
      <c r="H337" s="702">
        <v>6264920</v>
      </c>
      <c r="I337" s="702">
        <v>5938125</v>
      </c>
      <c r="J337" s="702">
        <v>5074052</v>
      </c>
      <c r="K337" s="702">
        <v>5008452</v>
      </c>
      <c r="L337" s="702">
        <v>4592126</v>
      </c>
      <c r="M337" s="702">
        <v>4217550</v>
      </c>
      <c r="N337" s="702">
        <v>3772832</v>
      </c>
      <c r="O337" s="702">
        <v>3390898</v>
      </c>
      <c r="P337" s="702">
        <v>2959781</v>
      </c>
      <c r="Q337" s="702">
        <v>2531563</v>
      </c>
      <c r="R337" s="702">
        <v>2474213</v>
      </c>
      <c r="S337" s="702">
        <v>2214903</v>
      </c>
      <c r="T337" s="702">
        <v>1788393</v>
      </c>
      <c r="U337" s="702">
        <v>1423416</v>
      </c>
      <c r="V337" s="702">
        <v>1140087</v>
      </c>
      <c r="W337" s="702">
        <v>831526</v>
      </c>
      <c r="X337" s="702">
        <v>652637</v>
      </c>
      <c r="Y337" s="702">
        <v>611787</v>
      </c>
      <c r="Z337" s="702">
        <v>243987</v>
      </c>
      <c r="AA337" s="702">
        <v>0</v>
      </c>
    </row>
    <row r="338" spans="1:27" s="685" customFormat="1">
      <c r="A338" s="797"/>
      <c r="B338" s="748"/>
      <c r="C338" s="704"/>
      <c r="D338" s="704"/>
      <c r="E338" s="704"/>
      <c r="F338" s="704"/>
      <c r="G338" s="704"/>
      <c r="H338" s="704"/>
      <c r="I338" s="704"/>
      <c r="J338" s="704"/>
      <c r="K338" s="704"/>
      <c r="L338" s="704"/>
      <c r="M338" s="704"/>
      <c r="N338" s="704"/>
      <c r="O338" s="704"/>
      <c r="P338" s="704"/>
      <c r="Q338" s="704"/>
      <c r="R338" s="704"/>
      <c r="S338" s="704"/>
      <c r="T338" s="704"/>
      <c r="U338" s="704"/>
      <c r="V338" s="704"/>
      <c r="W338" s="704"/>
      <c r="X338" s="704"/>
      <c r="Y338" s="704"/>
      <c r="Z338" s="704"/>
      <c r="AA338" s="704"/>
    </row>
    <row r="339" spans="1:27" s="685" customFormat="1">
      <c r="A339" s="1040" t="s">
        <v>24</v>
      </c>
      <c r="B339" s="792"/>
      <c r="C339" s="1021">
        <v>-13500</v>
      </c>
      <c r="D339" s="1021">
        <v>-3000</v>
      </c>
      <c r="E339" s="1021">
        <v>0</v>
      </c>
      <c r="F339" s="1021">
        <v>0</v>
      </c>
      <c r="G339" s="1021">
        <v>-10500</v>
      </c>
      <c r="H339" s="1021">
        <v>-1500</v>
      </c>
      <c r="I339" s="1021">
        <v>0</v>
      </c>
      <c r="J339" s="1021">
        <v>0</v>
      </c>
      <c r="K339" s="1021">
        <v>-5500</v>
      </c>
      <c r="L339" s="1021">
        <v>0</v>
      </c>
      <c r="M339" s="1021">
        <v>-1500</v>
      </c>
      <c r="N339" s="1021">
        <v>0</v>
      </c>
      <c r="O339" s="1021">
        <v>-1500</v>
      </c>
      <c r="P339" s="1021">
        <v>-4500</v>
      </c>
      <c r="Q339" s="1021">
        <v>0</v>
      </c>
      <c r="R339" s="1021">
        <v>-1500</v>
      </c>
      <c r="S339" s="1021">
        <v>0</v>
      </c>
      <c r="T339" s="1021">
        <v>1500</v>
      </c>
      <c r="U339" s="1021">
        <v>-3000</v>
      </c>
      <c r="V339" s="1021">
        <v>0</v>
      </c>
      <c r="W339" s="1021">
        <v>0</v>
      </c>
      <c r="X339" s="1021">
        <v>0</v>
      </c>
      <c r="Y339" s="1021">
        <v>0</v>
      </c>
      <c r="Z339" s="1021">
        <v>-4000</v>
      </c>
      <c r="AA339" s="1021">
        <v>0</v>
      </c>
    </row>
    <row r="340" spans="1:27" s="685" customFormat="1">
      <c r="A340" s="1040"/>
      <c r="B340" s="792"/>
      <c r="C340" s="702">
        <v>-48500</v>
      </c>
      <c r="D340" s="702">
        <v>-35000</v>
      </c>
      <c r="E340" s="702">
        <v>-32000</v>
      </c>
      <c r="F340" s="702">
        <v>-32000</v>
      </c>
      <c r="G340" s="702">
        <v>-32000</v>
      </c>
      <c r="H340" s="702">
        <v>-21500</v>
      </c>
      <c r="I340" s="702">
        <v>-20000</v>
      </c>
      <c r="J340" s="702">
        <v>-20000</v>
      </c>
      <c r="K340" s="702">
        <v>-20000</v>
      </c>
      <c r="L340" s="702">
        <v>-14500</v>
      </c>
      <c r="M340" s="702">
        <v>-14500</v>
      </c>
      <c r="N340" s="702">
        <v>-13000</v>
      </c>
      <c r="O340" s="702">
        <v>-13000</v>
      </c>
      <c r="P340" s="702">
        <v>-11500</v>
      </c>
      <c r="Q340" s="702">
        <v>-7000</v>
      </c>
      <c r="R340" s="702">
        <v>-7000</v>
      </c>
      <c r="S340" s="702">
        <v>-5500</v>
      </c>
      <c r="T340" s="702">
        <v>-5500</v>
      </c>
      <c r="U340" s="702">
        <v>-7000</v>
      </c>
      <c r="V340" s="702">
        <v>-4000</v>
      </c>
      <c r="W340" s="702">
        <v>-4000</v>
      </c>
      <c r="X340" s="702">
        <v>-4000</v>
      </c>
      <c r="Y340" s="702">
        <v>-4000</v>
      </c>
      <c r="Z340" s="702">
        <v>-4000</v>
      </c>
      <c r="AA340" s="702">
        <v>0</v>
      </c>
    </row>
    <row r="341" spans="1:27" s="685" customFormat="1">
      <c r="A341" s="797"/>
      <c r="B341" s="748"/>
      <c r="C341" s="879"/>
      <c r="D341" s="879"/>
      <c r="E341" s="879"/>
      <c r="F341" s="879"/>
      <c r="G341" s="879"/>
      <c r="H341" s="879"/>
      <c r="I341" s="879"/>
      <c r="J341" s="879"/>
      <c r="K341" s="879"/>
      <c r="L341" s="879"/>
      <c r="M341" s="879"/>
      <c r="N341" s="879"/>
      <c r="O341" s="879"/>
      <c r="P341" s="879"/>
      <c r="Q341" s="879"/>
      <c r="R341" s="879"/>
      <c r="S341" s="879"/>
      <c r="T341" s="879"/>
      <c r="U341" s="879"/>
      <c r="V341" s="879"/>
      <c r="W341" s="879"/>
      <c r="X341" s="879"/>
      <c r="Y341" s="879"/>
      <c r="Z341" s="879"/>
      <c r="AA341" s="879"/>
    </row>
    <row r="342" spans="1:27" s="685" customFormat="1" ht="18">
      <c r="A342" s="787" t="s">
        <v>151</v>
      </c>
      <c r="B342" s="788"/>
      <c r="C342" s="883">
        <v>7686148</v>
      </c>
      <c r="D342" s="883">
        <v>1351699</v>
      </c>
      <c r="E342" s="883">
        <v>1868641</v>
      </c>
      <c r="F342" s="883">
        <v>1496187</v>
      </c>
      <c r="G342" s="883">
        <v>1677752</v>
      </c>
      <c r="H342" s="883">
        <v>2239614</v>
      </c>
      <c r="I342" s="883">
        <v>3347756</v>
      </c>
      <c r="J342" s="883">
        <v>361400</v>
      </c>
      <c r="K342" s="883">
        <v>1516141</v>
      </c>
      <c r="L342" s="883">
        <v>1815713</v>
      </c>
      <c r="M342" s="883">
        <v>2057647</v>
      </c>
      <c r="N342" s="883">
        <v>1723665</v>
      </c>
      <c r="O342" s="883">
        <v>1635769</v>
      </c>
      <c r="P342" s="883">
        <v>1977736</v>
      </c>
      <c r="Q342" s="883">
        <v>459261</v>
      </c>
      <c r="R342" s="883">
        <v>1626869</v>
      </c>
      <c r="S342" s="883">
        <v>1933545</v>
      </c>
      <c r="T342" s="883">
        <v>1641047</v>
      </c>
      <c r="U342" s="883">
        <v>1317275</v>
      </c>
      <c r="V342" s="883">
        <v>1910223</v>
      </c>
      <c r="W342" s="883">
        <v>1012891</v>
      </c>
      <c r="X342" s="883">
        <v>158550</v>
      </c>
      <c r="Y342" s="883">
        <v>1471108</v>
      </c>
      <c r="Z342" s="883">
        <v>1452912</v>
      </c>
      <c r="AA342" s="883">
        <v>0</v>
      </c>
    </row>
    <row r="343" spans="1:27" s="707" customFormat="1" ht="21.6" thickBot="1">
      <c r="A343" s="798" t="s">
        <v>48</v>
      </c>
      <c r="B343" s="799"/>
      <c r="C343" s="706">
        <v>43739549</v>
      </c>
      <c r="D343" s="706">
        <v>36053401</v>
      </c>
      <c r="E343" s="706">
        <v>34701702</v>
      </c>
      <c r="F343" s="706">
        <v>32833061</v>
      </c>
      <c r="G343" s="706">
        <v>31336874</v>
      </c>
      <c r="H343" s="706">
        <v>29659122</v>
      </c>
      <c r="I343" s="706">
        <v>27419508</v>
      </c>
      <c r="J343" s="706">
        <v>24071752</v>
      </c>
      <c r="K343" s="706">
        <v>23710352</v>
      </c>
      <c r="L343" s="706">
        <v>22194211</v>
      </c>
      <c r="M343" s="706">
        <v>20378498</v>
      </c>
      <c r="N343" s="706">
        <v>18320851</v>
      </c>
      <c r="O343" s="706">
        <v>16597186</v>
      </c>
      <c r="P343" s="706">
        <v>14961417</v>
      </c>
      <c r="Q343" s="706">
        <v>12983681</v>
      </c>
      <c r="R343" s="706">
        <v>12524420</v>
      </c>
      <c r="S343" s="706">
        <v>10897551</v>
      </c>
      <c r="T343" s="706">
        <v>8964006</v>
      </c>
      <c r="U343" s="706">
        <v>7322959</v>
      </c>
      <c r="V343" s="706">
        <v>6005684</v>
      </c>
      <c r="W343" s="706">
        <v>4095461</v>
      </c>
      <c r="X343" s="706">
        <v>3082570</v>
      </c>
      <c r="Y343" s="706">
        <v>2924020</v>
      </c>
      <c r="Z343" s="706">
        <v>1452912</v>
      </c>
      <c r="AA343" s="706">
        <v>0</v>
      </c>
    </row>
    <row r="344" spans="1:27" ht="15" thickTop="1">
      <c r="A344" s="25"/>
      <c r="B344" s="735"/>
      <c r="C344" s="884"/>
      <c r="D344" s="884"/>
      <c r="E344" s="884"/>
      <c r="F344" s="884"/>
      <c r="G344" s="884"/>
      <c r="H344" s="884"/>
      <c r="I344" s="884"/>
      <c r="J344" s="884"/>
      <c r="K344" s="884"/>
      <c r="L344" s="884"/>
      <c r="M344" s="884"/>
      <c r="N344" s="884"/>
      <c r="O344" s="884"/>
      <c r="P344" s="884"/>
      <c r="Q344" s="884"/>
      <c r="R344" s="884"/>
      <c r="S344" s="884"/>
      <c r="T344" s="884"/>
      <c r="U344" s="884"/>
      <c r="V344" s="884"/>
      <c r="W344" s="884"/>
      <c r="X344" s="884"/>
      <c r="Y344" s="884"/>
      <c r="Z344" s="884"/>
      <c r="AA344" s="884"/>
    </row>
    <row r="345" spans="1:27">
      <c r="A345" s="800" t="s">
        <v>351</v>
      </c>
      <c r="B345" s="801"/>
      <c r="C345" s="885">
        <v>6395899</v>
      </c>
      <c r="D345" s="885">
        <v>50000</v>
      </c>
      <c r="E345" s="885">
        <v>0</v>
      </c>
      <c r="F345" s="885">
        <v>91048</v>
      </c>
      <c r="G345" s="885">
        <v>286400</v>
      </c>
      <c r="H345" s="885">
        <v>640000</v>
      </c>
      <c r="I345" s="885">
        <v>196916</v>
      </c>
      <c r="J345" s="885">
        <v>0</v>
      </c>
      <c r="K345" s="885">
        <v>0</v>
      </c>
      <c r="L345" s="885">
        <v>87190</v>
      </c>
      <c r="M345" s="885">
        <v>20000</v>
      </c>
      <c r="N345" s="885">
        <v>56000</v>
      </c>
      <c r="O345" s="885">
        <v>22000</v>
      </c>
      <c r="P345" s="885">
        <v>0</v>
      </c>
      <c r="Q345" s="885">
        <v>106400</v>
      </c>
      <c r="R345" s="885">
        <v>228500</v>
      </c>
      <c r="S345" s="885">
        <v>18000</v>
      </c>
      <c r="T345" s="885">
        <v>0</v>
      </c>
      <c r="U345" s="885">
        <v>20000</v>
      </c>
      <c r="V345" s="885">
        <v>143190</v>
      </c>
      <c r="W345" s="885">
        <v>45999</v>
      </c>
      <c r="X345" s="885">
        <v>0</v>
      </c>
      <c r="Y345" s="885">
        <v>0</v>
      </c>
      <c r="Z345" s="885">
        <v>215800</v>
      </c>
      <c r="AA345" s="885">
        <v>0</v>
      </c>
    </row>
    <row r="346" spans="1:27">
      <c r="A346" s="800"/>
      <c r="B346" s="801"/>
      <c r="C346" s="708">
        <v>8623342</v>
      </c>
      <c r="D346" s="708">
        <v>2227443</v>
      </c>
      <c r="E346" s="708">
        <v>2177443</v>
      </c>
      <c r="F346" s="708">
        <v>2177443</v>
      </c>
      <c r="G346" s="708">
        <v>2086395</v>
      </c>
      <c r="H346" s="708">
        <v>1799995</v>
      </c>
      <c r="I346" s="708">
        <v>1159995</v>
      </c>
      <c r="J346" s="708">
        <v>963079</v>
      </c>
      <c r="K346" s="708">
        <v>963079</v>
      </c>
      <c r="L346" s="708">
        <v>963079</v>
      </c>
      <c r="M346" s="708">
        <v>875889</v>
      </c>
      <c r="N346" s="708">
        <v>855889</v>
      </c>
      <c r="O346" s="708">
        <v>799889</v>
      </c>
      <c r="P346" s="708">
        <v>777889</v>
      </c>
      <c r="Q346" s="708">
        <v>777889</v>
      </c>
      <c r="R346" s="708">
        <v>671489</v>
      </c>
      <c r="S346" s="708">
        <v>442989</v>
      </c>
      <c r="T346" s="708">
        <v>424989</v>
      </c>
      <c r="U346" s="708">
        <v>424989</v>
      </c>
      <c r="V346" s="708">
        <v>404989</v>
      </c>
      <c r="W346" s="708">
        <v>261799</v>
      </c>
      <c r="X346" s="708">
        <v>215800</v>
      </c>
      <c r="Y346" s="708">
        <v>215800</v>
      </c>
      <c r="Z346" s="708">
        <v>215800</v>
      </c>
      <c r="AA346" s="708">
        <v>0</v>
      </c>
    </row>
    <row r="347" spans="1:27">
      <c r="A347" s="25"/>
      <c r="B347" s="735"/>
      <c r="C347" s="884"/>
      <c r="D347" s="884"/>
      <c r="E347" s="884"/>
      <c r="F347" s="884"/>
      <c r="G347" s="884"/>
      <c r="H347" s="884"/>
      <c r="I347" s="884"/>
      <c r="J347" s="884"/>
      <c r="K347" s="884"/>
      <c r="L347" s="884"/>
      <c r="M347" s="884"/>
      <c r="N347" s="884"/>
      <c r="O347" s="884"/>
      <c r="P347" s="884"/>
      <c r="Q347" s="884"/>
      <c r="R347" s="884"/>
      <c r="S347" s="884"/>
      <c r="T347" s="884"/>
      <c r="U347" s="884"/>
      <c r="V347" s="884"/>
      <c r="W347" s="884"/>
      <c r="X347" s="884"/>
      <c r="Y347" s="884"/>
      <c r="Z347" s="884"/>
      <c r="AA347" s="884"/>
    </row>
    <row r="348" spans="1:27" ht="21">
      <c r="A348" s="802" t="s">
        <v>352</v>
      </c>
      <c r="B348" s="803"/>
      <c r="C348" s="886">
        <v>1290249</v>
      </c>
      <c r="D348" s="886">
        <v>1301699</v>
      </c>
      <c r="E348" s="886">
        <v>1868641</v>
      </c>
      <c r="F348" s="886">
        <v>1405139</v>
      </c>
      <c r="G348" s="886">
        <v>1391352</v>
      </c>
      <c r="H348" s="886">
        <v>1599614</v>
      </c>
      <c r="I348" s="886">
        <v>3150840</v>
      </c>
      <c r="J348" s="886">
        <v>361400</v>
      </c>
      <c r="K348" s="886">
        <v>1516141</v>
      </c>
      <c r="L348" s="886">
        <v>1728523</v>
      </c>
      <c r="M348" s="886">
        <v>2037647</v>
      </c>
      <c r="N348" s="886">
        <v>1667665</v>
      </c>
      <c r="O348" s="886">
        <v>1613769</v>
      </c>
      <c r="P348" s="886">
        <v>1977736</v>
      </c>
      <c r="Q348" s="886">
        <v>352861</v>
      </c>
      <c r="R348" s="886">
        <v>1398369</v>
      </c>
      <c r="S348" s="886">
        <v>1915545</v>
      </c>
      <c r="T348" s="886">
        <v>1641047</v>
      </c>
      <c r="U348" s="886">
        <v>1297275</v>
      </c>
      <c r="V348" s="886">
        <v>1767033</v>
      </c>
      <c r="W348" s="886">
        <v>966892</v>
      </c>
      <c r="X348" s="886">
        <v>158550</v>
      </c>
      <c r="Y348" s="886">
        <v>1471108</v>
      </c>
      <c r="Z348" s="886">
        <v>1237112</v>
      </c>
      <c r="AA348" s="886">
        <v>0</v>
      </c>
    </row>
    <row r="349" spans="1:27" ht="21">
      <c r="A349" s="804"/>
      <c r="B349" s="803"/>
      <c r="C349" s="709">
        <v>35116207</v>
      </c>
      <c r="D349" s="709">
        <v>33825958</v>
      </c>
      <c r="E349" s="709">
        <v>32524259</v>
      </c>
      <c r="F349" s="709">
        <v>30655618</v>
      </c>
      <c r="G349" s="709">
        <v>29250479</v>
      </c>
      <c r="H349" s="709">
        <v>27859127</v>
      </c>
      <c r="I349" s="709">
        <v>26259513</v>
      </c>
      <c r="J349" s="709">
        <v>23108673</v>
      </c>
      <c r="K349" s="709">
        <v>22747273</v>
      </c>
      <c r="L349" s="709">
        <v>21231132</v>
      </c>
      <c r="M349" s="709">
        <v>19502609</v>
      </c>
      <c r="N349" s="709">
        <v>17464962</v>
      </c>
      <c r="O349" s="709">
        <v>15797297</v>
      </c>
      <c r="P349" s="709">
        <v>14183528</v>
      </c>
      <c r="Q349" s="709">
        <v>12205792</v>
      </c>
      <c r="R349" s="709">
        <v>11852931</v>
      </c>
      <c r="S349" s="709">
        <v>10454562</v>
      </c>
      <c r="T349" s="709">
        <v>8539017</v>
      </c>
      <c r="U349" s="709">
        <v>6897970</v>
      </c>
      <c r="V349" s="709">
        <v>5600695</v>
      </c>
      <c r="W349" s="709">
        <v>3833662</v>
      </c>
      <c r="X349" s="709">
        <v>2866770</v>
      </c>
      <c r="Y349" s="709">
        <v>2708220</v>
      </c>
      <c r="Z349" s="709">
        <v>1237112</v>
      </c>
      <c r="AA349" s="709">
        <v>0</v>
      </c>
    </row>
    <row r="350" spans="1:27" ht="15" thickBot="1">
      <c r="A350" s="5"/>
      <c r="B350" s="16"/>
      <c r="C350" s="710"/>
      <c r="D350" s="710"/>
      <c r="E350" s="710"/>
      <c r="F350" s="710"/>
      <c r="G350" s="710"/>
      <c r="H350" s="710"/>
      <c r="I350" s="710"/>
      <c r="J350" s="710"/>
      <c r="K350" s="710"/>
      <c r="L350" s="710"/>
      <c r="M350" s="710"/>
      <c r="N350" s="710"/>
      <c r="O350" s="710"/>
      <c r="P350" s="710"/>
      <c r="Q350" s="710"/>
      <c r="R350" s="710"/>
      <c r="S350" s="710"/>
      <c r="T350" s="710"/>
      <c r="U350" s="710"/>
      <c r="V350" s="710"/>
      <c r="W350" s="710"/>
      <c r="X350" s="710"/>
      <c r="Y350" s="710"/>
      <c r="Z350" s="710"/>
      <c r="AA350" s="710"/>
    </row>
    <row r="351" spans="1:27" s="685" customFormat="1">
      <c r="A351" s="805" t="s">
        <v>194</v>
      </c>
      <c r="B351" s="806" t="s">
        <v>290</v>
      </c>
      <c r="C351" s="887">
        <v>0</v>
      </c>
      <c r="D351" s="887">
        <v>0</v>
      </c>
      <c r="E351" s="887">
        <v>0</v>
      </c>
      <c r="F351" s="887">
        <v>0</v>
      </c>
      <c r="G351" s="887">
        <v>0</v>
      </c>
      <c r="H351" s="887">
        <v>0</v>
      </c>
      <c r="I351" s="887">
        <v>0</v>
      </c>
      <c r="J351" s="887">
        <v>0</v>
      </c>
      <c r="K351" s="887">
        <v>0</v>
      </c>
      <c r="L351" s="887">
        <v>0</v>
      </c>
      <c r="M351" s="887">
        <v>0</v>
      </c>
      <c r="N351" s="887">
        <v>0</v>
      </c>
      <c r="O351" s="887">
        <v>0</v>
      </c>
      <c r="P351" s="887">
        <v>0</v>
      </c>
      <c r="Q351" s="887">
        <v>0</v>
      </c>
      <c r="R351" s="887">
        <v>0</v>
      </c>
      <c r="S351" s="887">
        <v>0</v>
      </c>
      <c r="T351" s="887">
        <v>0</v>
      </c>
      <c r="U351" s="887">
        <v>0</v>
      </c>
      <c r="V351" s="887">
        <v>0</v>
      </c>
      <c r="W351" s="887">
        <v>0</v>
      </c>
      <c r="X351" s="887">
        <v>0</v>
      </c>
      <c r="Y351" s="887">
        <v>0</v>
      </c>
      <c r="Z351" s="887">
        <v>0</v>
      </c>
      <c r="AA351" s="887">
        <v>0</v>
      </c>
    </row>
    <row r="352" spans="1:27" s="685" customFormat="1">
      <c r="A352" s="807" t="s">
        <v>196</v>
      </c>
      <c r="B352" s="808"/>
      <c r="C352" s="705">
        <v>0</v>
      </c>
      <c r="D352" s="705">
        <v>0</v>
      </c>
      <c r="E352" s="705">
        <v>0</v>
      </c>
      <c r="F352" s="705">
        <v>0</v>
      </c>
      <c r="G352" s="705">
        <v>0</v>
      </c>
      <c r="H352" s="705">
        <v>0</v>
      </c>
      <c r="I352" s="705">
        <v>0</v>
      </c>
      <c r="J352" s="705">
        <v>0</v>
      </c>
      <c r="K352" s="705">
        <v>0</v>
      </c>
      <c r="L352" s="705">
        <v>0</v>
      </c>
      <c r="M352" s="705">
        <v>0</v>
      </c>
      <c r="N352" s="705">
        <v>0</v>
      </c>
      <c r="O352" s="705">
        <v>0</v>
      </c>
      <c r="P352" s="705">
        <v>0</v>
      </c>
      <c r="Q352" s="705">
        <v>0</v>
      </c>
      <c r="R352" s="705">
        <v>0</v>
      </c>
      <c r="S352" s="705">
        <v>0</v>
      </c>
      <c r="T352" s="705">
        <v>0</v>
      </c>
      <c r="U352" s="705">
        <v>0</v>
      </c>
      <c r="V352" s="705">
        <v>0</v>
      </c>
      <c r="W352" s="705">
        <v>0</v>
      </c>
      <c r="X352" s="705">
        <v>0</v>
      </c>
      <c r="Y352" s="705">
        <v>0</v>
      </c>
      <c r="Z352" s="705">
        <v>0</v>
      </c>
      <c r="AA352" s="705">
        <v>0</v>
      </c>
    </row>
    <row r="353" spans="1:27" s="712" customFormat="1" ht="15" thickBot="1">
      <c r="A353" s="809"/>
      <c r="B353" s="810"/>
      <c r="C353" s="711">
        <v>0</v>
      </c>
      <c r="D353" s="711">
        <v>0</v>
      </c>
      <c r="E353" s="711">
        <v>0</v>
      </c>
      <c r="F353" s="711">
        <v>0</v>
      </c>
      <c r="G353" s="711">
        <v>0</v>
      </c>
      <c r="H353" s="711">
        <v>0</v>
      </c>
      <c r="I353" s="711">
        <v>0</v>
      </c>
      <c r="J353" s="711">
        <v>0</v>
      </c>
      <c r="K353" s="711">
        <v>0</v>
      </c>
      <c r="L353" s="711">
        <v>0</v>
      </c>
      <c r="M353" s="711">
        <v>0</v>
      </c>
      <c r="N353" s="711">
        <v>0</v>
      </c>
      <c r="O353" s="711">
        <v>0</v>
      </c>
      <c r="P353" s="711">
        <v>0</v>
      </c>
      <c r="Q353" s="711">
        <v>0</v>
      </c>
      <c r="R353" s="711">
        <v>0</v>
      </c>
      <c r="S353" s="711">
        <v>0</v>
      </c>
      <c r="T353" s="711">
        <v>0</v>
      </c>
      <c r="U353" s="711">
        <v>0</v>
      </c>
      <c r="V353" s="711">
        <v>0</v>
      </c>
      <c r="W353" s="711">
        <v>0</v>
      </c>
      <c r="X353" s="711">
        <v>0</v>
      </c>
      <c r="Y353" s="711">
        <v>0</v>
      </c>
      <c r="Z353" s="711">
        <v>0</v>
      </c>
      <c r="AA353" s="711">
        <v>0</v>
      </c>
    </row>
    <row r="354" spans="1:27" s="685" customFormat="1">
      <c r="A354" s="805" t="s">
        <v>195</v>
      </c>
      <c r="B354" s="806" t="s">
        <v>277</v>
      </c>
      <c r="C354" s="887">
        <v>0</v>
      </c>
      <c r="D354" s="887">
        <v>0</v>
      </c>
      <c r="E354" s="887">
        <v>0</v>
      </c>
      <c r="F354" s="887">
        <v>0</v>
      </c>
      <c r="G354" s="887">
        <v>0</v>
      </c>
      <c r="H354" s="887">
        <v>0</v>
      </c>
      <c r="I354" s="887">
        <v>0</v>
      </c>
      <c r="J354" s="887">
        <v>0</v>
      </c>
      <c r="K354" s="887">
        <v>0</v>
      </c>
      <c r="L354" s="887">
        <v>0</v>
      </c>
      <c r="M354" s="887">
        <v>0</v>
      </c>
      <c r="N354" s="887">
        <v>0</v>
      </c>
      <c r="O354" s="887">
        <v>0</v>
      </c>
      <c r="P354" s="887">
        <v>0</v>
      </c>
      <c r="Q354" s="887">
        <v>0</v>
      </c>
      <c r="R354" s="887">
        <v>0</v>
      </c>
      <c r="S354" s="887">
        <v>0</v>
      </c>
      <c r="T354" s="887">
        <v>0</v>
      </c>
      <c r="U354" s="887">
        <v>0</v>
      </c>
      <c r="V354" s="887">
        <v>0</v>
      </c>
      <c r="W354" s="887">
        <v>0</v>
      </c>
      <c r="X354" s="887">
        <v>0</v>
      </c>
      <c r="Y354" s="887">
        <v>0</v>
      </c>
      <c r="Z354" s="887">
        <v>0</v>
      </c>
      <c r="AA354" s="887">
        <v>0</v>
      </c>
    </row>
    <row r="355" spans="1:27" s="685" customFormat="1">
      <c r="A355" s="807" t="s">
        <v>196</v>
      </c>
      <c r="B355" s="808"/>
      <c r="C355" s="705">
        <v>0</v>
      </c>
      <c r="D355" s="705">
        <v>0</v>
      </c>
      <c r="E355" s="705">
        <v>0</v>
      </c>
      <c r="F355" s="705">
        <v>0</v>
      </c>
      <c r="G355" s="705">
        <v>0</v>
      </c>
      <c r="H355" s="705">
        <v>0</v>
      </c>
      <c r="I355" s="705">
        <v>0</v>
      </c>
      <c r="J355" s="705">
        <v>0</v>
      </c>
      <c r="K355" s="705">
        <v>0</v>
      </c>
      <c r="L355" s="705">
        <v>0</v>
      </c>
      <c r="M355" s="705">
        <v>0</v>
      </c>
      <c r="N355" s="705">
        <v>0</v>
      </c>
      <c r="O355" s="705">
        <v>0</v>
      </c>
      <c r="P355" s="705">
        <v>0</v>
      </c>
      <c r="Q355" s="705">
        <v>0</v>
      </c>
      <c r="R355" s="705">
        <v>0</v>
      </c>
      <c r="S355" s="705">
        <v>0</v>
      </c>
      <c r="T355" s="705">
        <v>0</v>
      </c>
      <c r="U355" s="705">
        <v>0</v>
      </c>
      <c r="V355" s="705">
        <v>0</v>
      </c>
      <c r="W355" s="705">
        <v>0</v>
      </c>
      <c r="X355" s="705">
        <v>0</v>
      </c>
      <c r="Y355" s="705">
        <v>0</v>
      </c>
      <c r="Z355" s="705">
        <v>0</v>
      </c>
      <c r="AA355" s="705">
        <v>0</v>
      </c>
    </row>
    <row r="356" spans="1:27" s="712" customFormat="1" ht="15" thickBot="1">
      <c r="A356" s="809"/>
      <c r="B356" s="810"/>
      <c r="C356" s="711">
        <v>0</v>
      </c>
      <c r="D356" s="711">
        <v>0</v>
      </c>
      <c r="E356" s="711">
        <v>0</v>
      </c>
      <c r="F356" s="711">
        <v>0</v>
      </c>
      <c r="G356" s="711">
        <v>0</v>
      </c>
      <c r="H356" s="711">
        <v>0</v>
      </c>
      <c r="I356" s="711">
        <v>0</v>
      </c>
      <c r="J356" s="711">
        <v>0</v>
      </c>
      <c r="K356" s="711">
        <v>0</v>
      </c>
      <c r="L356" s="711">
        <v>0</v>
      </c>
      <c r="M356" s="711">
        <v>0</v>
      </c>
      <c r="N356" s="711">
        <v>0</v>
      </c>
      <c r="O356" s="711">
        <v>0</v>
      </c>
      <c r="P356" s="711">
        <v>0</v>
      </c>
      <c r="Q356" s="711">
        <v>0</v>
      </c>
      <c r="R356" s="711">
        <v>0</v>
      </c>
      <c r="S356" s="711">
        <v>0</v>
      </c>
      <c r="T356" s="711">
        <v>0</v>
      </c>
      <c r="U356" s="711">
        <v>0</v>
      </c>
      <c r="V356" s="711">
        <v>0</v>
      </c>
      <c r="W356" s="711">
        <v>0</v>
      </c>
      <c r="X356" s="711">
        <v>0</v>
      </c>
      <c r="Y356" s="711">
        <v>0</v>
      </c>
      <c r="Z356" s="711">
        <v>0</v>
      </c>
      <c r="AA356" s="711">
        <v>0</v>
      </c>
    </row>
    <row r="357" spans="1:27" s="685" customFormat="1">
      <c r="A357" s="811" t="s">
        <v>341</v>
      </c>
      <c r="B357" s="806" t="s">
        <v>342</v>
      </c>
      <c r="C357" s="887">
        <v>0</v>
      </c>
      <c r="D357" s="887">
        <v>0</v>
      </c>
      <c r="E357" s="887">
        <v>0</v>
      </c>
      <c r="F357" s="887">
        <v>0</v>
      </c>
      <c r="G357" s="887">
        <v>0</v>
      </c>
      <c r="H357" s="887">
        <v>0</v>
      </c>
      <c r="I357" s="887">
        <v>0</v>
      </c>
      <c r="J357" s="887">
        <v>0</v>
      </c>
      <c r="K357" s="887">
        <v>0</v>
      </c>
      <c r="L357" s="887">
        <v>0</v>
      </c>
      <c r="M357" s="887">
        <v>0</v>
      </c>
      <c r="N357" s="887">
        <v>0</v>
      </c>
      <c r="O357" s="887">
        <v>0</v>
      </c>
      <c r="P357" s="887">
        <v>0</v>
      </c>
      <c r="Q357" s="887">
        <v>0</v>
      </c>
      <c r="R357" s="887">
        <v>0</v>
      </c>
      <c r="S357" s="887">
        <v>0</v>
      </c>
      <c r="T357" s="887">
        <v>0</v>
      </c>
      <c r="U357" s="887">
        <v>0</v>
      </c>
      <c r="V357" s="887">
        <v>0</v>
      </c>
      <c r="W357" s="887">
        <v>0</v>
      </c>
      <c r="X357" s="887">
        <v>0</v>
      </c>
      <c r="Y357" s="887">
        <v>0</v>
      </c>
      <c r="Z357" s="887">
        <v>0</v>
      </c>
      <c r="AA357" s="887">
        <v>0</v>
      </c>
    </row>
    <row r="358" spans="1:27" s="685" customFormat="1">
      <c r="A358" s="807" t="s">
        <v>196</v>
      </c>
      <c r="B358" s="808"/>
      <c r="C358" s="705">
        <v>0</v>
      </c>
      <c r="D358" s="705">
        <v>0</v>
      </c>
      <c r="E358" s="705">
        <v>0</v>
      </c>
      <c r="F358" s="705">
        <v>0</v>
      </c>
      <c r="G358" s="705">
        <v>0</v>
      </c>
      <c r="H358" s="705">
        <v>0</v>
      </c>
      <c r="I358" s="705">
        <v>0</v>
      </c>
      <c r="J358" s="705">
        <v>0</v>
      </c>
      <c r="K358" s="705">
        <v>0</v>
      </c>
      <c r="L358" s="705">
        <v>0</v>
      </c>
      <c r="M358" s="705">
        <v>0</v>
      </c>
      <c r="N358" s="705">
        <v>0</v>
      </c>
      <c r="O358" s="705">
        <v>0</v>
      </c>
      <c r="P358" s="705">
        <v>0</v>
      </c>
      <c r="Q358" s="705">
        <v>0</v>
      </c>
      <c r="R358" s="705">
        <v>0</v>
      </c>
      <c r="S358" s="705">
        <v>0</v>
      </c>
      <c r="T358" s="705">
        <v>0</v>
      </c>
      <c r="U358" s="705">
        <v>0</v>
      </c>
      <c r="V358" s="705">
        <v>0</v>
      </c>
      <c r="W358" s="705">
        <v>0</v>
      </c>
      <c r="X358" s="705">
        <v>0</v>
      </c>
      <c r="Y358" s="705">
        <v>0</v>
      </c>
      <c r="Z358" s="705">
        <v>0</v>
      </c>
      <c r="AA358" s="705">
        <v>0</v>
      </c>
    </row>
    <row r="359" spans="1:27" s="712" customFormat="1" ht="15" thickBot="1">
      <c r="A359" s="809"/>
      <c r="B359" s="810"/>
      <c r="C359" s="711">
        <v>0</v>
      </c>
      <c r="D359" s="711">
        <v>0</v>
      </c>
      <c r="E359" s="711">
        <v>0</v>
      </c>
      <c r="F359" s="711">
        <v>0</v>
      </c>
      <c r="G359" s="711">
        <v>0</v>
      </c>
      <c r="H359" s="711">
        <v>0</v>
      </c>
      <c r="I359" s="711">
        <v>0</v>
      </c>
      <c r="J359" s="711">
        <v>0</v>
      </c>
      <c r="K359" s="711">
        <v>0</v>
      </c>
      <c r="L359" s="711">
        <v>0</v>
      </c>
      <c r="M359" s="711">
        <v>0</v>
      </c>
      <c r="N359" s="711">
        <v>0</v>
      </c>
      <c r="O359" s="711">
        <v>0</v>
      </c>
      <c r="P359" s="711">
        <v>0</v>
      </c>
      <c r="Q359" s="711">
        <v>0</v>
      </c>
      <c r="R359" s="711">
        <v>0</v>
      </c>
      <c r="S359" s="711">
        <v>0</v>
      </c>
      <c r="T359" s="711">
        <v>0</v>
      </c>
      <c r="U359" s="711">
        <v>0</v>
      </c>
      <c r="V359" s="711">
        <v>0</v>
      </c>
      <c r="W359" s="711">
        <v>0</v>
      </c>
      <c r="X359" s="711">
        <v>0</v>
      </c>
      <c r="Y359" s="711">
        <v>0</v>
      </c>
      <c r="Z359" s="711">
        <v>0</v>
      </c>
      <c r="AA359" s="711">
        <v>0</v>
      </c>
    </row>
    <row r="360" spans="1:27" s="713" customFormat="1" ht="18">
      <c r="A360" s="812" t="s">
        <v>362</v>
      </c>
      <c r="B360" s="813"/>
      <c r="C360" s="958">
        <v>0</v>
      </c>
      <c r="D360" s="958">
        <v>0</v>
      </c>
      <c r="E360" s="958">
        <v>0</v>
      </c>
      <c r="F360" s="958">
        <v>0</v>
      </c>
      <c r="G360" s="958">
        <v>0</v>
      </c>
      <c r="H360" s="958">
        <v>0</v>
      </c>
      <c r="I360" s="958">
        <v>0</v>
      </c>
      <c r="J360" s="958">
        <v>0</v>
      </c>
      <c r="K360" s="958">
        <v>0</v>
      </c>
      <c r="L360" s="958">
        <v>0</v>
      </c>
      <c r="M360" s="958">
        <v>0</v>
      </c>
      <c r="N360" s="958">
        <v>0</v>
      </c>
      <c r="O360" s="958">
        <v>0</v>
      </c>
      <c r="P360" s="958">
        <v>0</v>
      </c>
      <c r="Q360" s="958">
        <v>0</v>
      </c>
      <c r="R360" s="958">
        <v>0</v>
      </c>
      <c r="S360" s="958">
        <v>0</v>
      </c>
      <c r="T360" s="958">
        <v>0</v>
      </c>
      <c r="U360" s="958">
        <v>0</v>
      </c>
      <c r="V360" s="958">
        <v>0</v>
      </c>
      <c r="W360" s="958">
        <v>0</v>
      </c>
      <c r="X360" s="958">
        <v>0</v>
      </c>
      <c r="Y360" s="958">
        <v>0</v>
      </c>
      <c r="Z360" s="958">
        <v>0</v>
      </c>
      <c r="AA360" s="958">
        <v>0</v>
      </c>
    </row>
    <row r="361" spans="1:27" s="715" customFormat="1" ht="18">
      <c r="A361" s="814" t="s">
        <v>85</v>
      </c>
      <c r="B361" s="815"/>
      <c r="C361" s="714">
        <v>0</v>
      </c>
      <c r="D361" s="714">
        <v>0</v>
      </c>
      <c r="E361" s="714">
        <v>0</v>
      </c>
      <c r="F361" s="714">
        <v>0</v>
      </c>
      <c r="G361" s="714">
        <v>0</v>
      </c>
      <c r="H361" s="714">
        <v>0</v>
      </c>
      <c r="I361" s="714">
        <v>0</v>
      </c>
      <c r="J361" s="714">
        <v>0</v>
      </c>
      <c r="K361" s="714">
        <v>0</v>
      </c>
      <c r="L361" s="714">
        <v>0</v>
      </c>
      <c r="M361" s="714">
        <v>0</v>
      </c>
      <c r="N361" s="714">
        <v>0</v>
      </c>
      <c r="O361" s="714">
        <v>0</v>
      </c>
      <c r="P361" s="714">
        <v>0</v>
      </c>
      <c r="Q361" s="714">
        <v>0</v>
      </c>
      <c r="R361" s="714">
        <v>0</v>
      </c>
      <c r="S361" s="714">
        <v>0</v>
      </c>
      <c r="T361" s="714">
        <v>0</v>
      </c>
      <c r="U361" s="714">
        <v>0</v>
      </c>
      <c r="V361" s="714">
        <v>0</v>
      </c>
      <c r="W361" s="714">
        <v>0</v>
      </c>
      <c r="X361" s="714">
        <v>0</v>
      </c>
      <c r="Y361" s="714">
        <v>0</v>
      </c>
      <c r="Z361" s="714">
        <v>0</v>
      </c>
      <c r="AA361" s="714">
        <v>0</v>
      </c>
    </row>
    <row r="362" spans="1:27" s="426" customFormat="1" ht="15" thickBot="1">
      <c r="A362" s="65"/>
      <c r="B362" s="753"/>
      <c r="C362" s="971"/>
      <c r="D362" s="971"/>
      <c r="E362" s="971"/>
      <c r="F362" s="971"/>
      <c r="G362" s="971"/>
      <c r="H362" s="971"/>
      <c r="I362" s="971"/>
      <c r="J362" s="971"/>
      <c r="K362" s="971"/>
      <c r="L362" s="971"/>
      <c r="M362" s="971"/>
      <c r="N362" s="971"/>
      <c r="O362" s="971"/>
      <c r="P362" s="971"/>
      <c r="Q362" s="971"/>
      <c r="R362" s="971"/>
      <c r="S362" s="971"/>
      <c r="T362" s="971"/>
      <c r="U362" s="971"/>
      <c r="V362" s="971"/>
      <c r="W362" s="971"/>
      <c r="X362" s="971"/>
      <c r="Y362" s="971"/>
      <c r="Z362" s="971"/>
      <c r="AA362" s="971"/>
    </row>
    <row r="363" spans="1:27" s="426" customFormat="1">
      <c r="A363" s="3" t="s">
        <v>576</v>
      </c>
      <c r="B363" s="734"/>
      <c r="C363" s="974"/>
      <c r="D363" s="974"/>
      <c r="E363" s="974"/>
      <c r="F363" s="974"/>
      <c r="G363" s="974"/>
      <c r="H363" s="974"/>
      <c r="I363" s="974"/>
      <c r="J363" s="974"/>
      <c r="K363" s="974"/>
      <c r="L363" s="974"/>
      <c r="M363" s="974"/>
      <c r="N363" s="974"/>
      <c r="O363" s="974"/>
      <c r="P363" s="974"/>
      <c r="Q363" s="974"/>
      <c r="R363" s="974"/>
      <c r="S363" s="974"/>
      <c r="T363" s="974"/>
      <c r="U363" s="974"/>
      <c r="V363" s="974"/>
      <c r="W363" s="974"/>
      <c r="X363" s="974"/>
      <c r="Y363" s="974"/>
      <c r="Z363" s="974"/>
      <c r="AA363" s="974"/>
    </row>
    <row r="364" spans="1:27">
      <c r="A364" s="1" t="s">
        <v>573</v>
      </c>
      <c r="B364" s="736"/>
      <c r="C364" s="876">
        <v>0</v>
      </c>
      <c r="D364" s="876">
        <v>0</v>
      </c>
      <c r="E364" s="876">
        <v>0</v>
      </c>
      <c r="F364" s="876">
        <v>0</v>
      </c>
      <c r="G364" s="876">
        <v>0</v>
      </c>
      <c r="H364" s="876">
        <v>0</v>
      </c>
      <c r="I364" s="876">
        <v>128500</v>
      </c>
      <c r="J364" s="876">
        <v>2500000</v>
      </c>
      <c r="K364" s="876">
        <v>0</v>
      </c>
      <c r="L364" s="876">
        <v>0</v>
      </c>
      <c r="M364" s="876">
        <v>0</v>
      </c>
      <c r="N364" s="876">
        <v>0</v>
      </c>
      <c r="O364" s="876">
        <v>0</v>
      </c>
      <c r="P364" s="876">
        <v>210000</v>
      </c>
      <c r="Q364" s="876">
        <v>0</v>
      </c>
      <c r="R364" s="876">
        <v>0</v>
      </c>
      <c r="S364" s="876">
        <v>0</v>
      </c>
      <c r="T364" s="876">
        <v>100000</v>
      </c>
      <c r="U364" s="876">
        <v>0</v>
      </c>
      <c r="V364" s="876">
        <v>0</v>
      </c>
      <c r="W364" s="876">
        <v>0</v>
      </c>
      <c r="X364" s="876">
        <v>0</v>
      </c>
      <c r="Y364" s="876">
        <v>0</v>
      </c>
      <c r="Z364" s="876">
        <v>42500</v>
      </c>
      <c r="AA364" s="876">
        <v>0</v>
      </c>
    </row>
    <row r="365" spans="1:27" s="426" customFormat="1">
      <c r="A365" s="969" t="s">
        <v>13</v>
      </c>
      <c r="B365" s="748"/>
      <c r="C365" s="970">
        <v>2981000</v>
      </c>
      <c r="D365" s="970">
        <v>2981000</v>
      </c>
      <c r="E365" s="970">
        <v>2981000</v>
      </c>
      <c r="F365" s="970">
        <v>2981000</v>
      </c>
      <c r="G365" s="970">
        <v>2981000</v>
      </c>
      <c r="H365" s="970">
        <v>2981000</v>
      </c>
      <c r="I365" s="970">
        <v>2981000</v>
      </c>
      <c r="J365" s="970">
        <v>2852500</v>
      </c>
      <c r="K365" s="970">
        <v>352500</v>
      </c>
      <c r="L365" s="970">
        <v>352500</v>
      </c>
      <c r="M365" s="970">
        <v>352500</v>
      </c>
      <c r="N365" s="970">
        <v>352500</v>
      </c>
      <c r="O365" s="970">
        <v>352500</v>
      </c>
      <c r="P365" s="970">
        <v>352500</v>
      </c>
      <c r="Q365" s="970">
        <v>142500</v>
      </c>
      <c r="R365" s="970">
        <v>142500</v>
      </c>
      <c r="S365" s="970">
        <v>142500</v>
      </c>
      <c r="T365" s="970">
        <v>142500</v>
      </c>
      <c r="U365" s="970">
        <v>42500</v>
      </c>
      <c r="V365" s="970">
        <v>42500</v>
      </c>
      <c r="W365" s="970">
        <v>42500</v>
      </c>
      <c r="X365" s="970">
        <v>42500</v>
      </c>
      <c r="Y365" s="970">
        <v>42500</v>
      </c>
      <c r="Z365" s="970">
        <v>42500</v>
      </c>
      <c r="AA365" s="970">
        <v>0</v>
      </c>
    </row>
    <row r="366" spans="1:27">
      <c r="A366" s="1" t="s">
        <v>574</v>
      </c>
      <c r="B366" s="736"/>
      <c r="C366" s="876">
        <v>0</v>
      </c>
      <c r="D366" s="876">
        <v>0</v>
      </c>
      <c r="E366" s="876">
        <v>0</v>
      </c>
      <c r="F366" s="876">
        <v>0</v>
      </c>
      <c r="G366" s="876">
        <v>0</v>
      </c>
      <c r="H366" s="876">
        <v>0</v>
      </c>
      <c r="I366" s="876">
        <v>0</v>
      </c>
      <c r="J366" s="876">
        <v>0</v>
      </c>
      <c r="K366" s="876">
        <v>0</v>
      </c>
      <c r="L366" s="876">
        <v>0</v>
      </c>
      <c r="M366" s="876">
        <v>0</v>
      </c>
      <c r="N366" s="876">
        <v>0</v>
      </c>
      <c r="O366" s="876">
        <v>0</v>
      </c>
      <c r="P366" s="876">
        <v>0</v>
      </c>
      <c r="Q366" s="876">
        <v>0</v>
      </c>
      <c r="R366" s="876">
        <v>0</v>
      </c>
      <c r="S366" s="876">
        <v>0</v>
      </c>
      <c r="T366" s="876">
        <v>0</v>
      </c>
      <c r="U366" s="876">
        <v>0</v>
      </c>
      <c r="V366" s="876">
        <v>0</v>
      </c>
      <c r="W366" s="876">
        <v>0</v>
      </c>
      <c r="X366" s="876">
        <v>0</v>
      </c>
      <c r="Y366" s="876">
        <v>0</v>
      </c>
      <c r="Z366" s="876">
        <v>0</v>
      </c>
      <c r="AA366" s="876">
        <v>0</v>
      </c>
    </row>
    <row r="367" spans="1:27" s="426" customFormat="1">
      <c r="A367" s="969" t="s">
        <v>13</v>
      </c>
      <c r="B367" s="748"/>
      <c r="C367" s="970">
        <v>0</v>
      </c>
      <c r="D367" s="970">
        <v>0</v>
      </c>
      <c r="E367" s="970">
        <v>0</v>
      </c>
      <c r="F367" s="970">
        <v>0</v>
      </c>
      <c r="G367" s="970">
        <v>0</v>
      </c>
      <c r="H367" s="970">
        <v>0</v>
      </c>
      <c r="I367" s="970">
        <v>0</v>
      </c>
      <c r="J367" s="970">
        <v>0</v>
      </c>
      <c r="K367" s="970">
        <v>0</v>
      </c>
      <c r="L367" s="970">
        <v>0</v>
      </c>
      <c r="M367" s="970">
        <v>0</v>
      </c>
      <c r="N367" s="970">
        <v>0</v>
      </c>
      <c r="O367" s="970">
        <v>0</v>
      </c>
      <c r="P367" s="970">
        <v>0</v>
      </c>
      <c r="Q367" s="970">
        <v>0</v>
      </c>
      <c r="R367" s="970">
        <v>0</v>
      </c>
      <c r="S367" s="970">
        <v>0</v>
      </c>
      <c r="T367" s="970">
        <v>0</v>
      </c>
      <c r="U367" s="970">
        <v>0</v>
      </c>
      <c r="V367" s="970">
        <v>0</v>
      </c>
      <c r="W367" s="970">
        <v>0</v>
      </c>
      <c r="X367" s="970">
        <v>0</v>
      </c>
      <c r="Y367" s="970">
        <v>0</v>
      </c>
      <c r="Z367" s="970">
        <v>0</v>
      </c>
      <c r="AA367" s="970">
        <v>0</v>
      </c>
    </row>
    <row r="368" spans="1:27">
      <c r="A368" s="1" t="s">
        <v>575</v>
      </c>
      <c r="B368" s="736"/>
      <c r="C368" s="876">
        <v>0</v>
      </c>
      <c r="D368" s="876">
        <v>0</v>
      </c>
      <c r="E368" s="876">
        <v>0</v>
      </c>
      <c r="F368" s="876">
        <v>0</v>
      </c>
      <c r="G368" s="876">
        <v>0</v>
      </c>
      <c r="H368" s="876">
        <v>0</v>
      </c>
      <c r="I368" s="876">
        <v>0</v>
      </c>
      <c r="J368" s="876">
        <v>0</v>
      </c>
      <c r="K368" s="876">
        <v>0</v>
      </c>
      <c r="L368" s="876">
        <v>0</v>
      </c>
      <c r="M368" s="876">
        <v>0</v>
      </c>
      <c r="N368" s="876">
        <v>0</v>
      </c>
      <c r="O368" s="876">
        <v>0</v>
      </c>
      <c r="P368" s="876">
        <v>0</v>
      </c>
      <c r="Q368" s="876">
        <v>0</v>
      </c>
      <c r="R368" s="876">
        <v>0</v>
      </c>
      <c r="S368" s="876">
        <v>0</v>
      </c>
      <c r="T368" s="876">
        <v>0</v>
      </c>
      <c r="U368" s="876">
        <v>0</v>
      </c>
      <c r="V368" s="876">
        <v>0</v>
      </c>
      <c r="W368" s="876">
        <v>0</v>
      </c>
      <c r="X368" s="876">
        <v>0</v>
      </c>
      <c r="Y368" s="876">
        <v>0</v>
      </c>
      <c r="Z368" s="876">
        <v>0</v>
      </c>
      <c r="AA368" s="876">
        <v>0</v>
      </c>
    </row>
    <row r="369" spans="1:27" s="426" customFormat="1">
      <c r="A369" s="969" t="s">
        <v>13</v>
      </c>
      <c r="B369" s="748"/>
      <c r="C369" s="970">
        <v>0</v>
      </c>
      <c r="D369" s="970">
        <v>0</v>
      </c>
      <c r="E369" s="970">
        <v>0</v>
      </c>
      <c r="F369" s="970">
        <v>0</v>
      </c>
      <c r="G369" s="970">
        <v>0</v>
      </c>
      <c r="H369" s="970">
        <v>0</v>
      </c>
      <c r="I369" s="970">
        <v>0</v>
      </c>
      <c r="J369" s="970">
        <v>0</v>
      </c>
      <c r="K369" s="970">
        <v>0</v>
      </c>
      <c r="L369" s="970">
        <v>0</v>
      </c>
      <c r="M369" s="970">
        <v>0</v>
      </c>
      <c r="N369" s="970">
        <v>0</v>
      </c>
      <c r="O369" s="970">
        <v>0</v>
      </c>
      <c r="P369" s="970">
        <v>0</v>
      </c>
      <c r="Q369" s="970">
        <v>0</v>
      </c>
      <c r="R369" s="970">
        <v>0</v>
      </c>
      <c r="S369" s="970">
        <v>0</v>
      </c>
      <c r="T369" s="970">
        <v>0</v>
      </c>
      <c r="U369" s="970">
        <v>0</v>
      </c>
      <c r="V369" s="970">
        <v>0</v>
      </c>
      <c r="W369" s="970">
        <v>0</v>
      </c>
      <c r="X369" s="970">
        <v>0</v>
      </c>
      <c r="Y369" s="970">
        <v>0</v>
      </c>
      <c r="Z369" s="970">
        <v>0</v>
      </c>
      <c r="AA369" s="970">
        <v>0</v>
      </c>
    </row>
    <row r="370" spans="1:27">
      <c r="A370" s="965" t="s">
        <v>27</v>
      </c>
      <c r="B370" s="736"/>
      <c r="C370" s="876">
        <v>0</v>
      </c>
      <c r="D370" s="876">
        <v>0</v>
      </c>
      <c r="E370" s="876">
        <v>120000</v>
      </c>
      <c r="F370" s="876">
        <v>0</v>
      </c>
      <c r="G370" s="876">
        <v>0</v>
      </c>
      <c r="H370" s="876">
        <v>0</v>
      </c>
      <c r="I370" s="876">
        <v>32500</v>
      </c>
      <c r="J370" s="876">
        <v>0</v>
      </c>
      <c r="K370" s="876">
        <v>50000</v>
      </c>
      <c r="L370" s="876">
        <v>0</v>
      </c>
      <c r="M370" s="876">
        <v>0</v>
      </c>
      <c r="N370" s="876">
        <v>0</v>
      </c>
      <c r="O370" s="876">
        <v>0</v>
      </c>
      <c r="P370" s="876">
        <v>0</v>
      </c>
      <c r="Q370" s="876">
        <v>0</v>
      </c>
      <c r="R370" s="876">
        <v>0</v>
      </c>
      <c r="S370" s="876">
        <v>0</v>
      </c>
      <c r="T370" s="876">
        <v>0</v>
      </c>
      <c r="U370" s="876">
        <v>0</v>
      </c>
      <c r="V370" s="876">
        <v>3000000</v>
      </c>
      <c r="W370" s="876">
        <v>0</v>
      </c>
      <c r="X370" s="876">
        <v>0</v>
      </c>
      <c r="Y370" s="876">
        <v>0</v>
      </c>
      <c r="Z370" s="876">
        <v>0</v>
      </c>
      <c r="AA370" s="876">
        <v>0</v>
      </c>
    </row>
    <row r="371" spans="1:27" s="426" customFormat="1">
      <c r="A371" s="969" t="s">
        <v>13</v>
      </c>
      <c r="B371" s="748"/>
      <c r="C371" s="970">
        <v>3202500</v>
      </c>
      <c r="D371" s="970">
        <v>3202500</v>
      </c>
      <c r="E371" s="970">
        <v>3202500</v>
      </c>
      <c r="F371" s="970">
        <v>3082500</v>
      </c>
      <c r="G371" s="970">
        <v>3082500</v>
      </c>
      <c r="H371" s="970">
        <v>3082500</v>
      </c>
      <c r="I371" s="970">
        <v>3082500</v>
      </c>
      <c r="J371" s="970">
        <v>3050000</v>
      </c>
      <c r="K371" s="970">
        <v>3050000</v>
      </c>
      <c r="L371" s="970">
        <v>3000000</v>
      </c>
      <c r="M371" s="970">
        <v>3000000</v>
      </c>
      <c r="N371" s="970">
        <v>3000000</v>
      </c>
      <c r="O371" s="970">
        <v>3000000</v>
      </c>
      <c r="P371" s="970">
        <v>3000000</v>
      </c>
      <c r="Q371" s="970">
        <v>3000000</v>
      </c>
      <c r="R371" s="970">
        <v>3000000</v>
      </c>
      <c r="S371" s="970">
        <v>3000000</v>
      </c>
      <c r="T371" s="970">
        <v>3000000</v>
      </c>
      <c r="U371" s="970">
        <v>3000000</v>
      </c>
      <c r="V371" s="970">
        <v>3000000</v>
      </c>
      <c r="W371" s="970">
        <v>0</v>
      </c>
      <c r="X371" s="970">
        <v>0</v>
      </c>
      <c r="Y371" s="970">
        <v>0</v>
      </c>
      <c r="Z371" s="970">
        <v>0</v>
      </c>
      <c r="AA371" s="970">
        <v>0</v>
      </c>
    </row>
    <row r="372" spans="1:27" s="426" customFormat="1">
      <c r="A372" s="965" t="s">
        <v>180</v>
      </c>
      <c r="B372" s="748"/>
      <c r="C372" s="892">
        <v>0</v>
      </c>
      <c r="D372" s="892">
        <v>0</v>
      </c>
      <c r="E372" s="892">
        <v>0</v>
      </c>
      <c r="F372" s="892">
        <v>20000</v>
      </c>
      <c r="G372" s="892">
        <v>20000</v>
      </c>
      <c r="H372" s="892">
        <v>20000</v>
      </c>
      <c r="I372" s="892">
        <v>40000</v>
      </c>
      <c r="J372" s="892">
        <v>0</v>
      </c>
      <c r="K372" s="892">
        <v>0</v>
      </c>
      <c r="L372" s="892">
        <v>0</v>
      </c>
      <c r="M372" s="892">
        <v>0</v>
      </c>
      <c r="N372" s="892">
        <v>20000</v>
      </c>
      <c r="O372" s="892">
        <v>40000</v>
      </c>
      <c r="P372" s="892">
        <v>0</v>
      </c>
      <c r="Q372" s="892">
        <v>0</v>
      </c>
      <c r="R372" s="892">
        <v>0</v>
      </c>
      <c r="S372" s="892">
        <v>0</v>
      </c>
      <c r="T372" s="892">
        <v>0</v>
      </c>
      <c r="U372" s="892">
        <v>0</v>
      </c>
      <c r="V372" s="892">
        <v>0</v>
      </c>
      <c r="W372" s="892">
        <v>0</v>
      </c>
      <c r="X372" s="892">
        <v>0</v>
      </c>
      <c r="Y372" s="892">
        <v>0</v>
      </c>
      <c r="Z372" s="892">
        <v>20000</v>
      </c>
      <c r="AA372" s="892">
        <v>0</v>
      </c>
    </row>
    <row r="373" spans="1:27" s="426" customFormat="1">
      <c r="A373" s="969" t="s">
        <v>13</v>
      </c>
      <c r="B373" s="748"/>
      <c r="C373" s="970">
        <v>180000</v>
      </c>
      <c r="D373" s="970">
        <v>180000</v>
      </c>
      <c r="E373" s="970">
        <v>180000</v>
      </c>
      <c r="F373" s="970">
        <v>180000</v>
      </c>
      <c r="G373" s="970">
        <v>160000</v>
      </c>
      <c r="H373" s="970">
        <v>140000</v>
      </c>
      <c r="I373" s="970">
        <v>120000</v>
      </c>
      <c r="J373" s="970">
        <v>80000</v>
      </c>
      <c r="K373" s="970">
        <v>80000</v>
      </c>
      <c r="L373" s="970">
        <v>80000</v>
      </c>
      <c r="M373" s="970">
        <v>80000</v>
      </c>
      <c r="N373" s="970">
        <v>80000</v>
      </c>
      <c r="O373" s="970">
        <v>60000</v>
      </c>
      <c r="P373" s="970">
        <v>20000</v>
      </c>
      <c r="Q373" s="970">
        <v>20000</v>
      </c>
      <c r="R373" s="970">
        <v>20000</v>
      </c>
      <c r="S373" s="970">
        <v>20000</v>
      </c>
      <c r="T373" s="970">
        <v>20000</v>
      </c>
      <c r="U373" s="970">
        <v>20000</v>
      </c>
      <c r="V373" s="970">
        <v>20000</v>
      </c>
      <c r="W373" s="970">
        <v>20000</v>
      </c>
      <c r="X373" s="970">
        <v>20000</v>
      </c>
      <c r="Y373" s="970">
        <v>20000</v>
      </c>
      <c r="Z373" s="970">
        <v>20000</v>
      </c>
      <c r="AA373" s="970">
        <v>0</v>
      </c>
    </row>
    <row r="374" spans="1:27" s="426" customFormat="1">
      <c r="A374" s="29" t="s">
        <v>151</v>
      </c>
      <c r="B374" s="748"/>
      <c r="C374" s="892">
        <v>0</v>
      </c>
      <c r="D374" s="892">
        <v>0</v>
      </c>
      <c r="E374" s="892">
        <v>120000</v>
      </c>
      <c r="F374" s="892">
        <v>20000</v>
      </c>
      <c r="G374" s="892">
        <v>20000</v>
      </c>
      <c r="H374" s="892">
        <v>20000</v>
      </c>
      <c r="I374" s="892">
        <v>201000</v>
      </c>
      <c r="J374" s="892">
        <v>2500000</v>
      </c>
      <c r="K374" s="892">
        <v>50000</v>
      </c>
      <c r="L374" s="892">
        <v>0</v>
      </c>
      <c r="M374" s="892">
        <v>0</v>
      </c>
      <c r="N374" s="892">
        <v>20000</v>
      </c>
      <c r="O374" s="892">
        <v>40000</v>
      </c>
      <c r="P374" s="892">
        <v>210000</v>
      </c>
      <c r="Q374" s="892">
        <v>0</v>
      </c>
      <c r="R374" s="892">
        <v>0</v>
      </c>
      <c r="S374" s="892">
        <v>0</v>
      </c>
      <c r="T374" s="892">
        <v>100000</v>
      </c>
      <c r="U374" s="892">
        <v>0</v>
      </c>
      <c r="V374" s="892">
        <v>3000000</v>
      </c>
      <c r="W374" s="892">
        <v>0</v>
      </c>
      <c r="X374" s="892">
        <v>0</v>
      </c>
      <c r="Y374" s="892">
        <v>0</v>
      </c>
      <c r="Z374" s="892">
        <v>62500</v>
      </c>
      <c r="AA374" s="892">
        <v>0</v>
      </c>
    </row>
    <row r="375" spans="1:27" s="426" customFormat="1" ht="15" thickBot="1">
      <c r="A375" s="975" t="s">
        <v>13</v>
      </c>
      <c r="B375" s="976"/>
      <c r="C375" s="977">
        <v>6363500</v>
      </c>
      <c r="D375" s="977">
        <v>6363500</v>
      </c>
      <c r="E375" s="977">
        <v>6363500</v>
      </c>
      <c r="F375" s="977">
        <v>6243500</v>
      </c>
      <c r="G375" s="977">
        <v>6223500</v>
      </c>
      <c r="H375" s="977">
        <v>6203500</v>
      </c>
      <c r="I375" s="977">
        <v>6183500</v>
      </c>
      <c r="J375" s="977">
        <v>5982500</v>
      </c>
      <c r="K375" s="977">
        <v>3482500</v>
      </c>
      <c r="L375" s="977">
        <v>3432500</v>
      </c>
      <c r="M375" s="977">
        <v>3432500</v>
      </c>
      <c r="N375" s="977">
        <v>3432500</v>
      </c>
      <c r="O375" s="977">
        <v>3412500</v>
      </c>
      <c r="P375" s="977">
        <v>3372500</v>
      </c>
      <c r="Q375" s="977">
        <v>3162500</v>
      </c>
      <c r="R375" s="977">
        <v>3162500</v>
      </c>
      <c r="S375" s="977">
        <v>3162500</v>
      </c>
      <c r="T375" s="977">
        <v>3162500</v>
      </c>
      <c r="U375" s="977">
        <v>3062500</v>
      </c>
      <c r="V375" s="977">
        <v>3062500</v>
      </c>
      <c r="W375" s="977">
        <v>62500</v>
      </c>
      <c r="X375" s="977">
        <v>62500</v>
      </c>
      <c r="Y375" s="977">
        <v>62500</v>
      </c>
      <c r="Z375" s="977">
        <v>62500</v>
      </c>
      <c r="AA375" s="977">
        <v>0</v>
      </c>
    </row>
    <row r="376" spans="1:27" s="426" customFormat="1">
      <c r="A376" s="972"/>
      <c r="B376" s="735"/>
      <c r="C376" s="973"/>
      <c r="D376" s="973"/>
      <c r="E376" s="973"/>
      <c r="F376" s="973"/>
      <c r="G376" s="973"/>
      <c r="H376" s="973"/>
      <c r="I376" s="973"/>
      <c r="J376" s="973"/>
      <c r="K376" s="973"/>
      <c r="L376" s="973"/>
      <c r="M376" s="973"/>
      <c r="N376" s="973"/>
      <c r="O376" s="973"/>
      <c r="P376" s="973"/>
      <c r="Q376" s="973"/>
      <c r="R376" s="973"/>
      <c r="S376" s="973"/>
      <c r="T376" s="973"/>
      <c r="U376" s="973"/>
      <c r="V376" s="973"/>
      <c r="W376" s="973"/>
      <c r="X376" s="973"/>
      <c r="Y376" s="973"/>
      <c r="Z376" s="973"/>
      <c r="AA376" s="973"/>
    </row>
    <row r="377" spans="1:27" s="685" customFormat="1">
      <c r="A377" s="73" t="s">
        <v>49</v>
      </c>
      <c r="B377" s="808" t="s">
        <v>291</v>
      </c>
      <c r="C377" s="875">
        <v>250000</v>
      </c>
      <c r="D377" s="875">
        <v>71000</v>
      </c>
      <c r="E377" s="875">
        <v>116300</v>
      </c>
      <c r="F377" s="875">
        <v>758700</v>
      </c>
      <c r="G377" s="875">
        <v>359000</v>
      </c>
      <c r="H377" s="875">
        <v>208000</v>
      </c>
      <c r="I377" s="875">
        <v>165000</v>
      </c>
      <c r="J377" s="875">
        <v>272000</v>
      </c>
      <c r="K377" s="875">
        <v>289000</v>
      </c>
      <c r="L377" s="875">
        <v>0</v>
      </c>
      <c r="M377" s="875">
        <v>1160000</v>
      </c>
      <c r="N377" s="875">
        <v>132000</v>
      </c>
      <c r="O377" s="875">
        <v>289000</v>
      </c>
      <c r="P377" s="875">
        <v>111000</v>
      </c>
      <c r="Q377" s="875">
        <v>0</v>
      </c>
      <c r="R377" s="875">
        <v>100000</v>
      </c>
      <c r="S377" s="875">
        <v>39000</v>
      </c>
      <c r="T377" s="875">
        <v>747615</v>
      </c>
      <c r="U377" s="875">
        <v>65000</v>
      </c>
      <c r="V377" s="875">
        <v>49000</v>
      </c>
      <c r="W377" s="875">
        <v>100000</v>
      </c>
      <c r="X377" s="875">
        <v>1735000</v>
      </c>
      <c r="Y377" s="875">
        <v>174000</v>
      </c>
      <c r="Z377" s="875">
        <v>77000</v>
      </c>
      <c r="AA377" s="875">
        <v>0</v>
      </c>
    </row>
    <row r="378" spans="1:27" s="426" customFormat="1">
      <c r="A378" s="816" t="s">
        <v>109</v>
      </c>
      <c r="B378" s="746"/>
      <c r="C378" s="702">
        <v>7267615</v>
      </c>
      <c r="D378" s="702">
        <v>7017615</v>
      </c>
      <c r="E378" s="702">
        <v>6946615</v>
      </c>
      <c r="F378" s="702">
        <v>6830315</v>
      </c>
      <c r="G378" s="702">
        <v>6071615</v>
      </c>
      <c r="H378" s="702">
        <v>5712615</v>
      </c>
      <c r="I378" s="702">
        <v>5504615</v>
      </c>
      <c r="J378" s="702">
        <v>5339615</v>
      </c>
      <c r="K378" s="702">
        <v>5067615</v>
      </c>
      <c r="L378" s="702">
        <v>4778615</v>
      </c>
      <c r="M378" s="702">
        <v>4778615</v>
      </c>
      <c r="N378" s="702">
        <v>3618615</v>
      </c>
      <c r="O378" s="702">
        <v>3486615</v>
      </c>
      <c r="P378" s="702">
        <v>3197615</v>
      </c>
      <c r="Q378" s="702">
        <v>3086615</v>
      </c>
      <c r="R378" s="702">
        <v>3086615</v>
      </c>
      <c r="S378" s="702">
        <v>2986615</v>
      </c>
      <c r="T378" s="702">
        <v>2947615</v>
      </c>
      <c r="U378" s="702">
        <v>2200000</v>
      </c>
      <c r="V378" s="702">
        <v>2135000</v>
      </c>
      <c r="W378" s="702">
        <v>2086000</v>
      </c>
      <c r="X378" s="702">
        <v>1986000</v>
      </c>
      <c r="Y378" s="702">
        <v>251000</v>
      </c>
      <c r="Z378" s="702">
        <v>77000</v>
      </c>
      <c r="AA378" s="702">
        <v>0</v>
      </c>
    </row>
    <row r="379" spans="1:27" s="426" customFormat="1">
      <c r="A379" s="817"/>
      <c r="B379" s="748"/>
      <c r="C379" s="879"/>
      <c r="D379" s="879"/>
      <c r="E379" s="879"/>
      <c r="F379" s="879"/>
      <c r="G379" s="879"/>
      <c r="H379" s="879"/>
      <c r="I379" s="879"/>
      <c r="J379" s="879"/>
      <c r="K379" s="879"/>
      <c r="L379" s="879"/>
      <c r="M379" s="879"/>
      <c r="N379" s="879"/>
      <c r="O379" s="879"/>
      <c r="P379" s="879"/>
      <c r="Q379" s="879"/>
      <c r="R379" s="879"/>
      <c r="S379" s="879"/>
      <c r="T379" s="879"/>
      <c r="U379" s="879"/>
      <c r="V379" s="879"/>
      <c r="W379" s="879"/>
      <c r="X379" s="879"/>
      <c r="Y379" s="879"/>
      <c r="Z379" s="879"/>
      <c r="AA379" s="879"/>
    </row>
    <row r="380" spans="1:27" s="426" customFormat="1">
      <c r="A380" s="817" t="s">
        <v>154</v>
      </c>
      <c r="B380" s="748"/>
      <c r="C380" s="879"/>
      <c r="D380" s="879"/>
      <c r="E380" s="879"/>
      <c r="F380" s="879"/>
      <c r="G380" s="879"/>
      <c r="H380" s="879"/>
      <c r="I380" s="879"/>
      <c r="J380" s="879"/>
      <c r="K380" s="879"/>
      <c r="L380" s="879"/>
      <c r="M380" s="879"/>
      <c r="N380" s="879"/>
      <c r="O380" s="879"/>
      <c r="P380" s="879"/>
      <c r="Q380" s="879"/>
      <c r="R380" s="879"/>
      <c r="S380" s="879"/>
      <c r="T380" s="879"/>
      <c r="U380" s="879"/>
      <c r="V380" s="879"/>
      <c r="W380" s="879"/>
      <c r="X380" s="879"/>
      <c r="Y380" s="879"/>
      <c r="Z380" s="879"/>
      <c r="AA380" s="879"/>
    </row>
    <row r="381" spans="1:27" s="426" customFormat="1">
      <c r="A381" s="818" t="s">
        <v>138</v>
      </c>
      <c r="B381" s="746" t="s">
        <v>292</v>
      </c>
      <c r="C381" s="888">
        <v>1020000</v>
      </c>
      <c r="D381" s="888">
        <v>0</v>
      </c>
      <c r="E381" s="888">
        <v>450000</v>
      </c>
      <c r="F381" s="888">
        <v>0</v>
      </c>
      <c r="G381" s="888">
        <v>0</v>
      </c>
      <c r="H381" s="888">
        <v>0</v>
      </c>
      <c r="I381" s="888">
        <v>0</v>
      </c>
      <c r="J381" s="888">
        <v>0</v>
      </c>
      <c r="K381" s="888">
        <v>0</v>
      </c>
      <c r="L381" s="888">
        <v>0</v>
      </c>
      <c r="M381" s="888">
        <v>0</v>
      </c>
      <c r="N381" s="888">
        <v>0</v>
      </c>
      <c r="O381" s="888">
        <v>0</v>
      </c>
      <c r="P381" s="888">
        <v>0</v>
      </c>
      <c r="Q381" s="888">
        <v>0</v>
      </c>
      <c r="R381" s="888">
        <v>0</v>
      </c>
      <c r="S381" s="888">
        <v>0</v>
      </c>
      <c r="T381" s="888">
        <v>0</v>
      </c>
      <c r="U381" s="888">
        <v>0</v>
      </c>
      <c r="V381" s="888">
        <v>0</v>
      </c>
      <c r="W381" s="888">
        <v>50000</v>
      </c>
      <c r="X381" s="888">
        <v>0</v>
      </c>
      <c r="Y381" s="888">
        <v>0</v>
      </c>
      <c r="Z381" s="888">
        <v>0</v>
      </c>
      <c r="AA381" s="888">
        <v>0</v>
      </c>
    </row>
    <row r="382" spans="1:27" s="426" customFormat="1">
      <c r="A382" s="819" t="s">
        <v>13</v>
      </c>
      <c r="B382" s="746"/>
      <c r="C382" s="702">
        <v>1520000</v>
      </c>
      <c r="D382" s="702">
        <v>500000</v>
      </c>
      <c r="E382" s="702">
        <v>500000</v>
      </c>
      <c r="F382" s="702">
        <v>50000</v>
      </c>
      <c r="G382" s="702">
        <v>50000</v>
      </c>
      <c r="H382" s="702">
        <v>50000</v>
      </c>
      <c r="I382" s="702">
        <v>50000</v>
      </c>
      <c r="J382" s="702">
        <v>50000</v>
      </c>
      <c r="K382" s="702">
        <v>50000</v>
      </c>
      <c r="L382" s="702">
        <v>50000</v>
      </c>
      <c r="M382" s="702">
        <v>50000</v>
      </c>
      <c r="N382" s="702">
        <v>50000</v>
      </c>
      <c r="O382" s="702">
        <v>50000</v>
      </c>
      <c r="P382" s="702">
        <v>50000</v>
      </c>
      <c r="Q382" s="702">
        <v>50000</v>
      </c>
      <c r="R382" s="702">
        <v>50000</v>
      </c>
      <c r="S382" s="702">
        <v>50000</v>
      </c>
      <c r="T382" s="702">
        <v>50000</v>
      </c>
      <c r="U382" s="702">
        <v>50000</v>
      </c>
      <c r="V382" s="702">
        <v>50000</v>
      </c>
      <c r="W382" s="702">
        <v>50000</v>
      </c>
      <c r="X382" s="702">
        <v>0</v>
      </c>
      <c r="Y382" s="702">
        <v>0</v>
      </c>
      <c r="Z382" s="702">
        <v>0</v>
      </c>
      <c r="AA382" s="702">
        <v>0</v>
      </c>
    </row>
    <row r="383" spans="1:27" s="426" customFormat="1">
      <c r="A383" s="818" t="s">
        <v>139</v>
      </c>
      <c r="B383" s="746" t="s">
        <v>293</v>
      </c>
      <c r="C383" s="889">
        <v>0</v>
      </c>
      <c r="D383" s="889">
        <v>0</v>
      </c>
      <c r="E383" s="889">
        <v>0</v>
      </c>
      <c r="F383" s="889">
        <v>0</v>
      </c>
      <c r="G383" s="889">
        <v>0</v>
      </c>
      <c r="H383" s="889">
        <v>0</v>
      </c>
      <c r="I383" s="889">
        <v>0</v>
      </c>
      <c r="J383" s="889">
        <v>0</v>
      </c>
      <c r="K383" s="889">
        <v>0</v>
      </c>
      <c r="L383" s="889">
        <v>0</v>
      </c>
      <c r="M383" s="889">
        <v>0</v>
      </c>
      <c r="N383" s="889">
        <v>0</v>
      </c>
      <c r="O383" s="889">
        <v>0</v>
      </c>
      <c r="P383" s="889">
        <v>0</v>
      </c>
      <c r="Q383" s="889">
        <v>0</v>
      </c>
      <c r="R383" s="889">
        <v>0</v>
      </c>
      <c r="S383" s="889">
        <v>0</v>
      </c>
      <c r="T383" s="889">
        <v>0</v>
      </c>
      <c r="U383" s="889">
        <v>0</v>
      </c>
      <c r="V383" s="889">
        <v>0</v>
      </c>
      <c r="W383" s="889">
        <v>0</v>
      </c>
      <c r="X383" s="889">
        <v>0</v>
      </c>
      <c r="Y383" s="889">
        <v>0</v>
      </c>
      <c r="Z383" s="889">
        <v>0</v>
      </c>
      <c r="AA383" s="889">
        <v>0</v>
      </c>
    </row>
    <row r="384" spans="1:27" s="426" customFormat="1">
      <c r="A384" s="819" t="s">
        <v>13</v>
      </c>
      <c r="B384" s="746"/>
      <c r="C384" s="702">
        <v>0</v>
      </c>
      <c r="D384" s="702">
        <v>0</v>
      </c>
      <c r="E384" s="702">
        <v>0</v>
      </c>
      <c r="F384" s="702">
        <v>0</v>
      </c>
      <c r="G384" s="702">
        <v>0</v>
      </c>
      <c r="H384" s="702">
        <v>0</v>
      </c>
      <c r="I384" s="702">
        <v>0</v>
      </c>
      <c r="J384" s="702">
        <v>0</v>
      </c>
      <c r="K384" s="702">
        <v>0</v>
      </c>
      <c r="L384" s="702">
        <v>0</v>
      </c>
      <c r="M384" s="702">
        <v>0</v>
      </c>
      <c r="N384" s="702">
        <v>0</v>
      </c>
      <c r="O384" s="702">
        <v>0</v>
      </c>
      <c r="P384" s="702">
        <v>0</v>
      </c>
      <c r="Q384" s="702">
        <v>0</v>
      </c>
      <c r="R384" s="702">
        <v>0</v>
      </c>
      <c r="S384" s="702">
        <v>0</v>
      </c>
      <c r="T384" s="702">
        <v>0</v>
      </c>
      <c r="U384" s="702">
        <v>0</v>
      </c>
      <c r="V384" s="702">
        <v>0</v>
      </c>
      <c r="W384" s="702">
        <v>0</v>
      </c>
      <c r="X384" s="702">
        <v>0</v>
      </c>
      <c r="Y384" s="702">
        <v>0</v>
      </c>
      <c r="Z384" s="702">
        <v>0</v>
      </c>
      <c r="AA384" s="702">
        <v>0</v>
      </c>
    </row>
    <row r="385" spans="1:27" s="426" customFormat="1">
      <c r="A385" s="818" t="s">
        <v>27</v>
      </c>
      <c r="B385" s="746" t="s">
        <v>294</v>
      </c>
      <c r="C385" s="889">
        <v>0</v>
      </c>
      <c r="D385" s="889">
        <v>0</v>
      </c>
      <c r="E385" s="889">
        <v>0</v>
      </c>
      <c r="F385" s="889">
        <v>0</v>
      </c>
      <c r="G385" s="889">
        <v>0</v>
      </c>
      <c r="H385" s="889">
        <v>0</v>
      </c>
      <c r="I385" s="889">
        <v>0</v>
      </c>
      <c r="J385" s="889">
        <v>0</v>
      </c>
      <c r="K385" s="889">
        <v>0</v>
      </c>
      <c r="L385" s="889">
        <v>0</v>
      </c>
      <c r="M385" s="889">
        <v>0</v>
      </c>
      <c r="N385" s="889">
        <v>0</v>
      </c>
      <c r="O385" s="889">
        <v>0</v>
      </c>
      <c r="P385" s="889">
        <v>0</v>
      </c>
      <c r="Q385" s="889">
        <v>0</v>
      </c>
      <c r="R385" s="889">
        <v>0</v>
      </c>
      <c r="S385" s="889">
        <v>0</v>
      </c>
      <c r="T385" s="889">
        <v>0</v>
      </c>
      <c r="U385" s="889">
        <v>0</v>
      </c>
      <c r="V385" s="889">
        <v>0</v>
      </c>
      <c r="W385" s="889">
        <v>0</v>
      </c>
      <c r="X385" s="889">
        <v>0</v>
      </c>
      <c r="Y385" s="889">
        <v>0</v>
      </c>
      <c r="Z385" s="889">
        <v>0</v>
      </c>
      <c r="AA385" s="889">
        <v>0</v>
      </c>
    </row>
    <row r="386" spans="1:27" s="426" customFormat="1">
      <c r="A386" s="819" t="s">
        <v>13</v>
      </c>
      <c r="B386" s="746"/>
      <c r="C386" s="702">
        <v>0</v>
      </c>
      <c r="D386" s="702">
        <v>0</v>
      </c>
      <c r="E386" s="702">
        <v>0</v>
      </c>
      <c r="F386" s="702">
        <v>0</v>
      </c>
      <c r="G386" s="702">
        <v>0</v>
      </c>
      <c r="H386" s="702">
        <v>0</v>
      </c>
      <c r="I386" s="702">
        <v>0</v>
      </c>
      <c r="J386" s="702">
        <v>0</v>
      </c>
      <c r="K386" s="702">
        <v>0</v>
      </c>
      <c r="L386" s="702">
        <v>0</v>
      </c>
      <c r="M386" s="702">
        <v>0</v>
      </c>
      <c r="N386" s="702">
        <v>0</v>
      </c>
      <c r="O386" s="702">
        <v>0</v>
      </c>
      <c r="P386" s="702">
        <v>0</v>
      </c>
      <c r="Q386" s="702">
        <v>0</v>
      </c>
      <c r="R386" s="702">
        <v>0</v>
      </c>
      <c r="S386" s="702">
        <v>0</v>
      </c>
      <c r="T386" s="702">
        <v>0</v>
      </c>
      <c r="U386" s="702">
        <v>0</v>
      </c>
      <c r="V386" s="702">
        <v>0</v>
      </c>
      <c r="W386" s="702">
        <v>0</v>
      </c>
      <c r="X386" s="702">
        <v>0</v>
      </c>
      <c r="Y386" s="702">
        <v>0</v>
      </c>
      <c r="Z386" s="702">
        <v>0</v>
      </c>
      <c r="AA386" s="702">
        <v>0</v>
      </c>
    </row>
    <row r="387" spans="1:27" s="426" customFormat="1">
      <c r="A387" s="820" t="s">
        <v>151</v>
      </c>
      <c r="B387" s="746"/>
      <c r="C387" s="889">
        <v>1020000</v>
      </c>
      <c r="D387" s="889">
        <v>0</v>
      </c>
      <c r="E387" s="889">
        <v>450000</v>
      </c>
      <c r="F387" s="889">
        <v>0</v>
      </c>
      <c r="G387" s="889">
        <v>0</v>
      </c>
      <c r="H387" s="889">
        <v>0</v>
      </c>
      <c r="I387" s="889">
        <v>0</v>
      </c>
      <c r="J387" s="889">
        <v>0</v>
      </c>
      <c r="K387" s="889">
        <v>0</v>
      </c>
      <c r="L387" s="889">
        <v>0</v>
      </c>
      <c r="M387" s="889">
        <v>0</v>
      </c>
      <c r="N387" s="889">
        <v>0</v>
      </c>
      <c r="O387" s="889">
        <v>0</v>
      </c>
      <c r="P387" s="889">
        <v>0</v>
      </c>
      <c r="Q387" s="889">
        <v>0</v>
      </c>
      <c r="R387" s="889">
        <v>0</v>
      </c>
      <c r="S387" s="889">
        <v>0</v>
      </c>
      <c r="T387" s="889">
        <v>0</v>
      </c>
      <c r="U387" s="889">
        <v>0</v>
      </c>
      <c r="V387" s="889">
        <v>0</v>
      </c>
      <c r="W387" s="889">
        <v>50000</v>
      </c>
      <c r="X387" s="889">
        <v>0</v>
      </c>
      <c r="Y387" s="889">
        <v>0</v>
      </c>
      <c r="Z387" s="889">
        <v>0</v>
      </c>
      <c r="AA387" s="889">
        <v>0</v>
      </c>
    </row>
    <row r="388" spans="1:27" s="426" customFormat="1">
      <c r="A388" s="821" t="s">
        <v>13</v>
      </c>
      <c r="B388" s="792"/>
      <c r="C388" s="702">
        <v>1520000</v>
      </c>
      <c r="D388" s="702">
        <v>500000</v>
      </c>
      <c r="E388" s="702">
        <v>500000</v>
      </c>
      <c r="F388" s="702">
        <v>50000</v>
      </c>
      <c r="G388" s="702">
        <v>50000</v>
      </c>
      <c r="H388" s="702">
        <v>50000</v>
      </c>
      <c r="I388" s="702">
        <v>50000</v>
      </c>
      <c r="J388" s="702">
        <v>50000</v>
      </c>
      <c r="K388" s="702">
        <v>50000</v>
      </c>
      <c r="L388" s="702">
        <v>50000</v>
      </c>
      <c r="M388" s="702">
        <v>50000</v>
      </c>
      <c r="N388" s="702">
        <v>50000</v>
      </c>
      <c r="O388" s="702">
        <v>50000</v>
      </c>
      <c r="P388" s="702">
        <v>50000</v>
      </c>
      <c r="Q388" s="702">
        <v>50000</v>
      </c>
      <c r="R388" s="702">
        <v>50000</v>
      </c>
      <c r="S388" s="702">
        <v>50000</v>
      </c>
      <c r="T388" s="702">
        <v>50000</v>
      </c>
      <c r="U388" s="702">
        <v>50000</v>
      </c>
      <c r="V388" s="702">
        <v>50000</v>
      </c>
      <c r="W388" s="702">
        <v>50000</v>
      </c>
      <c r="X388" s="702">
        <v>0</v>
      </c>
      <c r="Y388" s="702">
        <v>0</v>
      </c>
      <c r="Z388" s="702">
        <v>0</v>
      </c>
      <c r="AA388" s="702">
        <v>0</v>
      </c>
    </row>
    <row r="389" spans="1:27">
      <c r="A389" s="1"/>
      <c r="B389" s="748"/>
      <c r="C389" s="890"/>
      <c r="D389" s="890"/>
      <c r="E389" s="890"/>
      <c r="F389" s="890"/>
      <c r="G389" s="890"/>
      <c r="H389" s="890"/>
      <c r="I389" s="890"/>
      <c r="J389" s="890"/>
      <c r="K389" s="890"/>
      <c r="L389" s="890"/>
      <c r="M389" s="890"/>
      <c r="N389" s="890"/>
      <c r="O389" s="890"/>
      <c r="P389" s="890"/>
      <c r="Q389" s="890"/>
      <c r="R389" s="890"/>
      <c r="S389" s="890"/>
      <c r="T389" s="890"/>
      <c r="U389" s="890"/>
      <c r="V389" s="890"/>
      <c r="W389" s="890"/>
      <c r="X389" s="890"/>
      <c r="Y389" s="890"/>
      <c r="Z389" s="890"/>
      <c r="AA389" s="890"/>
    </row>
    <row r="390" spans="1:27">
      <c r="A390" s="822" t="s">
        <v>61</v>
      </c>
      <c r="B390" s="748"/>
      <c r="C390" s="890"/>
      <c r="D390" s="890"/>
      <c r="E390" s="890"/>
      <c r="F390" s="890"/>
      <c r="G390" s="890"/>
      <c r="H390" s="890"/>
      <c r="I390" s="890"/>
      <c r="J390" s="890"/>
      <c r="K390" s="890"/>
      <c r="L390" s="890"/>
      <c r="M390" s="890"/>
      <c r="N390" s="890"/>
      <c r="O390" s="890"/>
      <c r="P390" s="890"/>
      <c r="Q390" s="890"/>
      <c r="R390" s="890"/>
      <c r="S390" s="890"/>
      <c r="T390" s="890"/>
      <c r="U390" s="890"/>
      <c r="V390" s="890"/>
      <c r="W390" s="890"/>
      <c r="X390" s="890"/>
      <c r="Y390" s="890"/>
      <c r="Z390" s="890"/>
      <c r="AA390" s="890"/>
    </row>
    <row r="391" spans="1:27">
      <c r="A391" s="28" t="s">
        <v>135</v>
      </c>
      <c r="B391" s="746" t="s">
        <v>295</v>
      </c>
      <c r="C391" s="875">
        <v>0</v>
      </c>
      <c r="D391" s="875">
        <v>0</v>
      </c>
      <c r="E391" s="875">
        <v>46500</v>
      </c>
      <c r="F391" s="875">
        <v>0</v>
      </c>
      <c r="G391" s="875">
        <v>0</v>
      </c>
      <c r="H391" s="875">
        <v>0</v>
      </c>
      <c r="I391" s="875">
        <v>0</v>
      </c>
      <c r="J391" s="875">
        <v>0</v>
      </c>
      <c r="K391" s="875">
        <v>0</v>
      </c>
      <c r="L391" s="875">
        <v>0</v>
      </c>
      <c r="M391" s="875">
        <v>0</v>
      </c>
      <c r="N391" s="875">
        <v>0</v>
      </c>
      <c r="O391" s="875">
        <v>50000</v>
      </c>
      <c r="P391" s="875">
        <v>0</v>
      </c>
      <c r="Q391" s="875">
        <v>0</v>
      </c>
      <c r="R391" s="875">
        <v>0</v>
      </c>
      <c r="S391" s="875">
        <v>4998</v>
      </c>
      <c r="T391" s="875">
        <v>0</v>
      </c>
      <c r="U391" s="875">
        <v>0</v>
      </c>
      <c r="V391" s="875">
        <v>0</v>
      </c>
      <c r="W391" s="875">
        <v>0</v>
      </c>
      <c r="X391" s="875">
        <v>0</v>
      </c>
      <c r="Y391" s="875">
        <v>0</v>
      </c>
      <c r="Z391" s="875">
        <v>46500</v>
      </c>
      <c r="AA391" s="875">
        <v>0</v>
      </c>
    </row>
    <row r="392" spans="1:27" s="717" customFormat="1" ht="15.6">
      <c r="A392" s="823" t="s">
        <v>13</v>
      </c>
      <c r="B392" s="824"/>
      <c r="C392" s="716">
        <v>147998</v>
      </c>
      <c r="D392" s="716">
        <v>147998</v>
      </c>
      <c r="E392" s="716">
        <v>147998</v>
      </c>
      <c r="F392" s="716">
        <v>101498</v>
      </c>
      <c r="G392" s="716">
        <v>101498</v>
      </c>
      <c r="H392" s="716">
        <v>101498</v>
      </c>
      <c r="I392" s="716">
        <v>101498</v>
      </c>
      <c r="J392" s="716">
        <v>101498</v>
      </c>
      <c r="K392" s="716">
        <v>101498</v>
      </c>
      <c r="L392" s="716">
        <v>101498</v>
      </c>
      <c r="M392" s="716">
        <v>101498</v>
      </c>
      <c r="N392" s="716">
        <v>101498</v>
      </c>
      <c r="O392" s="716">
        <v>101498</v>
      </c>
      <c r="P392" s="716">
        <v>51498</v>
      </c>
      <c r="Q392" s="716">
        <v>51498</v>
      </c>
      <c r="R392" s="716">
        <v>51498</v>
      </c>
      <c r="S392" s="716">
        <v>51498</v>
      </c>
      <c r="T392" s="716">
        <v>46500</v>
      </c>
      <c r="U392" s="716">
        <v>46500</v>
      </c>
      <c r="V392" s="716">
        <v>46500</v>
      </c>
      <c r="W392" s="716">
        <v>46500</v>
      </c>
      <c r="X392" s="716">
        <v>46500</v>
      </c>
      <c r="Y392" s="716">
        <v>46500</v>
      </c>
      <c r="Z392" s="716">
        <v>46500</v>
      </c>
      <c r="AA392" s="716">
        <v>0</v>
      </c>
    </row>
    <row r="393" spans="1:27">
      <c r="A393" s="28" t="s">
        <v>4</v>
      </c>
      <c r="B393" s="746" t="s">
        <v>296</v>
      </c>
      <c r="C393" s="875">
        <v>0</v>
      </c>
      <c r="D393" s="875">
        <v>0</v>
      </c>
      <c r="E393" s="875">
        <v>127999</v>
      </c>
      <c r="F393" s="875">
        <v>0</v>
      </c>
      <c r="G393" s="875">
        <v>0</v>
      </c>
      <c r="H393" s="875">
        <v>0</v>
      </c>
      <c r="I393" s="875">
        <v>0</v>
      </c>
      <c r="J393" s="875">
        <v>0</v>
      </c>
      <c r="K393" s="875">
        <v>0</v>
      </c>
      <c r="L393" s="875">
        <v>0</v>
      </c>
      <c r="M393" s="875">
        <v>0</v>
      </c>
      <c r="N393" s="875">
        <v>0</v>
      </c>
      <c r="O393" s="875">
        <v>20999</v>
      </c>
      <c r="P393" s="875">
        <v>0</v>
      </c>
      <c r="Q393" s="875">
        <v>74999</v>
      </c>
      <c r="R393" s="875">
        <v>0</v>
      </c>
      <c r="S393" s="875">
        <v>0</v>
      </c>
      <c r="T393" s="875">
        <v>0</v>
      </c>
      <c r="U393" s="875">
        <v>0</v>
      </c>
      <c r="V393" s="875">
        <v>0</v>
      </c>
      <c r="W393" s="875">
        <v>0</v>
      </c>
      <c r="X393" s="875">
        <v>0</v>
      </c>
      <c r="Y393" s="875">
        <v>0</v>
      </c>
      <c r="Z393" s="875">
        <v>0</v>
      </c>
      <c r="AA393" s="875">
        <v>0</v>
      </c>
    </row>
    <row r="394" spans="1:27" s="717" customFormat="1" ht="15.6">
      <c r="A394" s="823" t="s">
        <v>13</v>
      </c>
      <c r="B394" s="824"/>
      <c r="C394" s="716">
        <v>223997</v>
      </c>
      <c r="D394" s="716">
        <v>223997</v>
      </c>
      <c r="E394" s="716">
        <v>223997</v>
      </c>
      <c r="F394" s="716">
        <v>95998</v>
      </c>
      <c r="G394" s="716">
        <v>95998</v>
      </c>
      <c r="H394" s="716">
        <v>95998</v>
      </c>
      <c r="I394" s="716">
        <v>95998</v>
      </c>
      <c r="J394" s="716">
        <v>95998</v>
      </c>
      <c r="K394" s="716">
        <v>95998</v>
      </c>
      <c r="L394" s="716">
        <v>95998</v>
      </c>
      <c r="M394" s="716">
        <v>95998</v>
      </c>
      <c r="N394" s="716">
        <v>95998</v>
      </c>
      <c r="O394" s="716">
        <v>95998</v>
      </c>
      <c r="P394" s="716">
        <v>74999</v>
      </c>
      <c r="Q394" s="716">
        <v>74999</v>
      </c>
      <c r="R394" s="716">
        <v>0</v>
      </c>
      <c r="S394" s="716">
        <v>0</v>
      </c>
      <c r="T394" s="716">
        <v>0</v>
      </c>
      <c r="U394" s="716">
        <v>0</v>
      </c>
      <c r="V394" s="716">
        <v>0</v>
      </c>
      <c r="W394" s="716">
        <v>0</v>
      </c>
      <c r="X394" s="716">
        <v>0</v>
      </c>
      <c r="Y394" s="716">
        <v>0</v>
      </c>
      <c r="Z394" s="716">
        <v>0</v>
      </c>
      <c r="AA394" s="716">
        <v>0</v>
      </c>
    </row>
    <row r="395" spans="1:27">
      <c r="A395" s="28" t="s">
        <v>136</v>
      </c>
      <c r="B395" s="746" t="s">
        <v>297</v>
      </c>
      <c r="C395" s="875">
        <v>0</v>
      </c>
      <c r="D395" s="875">
        <v>0</v>
      </c>
      <c r="E395" s="875">
        <v>0</v>
      </c>
      <c r="F395" s="875">
        <v>0</v>
      </c>
      <c r="G395" s="875">
        <v>0</v>
      </c>
      <c r="H395" s="875">
        <v>0</v>
      </c>
      <c r="I395" s="875">
        <v>0</v>
      </c>
      <c r="J395" s="875">
        <v>0</v>
      </c>
      <c r="K395" s="875">
        <v>0</v>
      </c>
      <c r="L395" s="875">
        <v>0</v>
      </c>
      <c r="M395" s="875">
        <v>0</v>
      </c>
      <c r="N395" s="875">
        <v>0</v>
      </c>
      <c r="O395" s="875">
        <v>0</v>
      </c>
      <c r="P395" s="875">
        <v>0</v>
      </c>
      <c r="Q395" s="875">
        <v>0</v>
      </c>
      <c r="R395" s="875">
        <v>0</v>
      </c>
      <c r="S395" s="875">
        <v>0</v>
      </c>
      <c r="T395" s="875">
        <v>0</v>
      </c>
      <c r="U395" s="875">
        <v>0</v>
      </c>
      <c r="V395" s="875">
        <v>0</v>
      </c>
      <c r="W395" s="875">
        <v>0</v>
      </c>
      <c r="X395" s="875">
        <v>0</v>
      </c>
      <c r="Y395" s="875">
        <v>0</v>
      </c>
      <c r="Z395" s="875">
        <v>0</v>
      </c>
      <c r="AA395" s="875">
        <v>0</v>
      </c>
    </row>
    <row r="396" spans="1:27" s="717" customFormat="1" ht="15.6">
      <c r="A396" s="823" t="s">
        <v>13</v>
      </c>
      <c r="B396" s="824"/>
      <c r="C396" s="716">
        <v>0</v>
      </c>
      <c r="D396" s="716">
        <v>0</v>
      </c>
      <c r="E396" s="716">
        <v>0</v>
      </c>
      <c r="F396" s="716">
        <v>0</v>
      </c>
      <c r="G396" s="716">
        <v>0</v>
      </c>
      <c r="H396" s="716">
        <v>0</v>
      </c>
      <c r="I396" s="716">
        <v>0</v>
      </c>
      <c r="J396" s="716">
        <v>0</v>
      </c>
      <c r="K396" s="716">
        <v>0</v>
      </c>
      <c r="L396" s="716">
        <v>0</v>
      </c>
      <c r="M396" s="716">
        <v>0</v>
      </c>
      <c r="N396" s="716">
        <v>0</v>
      </c>
      <c r="O396" s="716">
        <v>0</v>
      </c>
      <c r="P396" s="716">
        <v>0</v>
      </c>
      <c r="Q396" s="716">
        <v>0</v>
      </c>
      <c r="R396" s="716">
        <v>0</v>
      </c>
      <c r="S396" s="716">
        <v>0</v>
      </c>
      <c r="T396" s="716">
        <v>0</v>
      </c>
      <c r="U396" s="716">
        <v>0</v>
      </c>
      <c r="V396" s="716">
        <v>0</v>
      </c>
      <c r="W396" s="716">
        <v>0</v>
      </c>
      <c r="X396" s="716">
        <v>0</v>
      </c>
      <c r="Y396" s="716">
        <v>0</v>
      </c>
      <c r="Z396" s="716">
        <v>0</v>
      </c>
      <c r="AA396" s="716">
        <v>0</v>
      </c>
    </row>
    <row r="397" spans="1:27">
      <c r="A397" s="28" t="s">
        <v>137</v>
      </c>
      <c r="B397" s="746" t="s">
        <v>298</v>
      </c>
      <c r="C397" s="875">
        <v>0</v>
      </c>
      <c r="D397" s="875">
        <v>0</v>
      </c>
      <c r="E397" s="875">
        <v>0</v>
      </c>
      <c r="F397" s="875">
        <v>0</v>
      </c>
      <c r="G397" s="875">
        <v>0</v>
      </c>
      <c r="H397" s="875">
        <v>0</v>
      </c>
      <c r="I397" s="875">
        <v>0</v>
      </c>
      <c r="J397" s="875">
        <v>0</v>
      </c>
      <c r="K397" s="875">
        <v>0</v>
      </c>
      <c r="L397" s="875">
        <v>0</v>
      </c>
      <c r="M397" s="875">
        <v>0</v>
      </c>
      <c r="N397" s="875">
        <v>0</v>
      </c>
      <c r="O397" s="875">
        <v>0</v>
      </c>
      <c r="P397" s="875">
        <v>0</v>
      </c>
      <c r="Q397" s="875">
        <v>0</v>
      </c>
      <c r="R397" s="875">
        <v>0</v>
      </c>
      <c r="S397" s="875">
        <v>0</v>
      </c>
      <c r="T397" s="875">
        <v>0</v>
      </c>
      <c r="U397" s="875">
        <v>0</v>
      </c>
      <c r="V397" s="875">
        <v>0</v>
      </c>
      <c r="W397" s="875">
        <v>0</v>
      </c>
      <c r="X397" s="875">
        <v>0</v>
      </c>
      <c r="Y397" s="875">
        <v>0</v>
      </c>
      <c r="Z397" s="875">
        <v>0</v>
      </c>
      <c r="AA397" s="875">
        <v>0</v>
      </c>
    </row>
    <row r="398" spans="1:27" s="717" customFormat="1" ht="15.6">
      <c r="A398" s="823" t="s">
        <v>13</v>
      </c>
      <c r="B398" s="824"/>
      <c r="C398" s="716">
        <v>0</v>
      </c>
      <c r="D398" s="716">
        <v>0</v>
      </c>
      <c r="E398" s="716">
        <v>0</v>
      </c>
      <c r="F398" s="716">
        <v>0</v>
      </c>
      <c r="G398" s="716">
        <v>0</v>
      </c>
      <c r="H398" s="716">
        <v>0</v>
      </c>
      <c r="I398" s="716">
        <v>0</v>
      </c>
      <c r="J398" s="716">
        <v>0</v>
      </c>
      <c r="K398" s="716">
        <v>0</v>
      </c>
      <c r="L398" s="716">
        <v>0</v>
      </c>
      <c r="M398" s="716">
        <v>0</v>
      </c>
      <c r="N398" s="716">
        <v>0</v>
      </c>
      <c r="O398" s="716">
        <v>0</v>
      </c>
      <c r="P398" s="716">
        <v>0</v>
      </c>
      <c r="Q398" s="716">
        <v>0</v>
      </c>
      <c r="R398" s="716">
        <v>0</v>
      </c>
      <c r="S398" s="716">
        <v>0</v>
      </c>
      <c r="T398" s="716">
        <v>0</v>
      </c>
      <c r="U398" s="716">
        <v>0</v>
      </c>
      <c r="V398" s="716">
        <v>0</v>
      </c>
      <c r="W398" s="716">
        <v>0</v>
      </c>
      <c r="X398" s="716">
        <v>0</v>
      </c>
      <c r="Y398" s="716">
        <v>0</v>
      </c>
      <c r="Z398" s="716">
        <v>0</v>
      </c>
      <c r="AA398" s="716">
        <v>0</v>
      </c>
    </row>
    <row r="399" spans="1:27">
      <c r="A399" s="28" t="s">
        <v>27</v>
      </c>
      <c r="B399" s="746" t="s">
        <v>299</v>
      </c>
      <c r="C399" s="875">
        <v>0</v>
      </c>
      <c r="D399" s="875">
        <v>0</v>
      </c>
      <c r="E399" s="875">
        <v>0</v>
      </c>
      <c r="F399" s="875">
        <v>0</v>
      </c>
      <c r="G399" s="875">
        <v>0</v>
      </c>
      <c r="H399" s="875">
        <v>0</v>
      </c>
      <c r="I399" s="875">
        <v>0</v>
      </c>
      <c r="J399" s="875">
        <v>0</v>
      </c>
      <c r="K399" s="875">
        <v>0</v>
      </c>
      <c r="L399" s="875">
        <v>0</v>
      </c>
      <c r="M399" s="875">
        <v>0</v>
      </c>
      <c r="N399" s="875">
        <v>0</v>
      </c>
      <c r="O399" s="875">
        <v>0</v>
      </c>
      <c r="P399" s="875">
        <v>0</v>
      </c>
      <c r="Q399" s="875">
        <v>0</v>
      </c>
      <c r="R399" s="875">
        <v>0</v>
      </c>
      <c r="S399" s="875">
        <v>0</v>
      </c>
      <c r="T399" s="875">
        <v>0</v>
      </c>
      <c r="U399" s="875">
        <v>0</v>
      </c>
      <c r="V399" s="875">
        <v>0</v>
      </c>
      <c r="W399" s="875">
        <v>0</v>
      </c>
      <c r="X399" s="875">
        <v>56999</v>
      </c>
      <c r="Y399" s="875">
        <v>0</v>
      </c>
      <c r="Z399" s="875">
        <v>0</v>
      </c>
      <c r="AA399" s="875">
        <v>0</v>
      </c>
    </row>
    <row r="400" spans="1:27" s="717" customFormat="1" ht="15.6">
      <c r="A400" s="823" t="s">
        <v>13</v>
      </c>
      <c r="B400" s="824"/>
      <c r="C400" s="716">
        <v>56999</v>
      </c>
      <c r="D400" s="716">
        <v>56999</v>
      </c>
      <c r="E400" s="716">
        <v>56999</v>
      </c>
      <c r="F400" s="716">
        <v>56999</v>
      </c>
      <c r="G400" s="716">
        <v>56999</v>
      </c>
      <c r="H400" s="716">
        <v>56999</v>
      </c>
      <c r="I400" s="716">
        <v>56999</v>
      </c>
      <c r="J400" s="716">
        <v>56999</v>
      </c>
      <c r="K400" s="716">
        <v>56999</v>
      </c>
      <c r="L400" s="716">
        <v>56999</v>
      </c>
      <c r="M400" s="716">
        <v>56999</v>
      </c>
      <c r="N400" s="716">
        <v>56999</v>
      </c>
      <c r="O400" s="716">
        <v>56999</v>
      </c>
      <c r="P400" s="716">
        <v>56999</v>
      </c>
      <c r="Q400" s="716">
        <v>56999</v>
      </c>
      <c r="R400" s="716">
        <v>56999</v>
      </c>
      <c r="S400" s="716">
        <v>56999</v>
      </c>
      <c r="T400" s="716">
        <v>56999</v>
      </c>
      <c r="U400" s="716">
        <v>56999</v>
      </c>
      <c r="V400" s="716">
        <v>56999</v>
      </c>
      <c r="W400" s="716">
        <v>56999</v>
      </c>
      <c r="X400" s="716">
        <v>56999</v>
      </c>
      <c r="Y400" s="716">
        <v>0</v>
      </c>
      <c r="Z400" s="716">
        <v>0</v>
      </c>
      <c r="AA400" s="716">
        <v>0</v>
      </c>
    </row>
    <row r="401" spans="1:27">
      <c r="A401" s="825" t="s">
        <v>151</v>
      </c>
      <c r="B401" s="746"/>
      <c r="C401" s="875">
        <v>0</v>
      </c>
      <c r="D401" s="875">
        <v>0</v>
      </c>
      <c r="E401" s="875">
        <v>174499</v>
      </c>
      <c r="F401" s="875">
        <v>0</v>
      </c>
      <c r="G401" s="875">
        <v>0</v>
      </c>
      <c r="H401" s="875">
        <v>0</v>
      </c>
      <c r="I401" s="875">
        <v>0</v>
      </c>
      <c r="J401" s="875">
        <v>0</v>
      </c>
      <c r="K401" s="875">
        <v>0</v>
      </c>
      <c r="L401" s="875">
        <v>0</v>
      </c>
      <c r="M401" s="875">
        <v>0</v>
      </c>
      <c r="N401" s="875">
        <v>0</v>
      </c>
      <c r="O401" s="875">
        <v>70999</v>
      </c>
      <c r="P401" s="875">
        <v>0</v>
      </c>
      <c r="Q401" s="875">
        <v>74999</v>
      </c>
      <c r="R401" s="875">
        <v>0</v>
      </c>
      <c r="S401" s="875">
        <v>4998</v>
      </c>
      <c r="T401" s="875">
        <v>0</v>
      </c>
      <c r="U401" s="875">
        <v>0</v>
      </c>
      <c r="V401" s="875">
        <v>0</v>
      </c>
      <c r="W401" s="875">
        <v>0</v>
      </c>
      <c r="X401" s="875">
        <v>56999</v>
      </c>
      <c r="Y401" s="875">
        <v>0</v>
      </c>
      <c r="Z401" s="875">
        <v>46500</v>
      </c>
      <c r="AA401" s="875">
        <v>0</v>
      </c>
    </row>
    <row r="402" spans="1:27" s="718" customFormat="1" ht="15.6">
      <c r="A402" s="826" t="s">
        <v>13</v>
      </c>
      <c r="B402" s="827"/>
      <c r="C402" s="716">
        <v>428994</v>
      </c>
      <c r="D402" s="716">
        <v>428994</v>
      </c>
      <c r="E402" s="716">
        <v>428994</v>
      </c>
      <c r="F402" s="716">
        <v>254495</v>
      </c>
      <c r="G402" s="716">
        <v>254495</v>
      </c>
      <c r="H402" s="716">
        <v>254495</v>
      </c>
      <c r="I402" s="716">
        <v>254495</v>
      </c>
      <c r="J402" s="716">
        <v>254495</v>
      </c>
      <c r="K402" s="716">
        <v>254495</v>
      </c>
      <c r="L402" s="716">
        <v>254495</v>
      </c>
      <c r="M402" s="716">
        <v>254495</v>
      </c>
      <c r="N402" s="716">
        <v>254495</v>
      </c>
      <c r="O402" s="716">
        <v>254495</v>
      </c>
      <c r="P402" s="716">
        <v>183496</v>
      </c>
      <c r="Q402" s="716">
        <v>183496</v>
      </c>
      <c r="R402" s="716">
        <v>108497</v>
      </c>
      <c r="S402" s="716">
        <v>108497</v>
      </c>
      <c r="T402" s="716">
        <v>103499</v>
      </c>
      <c r="U402" s="716">
        <v>103499</v>
      </c>
      <c r="V402" s="716">
        <v>103499</v>
      </c>
      <c r="W402" s="716">
        <v>103499</v>
      </c>
      <c r="X402" s="716">
        <v>103499</v>
      </c>
      <c r="Y402" s="716">
        <v>46500</v>
      </c>
      <c r="Z402" s="716">
        <v>46500</v>
      </c>
      <c r="AA402" s="716">
        <v>0</v>
      </c>
    </row>
    <row r="403" spans="1:27" s="426" customFormat="1">
      <c r="A403" s="29"/>
      <c r="B403" s="748"/>
      <c r="C403" s="719"/>
      <c r="D403" s="719"/>
      <c r="E403" s="719"/>
      <c r="F403" s="719"/>
      <c r="G403" s="719"/>
      <c r="H403" s="719"/>
      <c r="I403" s="719"/>
      <c r="J403" s="719"/>
      <c r="K403" s="719"/>
      <c r="L403" s="719"/>
      <c r="M403" s="719"/>
      <c r="N403" s="719"/>
      <c r="O403" s="719"/>
      <c r="P403" s="719"/>
      <c r="Q403" s="719"/>
      <c r="R403" s="719"/>
      <c r="S403" s="719"/>
      <c r="T403" s="719"/>
      <c r="U403" s="719"/>
      <c r="V403" s="719"/>
      <c r="W403" s="719"/>
      <c r="X403" s="719"/>
      <c r="Y403" s="719"/>
      <c r="Z403" s="719"/>
      <c r="AA403" s="719"/>
    </row>
    <row r="404" spans="1:27">
      <c r="A404" s="28" t="s">
        <v>107</v>
      </c>
      <c r="B404" s="746" t="s">
        <v>300</v>
      </c>
      <c r="C404" s="875">
        <v>0</v>
      </c>
      <c r="D404" s="875">
        <v>0</v>
      </c>
      <c r="E404" s="875">
        <v>0</v>
      </c>
      <c r="F404" s="875">
        <v>0</v>
      </c>
      <c r="G404" s="875">
        <v>0</v>
      </c>
      <c r="H404" s="875">
        <v>0</v>
      </c>
      <c r="I404" s="875">
        <v>0</v>
      </c>
      <c r="J404" s="875">
        <v>0</v>
      </c>
      <c r="K404" s="875">
        <v>0</v>
      </c>
      <c r="L404" s="875">
        <v>0</v>
      </c>
      <c r="M404" s="875">
        <v>0</v>
      </c>
      <c r="N404" s="875">
        <v>0</v>
      </c>
      <c r="O404" s="875">
        <v>0</v>
      </c>
      <c r="P404" s="875">
        <v>220000</v>
      </c>
      <c r="Q404" s="875">
        <v>0</v>
      </c>
      <c r="R404" s="875">
        <v>0</v>
      </c>
      <c r="S404" s="875">
        <v>0</v>
      </c>
      <c r="T404" s="875">
        <v>0</v>
      </c>
      <c r="U404" s="875">
        <v>0</v>
      </c>
      <c r="V404" s="875">
        <v>0</v>
      </c>
      <c r="W404" s="875">
        <v>0</v>
      </c>
      <c r="X404" s="875">
        <v>0</v>
      </c>
      <c r="Y404" s="875">
        <v>0</v>
      </c>
      <c r="Z404" s="875">
        <v>0</v>
      </c>
      <c r="AA404" s="875">
        <v>0</v>
      </c>
    </row>
    <row r="405" spans="1:27" s="426" customFormat="1">
      <c r="A405" s="828" t="s">
        <v>108</v>
      </c>
      <c r="B405" s="792"/>
      <c r="C405" s="702">
        <v>220000</v>
      </c>
      <c r="D405" s="702">
        <v>220000</v>
      </c>
      <c r="E405" s="702">
        <v>220000</v>
      </c>
      <c r="F405" s="702">
        <v>220000</v>
      </c>
      <c r="G405" s="702">
        <v>220000</v>
      </c>
      <c r="H405" s="702">
        <v>220000</v>
      </c>
      <c r="I405" s="702">
        <v>220000</v>
      </c>
      <c r="J405" s="702">
        <v>220000</v>
      </c>
      <c r="K405" s="702">
        <v>220000</v>
      </c>
      <c r="L405" s="702">
        <v>220000</v>
      </c>
      <c r="M405" s="702">
        <v>220000</v>
      </c>
      <c r="N405" s="702">
        <v>220000</v>
      </c>
      <c r="O405" s="702">
        <v>220000</v>
      </c>
      <c r="P405" s="702">
        <v>220000</v>
      </c>
      <c r="Q405" s="702">
        <v>0</v>
      </c>
      <c r="R405" s="702">
        <v>0</v>
      </c>
      <c r="S405" s="702">
        <v>0</v>
      </c>
      <c r="T405" s="702">
        <v>0</v>
      </c>
      <c r="U405" s="702">
        <v>0</v>
      </c>
      <c r="V405" s="702">
        <v>0</v>
      </c>
      <c r="W405" s="702">
        <v>0</v>
      </c>
      <c r="X405" s="702">
        <v>0</v>
      </c>
      <c r="Y405" s="702">
        <v>0</v>
      </c>
      <c r="Z405" s="702">
        <v>0</v>
      </c>
      <c r="AA405" s="702">
        <v>0</v>
      </c>
    </row>
    <row r="406" spans="1:27" s="426" customFormat="1">
      <c r="A406" s="29"/>
      <c r="B406" s="748"/>
      <c r="C406" s="891"/>
      <c r="D406" s="891"/>
      <c r="E406" s="891"/>
      <c r="F406" s="891"/>
      <c r="G406" s="891"/>
      <c r="H406" s="891"/>
      <c r="I406" s="891"/>
      <c r="J406" s="891"/>
      <c r="K406" s="891"/>
      <c r="L406" s="891"/>
      <c r="M406" s="891"/>
      <c r="N406" s="891"/>
      <c r="O406" s="891"/>
      <c r="P406" s="891"/>
      <c r="Q406" s="891"/>
      <c r="R406" s="891"/>
      <c r="S406" s="891"/>
      <c r="T406" s="891"/>
      <c r="U406" s="891"/>
      <c r="V406" s="891"/>
      <c r="W406" s="891"/>
      <c r="X406" s="891"/>
      <c r="Y406" s="891"/>
      <c r="Z406" s="891"/>
      <c r="AA406" s="891"/>
    </row>
    <row r="407" spans="1:27" s="426" customFormat="1">
      <c r="A407" s="29" t="s">
        <v>97</v>
      </c>
      <c r="B407" s="748"/>
      <c r="C407" s="891"/>
      <c r="D407" s="891"/>
      <c r="E407" s="891"/>
      <c r="F407" s="891"/>
      <c r="G407" s="891"/>
      <c r="H407" s="891"/>
      <c r="I407" s="891"/>
      <c r="J407" s="891"/>
      <c r="K407" s="891"/>
      <c r="L407" s="891"/>
      <c r="M407" s="891"/>
      <c r="N407" s="891"/>
      <c r="O407" s="891"/>
      <c r="P407" s="891"/>
      <c r="Q407" s="891"/>
      <c r="R407" s="891"/>
      <c r="S407" s="891"/>
      <c r="T407" s="891"/>
      <c r="U407" s="891"/>
      <c r="V407" s="891"/>
      <c r="W407" s="891"/>
      <c r="X407" s="891"/>
      <c r="Y407" s="891"/>
      <c r="Z407" s="891"/>
      <c r="AA407" s="891"/>
    </row>
    <row r="408" spans="1:27">
      <c r="A408" s="28" t="s">
        <v>24</v>
      </c>
      <c r="B408" s="746" t="s">
        <v>301</v>
      </c>
      <c r="C408" s="875">
        <v>0</v>
      </c>
      <c r="D408" s="875">
        <v>0</v>
      </c>
      <c r="E408" s="875">
        <v>0</v>
      </c>
      <c r="F408" s="875">
        <v>0</v>
      </c>
      <c r="G408" s="875">
        <v>0</v>
      </c>
      <c r="H408" s="875">
        <v>0</v>
      </c>
      <c r="I408" s="875">
        <v>0</v>
      </c>
      <c r="J408" s="875">
        <v>0</v>
      </c>
      <c r="K408" s="875">
        <v>0</v>
      </c>
      <c r="L408" s="875">
        <v>0</v>
      </c>
      <c r="M408" s="875">
        <v>0</v>
      </c>
      <c r="N408" s="875">
        <v>0</v>
      </c>
      <c r="O408" s="875">
        <v>0</v>
      </c>
      <c r="P408" s="875">
        <v>0</v>
      </c>
      <c r="Q408" s="875">
        <v>0</v>
      </c>
      <c r="R408" s="875">
        <v>0</v>
      </c>
      <c r="S408" s="875">
        <v>0</v>
      </c>
      <c r="T408" s="875">
        <v>0</v>
      </c>
      <c r="U408" s="875">
        <v>0</v>
      </c>
      <c r="V408" s="875">
        <v>0</v>
      </c>
      <c r="W408" s="875">
        <v>0</v>
      </c>
      <c r="X408" s="875">
        <v>0</v>
      </c>
      <c r="Y408" s="875">
        <v>0</v>
      </c>
      <c r="Z408" s="875">
        <v>0</v>
      </c>
      <c r="AA408" s="875">
        <v>0</v>
      </c>
    </row>
    <row r="409" spans="1:27" s="712" customFormat="1">
      <c r="A409" s="819" t="s">
        <v>13</v>
      </c>
      <c r="B409" s="780"/>
      <c r="C409" s="702">
        <v>0</v>
      </c>
      <c r="D409" s="702">
        <v>0</v>
      </c>
      <c r="E409" s="702">
        <v>0</v>
      </c>
      <c r="F409" s="702">
        <v>0</v>
      </c>
      <c r="G409" s="702">
        <v>0</v>
      </c>
      <c r="H409" s="702">
        <v>0</v>
      </c>
      <c r="I409" s="702">
        <v>0</v>
      </c>
      <c r="J409" s="702">
        <v>0</v>
      </c>
      <c r="K409" s="702">
        <v>0</v>
      </c>
      <c r="L409" s="702">
        <v>0</v>
      </c>
      <c r="M409" s="702">
        <v>0</v>
      </c>
      <c r="N409" s="702">
        <v>0</v>
      </c>
      <c r="O409" s="702">
        <v>0</v>
      </c>
      <c r="P409" s="702">
        <v>0</v>
      </c>
      <c r="Q409" s="702">
        <v>0</v>
      </c>
      <c r="R409" s="702">
        <v>0</v>
      </c>
      <c r="S409" s="702">
        <v>0</v>
      </c>
      <c r="T409" s="702">
        <v>0</v>
      </c>
      <c r="U409" s="702">
        <v>0</v>
      </c>
      <c r="V409" s="702">
        <v>0</v>
      </c>
      <c r="W409" s="702">
        <v>0</v>
      </c>
      <c r="X409" s="702">
        <v>0</v>
      </c>
      <c r="Y409" s="702">
        <v>0</v>
      </c>
      <c r="Z409" s="702">
        <v>0</v>
      </c>
      <c r="AA409" s="702">
        <v>0</v>
      </c>
    </row>
    <row r="410" spans="1:27">
      <c r="A410" s="28" t="s">
        <v>138</v>
      </c>
      <c r="B410" s="746" t="s">
        <v>302</v>
      </c>
      <c r="C410" s="875">
        <v>0</v>
      </c>
      <c r="D410" s="875">
        <v>0</v>
      </c>
      <c r="E410" s="875">
        <v>102400</v>
      </c>
      <c r="F410" s="875">
        <v>0</v>
      </c>
      <c r="G410" s="875">
        <v>0</v>
      </c>
      <c r="H410" s="875">
        <v>0</v>
      </c>
      <c r="I410" s="875">
        <v>0</v>
      </c>
      <c r="J410" s="875">
        <v>0</v>
      </c>
      <c r="K410" s="875">
        <v>0</v>
      </c>
      <c r="L410" s="875">
        <v>0</v>
      </c>
      <c r="M410" s="875">
        <v>0</v>
      </c>
      <c r="N410" s="875">
        <v>0</v>
      </c>
      <c r="O410" s="875">
        <v>0</v>
      </c>
      <c r="P410" s="875">
        <v>0</v>
      </c>
      <c r="Q410" s="875">
        <v>0</v>
      </c>
      <c r="R410" s="875">
        <v>0</v>
      </c>
      <c r="S410" s="875">
        <v>0</v>
      </c>
      <c r="T410" s="875">
        <v>0</v>
      </c>
      <c r="U410" s="875">
        <v>102400</v>
      </c>
      <c r="V410" s="875">
        <v>0</v>
      </c>
      <c r="W410" s="875">
        <v>0</v>
      </c>
      <c r="X410" s="875">
        <v>0</v>
      </c>
      <c r="Y410" s="875">
        <v>52400</v>
      </c>
      <c r="Z410" s="875">
        <v>0</v>
      </c>
      <c r="AA410" s="875">
        <v>0</v>
      </c>
    </row>
    <row r="411" spans="1:27" s="712" customFormat="1">
      <c r="A411" s="819" t="s">
        <v>13</v>
      </c>
      <c r="B411" s="780"/>
      <c r="C411" s="702">
        <v>257200</v>
      </c>
      <c r="D411" s="702">
        <v>257200</v>
      </c>
      <c r="E411" s="702">
        <v>257200</v>
      </c>
      <c r="F411" s="702">
        <v>154800</v>
      </c>
      <c r="G411" s="702">
        <v>154800</v>
      </c>
      <c r="H411" s="702">
        <v>154800</v>
      </c>
      <c r="I411" s="702">
        <v>154800</v>
      </c>
      <c r="J411" s="702">
        <v>154800</v>
      </c>
      <c r="K411" s="702">
        <v>154800</v>
      </c>
      <c r="L411" s="702">
        <v>154800</v>
      </c>
      <c r="M411" s="702">
        <v>154800</v>
      </c>
      <c r="N411" s="702">
        <v>154800</v>
      </c>
      <c r="O411" s="702">
        <v>154800</v>
      </c>
      <c r="P411" s="702">
        <v>154800</v>
      </c>
      <c r="Q411" s="702">
        <v>154800</v>
      </c>
      <c r="R411" s="702">
        <v>154800</v>
      </c>
      <c r="S411" s="702">
        <v>154800</v>
      </c>
      <c r="T411" s="702">
        <v>154800</v>
      </c>
      <c r="U411" s="702">
        <v>154800</v>
      </c>
      <c r="V411" s="702">
        <v>52400</v>
      </c>
      <c r="W411" s="702">
        <v>52400</v>
      </c>
      <c r="X411" s="702">
        <v>52400</v>
      </c>
      <c r="Y411" s="702">
        <v>52400</v>
      </c>
      <c r="Z411" s="702">
        <v>0</v>
      </c>
      <c r="AA411" s="702">
        <v>0</v>
      </c>
    </row>
    <row r="412" spans="1:27">
      <c r="A412" s="28" t="s">
        <v>139</v>
      </c>
      <c r="B412" s="746" t="s">
        <v>303</v>
      </c>
      <c r="C412" s="875">
        <v>0</v>
      </c>
      <c r="D412" s="875">
        <v>0</v>
      </c>
      <c r="E412" s="875">
        <v>0</v>
      </c>
      <c r="F412" s="875">
        <v>0</v>
      </c>
      <c r="G412" s="875">
        <v>0</v>
      </c>
      <c r="H412" s="875">
        <v>0</v>
      </c>
      <c r="I412" s="875">
        <v>0</v>
      </c>
      <c r="J412" s="875">
        <v>0</v>
      </c>
      <c r="K412" s="875">
        <v>0</v>
      </c>
      <c r="L412" s="875">
        <v>0</v>
      </c>
      <c r="M412" s="875">
        <v>0</v>
      </c>
      <c r="N412" s="875">
        <v>0</v>
      </c>
      <c r="O412" s="875">
        <v>0</v>
      </c>
      <c r="P412" s="875">
        <v>0</v>
      </c>
      <c r="Q412" s="875">
        <v>0</v>
      </c>
      <c r="R412" s="875">
        <v>0</v>
      </c>
      <c r="S412" s="875">
        <v>0</v>
      </c>
      <c r="T412" s="875">
        <v>0</v>
      </c>
      <c r="U412" s="875">
        <v>0</v>
      </c>
      <c r="V412" s="875">
        <v>0</v>
      </c>
      <c r="W412" s="875">
        <v>0</v>
      </c>
      <c r="X412" s="875">
        <v>0</v>
      </c>
      <c r="Y412" s="875">
        <v>0</v>
      </c>
      <c r="Z412" s="875">
        <v>0</v>
      </c>
      <c r="AA412" s="875">
        <v>0</v>
      </c>
    </row>
    <row r="413" spans="1:27" s="712" customFormat="1">
      <c r="A413" s="819" t="s">
        <v>13</v>
      </c>
      <c r="B413" s="780"/>
      <c r="C413" s="702">
        <v>0</v>
      </c>
      <c r="D413" s="702">
        <v>0</v>
      </c>
      <c r="E413" s="702">
        <v>0</v>
      </c>
      <c r="F413" s="702">
        <v>0</v>
      </c>
      <c r="G413" s="702">
        <v>0</v>
      </c>
      <c r="H413" s="702">
        <v>0</v>
      </c>
      <c r="I413" s="702">
        <v>0</v>
      </c>
      <c r="J413" s="702">
        <v>0</v>
      </c>
      <c r="K413" s="702">
        <v>0</v>
      </c>
      <c r="L413" s="702">
        <v>0</v>
      </c>
      <c r="M413" s="702">
        <v>0</v>
      </c>
      <c r="N413" s="702">
        <v>0</v>
      </c>
      <c r="O413" s="702">
        <v>0</v>
      </c>
      <c r="P413" s="702">
        <v>0</v>
      </c>
      <c r="Q413" s="702">
        <v>0</v>
      </c>
      <c r="R413" s="702">
        <v>0</v>
      </c>
      <c r="S413" s="702">
        <v>0</v>
      </c>
      <c r="T413" s="702">
        <v>0</v>
      </c>
      <c r="U413" s="702">
        <v>0</v>
      </c>
      <c r="V413" s="702">
        <v>0</v>
      </c>
      <c r="W413" s="702">
        <v>0</v>
      </c>
      <c r="X413" s="702">
        <v>0</v>
      </c>
      <c r="Y413" s="702">
        <v>0</v>
      </c>
      <c r="Z413" s="702">
        <v>0</v>
      </c>
      <c r="AA413" s="702">
        <v>0</v>
      </c>
    </row>
    <row r="414" spans="1:27" s="712" customFormat="1">
      <c r="A414" s="820" t="s">
        <v>172</v>
      </c>
      <c r="B414" s="780" t="s">
        <v>304</v>
      </c>
      <c r="C414" s="889">
        <v>0</v>
      </c>
      <c r="D414" s="889">
        <v>0</v>
      </c>
      <c r="E414" s="889">
        <v>0</v>
      </c>
      <c r="F414" s="889">
        <v>0</v>
      </c>
      <c r="G414" s="889">
        <v>0</v>
      </c>
      <c r="H414" s="889">
        <v>0</v>
      </c>
      <c r="I414" s="889">
        <v>0</v>
      </c>
      <c r="J414" s="889">
        <v>0</v>
      </c>
      <c r="K414" s="889">
        <v>0</v>
      </c>
      <c r="L414" s="889">
        <v>0</v>
      </c>
      <c r="M414" s="889">
        <v>0</v>
      </c>
      <c r="N414" s="889">
        <v>0</v>
      </c>
      <c r="O414" s="889">
        <v>0</v>
      </c>
      <c r="P414" s="889">
        <v>0</v>
      </c>
      <c r="Q414" s="889">
        <v>0</v>
      </c>
      <c r="R414" s="889">
        <v>0</v>
      </c>
      <c r="S414" s="889">
        <v>0</v>
      </c>
      <c r="T414" s="889">
        <v>0</v>
      </c>
      <c r="U414" s="889">
        <v>0</v>
      </c>
      <c r="V414" s="889">
        <v>0</v>
      </c>
      <c r="W414" s="889">
        <v>0</v>
      </c>
      <c r="X414" s="889">
        <v>0</v>
      </c>
      <c r="Y414" s="889">
        <v>0</v>
      </c>
      <c r="Z414" s="889">
        <v>0</v>
      </c>
      <c r="AA414" s="889">
        <v>0</v>
      </c>
    </row>
    <row r="415" spans="1:27" s="712" customFormat="1">
      <c r="A415" s="819" t="s">
        <v>13</v>
      </c>
      <c r="B415" s="780"/>
      <c r="C415" s="702">
        <v>0</v>
      </c>
      <c r="D415" s="702">
        <v>0</v>
      </c>
      <c r="E415" s="702">
        <v>0</v>
      </c>
      <c r="F415" s="702">
        <v>0</v>
      </c>
      <c r="G415" s="702">
        <v>0</v>
      </c>
      <c r="H415" s="702">
        <v>0</v>
      </c>
      <c r="I415" s="702">
        <v>0</v>
      </c>
      <c r="J415" s="702">
        <v>0</v>
      </c>
      <c r="K415" s="702">
        <v>0</v>
      </c>
      <c r="L415" s="702">
        <v>0</v>
      </c>
      <c r="M415" s="702">
        <v>0</v>
      </c>
      <c r="N415" s="702">
        <v>0</v>
      </c>
      <c r="O415" s="702">
        <v>0</v>
      </c>
      <c r="P415" s="702">
        <v>0</v>
      </c>
      <c r="Q415" s="702">
        <v>0</v>
      </c>
      <c r="R415" s="702">
        <v>0</v>
      </c>
      <c r="S415" s="702">
        <v>0</v>
      </c>
      <c r="T415" s="702">
        <v>0</v>
      </c>
      <c r="U415" s="702">
        <v>0</v>
      </c>
      <c r="V415" s="702">
        <v>0</v>
      </c>
      <c r="W415" s="702">
        <v>0</v>
      </c>
      <c r="X415" s="702">
        <v>0</v>
      </c>
      <c r="Y415" s="702">
        <v>0</v>
      </c>
      <c r="Z415" s="702">
        <v>0</v>
      </c>
      <c r="AA415" s="702">
        <v>0</v>
      </c>
    </row>
    <row r="416" spans="1:27" s="712" customFormat="1">
      <c r="A416" s="820" t="s">
        <v>193</v>
      </c>
      <c r="B416" s="780" t="s">
        <v>305</v>
      </c>
      <c r="C416" s="889">
        <v>0</v>
      </c>
      <c r="D416" s="889">
        <v>0</v>
      </c>
      <c r="E416" s="889">
        <v>0</v>
      </c>
      <c r="F416" s="889">
        <v>0</v>
      </c>
      <c r="G416" s="889">
        <v>0</v>
      </c>
      <c r="H416" s="889">
        <v>0</v>
      </c>
      <c r="I416" s="889">
        <v>0</v>
      </c>
      <c r="J416" s="889">
        <v>0</v>
      </c>
      <c r="K416" s="889">
        <v>0</v>
      </c>
      <c r="L416" s="889">
        <v>0</v>
      </c>
      <c r="M416" s="889">
        <v>0</v>
      </c>
      <c r="N416" s="889">
        <v>0</v>
      </c>
      <c r="O416" s="889">
        <v>0</v>
      </c>
      <c r="P416" s="889">
        <v>0</v>
      </c>
      <c r="Q416" s="889">
        <v>0</v>
      </c>
      <c r="R416" s="889">
        <v>0</v>
      </c>
      <c r="S416" s="889">
        <v>0</v>
      </c>
      <c r="T416" s="889">
        <v>0</v>
      </c>
      <c r="U416" s="889">
        <v>0</v>
      </c>
      <c r="V416" s="889">
        <v>0</v>
      </c>
      <c r="W416" s="889">
        <v>0</v>
      </c>
      <c r="X416" s="889">
        <v>0</v>
      </c>
      <c r="Y416" s="889">
        <v>0</v>
      </c>
      <c r="Z416" s="889">
        <v>0</v>
      </c>
      <c r="AA416" s="889">
        <v>0</v>
      </c>
    </row>
    <row r="417" spans="1:27" s="712" customFormat="1">
      <c r="A417" s="819" t="s">
        <v>13</v>
      </c>
      <c r="B417" s="780"/>
      <c r="C417" s="702">
        <v>0</v>
      </c>
      <c r="D417" s="702">
        <v>0</v>
      </c>
      <c r="E417" s="702">
        <v>0</v>
      </c>
      <c r="F417" s="702">
        <v>0</v>
      </c>
      <c r="G417" s="702">
        <v>0</v>
      </c>
      <c r="H417" s="702">
        <v>0</v>
      </c>
      <c r="I417" s="702">
        <v>0</v>
      </c>
      <c r="J417" s="702">
        <v>0</v>
      </c>
      <c r="K417" s="702">
        <v>0</v>
      </c>
      <c r="L417" s="702">
        <v>0</v>
      </c>
      <c r="M417" s="702">
        <v>0</v>
      </c>
      <c r="N417" s="702">
        <v>0</v>
      </c>
      <c r="O417" s="702">
        <v>0</v>
      </c>
      <c r="P417" s="702">
        <v>0</v>
      </c>
      <c r="Q417" s="702">
        <v>0</v>
      </c>
      <c r="R417" s="702">
        <v>0</v>
      </c>
      <c r="S417" s="702">
        <v>0</v>
      </c>
      <c r="T417" s="702">
        <v>0</v>
      </c>
      <c r="U417" s="702">
        <v>0</v>
      </c>
      <c r="V417" s="702">
        <v>0</v>
      </c>
      <c r="W417" s="702">
        <v>0</v>
      </c>
      <c r="X417" s="702">
        <v>0</v>
      </c>
      <c r="Y417" s="702">
        <v>0</v>
      </c>
      <c r="Z417" s="702">
        <v>0</v>
      </c>
      <c r="AA417" s="702">
        <v>0</v>
      </c>
    </row>
    <row r="418" spans="1:27">
      <c r="A418" s="825" t="s">
        <v>151</v>
      </c>
      <c r="B418" s="746"/>
      <c r="C418" s="875">
        <v>0</v>
      </c>
      <c r="D418" s="875">
        <v>0</v>
      </c>
      <c r="E418" s="875">
        <v>102400</v>
      </c>
      <c r="F418" s="875">
        <v>0</v>
      </c>
      <c r="G418" s="875">
        <v>0</v>
      </c>
      <c r="H418" s="875">
        <v>0</v>
      </c>
      <c r="I418" s="875">
        <v>0</v>
      </c>
      <c r="J418" s="875">
        <v>0</v>
      </c>
      <c r="K418" s="875">
        <v>0</v>
      </c>
      <c r="L418" s="875">
        <v>0</v>
      </c>
      <c r="M418" s="875">
        <v>0</v>
      </c>
      <c r="N418" s="875">
        <v>0</v>
      </c>
      <c r="O418" s="875">
        <v>0</v>
      </c>
      <c r="P418" s="875">
        <v>0</v>
      </c>
      <c r="Q418" s="875">
        <v>0</v>
      </c>
      <c r="R418" s="875">
        <v>0</v>
      </c>
      <c r="S418" s="875">
        <v>0</v>
      </c>
      <c r="T418" s="875">
        <v>0</v>
      </c>
      <c r="U418" s="875">
        <v>102400</v>
      </c>
      <c r="V418" s="875">
        <v>0</v>
      </c>
      <c r="W418" s="875">
        <v>0</v>
      </c>
      <c r="X418" s="875">
        <v>0</v>
      </c>
      <c r="Y418" s="875">
        <v>52400</v>
      </c>
      <c r="Z418" s="875">
        <v>0</v>
      </c>
      <c r="AA418" s="875">
        <v>0</v>
      </c>
    </row>
    <row r="419" spans="1:27" s="426" customFormat="1">
      <c r="A419" s="821" t="s">
        <v>13</v>
      </c>
      <c r="B419" s="792"/>
      <c r="C419" s="702">
        <v>257200</v>
      </c>
      <c r="D419" s="702">
        <v>257200</v>
      </c>
      <c r="E419" s="702">
        <v>257200</v>
      </c>
      <c r="F419" s="702">
        <v>154800</v>
      </c>
      <c r="G419" s="702">
        <v>154800</v>
      </c>
      <c r="H419" s="702">
        <v>154800</v>
      </c>
      <c r="I419" s="702">
        <v>154800</v>
      </c>
      <c r="J419" s="702">
        <v>154800</v>
      </c>
      <c r="K419" s="702">
        <v>154800</v>
      </c>
      <c r="L419" s="702">
        <v>154800</v>
      </c>
      <c r="M419" s="702">
        <v>154800</v>
      </c>
      <c r="N419" s="702">
        <v>154800</v>
      </c>
      <c r="O419" s="702">
        <v>154800</v>
      </c>
      <c r="P419" s="702">
        <v>154800</v>
      </c>
      <c r="Q419" s="702">
        <v>154800</v>
      </c>
      <c r="R419" s="702">
        <v>154800</v>
      </c>
      <c r="S419" s="702">
        <v>154800</v>
      </c>
      <c r="T419" s="702">
        <v>154800</v>
      </c>
      <c r="U419" s="702">
        <v>154800</v>
      </c>
      <c r="V419" s="702">
        <v>52400</v>
      </c>
      <c r="W419" s="702">
        <v>52400</v>
      </c>
      <c r="X419" s="702">
        <v>52400</v>
      </c>
      <c r="Y419" s="702">
        <v>52400</v>
      </c>
      <c r="Z419" s="702">
        <v>0</v>
      </c>
      <c r="AA419" s="702">
        <v>0</v>
      </c>
    </row>
    <row r="420" spans="1:27" s="426" customFormat="1">
      <c r="A420" s="817"/>
      <c r="B420" s="748"/>
      <c r="C420" s="879"/>
      <c r="D420" s="879"/>
      <c r="E420" s="879"/>
      <c r="F420" s="879"/>
      <c r="G420" s="879"/>
      <c r="H420" s="879"/>
      <c r="I420" s="879"/>
      <c r="J420" s="879"/>
      <c r="K420" s="879"/>
      <c r="L420" s="879"/>
      <c r="M420" s="879"/>
      <c r="N420" s="879"/>
      <c r="O420" s="879"/>
      <c r="P420" s="879"/>
      <c r="Q420" s="879"/>
      <c r="R420" s="879"/>
      <c r="S420" s="879"/>
      <c r="T420" s="879"/>
      <c r="U420" s="879"/>
      <c r="V420" s="879"/>
      <c r="W420" s="879"/>
      <c r="X420" s="879"/>
      <c r="Y420" s="879"/>
      <c r="Z420" s="879"/>
      <c r="AA420" s="879"/>
    </row>
    <row r="421" spans="1:27" s="426" customFormat="1">
      <c r="A421" s="817" t="s">
        <v>140</v>
      </c>
      <c r="B421" s="748"/>
      <c r="C421" s="879"/>
      <c r="D421" s="879"/>
      <c r="E421" s="879"/>
      <c r="F421" s="879"/>
      <c r="G421" s="879"/>
      <c r="H421" s="879"/>
      <c r="I421" s="879"/>
      <c r="J421" s="879"/>
      <c r="K421" s="879"/>
      <c r="L421" s="879"/>
      <c r="M421" s="879"/>
      <c r="N421" s="879"/>
      <c r="O421" s="879"/>
      <c r="P421" s="879"/>
      <c r="Q421" s="879"/>
      <c r="R421" s="879"/>
      <c r="S421" s="879"/>
      <c r="T421" s="879"/>
      <c r="U421" s="879"/>
      <c r="V421" s="879"/>
      <c r="W421" s="879"/>
      <c r="X421" s="879"/>
      <c r="Y421" s="879"/>
      <c r="Z421" s="879"/>
      <c r="AA421" s="879"/>
    </row>
    <row r="422" spans="1:27" s="426" customFormat="1">
      <c r="A422" s="818" t="s">
        <v>141</v>
      </c>
      <c r="B422" s="746" t="s">
        <v>306</v>
      </c>
      <c r="C422" s="888">
        <v>0</v>
      </c>
      <c r="D422" s="888">
        <v>0</v>
      </c>
      <c r="E422" s="888">
        <v>0</v>
      </c>
      <c r="F422" s="888">
        <v>0</v>
      </c>
      <c r="G422" s="888">
        <v>0</v>
      </c>
      <c r="H422" s="888">
        <v>0</v>
      </c>
      <c r="I422" s="888">
        <v>0</v>
      </c>
      <c r="J422" s="888">
        <v>0</v>
      </c>
      <c r="K422" s="888">
        <v>0</v>
      </c>
      <c r="L422" s="888">
        <v>0</v>
      </c>
      <c r="M422" s="888">
        <v>0</v>
      </c>
      <c r="N422" s="888">
        <v>0</v>
      </c>
      <c r="O422" s="888">
        <v>0</v>
      </c>
      <c r="P422" s="888">
        <v>0</v>
      </c>
      <c r="Q422" s="888">
        <v>0</v>
      </c>
      <c r="R422" s="888">
        <v>0</v>
      </c>
      <c r="S422" s="888">
        <v>0</v>
      </c>
      <c r="T422" s="888">
        <v>0</v>
      </c>
      <c r="U422" s="888">
        <v>0</v>
      </c>
      <c r="V422" s="888">
        <v>0</v>
      </c>
      <c r="W422" s="888">
        <v>0</v>
      </c>
      <c r="X422" s="888">
        <v>0</v>
      </c>
      <c r="Y422" s="888">
        <v>0</v>
      </c>
      <c r="Z422" s="888">
        <v>0</v>
      </c>
      <c r="AA422" s="888">
        <v>0</v>
      </c>
    </row>
    <row r="423" spans="1:27" s="426" customFormat="1">
      <c r="A423" s="829" t="s">
        <v>13</v>
      </c>
      <c r="B423" s="746"/>
      <c r="C423" s="702">
        <v>0</v>
      </c>
      <c r="D423" s="702">
        <v>0</v>
      </c>
      <c r="E423" s="702">
        <v>0</v>
      </c>
      <c r="F423" s="702">
        <v>0</v>
      </c>
      <c r="G423" s="702">
        <v>0</v>
      </c>
      <c r="H423" s="702">
        <v>0</v>
      </c>
      <c r="I423" s="702">
        <v>0</v>
      </c>
      <c r="J423" s="702">
        <v>0</v>
      </c>
      <c r="K423" s="702">
        <v>0</v>
      </c>
      <c r="L423" s="702">
        <v>0</v>
      </c>
      <c r="M423" s="702">
        <v>0</v>
      </c>
      <c r="N423" s="702">
        <v>0</v>
      </c>
      <c r="O423" s="702">
        <v>0</v>
      </c>
      <c r="P423" s="702">
        <v>0</v>
      </c>
      <c r="Q423" s="702">
        <v>0</v>
      </c>
      <c r="R423" s="702">
        <v>0</v>
      </c>
      <c r="S423" s="702">
        <v>0</v>
      </c>
      <c r="T423" s="702">
        <v>0</v>
      </c>
      <c r="U423" s="702">
        <v>0</v>
      </c>
      <c r="V423" s="702">
        <v>0</v>
      </c>
      <c r="W423" s="702">
        <v>0</v>
      </c>
      <c r="X423" s="702">
        <v>0</v>
      </c>
      <c r="Y423" s="702">
        <v>0</v>
      </c>
      <c r="Z423" s="702">
        <v>0</v>
      </c>
      <c r="AA423" s="702">
        <v>0</v>
      </c>
    </row>
    <row r="424" spans="1:27" s="426" customFormat="1">
      <c r="A424" s="818" t="s">
        <v>142</v>
      </c>
      <c r="B424" s="746" t="s">
        <v>307</v>
      </c>
      <c r="C424" s="888">
        <v>0</v>
      </c>
      <c r="D424" s="888">
        <v>0</v>
      </c>
      <c r="E424" s="888">
        <v>0</v>
      </c>
      <c r="F424" s="888">
        <v>0</v>
      </c>
      <c r="G424" s="888">
        <v>0</v>
      </c>
      <c r="H424" s="888">
        <v>0</v>
      </c>
      <c r="I424" s="888">
        <v>0</v>
      </c>
      <c r="J424" s="888">
        <v>0</v>
      </c>
      <c r="K424" s="888">
        <v>0</v>
      </c>
      <c r="L424" s="888">
        <v>0</v>
      </c>
      <c r="M424" s="888">
        <v>0</v>
      </c>
      <c r="N424" s="888">
        <v>0</v>
      </c>
      <c r="O424" s="888">
        <v>0</v>
      </c>
      <c r="P424" s="888">
        <v>0</v>
      </c>
      <c r="Q424" s="888">
        <v>0</v>
      </c>
      <c r="R424" s="888">
        <v>0</v>
      </c>
      <c r="S424" s="888">
        <v>0</v>
      </c>
      <c r="T424" s="888">
        <v>0</v>
      </c>
      <c r="U424" s="888">
        <v>0</v>
      </c>
      <c r="V424" s="888">
        <v>0</v>
      </c>
      <c r="W424" s="888">
        <v>0</v>
      </c>
      <c r="X424" s="888">
        <v>0</v>
      </c>
      <c r="Y424" s="888">
        <v>0</v>
      </c>
      <c r="Z424" s="888">
        <v>0</v>
      </c>
      <c r="AA424" s="888">
        <v>0</v>
      </c>
    </row>
    <row r="425" spans="1:27" s="426" customFormat="1">
      <c r="A425" s="829" t="s">
        <v>13</v>
      </c>
      <c r="B425" s="746"/>
      <c r="C425" s="702">
        <v>0</v>
      </c>
      <c r="D425" s="702">
        <v>0</v>
      </c>
      <c r="E425" s="702">
        <v>0</v>
      </c>
      <c r="F425" s="702">
        <v>0</v>
      </c>
      <c r="G425" s="702">
        <v>0</v>
      </c>
      <c r="H425" s="702">
        <v>0</v>
      </c>
      <c r="I425" s="702">
        <v>0</v>
      </c>
      <c r="J425" s="702">
        <v>0</v>
      </c>
      <c r="K425" s="702">
        <v>0</v>
      </c>
      <c r="L425" s="702">
        <v>0</v>
      </c>
      <c r="M425" s="702">
        <v>0</v>
      </c>
      <c r="N425" s="702">
        <v>0</v>
      </c>
      <c r="O425" s="702">
        <v>0</v>
      </c>
      <c r="P425" s="702">
        <v>0</v>
      </c>
      <c r="Q425" s="702">
        <v>0</v>
      </c>
      <c r="R425" s="702">
        <v>0</v>
      </c>
      <c r="S425" s="702">
        <v>0</v>
      </c>
      <c r="T425" s="702">
        <v>0</v>
      </c>
      <c r="U425" s="702">
        <v>0</v>
      </c>
      <c r="V425" s="702">
        <v>0</v>
      </c>
      <c r="W425" s="702">
        <v>0</v>
      </c>
      <c r="X425" s="702">
        <v>0</v>
      </c>
      <c r="Y425" s="702">
        <v>0</v>
      </c>
      <c r="Z425" s="702">
        <v>0</v>
      </c>
      <c r="AA425" s="702">
        <v>0</v>
      </c>
    </row>
    <row r="426" spans="1:27" s="426" customFormat="1">
      <c r="A426" s="818" t="s">
        <v>143</v>
      </c>
      <c r="B426" s="746" t="s">
        <v>308</v>
      </c>
      <c r="C426" s="888">
        <v>0</v>
      </c>
      <c r="D426" s="888">
        <v>0</v>
      </c>
      <c r="E426" s="888">
        <v>0</v>
      </c>
      <c r="F426" s="888">
        <v>0</v>
      </c>
      <c r="G426" s="888">
        <v>0</v>
      </c>
      <c r="H426" s="888">
        <v>0</v>
      </c>
      <c r="I426" s="888">
        <v>0</v>
      </c>
      <c r="J426" s="888">
        <v>0</v>
      </c>
      <c r="K426" s="888">
        <v>0</v>
      </c>
      <c r="L426" s="888">
        <v>0</v>
      </c>
      <c r="M426" s="888">
        <v>0</v>
      </c>
      <c r="N426" s="888">
        <v>0</v>
      </c>
      <c r="O426" s="888">
        <v>0</v>
      </c>
      <c r="P426" s="888">
        <v>0</v>
      </c>
      <c r="Q426" s="888">
        <v>0</v>
      </c>
      <c r="R426" s="888">
        <v>0</v>
      </c>
      <c r="S426" s="888">
        <v>0</v>
      </c>
      <c r="T426" s="888">
        <v>0</v>
      </c>
      <c r="U426" s="888">
        <v>0</v>
      </c>
      <c r="V426" s="888">
        <v>0</v>
      </c>
      <c r="W426" s="888">
        <v>0</v>
      </c>
      <c r="X426" s="888">
        <v>0</v>
      </c>
      <c r="Y426" s="888">
        <v>0</v>
      </c>
      <c r="Z426" s="888">
        <v>0</v>
      </c>
      <c r="AA426" s="888">
        <v>0</v>
      </c>
    </row>
    <row r="427" spans="1:27" s="426" customFormat="1">
      <c r="A427" s="829" t="s">
        <v>13</v>
      </c>
      <c r="B427" s="746"/>
      <c r="C427" s="702">
        <v>0</v>
      </c>
      <c r="D427" s="702">
        <v>0</v>
      </c>
      <c r="E427" s="702">
        <v>0</v>
      </c>
      <c r="F427" s="702">
        <v>0</v>
      </c>
      <c r="G427" s="702">
        <v>0</v>
      </c>
      <c r="H427" s="702">
        <v>0</v>
      </c>
      <c r="I427" s="702">
        <v>0</v>
      </c>
      <c r="J427" s="702">
        <v>0</v>
      </c>
      <c r="K427" s="702">
        <v>0</v>
      </c>
      <c r="L427" s="702">
        <v>0</v>
      </c>
      <c r="M427" s="702">
        <v>0</v>
      </c>
      <c r="N427" s="702">
        <v>0</v>
      </c>
      <c r="O427" s="702">
        <v>0</v>
      </c>
      <c r="P427" s="702">
        <v>0</v>
      </c>
      <c r="Q427" s="702">
        <v>0</v>
      </c>
      <c r="R427" s="702">
        <v>0</v>
      </c>
      <c r="S427" s="702">
        <v>0</v>
      </c>
      <c r="T427" s="702">
        <v>0</v>
      </c>
      <c r="U427" s="702">
        <v>0</v>
      </c>
      <c r="V427" s="702">
        <v>0</v>
      </c>
      <c r="W427" s="702">
        <v>0</v>
      </c>
      <c r="X427" s="702">
        <v>0</v>
      </c>
      <c r="Y427" s="702">
        <v>0</v>
      </c>
      <c r="Z427" s="702">
        <v>0</v>
      </c>
      <c r="AA427" s="702">
        <v>0</v>
      </c>
    </row>
    <row r="428" spans="1:27" s="426" customFormat="1">
      <c r="A428" s="820" t="s">
        <v>242</v>
      </c>
      <c r="B428" s="746" t="s">
        <v>309</v>
      </c>
      <c r="C428" s="889">
        <v>0</v>
      </c>
      <c r="D428" s="889">
        <v>0</v>
      </c>
      <c r="E428" s="889">
        <v>0</v>
      </c>
      <c r="F428" s="889">
        <v>0</v>
      </c>
      <c r="G428" s="889">
        <v>0</v>
      </c>
      <c r="H428" s="889">
        <v>0</v>
      </c>
      <c r="I428" s="889">
        <v>0</v>
      </c>
      <c r="J428" s="889">
        <v>0</v>
      </c>
      <c r="K428" s="889">
        <v>0</v>
      </c>
      <c r="L428" s="889">
        <v>0</v>
      </c>
      <c r="M428" s="889">
        <v>0</v>
      </c>
      <c r="N428" s="889">
        <v>0</v>
      </c>
      <c r="O428" s="889">
        <v>0</v>
      </c>
      <c r="P428" s="889">
        <v>0</v>
      </c>
      <c r="Q428" s="889">
        <v>0</v>
      </c>
      <c r="R428" s="889">
        <v>0</v>
      </c>
      <c r="S428" s="889">
        <v>0</v>
      </c>
      <c r="T428" s="889">
        <v>0</v>
      </c>
      <c r="U428" s="889">
        <v>0</v>
      </c>
      <c r="V428" s="889">
        <v>0</v>
      </c>
      <c r="W428" s="889">
        <v>0</v>
      </c>
      <c r="X428" s="889">
        <v>0</v>
      </c>
      <c r="Y428" s="889">
        <v>0</v>
      </c>
      <c r="Z428" s="889">
        <v>0</v>
      </c>
      <c r="AA428" s="889">
        <v>0</v>
      </c>
    </row>
    <row r="429" spans="1:27" s="426" customFormat="1">
      <c r="A429" s="829" t="s">
        <v>13</v>
      </c>
      <c r="B429" s="746"/>
      <c r="C429" s="702">
        <v>0</v>
      </c>
      <c r="D429" s="702">
        <v>0</v>
      </c>
      <c r="E429" s="702">
        <v>0</v>
      </c>
      <c r="F429" s="702">
        <v>0</v>
      </c>
      <c r="G429" s="702">
        <v>0</v>
      </c>
      <c r="H429" s="702">
        <v>0</v>
      </c>
      <c r="I429" s="702">
        <v>0</v>
      </c>
      <c r="J429" s="702">
        <v>0</v>
      </c>
      <c r="K429" s="702">
        <v>0</v>
      </c>
      <c r="L429" s="702">
        <v>0</v>
      </c>
      <c r="M429" s="702">
        <v>0</v>
      </c>
      <c r="N429" s="702">
        <v>0</v>
      </c>
      <c r="O429" s="702">
        <v>0</v>
      </c>
      <c r="P429" s="702">
        <v>0</v>
      </c>
      <c r="Q429" s="702">
        <v>0</v>
      </c>
      <c r="R429" s="702">
        <v>0</v>
      </c>
      <c r="S429" s="702">
        <v>0</v>
      </c>
      <c r="T429" s="702">
        <v>0</v>
      </c>
      <c r="U429" s="702">
        <v>0</v>
      </c>
      <c r="V429" s="702">
        <v>0</v>
      </c>
      <c r="W429" s="702">
        <v>0</v>
      </c>
      <c r="X429" s="702">
        <v>0</v>
      </c>
      <c r="Y429" s="702">
        <v>0</v>
      </c>
      <c r="Z429" s="702">
        <v>0</v>
      </c>
      <c r="AA429" s="702">
        <v>0</v>
      </c>
    </row>
    <row r="430" spans="1:27" s="426" customFormat="1">
      <c r="A430" s="820" t="s">
        <v>241</v>
      </c>
      <c r="B430" s="746" t="s">
        <v>310</v>
      </c>
      <c r="C430" s="889">
        <v>0</v>
      </c>
      <c r="D430" s="889">
        <v>0</v>
      </c>
      <c r="E430" s="889">
        <v>0</v>
      </c>
      <c r="F430" s="889">
        <v>0</v>
      </c>
      <c r="G430" s="889">
        <v>0</v>
      </c>
      <c r="H430" s="889">
        <v>0</v>
      </c>
      <c r="I430" s="889">
        <v>0</v>
      </c>
      <c r="J430" s="889">
        <v>0</v>
      </c>
      <c r="K430" s="889">
        <v>0</v>
      </c>
      <c r="L430" s="889">
        <v>0</v>
      </c>
      <c r="M430" s="889">
        <v>0</v>
      </c>
      <c r="N430" s="889">
        <v>0</v>
      </c>
      <c r="O430" s="889">
        <v>0</v>
      </c>
      <c r="P430" s="889">
        <v>0</v>
      </c>
      <c r="Q430" s="889">
        <v>0</v>
      </c>
      <c r="R430" s="889">
        <v>0</v>
      </c>
      <c r="S430" s="889">
        <v>0</v>
      </c>
      <c r="T430" s="889">
        <v>0</v>
      </c>
      <c r="U430" s="889">
        <v>0</v>
      </c>
      <c r="V430" s="889">
        <v>0</v>
      </c>
      <c r="W430" s="889">
        <v>0</v>
      </c>
      <c r="X430" s="889">
        <v>0</v>
      </c>
      <c r="Y430" s="889">
        <v>0</v>
      </c>
      <c r="Z430" s="889">
        <v>0</v>
      </c>
      <c r="AA430" s="889">
        <v>0</v>
      </c>
    </row>
    <row r="431" spans="1:27" s="426" customFormat="1">
      <c r="A431" s="829" t="s">
        <v>13</v>
      </c>
      <c r="B431" s="746"/>
      <c r="C431" s="702">
        <v>0</v>
      </c>
      <c r="D431" s="702">
        <v>0</v>
      </c>
      <c r="E431" s="702">
        <v>0</v>
      </c>
      <c r="F431" s="702">
        <v>0</v>
      </c>
      <c r="G431" s="702">
        <v>0</v>
      </c>
      <c r="H431" s="702">
        <v>0</v>
      </c>
      <c r="I431" s="702">
        <v>0</v>
      </c>
      <c r="J431" s="702">
        <v>0</v>
      </c>
      <c r="K431" s="702">
        <v>0</v>
      </c>
      <c r="L431" s="702">
        <v>0</v>
      </c>
      <c r="M431" s="702">
        <v>0</v>
      </c>
      <c r="N431" s="702">
        <v>0</v>
      </c>
      <c r="O431" s="702">
        <v>0</v>
      </c>
      <c r="P431" s="702">
        <v>0</v>
      </c>
      <c r="Q431" s="702">
        <v>0</v>
      </c>
      <c r="R431" s="702">
        <v>0</v>
      </c>
      <c r="S431" s="702">
        <v>0</v>
      </c>
      <c r="T431" s="702">
        <v>0</v>
      </c>
      <c r="U431" s="702">
        <v>0</v>
      </c>
      <c r="V431" s="702">
        <v>0</v>
      </c>
      <c r="W431" s="702">
        <v>0</v>
      </c>
      <c r="X431" s="702">
        <v>0</v>
      </c>
      <c r="Y431" s="702">
        <v>0</v>
      </c>
      <c r="Z431" s="702">
        <v>0</v>
      </c>
      <c r="AA431" s="702">
        <v>0</v>
      </c>
    </row>
    <row r="432" spans="1:27" s="426" customFormat="1">
      <c r="A432" s="818" t="s">
        <v>144</v>
      </c>
      <c r="B432" s="746" t="s">
        <v>311</v>
      </c>
      <c r="C432" s="875">
        <v>0</v>
      </c>
      <c r="D432" s="875">
        <v>0</v>
      </c>
      <c r="E432" s="875">
        <v>0</v>
      </c>
      <c r="F432" s="875">
        <v>0</v>
      </c>
      <c r="G432" s="875">
        <v>0</v>
      </c>
      <c r="H432" s="875">
        <v>0</v>
      </c>
      <c r="I432" s="875">
        <v>0</v>
      </c>
      <c r="J432" s="875">
        <v>0</v>
      </c>
      <c r="K432" s="875">
        <v>0</v>
      </c>
      <c r="L432" s="875">
        <v>0</v>
      </c>
      <c r="M432" s="875">
        <v>0</v>
      </c>
      <c r="N432" s="875">
        <v>0</v>
      </c>
      <c r="O432" s="875">
        <v>0</v>
      </c>
      <c r="P432" s="875">
        <v>0</v>
      </c>
      <c r="Q432" s="875">
        <v>0</v>
      </c>
      <c r="R432" s="875">
        <v>0</v>
      </c>
      <c r="S432" s="875">
        <v>0</v>
      </c>
      <c r="T432" s="875">
        <v>0</v>
      </c>
      <c r="U432" s="875">
        <v>0</v>
      </c>
      <c r="V432" s="875">
        <v>0</v>
      </c>
      <c r="W432" s="875">
        <v>0</v>
      </c>
      <c r="X432" s="875">
        <v>0</v>
      </c>
      <c r="Y432" s="875">
        <v>0</v>
      </c>
      <c r="Z432" s="875">
        <v>0</v>
      </c>
      <c r="AA432" s="875">
        <v>0</v>
      </c>
    </row>
    <row r="433" spans="1:27" s="426" customFormat="1">
      <c r="A433" s="829" t="s">
        <v>13</v>
      </c>
      <c r="B433" s="746"/>
      <c r="C433" s="702">
        <v>0</v>
      </c>
      <c r="D433" s="702">
        <v>0</v>
      </c>
      <c r="E433" s="702">
        <v>0</v>
      </c>
      <c r="F433" s="702">
        <v>0</v>
      </c>
      <c r="G433" s="702">
        <v>0</v>
      </c>
      <c r="H433" s="702">
        <v>0</v>
      </c>
      <c r="I433" s="702">
        <v>0</v>
      </c>
      <c r="J433" s="702">
        <v>0</v>
      </c>
      <c r="K433" s="702">
        <v>0</v>
      </c>
      <c r="L433" s="702">
        <v>0</v>
      </c>
      <c r="M433" s="702">
        <v>0</v>
      </c>
      <c r="N433" s="702">
        <v>0</v>
      </c>
      <c r="O433" s="702">
        <v>0</v>
      </c>
      <c r="P433" s="702">
        <v>0</v>
      </c>
      <c r="Q433" s="702">
        <v>0</v>
      </c>
      <c r="R433" s="702">
        <v>0</v>
      </c>
      <c r="S433" s="702">
        <v>0</v>
      </c>
      <c r="T433" s="702">
        <v>0</v>
      </c>
      <c r="U433" s="702">
        <v>0</v>
      </c>
      <c r="V433" s="702">
        <v>0</v>
      </c>
      <c r="W433" s="702">
        <v>0</v>
      </c>
      <c r="X433" s="702">
        <v>0</v>
      </c>
      <c r="Y433" s="702">
        <v>0</v>
      </c>
      <c r="Z433" s="702">
        <v>0</v>
      </c>
      <c r="AA433" s="702">
        <v>0</v>
      </c>
    </row>
    <row r="434" spans="1:27" s="426" customFormat="1">
      <c r="A434" s="818" t="s">
        <v>145</v>
      </c>
      <c r="B434" s="746" t="s">
        <v>312</v>
      </c>
      <c r="C434" s="875">
        <v>0</v>
      </c>
      <c r="D434" s="875">
        <v>0</v>
      </c>
      <c r="E434" s="875">
        <v>0</v>
      </c>
      <c r="F434" s="875">
        <v>0</v>
      </c>
      <c r="G434" s="875">
        <v>0</v>
      </c>
      <c r="H434" s="875">
        <v>0</v>
      </c>
      <c r="I434" s="875">
        <v>0</v>
      </c>
      <c r="J434" s="875">
        <v>0</v>
      </c>
      <c r="K434" s="875">
        <v>0</v>
      </c>
      <c r="L434" s="875">
        <v>0</v>
      </c>
      <c r="M434" s="875">
        <v>0</v>
      </c>
      <c r="N434" s="875">
        <v>0</v>
      </c>
      <c r="O434" s="875">
        <v>0</v>
      </c>
      <c r="P434" s="875">
        <v>0</v>
      </c>
      <c r="Q434" s="875">
        <v>0</v>
      </c>
      <c r="R434" s="875">
        <v>0</v>
      </c>
      <c r="S434" s="875">
        <v>0</v>
      </c>
      <c r="T434" s="875">
        <v>0</v>
      </c>
      <c r="U434" s="875">
        <v>0</v>
      </c>
      <c r="V434" s="875">
        <v>0</v>
      </c>
      <c r="W434" s="875">
        <v>0</v>
      </c>
      <c r="X434" s="875">
        <v>0</v>
      </c>
      <c r="Y434" s="875">
        <v>0</v>
      </c>
      <c r="Z434" s="875">
        <v>0</v>
      </c>
      <c r="AA434" s="875">
        <v>0</v>
      </c>
    </row>
    <row r="435" spans="1:27" s="426" customFormat="1">
      <c r="A435" s="829" t="s">
        <v>13</v>
      </c>
      <c r="B435" s="746"/>
      <c r="C435" s="702">
        <v>0</v>
      </c>
      <c r="D435" s="702">
        <v>0</v>
      </c>
      <c r="E435" s="702">
        <v>0</v>
      </c>
      <c r="F435" s="702">
        <v>0</v>
      </c>
      <c r="G435" s="702">
        <v>0</v>
      </c>
      <c r="H435" s="702">
        <v>0</v>
      </c>
      <c r="I435" s="702">
        <v>0</v>
      </c>
      <c r="J435" s="702">
        <v>0</v>
      </c>
      <c r="K435" s="702">
        <v>0</v>
      </c>
      <c r="L435" s="702">
        <v>0</v>
      </c>
      <c r="M435" s="702">
        <v>0</v>
      </c>
      <c r="N435" s="702">
        <v>0</v>
      </c>
      <c r="O435" s="702">
        <v>0</v>
      </c>
      <c r="P435" s="702">
        <v>0</v>
      </c>
      <c r="Q435" s="702">
        <v>0</v>
      </c>
      <c r="R435" s="702">
        <v>0</v>
      </c>
      <c r="S435" s="702">
        <v>0</v>
      </c>
      <c r="T435" s="702">
        <v>0</v>
      </c>
      <c r="U435" s="702">
        <v>0</v>
      </c>
      <c r="V435" s="702">
        <v>0</v>
      </c>
      <c r="W435" s="702">
        <v>0</v>
      </c>
      <c r="X435" s="702">
        <v>0</v>
      </c>
      <c r="Y435" s="702">
        <v>0</v>
      </c>
      <c r="Z435" s="702">
        <v>0</v>
      </c>
      <c r="AA435" s="702">
        <v>0</v>
      </c>
    </row>
    <row r="436" spans="1:27" s="426" customFormat="1">
      <c r="A436" s="820" t="s">
        <v>346</v>
      </c>
      <c r="B436" s="746" t="s">
        <v>528</v>
      </c>
      <c r="C436" s="875">
        <v>0</v>
      </c>
      <c r="D436" s="875">
        <v>0</v>
      </c>
      <c r="E436" s="875">
        <v>0</v>
      </c>
      <c r="F436" s="875">
        <v>0</v>
      </c>
      <c r="G436" s="875">
        <v>0</v>
      </c>
      <c r="H436" s="875">
        <v>0</v>
      </c>
      <c r="I436" s="875">
        <v>0</v>
      </c>
      <c r="J436" s="875">
        <v>0</v>
      </c>
      <c r="K436" s="875">
        <v>0</v>
      </c>
      <c r="L436" s="875">
        <v>0</v>
      </c>
      <c r="M436" s="875">
        <v>0</v>
      </c>
      <c r="N436" s="875">
        <v>0</v>
      </c>
      <c r="O436" s="875">
        <v>0</v>
      </c>
      <c r="P436" s="875">
        <v>0</v>
      </c>
      <c r="Q436" s="875">
        <v>0</v>
      </c>
      <c r="R436" s="875">
        <v>0</v>
      </c>
      <c r="S436" s="875">
        <v>0</v>
      </c>
      <c r="T436" s="875">
        <v>0</v>
      </c>
      <c r="U436" s="875">
        <v>0</v>
      </c>
      <c r="V436" s="875">
        <v>0</v>
      </c>
      <c r="W436" s="875">
        <v>0</v>
      </c>
      <c r="X436" s="875">
        <v>0</v>
      </c>
      <c r="Y436" s="875">
        <v>0</v>
      </c>
      <c r="Z436" s="875">
        <v>0</v>
      </c>
      <c r="AA436" s="875">
        <v>0</v>
      </c>
    </row>
    <row r="437" spans="1:27" s="426" customFormat="1">
      <c r="A437" s="829" t="s">
        <v>13</v>
      </c>
      <c r="B437" s="746"/>
      <c r="C437" s="702">
        <v>0</v>
      </c>
      <c r="D437" s="702">
        <v>0</v>
      </c>
      <c r="E437" s="702">
        <v>0</v>
      </c>
      <c r="F437" s="702">
        <v>0</v>
      </c>
      <c r="G437" s="702">
        <v>0</v>
      </c>
      <c r="H437" s="702">
        <v>0</v>
      </c>
      <c r="I437" s="702">
        <v>0</v>
      </c>
      <c r="J437" s="702">
        <v>0</v>
      </c>
      <c r="K437" s="702">
        <v>0</v>
      </c>
      <c r="L437" s="702">
        <v>0</v>
      </c>
      <c r="M437" s="702">
        <v>0</v>
      </c>
      <c r="N437" s="702">
        <v>0</v>
      </c>
      <c r="O437" s="702">
        <v>0</v>
      </c>
      <c r="P437" s="702">
        <v>0</v>
      </c>
      <c r="Q437" s="702">
        <v>0</v>
      </c>
      <c r="R437" s="702">
        <v>0</v>
      </c>
      <c r="S437" s="702">
        <v>0</v>
      </c>
      <c r="T437" s="702">
        <v>0</v>
      </c>
      <c r="U437" s="702">
        <v>0</v>
      </c>
      <c r="V437" s="702">
        <v>0</v>
      </c>
      <c r="W437" s="702">
        <v>0</v>
      </c>
      <c r="X437" s="702">
        <v>0</v>
      </c>
      <c r="Y437" s="702">
        <v>0</v>
      </c>
      <c r="Z437" s="702">
        <v>0</v>
      </c>
      <c r="AA437" s="702">
        <v>0</v>
      </c>
    </row>
    <row r="438" spans="1:27" s="426" customFormat="1">
      <c r="A438" s="818" t="s">
        <v>146</v>
      </c>
      <c r="B438" s="746" t="s">
        <v>313</v>
      </c>
      <c r="C438" s="875">
        <v>0</v>
      </c>
      <c r="D438" s="875">
        <v>0</v>
      </c>
      <c r="E438" s="875">
        <v>0</v>
      </c>
      <c r="F438" s="875">
        <v>0</v>
      </c>
      <c r="G438" s="875">
        <v>0</v>
      </c>
      <c r="H438" s="875">
        <v>0</v>
      </c>
      <c r="I438" s="875">
        <v>0</v>
      </c>
      <c r="J438" s="875">
        <v>0</v>
      </c>
      <c r="K438" s="875">
        <v>0</v>
      </c>
      <c r="L438" s="875">
        <v>0</v>
      </c>
      <c r="M438" s="875">
        <v>0</v>
      </c>
      <c r="N438" s="875">
        <v>0</v>
      </c>
      <c r="O438" s="875">
        <v>0</v>
      </c>
      <c r="P438" s="875">
        <v>0</v>
      </c>
      <c r="Q438" s="875">
        <v>0</v>
      </c>
      <c r="R438" s="875">
        <v>0</v>
      </c>
      <c r="S438" s="875">
        <v>0</v>
      </c>
      <c r="T438" s="875">
        <v>0</v>
      </c>
      <c r="U438" s="875">
        <v>0</v>
      </c>
      <c r="V438" s="875">
        <v>0</v>
      </c>
      <c r="W438" s="875">
        <v>0</v>
      </c>
      <c r="X438" s="875">
        <v>0</v>
      </c>
      <c r="Y438" s="875">
        <v>0</v>
      </c>
      <c r="Z438" s="875">
        <v>0</v>
      </c>
      <c r="AA438" s="875">
        <v>0</v>
      </c>
    </row>
    <row r="439" spans="1:27" s="426" customFormat="1">
      <c r="A439" s="830" t="s">
        <v>13</v>
      </c>
      <c r="B439" s="746"/>
      <c r="C439" s="720">
        <v>0</v>
      </c>
      <c r="D439" s="720">
        <v>0</v>
      </c>
      <c r="E439" s="720">
        <v>0</v>
      </c>
      <c r="F439" s="720">
        <v>0</v>
      </c>
      <c r="G439" s="720">
        <v>0</v>
      </c>
      <c r="H439" s="720">
        <v>0</v>
      </c>
      <c r="I439" s="720">
        <v>0</v>
      </c>
      <c r="J439" s="720">
        <v>0</v>
      </c>
      <c r="K439" s="720">
        <v>0</v>
      </c>
      <c r="L439" s="720">
        <v>0</v>
      </c>
      <c r="M439" s="720">
        <v>0</v>
      </c>
      <c r="N439" s="720">
        <v>0</v>
      </c>
      <c r="O439" s="720">
        <v>0</v>
      </c>
      <c r="P439" s="720">
        <v>0</v>
      </c>
      <c r="Q439" s="720">
        <v>0</v>
      </c>
      <c r="R439" s="720">
        <v>0</v>
      </c>
      <c r="S439" s="720">
        <v>0</v>
      </c>
      <c r="T439" s="720">
        <v>0</v>
      </c>
      <c r="U439" s="720">
        <v>0</v>
      </c>
      <c r="V439" s="720">
        <v>0</v>
      </c>
      <c r="W439" s="720">
        <v>0</v>
      </c>
      <c r="X439" s="720">
        <v>0</v>
      </c>
      <c r="Y439" s="720">
        <v>0</v>
      </c>
      <c r="Z439" s="720">
        <v>0</v>
      </c>
      <c r="AA439" s="720">
        <v>0</v>
      </c>
    </row>
    <row r="440" spans="1:27">
      <c r="A440" s="28" t="s">
        <v>147</v>
      </c>
      <c r="B440" s="746" t="s">
        <v>314</v>
      </c>
      <c r="C440" s="875">
        <v>0</v>
      </c>
      <c r="D440" s="875">
        <v>0</v>
      </c>
      <c r="E440" s="875">
        <v>0</v>
      </c>
      <c r="F440" s="875">
        <v>0</v>
      </c>
      <c r="G440" s="875">
        <v>0</v>
      </c>
      <c r="H440" s="875">
        <v>0</v>
      </c>
      <c r="I440" s="875">
        <v>0</v>
      </c>
      <c r="J440" s="875">
        <v>0</v>
      </c>
      <c r="K440" s="875">
        <v>0</v>
      </c>
      <c r="L440" s="875">
        <v>0</v>
      </c>
      <c r="M440" s="875">
        <v>0</v>
      </c>
      <c r="N440" s="875">
        <v>0</v>
      </c>
      <c r="O440" s="875">
        <v>0</v>
      </c>
      <c r="P440" s="875">
        <v>0</v>
      </c>
      <c r="Q440" s="875">
        <v>0</v>
      </c>
      <c r="R440" s="875">
        <v>0</v>
      </c>
      <c r="S440" s="875">
        <v>0</v>
      </c>
      <c r="T440" s="875">
        <v>0</v>
      </c>
      <c r="U440" s="875">
        <v>0</v>
      </c>
      <c r="V440" s="875">
        <v>0</v>
      </c>
      <c r="W440" s="875">
        <v>0</v>
      </c>
      <c r="X440" s="875">
        <v>0</v>
      </c>
      <c r="Y440" s="875">
        <v>0</v>
      </c>
      <c r="Z440" s="875">
        <v>0</v>
      </c>
      <c r="AA440" s="875">
        <v>0</v>
      </c>
    </row>
    <row r="441" spans="1:27" s="426" customFormat="1">
      <c r="A441" s="830" t="s">
        <v>13</v>
      </c>
      <c r="B441" s="746"/>
      <c r="C441" s="702">
        <v>0</v>
      </c>
      <c r="D441" s="702">
        <v>0</v>
      </c>
      <c r="E441" s="702">
        <v>0</v>
      </c>
      <c r="F441" s="702">
        <v>0</v>
      </c>
      <c r="G441" s="702">
        <v>0</v>
      </c>
      <c r="H441" s="702">
        <v>0</v>
      </c>
      <c r="I441" s="702">
        <v>0</v>
      </c>
      <c r="J441" s="702">
        <v>0</v>
      </c>
      <c r="K441" s="702">
        <v>0</v>
      </c>
      <c r="L441" s="702">
        <v>0</v>
      </c>
      <c r="M441" s="702">
        <v>0</v>
      </c>
      <c r="N441" s="702">
        <v>0</v>
      </c>
      <c r="O441" s="702">
        <v>0</v>
      </c>
      <c r="P441" s="702">
        <v>0</v>
      </c>
      <c r="Q441" s="702">
        <v>0</v>
      </c>
      <c r="R441" s="702">
        <v>0</v>
      </c>
      <c r="S441" s="702">
        <v>0</v>
      </c>
      <c r="T441" s="702">
        <v>0</v>
      </c>
      <c r="U441" s="702">
        <v>0</v>
      </c>
      <c r="V441" s="702">
        <v>0</v>
      </c>
      <c r="W441" s="702">
        <v>0</v>
      </c>
      <c r="X441" s="702">
        <v>0</v>
      </c>
      <c r="Y441" s="702">
        <v>0</v>
      </c>
      <c r="Z441" s="702">
        <v>0</v>
      </c>
      <c r="AA441" s="702">
        <v>0</v>
      </c>
    </row>
    <row r="442" spans="1:27" s="426" customFormat="1">
      <c r="A442" s="825" t="s">
        <v>230</v>
      </c>
      <c r="B442" s="746" t="s">
        <v>315</v>
      </c>
      <c r="C442" s="875">
        <v>0</v>
      </c>
      <c r="D442" s="875">
        <v>0</v>
      </c>
      <c r="E442" s="875">
        <v>0</v>
      </c>
      <c r="F442" s="875">
        <v>0</v>
      </c>
      <c r="G442" s="875">
        <v>0</v>
      </c>
      <c r="H442" s="875">
        <v>0</v>
      </c>
      <c r="I442" s="875">
        <v>0</v>
      </c>
      <c r="J442" s="875">
        <v>0</v>
      </c>
      <c r="K442" s="875">
        <v>0</v>
      </c>
      <c r="L442" s="875">
        <v>0</v>
      </c>
      <c r="M442" s="875">
        <v>0</v>
      </c>
      <c r="N442" s="875">
        <v>0</v>
      </c>
      <c r="O442" s="875">
        <v>0</v>
      </c>
      <c r="P442" s="875">
        <v>0</v>
      </c>
      <c r="Q442" s="875">
        <v>0</v>
      </c>
      <c r="R442" s="875">
        <v>0</v>
      </c>
      <c r="S442" s="875">
        <v>0</v>
      </c>
      <c r="T442" s="875">
        <v>0</v>
      </c>
      <c r="U442" s="875">
        <v>0</v>
      </c>
      <c r="V442" s="875">
        <v>0</v>
      </c>
      <c r="W442" s="875">
        <v>0</v>
      </c>
      <c r="X442" s="875">
        <v>0</v>
      </c>
      <c r="Y442" s="875">
        <v>0</v>
      </c>
      <c r="Z442" s="875">
        <v>0</v>
      </c>
      <c r="AA442" s="875">
        <v>0</v>
      </c>
    </row>
    <row r="443" spans="1:27" s="426" customFormat="1">
      <c r="A443" s="830" t="s">
        <v>13</v>
      </c>
      <c r="B443" s="746"/>
      <c r="C443" s="702">
        <v>0</v>
      </c>
      <c r="D443" s="702">
        <v>0</v>
      </c>
      <c r="E443" s="702">
        <v>0</v>
      </c>
      <c r="F443" s="702">
        <v>0</v>
      </c>
      <c r="G443" s="702">
        <v>0</v>
      </c>
      <c r="H443" s="702">
        <v>0</v>
      </c>
      <c r="I443" s="702">
        <v>0</v>
      </c>
      <c r="J443" s="702">
        <v>0</v>
      </c>
      <c r="K443" s="702">
        <v>0</v>
      </c>
      <c r="L443" s="702">
        <v>0</v>
      </c>
      <c r="M443" s="702">
        <v>0</v>
      </c>
      <c r="N443" s="702">
        <v>0</v>
      </c>
      <c r="O443" s="702">
        <v>0</v>
      </c>
      <c r="P443" s="702">
        <v>0</v>
      </c>
      <c r="Q443" s="702">
        <v>0</v>
      </c>
      <c r="R443" s="702">
        <v>0</v>
      </c>
      <c r="S443" s="702">
        <v>0</v>
      </c>
      <c r="T443" s="702">
        <v>0</v>
      </c>
      <c r="U443" s="702">
        <v>0</v>
      </c>
      <c r="V443" s="702">
        <v>0</v>
      </c>
      <c r="W443" s="702">
        <v>0</v>
      </c>
      <c r="X443" s="702">
        <v>0</v>
      </c>
      <c r="Y443" s="702">
        <v>0</v>
      </c>
      <c r="Z443" s="702">
        <v>0</v>
      </c>
      <c r="AA443" s="702">
        <v>0</v>
      </c>
    </row>
    <row r="444" spans="1:27" s="426" customFormat="1">
      <c r="A444" s="825" t="s">
        <v>231</v>
      </c>
      <c r="B444" s="746" t="s">
        <v>316</v>
      </c>
      <c r="C444" s="875">
        <v>0</v>
      </c>
      <c r="D444" s="875">
        <v>0</v>
      </c>
      <c r="E444" s="875">
        <v>0</v>
      </c>
      <c r="F444" s="875">
        <v>0</v>
      </c>
      <c r="G444" s="875">
        <v>0</v>
      </c>
      <c r="H444" s="875">
        <v>0</v>
      </c>
      <c r="I444" s="875">
        <v>0</v>
      </c>
      <c r="J444" s="875">
        <v>0</v>
      </c>
      <c r="K444" s="875">
        <v>0</v>
      </c>
      <c r="L444" s="875">
        <v>0</v>
      </c>
      <c r="M444" s="875">
        <v>0</v>
      </c>
      <c r="N444" s="875">
        <v>0</v>
      </c>
      <c r="O444" s="875">
        <v>0</v>
      </c>
      <c r="P444" s="875">
        <v>0</v>
      </c>
      <c r="Q444" s="875">
        <v>0</v>
      </c>
      <c r="R444" s="875">
        <v>0</v>
      </c>
      <c r="S444" s="875">
        <v>0</v>
      </c>
      <c r="T444" s="875">
        <v>0</v>
      </c>
      <c r="U444" s="875">
        <v>0</v>
      </c>
      <c r="V444" s="875">
        <v>0</v>
      </c>
      <c r="W444" s="875">
        <v>0</v>
      </c>
      <c r="X444" s="875">
        <v>0</v>
      </c>
      <c r="Y444" s="875">
        <v>0</v>
      </c>
      <c r="Z444" s="875">
        <v>0</v>
      </c>
      <c r="AA444" s="875">
        <v>0</v>
      </c>
    </row>
    <row r="445" spans="1:27" s="426" customFormat="1">
      <c r="A445" s="830" t="s">
        <v>13</v>
      </c>
      <c r="B445" s="746"/>
      <c r="C445" s="702">
        <v>0</v>
      </c>
      <c r="D445" s="702">
        <v>0</v>
      </c>
      <c r="E445" s="702">
        <v>0</v>
      </c>
      <c r="F445" s="702">
        <v>0</v>
      </c>
      <c r="G445" s="702">
        <v>0</v>
      </c>
      <c r="H445" s="702">
        <v>0</v>
      </c>
      <c r="I445" s="702">
        <v>0</v>
      </c>
      <c r="J445" s="702">
        <v>0</v>
      </c>
      <c r="K445" s="702">
        <v>0</v>
      </c>
      <c r="L445" s="702">
        <v>0</v>
      </c>
      <c r="M445" s="702">
        <v>0</v>
      </c>
      <c r="N445" s="702">
        <v>0</v>
      </c>
      <c r="O445" s="702">
        <v>0</v>
      </c>
      <c r="P445" s="702">
        <v>0</v>
      </c>
      <c r="Q445" s="702">
        <v>0</v>
      </c>
      <c r="R445" s="702">
        <v>0</v>
      </c>
      <c r="S445" s="702">
        <v>0</v>
      </c>
      <c r="T445" s="702">
        <v>0</v>
      </c>
      <c r="U445" s="702">
        <v>0</v>
      </c>
      <c r="V445" s="702">
        <v>0</v>
      </c>
      <c r="W445" s="702">
        <v>0</v>
      </c>
      <c r="X445" s="702">
        <v>0</v>
      </c>
      <c r="Y445" s="702">
        <v>0</v>
      </c>
      <c r="Z445" s="702">
        <v>0</v>
      </c>
      <c r="AA445" s="702">
        <v>0</v>
      </c>
    </row>
    <row r="446" spans="1:27" s="426" customFormat="1">
      <c r="A446" s="825" t="s">
        <v>232</v>
      </c>
      <c r="B446" s="746" t="s">
        <v>317</v>
      </c>
      <c r="C446" s="875">
        <v>0</v>
      </c>
      <c r="D446" s="875">
        <v>0</v>
      </c>
      <c r="E446" s="875">
        <v>0</v>
      </c>
      <c r="F446" s="875">
        <v>0</v>
      </c>
      <c r="G446" s="875">
        <v>0</v>
      </c>
      <c r="H446" s="875">
        <v>0</v>
      </c>
      <c r="I446" s="875">
        <v>0</v>
      </c>
      <c r="J446" s="875">
        <v>0</v>
      </c>
      <c r="K446" s="875">
        <v>0</v>
      </c>
      <c r="L446" s="875">
        <v>0</v>
      </c>
      <c r="M446" s="875">
        <v>0</v>
      </c>
      <c r="N446" s="875">
        <v>0</v>
      </c>
      <c r="O446" s="875">
        <v>0</v>
      </c>
      <c r="P446" s="875">
        <v>0</v>
      </c>
      <c r="Q446" s="875">
        <v>0</v>
      </c>
      <c r="R446" s="875">
        <v>0</v>
      </c>
      <c r="S446" s="875">
        <v>0</v>
      </c>
      <c r="T446" s="875">
        <v>0</v>
      </c>
      <c r="U446" s="875">
        <v>0</v>
      </c>
      <c r="V446" s="875">
        <v>0</v>
      </c>
      <c r="W446" s="875">
        <v>0</v>
      </c>
      <c r="X446" s="875">
        <v>0</v>
      </c>
      <c r="Y446" s="875">
        <v>0</v>
      </c>
      <c r="Z446" s="875">
        <v>0</v>
      </c>
      <c r="AA446" s="875">
        <v>0</v>
      </c>
    </row>
    <row r="447" spans="1:27" s="426" customFormat="1">
      <c r="A447" s="830" t="s">
        <v>13</v>
      </c>
      <c r="B447" s="746"/>
      <c r="C447" s="702">
        <v>0</v>
      </c>
      <c r="D447" s="702">
        <v>0</v>
      </c>
      <c r="E447" s="702">
        <v>0</v>
      </c>
      <c r="F447" s="702">
        <v>0</v>
      </c>
      <c r="G447" s="702">
        <v>0</v>
      </c>
      <c r="H447" s="702">
        <v>0</v>
      </c>
      <c r="I447" s="702">
        <v>0</v>
      </c>
      <c r="J447" s="702">
        <v>0</v>
      </c>
      <c r="K447" s="702">
        <v>0</v>
      </c>
      <c r="L447" s="702">
        <v>0</v>
      </c>
      <c r="M447" s="702">
        <v>0</v>
      </c>
      <c r="N447" s="702">
        <v>0</v>
      </c>
      <c r="O447" s="702">
        <v>0</v>
      </c>
      <c r="P447" s="702">
        <v>0</v>
      </c>
      <c r="Q447" s="702">
        <v>0</v>
      </c>
      <c r="R447" s="702">
        <v>0</v>
      </c>
      <c r="S447" s="702">
        <v>0</v>
      </c>
      <c r="T447" s="702">
        <v>0</v>
      </c>
      <c r="U447" s="702">
        <v>0</v>
      </c>
      <c r="V447" s="702">
        <v>0</v>
      </c>
      <c r="W447" s="702">
        <v>0</v>
      </c>
      <c r="X447" s="702">
        <v>0</v>
      </c>
      <c r="Y447" s="702">
        <v>0</v>
      </c>
      <c r="Z447" s="702">
        <v>0</v>
      </c>
      <c r="AA447" s="702">
        <v>0</v>
      </c>
    </row>
    <row r="448" spans="1:27" s="426" customFormat="1">
      <c r="A448" s="825" t="s">
        <v>233</v>
      </c>
      <c r="B448" s="746" t="s">
        <v>318</v>
      </c>
      <c r="C448" s="875">
        <v>0</v>
      </c>
      <c r="D448" s="875">
        <v>0</v>
      </c>
      <c r="E448" s="875">
        <v>0</v>
      </c>
      <c r="F448" s="875">
        <v>0</v>
      </c>
      <c r="G448" s="875">
        <v>0</v>
      </c>
      <c r="H448" s="875">
        <v>0</v>
      </c>
      <c r="I448" s="875">
        <v>0</v>
      </c>
      <c r="J448" s="875">
        <v>0</v>
      </c>
      <c r="K448" s="875">
        <v>0</v>
      </c>
      <c r="L448" s="875">
        <v>0</v>
      </c>
      <c r="M448" s="875">
        <v>0</v>
      </c>
      <c r="N448" s="875">
        <v>0</v>
      </c>
      <c r="O448" s="875">
        <v>0</v>
      </c>
      <c r="P448" s="875">
        <v>0</v>
      </c>
      <c r="Q448" s="875">
        <v>0</v>
      </c>
      <c r="R448" s="875">
        <v>0</v>
      </c>
      <c r="S448" s="875">
        <v>0</v>
      </c>
      <c r="T448" s="875">
        <v>0</v>
      </c>
      <c r="U448" s="875">
        <v>0</v>
      </c>
      <c r="V448" s="875">
        <v>0</v>
      </c>
      <c r="W448" s="875">
        <v>0</v>
      </c>
      <c r="X448" s="875">
        <v>0</v>
      </c>
      <c r="Y448" s="875">
        <v>0</v>
      </c>
      <c r="Z448" s="875">
        <v>0</v>
      </c>
      <c r="AA448" s="875">
        <v>0</v>
      </c>
    </row>
    <row r="449" spans="1:27" s="426" customFormat="1">
      <c r="A449" s="830" t="s">
        <v>13</v>
      </c>
      <c r="B449" s="746"/>
      <c r="C449" s="702">
        <v>0</v>
      </c>
      <c r="D449" s="702">
        <v>0</v>
      </c>
      <c r="E449" s="702">
        <v>0</v>
      </c>
      <c r="F449" s="702">
        <v>0</v>
      </c>
      <c r="G449" s="702">
        <v>0</v>
      </c>
      <c r="H449" s="702">
        <v>0</v>
      </c>
      <c r="I449" s="702">
        <v>0</v>
      </c>
      <c r="J449" s="702">
        <v>0</v>
      </c>
      <c r="K449" s="702">
        <v>0</v>
      </c>
      <c r="L449" s="702">
        <v>0</v>
      </c>
      <c r="M449" s="702">
        <v>0</v>
      </c>
      <c r="N449" s="702">
        <v>0</v>
      </c>
      <c r="O449" s="702">
        <v>0</v>
      </c>
      <c r="P449" s="702">
        <v>0</v>
      </c>
      <c r="Q449" s="702">
        <v>0</v>
      </c>
      <c r="R449" s="702">
        <v>0</v>
      </c>
      <c r="S449" s="702">
        <v>0</v>
      </c>
      <c r="T449" s="702">
        <v>0</v>
      </c>
      <c r="U449" s="702">
        <v>0</v>
      </c>
      <c r="V449" s="702">
        <v>0</v>
      </c>
      <c r="W449" s="702">
        <v>0</v>
      </c>
      <c r="X449" s="702">
        <v>0</v>
      </c>
      <c r="Y449" s="702">
        <v>0</v>
      </c>
      <c r="Z449" s="702">
        <v>0</v>
      </c>
      <c r="AA449" s="702">
        <v>0</v>
      </c>
    </row>
    <row r="450" spans="1:27" s="426" customFormat="1">
      <c r="A450" s="825" t="s">
        <v>234</v>
      </c>
      <c r="B450" s="746" t="s">
        <v>319</v>
      </c>
      <c r="C450" s="875">
        <v>0</v>
      </c>
      <c r="D450" s="875">
        <v>0</v>
      </c>
      <c r="E450" s="875">
        <v>0</v>
      </c>
      <c r="F450" s="875">
        <v>0</v>
      </c>
      <c r="G450" s="875">
        <v>0</v>
      </c>
      <c r="H450" s="875">
        <v>0</v>
      </c>
      <c r="I450" s="875">
        <v>0</v>
      </c>
      <c r="J450" s="875">
        <v>0</v>
      </c>
      <c r="K450" s="875">
        <v>0</v>
      </c>
      <c r="L450" s="875">
        <v>0</v>
      </c>
      <c r="M450" s="875">
        <v>0</v>
      </c>
      <c r="N450" s="875">
        <v>0</v>
      </c>
      <c r="O450" s="875">
        <v>0</v>
      </c>
      <c r="P450" s="875">
        <v>0</v>
      </c>
      <c r="Q450" s="875">
        <v>0</v>
      </c>
      <c r="R450" s="875">
        <v>0</v>
      </c>
      <c r="S450" s="875">
        <v>0</v>
      </c>
      <c r="T450" s="875">
        <v>0</v>
      </c>
      <c r="U450" s="875">
        <v>0</v>
      </c>
      <c r="V450" s="875">
        <v>0</v>
      </c>
      <c r="W450" s="875">
        <v>0</v>
      </c>
      <c r="X450" s="875">
        <v>0</v>
      </c>
      <c r="Y450" s="875">
        <v>0</v>
      </c>
      <c r="Z450" s="875">
        <v>0</v>
      </c>
      <c r="AA450" s="875">
        <v>0</v>
      </c>
    </row>
    <row r="451" spans="1:27" s="426" customFormat="1">
      <c r="A451" s="830" t="s">
        <v>13</v>
      </c>
      <c r="B451" s="746"/>
      <c r="C451" s="702">
        <v>0</v>
      </c>
      <c r="D451" s="702">
        <v>0</v>
      </c>
      <c r="E451" s="702">
        <v>0</v>
      </c>
      <c r="F451" s="702">
        <v>0</v>
      </c>
      <c r="G451" s="702">
        <v>0</v>
      </c>
      <c r="H451" s="702">
        <v>0</v>
      </c>
      <c r="I451" s="702">
        <v>0</v>
      </c>
      <c r="J451" s="702">
        <v>0</v>
      </c>
      <c r="K451" s="702">
        <v>0</v>
      </c>
      <c r="L451" s="702">
        <v>0</v>
      </c>
      <c r="M451" s="702">
        <v>0</v>
      </c>
      <c r="N451" s="702">
        <v>0</v>
      </c>
      <c r="O451" s="702">
        <v>0</v>
      </c>
      <c r="P451" s="702">
        <v>0</v>
      </c>
      <c r="Q451" s="702">
        <v>0</v>
      </c>
      <c r="R451" s="702">
        <v>0</v>
      </c>
      <c r="S451" s="702">
        <v>0</v>
      </c>
      <c r="T451" s="702">
        <v>0</v>
      </c>
      <c r="U451" s="702">
        <v>0</v>
      </c>
      <c r="V451" s="702">
        <v>0</v>
      </c>
      <c r="W451" s="702">
        <v>0</v>
      </c>
      <c r="X451" s="702">
        <v>0</v>
      </c>
      <c r="Y451" s="702">
        <v>0</v>
      </c>
      <c r="Z451" s="702">
        <v>0</v>
      </c>
      <c r="AA451" s="702">
        <v>0</v>
      </c>
    </row>
    <row r="452" spans="1:27" s="426" customFormat="1">
      <c r="A452" s="825" t="s">
        <v>235</v>
      </c>
      <c r="B452" s="746" t="s">
        <v>320</v>
      </c>
      <c r="C452" s="875">
        <v>0</v>
      </c>
      <c r="D452" s="875">
        <v>0</v>
      </c>
      <c r="E452" s="875">
        <v>0</v>
      </c>
      <c r="F452" s="875">
        <v>0</v>
      </c>
      <c r="G452" s="875">
        <v>0</v>
      </c>
      <c r="H452" s="875">
        <v>0</v>
      </c>
      <c r="I452" s="875">
        <v>0</v>
      </c>
      <c r="J452" s="875">
        <v>0</v>
      </c>
      <c r="K452" s="875">
        <v>0</v>
      </c>
      <c r="L452" s="875">
        <v>0</v>
      </c>
      <c r="M452" s="875">
        <v>0</v>
      </c>
      <c r="N452" s="875">
        <v>0</v>
      </c>
      <c r="O452" s="875">
        <v>0</v>
      </c>
      <c r="P452" s="875">
        <v>0</v>
      </c>
      <c r="Q452" s="875">
        <v>0</v>
      </c>
      <c r="R452" s="875">
        <v>0</v>
      </c>
      <c r="S452" s="875">
        <v>0</v>
      </c>
      <c r="T452" s="875">
        <v>0</v>
      </c>
      <c r="U452" s="875">
        <v>0</v>
      </c>
      <c r="V452" s="875">
        <v>0</v>
      </c>
      <c r="W452" s="875">
        <v>0</v>
      </c>
      <c r="X452" s="875">
        <v>0</v>
      </c>
      <c r="Y452" s="875">
        <v>0</v>
      </c>
      <c r="Z452" s="875">
        <v>0</v>
      </c>
      <c r="AA452" s="875">
        <v>0</v>
      </c>
    </row>
    <row r="453" spans="1:27" s="426" customFormat="1">
      <c r="A453" s="830" t="s">
        <v>13</v>
      </c>
      <c r="B453" s="746"/>
      <c r="C453" s="702">
        <v>0</v>
      </c>
      <c r="D453" s="702">
        <v>0</v>
      </c>
      <c r="E453" s="702">
        <v>0</v>
      </c>
      <c r="F453" s="702">
        <v>0</v>
      </c>
      <c r="G453" s="702">
        <v>0</v>
      </c>
      <c r="H453" s="702">
        <v>0</v>
      </c>
      <c r="I453" s="702">
        <v>0</v>
      </c>
      <c r="J453" s="702">
        <v>0</v>
      </c>
      <c r="K453" s="702">
        <v>0</v>
      </c>
      <c r="L453" s="702">
        <v>0</v>
      </c>
      <c r="M453" s="702">
        <v>0</v>
      </c>
      <c r="N453" s="702">
        <v>0</v>
      </c>
      <c r="O453" s="702">
        <v>0</v>
      </c>
      <c r="P453" s="702">
        <v>0</v>
      </c>
      <c r="Q453" s="702">
        <v>0</v>
      </c>
      <c r="R453" s="702">
        <v>0</v>
      </c>
      <c r="S453" s="702">
        <v>0</v>
      </c>
      <c r="T453" s="702">
        <v>0</v>
      </c>
      <c r="U453" s="702">
        <v>0</v>
      </c>
      <c r="V453" s="702">
        <v>0</v>
      </c>
      <c r="W453" s="702">
        <v>0</v>
      </c>
      <c r="X453" s="702">
        <v>0</v>
      </c>
      <c r="Y453" s="702">
        <v>0</v>
      </c>
      <c r="Z453" s="702">
        <v>0</v>
      </c>
      <c r="AA453" s="702">
        <v>0</v>
      </c>
    </row>
    <row r="454" spans="1:27" s="426" customFormat="1">
      <c r="A454" s="825" t="s">
        <v>236</v>
      </c>
      <c r="B454" s="746" t="s">
        <v>321</v>
      </c>
      <c r="C454" s="875">
        <v>0</v>
      </c>
      <c r="D454" s="875">
        <v>0</v>
      </c>
      <c r="E454" s="875">
        <v>0</v>
      </c>
      <c r="F454" s="875">
        <v>0</v>
      </c>
      <c r="G454" s="875">
        <v>0</v>
      </c>
      <c r="H454" s="875">
        <v>0</v>
      </c>
      <c r="I454" s="875">
        <v>0</v>
      </c>
      <c r="J454" s="875">
        <v>0</v>
      </c>
      <c r="K454" s="875">
        <v>0</v>
      </c>
      <c r="L454" s="875">
        <v>0</v>
      </c>
      <c r="M454" s="875">
        <v>0</v>
      </c>
      <c r="N454" s="875">
        <v>0</v>
      </c>
      <c r="O454" s="875">
        <v>0</v>
      </c>
      <c r="P454" s="875">
        <v>0</v>
      </c>
      <c r="Q454" s="875">
        <v>0</v>
      </c>
      <c r="R454" s="875">
        <v>0</v>
      </c>
      <c r="S454" s="875">
        <v>0</v>
      </c>
      <c r="T454" s="875">
        <v>0</v>
      </c>
      <c r="U454" s="875">
        <v>0</v>
      </c>
      <c r="V454" s="875">
        <v>0</v>
      </c>
      <c r="W454" s="875">
        <v>0</v>
      </c>
      <c r="X454" s="875">
        <v>0</v>
      </c>
      <c r="Y454" s="875">
        <v>0</v>
      </c>
      <c r="Z454" s="875">
        <v>0</v>
      </c>
      <c r="AA454" s="875">
        <v>0</v>
      </c>
    </row>
    <row r="455" spans="1:27" s="426" customFormat="1">
      <c r="A455" s="830" t="s">
        <v>13</v>
      </c>
      <c r="B455" s="746"/>
      <c r="C455" s="702">
        <v>0</v>
      </c>
      <c r="D455" s="702">
        <v>0</v>
      </c>
      <c r="E455" s="702">
        <v>0</v>
      </c>
      <c r="F455" s="702">
        <v>0</v>
      </c>
      <c r="G455" s="702">
        <v>0</v>
      </c>
      <c r="H455" s="702">
        <v>0</v>
      </c>
      <c r="I455" s="702">
        <v>0</v>
      </c>
      <c r="J455" s="702">
        <v>0</v>
      </c>
      <c r="K455" s="702">
        <v>0</v>
      </c>
      <c r="L455" s="702">
        <v>0</v>
      </c>
      <c r="M455" s="702">
        <v>0</v>
      </c>
      <c r="N455" s="702">
        <v>0</v>
      </c>
      <c r="O455" s="702">
        <v>0</v>
      </c>
      <c r="P455" s="702">
        <v>0</v>
      </c>
      <c r="Q455" s="702">
        <v>0</v>
      </c>
      <c r="R455" s="702">
        <v>0</v>
      </c>
      <c r="S455" s="702">
        <v>0</v>
      </c>
      <c r="T455" s="702">
        <v>0</v>
      </c>
      <c r="U455" s="702">
        <v>0</v>
      </c>
      <c r="V455" s="702">
        <v>0</v>
      </c>
      <c r="W455" s="702">
        <v>0</v>
      </c>
      <c r="X455" s="702">
        <v>0</v>
      </c>
      <c r="Y455" s="702">
        <v>0</v>
      </c>
      <c r="Z455" s="702">
        <v>0</v>
      </c>
      <c r="AA455" s="702">
        <v>0</v>
      </c>
    </row>
    <row r="456" spans="1:27">
      <c r="A456" s="825" t="s">
        <v>151</v>
      </c>
      <c r="B456" s="746"/>
      <c r="C456" s="875">
        <v>0</v>
      </c>
      <c r="D456" s="875">
        <v>0</v>
      </c>
      <c r="E456" s="875">
        <v>0</v>
      </c>
      <c r="F456" s="875">
        <v>0</v>
      </c>
      <c r="G456" s="875">
        <v>0</v>
      </c>
      <c r="H456" s="875">
        <v>0</v>
      </c>
      <c r="I456" s="875">
        <v>0</v>
      </c>
      <c r="J456" s="875">
        <v>0</v>
      </c>
      <c r="K456" s="875">
        <v>0</v>
      </c>
      <c r="L456" s="875">
        <v>0</v>
      </c>
      <c r="M456" s="875">
        <v>0</v>
      </c>
      <c r="N456" s="875">
        <v>0</v>
      </c>
      <c r="O456" s="875">
        <v>0</v>
      </c>
      <c r="P456" s="875">
        <v>0</v>
      </c>
      <c r="Q456" s="875">
        <v>0</v>
      </c>
      <c r="R456" s="875">
        <v>0</v>
      </c>
      <c r="S456" s="875">
        <v>0</v>
      </c>
      <c r="T456" s="875">
        <v>0</v>
      </c>
      <c r="U456" s="875">
        <v>0</v>
      </c>
      <c r="V456" s="875">
        <v>0</v>
      </c>
      <c r="W456" s="875">
        <v>0</v>
      </c>
      <c r="X456" s="875">
        <v>0</v>
      </c>
      <c r="Y456" s="875">
        <v>0</v>
      </c>
      <c r="Z456" s="875">
        <v>0</v>
      </c>
      <c r="AA456" s="875">
        <v>0</v>
      </c>
    </row>
    <row r="457" spans="1:27" s="426" customFormat="1">
      <c r="A457" s="831" t="s">
        <v>13</v>
      </c>
      <c r="B457" s="792"/>
      <c r="C457" s="702">
        <v>0</v>
      </c>
      <c r="D457" s="702">
        <v>0</v>
      </c>
      <c r="E457" s="702">
        <v>0</v>
      </c>
      <c r="F457" s="702">
        <v>0</v>
      </c>
      <c r="G457" s="702">
        <v>0</v>
      </c>
      <c r="H457" s="702">
        <v>0</v>
      </c>
      <c r="I457" s="702">
        <v>0</v>
      </c>
      <c r="J457" s="702">
        <v>0</v>
      </c>
      <c r="K457" s="702">
        <v>0</v>
      </c>
      <c r="L457" s="702">
        <v>0</v>
      </c>
      <c r="M457" s="702">
        <v>0</v>
      </c>
      <c r="N457" s="702">
        <v>0</v>
      </c>
      <c r="O457" s="702">
        <v>0</v>
      </c>
      <c r="P457" s="702">
        <v>0</v>
      </c>
      <c r="Q457" s="702">
        <v>0</v>
      </c>
      <c r="R457" s="702">
        <v>0</v>
      </c>
      <c r="S457" s="702">
        <v>0</v>
      </c>
      <c r="T457" s="702">
        <v>0</v>
      </c>
      <c r="U457" s="702">
        <v>0</v>
      </c>
      <c r="V457" s="702">
        <v>0</v>
      </c>
      <c r="W457" s="702">
        <v>0</v>
      </c>
      <c r="X457" s="702">
        <v>0</v>
      </c>
      <c r="Y457" s="702">
        <v>0</v>
      </c>
      <c r="Z457" s="702">
        <v>0</v>
      </c>
      <c r="AA457" s="702">
        <v>0</v>
      </c>
    </row>
    <row r="458" spans="1:27">
      <c r="A458" s="1"/>
      <c r="B458" s="748"/>
      <c r="C458" s="890"/>
      <c r="D458" s="890"/>
      <c r="E458" s="890"/>
      <c r="F458" s="890"/>
      <c r="G458" s="890"/>
      <c r="H458" s="890"/>
      <c r="I458" s="890"/>
      <c r="J458" s="890"/>
      <c r="K458" s="890"/>
      <c r="L458" s="890"/>
      <c r="M458" s="890"/>
      <c r="N458" s="890"/>
      <c r="O458" s="890"/>
      <c r="P458" s="890"/>
      <c r="Q458" s="890"/>
      <c r="R458" s="890"/>
      <c r="S458" s="890"/>
      <c r="T458" s="890"/>
      <c r="U458" s="890"/>
      <c r="V458" s="890"/>
      <c r="W458" s="890"/>
      <c r="X458" s="890"/>
      <c r="Y458" s="890"/>
      <c r="Z458" s="890"/>
      <c r="AA458" s="890"/>
    </row>
    <row r="459" spans="1:27" s="426" customFormat="1">
      <c r="A459" s="29" t="s">
        <v>156</v>
      </c>
      <c r="B459" s="748"/>
      <c r="C459" s="891"/>
      <c r="D459" s="891"/>
      <c r="E459" s="891"/>
      <c r="F459" s="891"/>
      <c r="G459" s="891"/>
      <c r="H459" s="891"/>
      <c r="I459" s="891"/>
      <c r="J459" s="891"/>
      <c r="K459" s="891"/>
      <c r="L459" s="891"/>
      <c r="M459" s="891"/>
      <c r="N459" s="891"/>
      <c r="O459" s="891"/>
      <c r="P459" s="891"/>
      <c r="Q459" s="891"/>
      <c r="R459" s="891"/>
      <c r="S459" s="891"/>
      <c r="T459" s="891"/>
      <c r="U459" s="891"/>
      <c r="V459" s="891"/>
      <c r="W459" s="891"/>
      <c r="X459" s="891"/>
      <c r="Y459" s="891"/>
      <c r="Z459" s="891"/>
      <c r="AA459" s="891"/>
    </row>
    <row r="460" spans="1:27">
      <c r="A460" s="28" t="s">
        <v>157</v>
      </c>
      <c r="B460" s="746"/>
      <c r="C460" s="875"/>
      <c r="D460" s="875"/>
      <c r="E460" s="875"/>
      <c r="F460" s="875"/>
      <c r="G460" s="875"/>
      <c r="H460" s="875"/>
      <c r="I460" s="875"/>
      <c r="J460" s="875"/>
      <c r="K460" s="875"/>
      <c r="L460" s="875"/>
      <c r="M460" s="875"/>
      <c r="N460" s="875"/>
      <c r="O460" s="875"/>
      <c r="P460" s="875"/>
      <c r="Q460" s="875"/>
      <c r="R460" s="875"/>
      <c r="S460" s="875"/>
      <c r="T460" s="875"/>
      <c r="U460" s="875"/>
      <c r="V460" s="875"/>
      <c r="W460" s="875"/>
      <c r="X460" s="875"/>
      <c r="Y460" s="875"/>
      <c r="Z460" s="875"/>
      <c r="AA460" s="875"/>
    </row>
    <row r="461" spans="1:27">
      <c r="A461" s="28" t="s">
        <v>158</v>
      </c>
      <c r="B461" s="746" t="s">
        <v>322</v>
      </c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0</v>
      </c>
      <c r="K461" s="875">
        <v>0</v>
      </c>
      <c r="L461" s="875">
        <v>0</v>
      </c>
      <c r="M461" s="875">
        <v>0</v>
      </c>
      <c r="N461" s="875">
        <v>0</v>
      </c>
      <c r="O461" s="875">
        <v>0</v>
      </c>
      <c r="P461" s="875">
        <v>0</v>
      </c>
      <c r="Q461" s="875">
        <v>0</v>
      </c>
      <c r="R461" s="875">
        <v>0</v>
      </c>
      <c r="S461" s="875">
        <v>3891000</v>
      </c>
      <c r="T461" s="875">
        <v>0</v>
      </c>
      <c r="U461" s="875">
        <v>0</v>
      </c>
      <c r="V461" s="875">
        <v>0</v>
      </c>
      <c r="W461" s="875">
        <v>0</v>
      </c>
      <c r="X461" s="875">
        <v>0</v>
      </c>
      <c r="Y461" s="875">
        <v>0</v>
      </c>
      <c r="Z461" s="875">
        <v>0</v>
      </c>
      <c r="AA461" s="875">
        <v>0</v>
      </c>
    </row>
    <row r="462" spans="1:27" s="712" customFormat="1">
      <c r="A462" s="829" t="s">
        <v>13</v>
      </c>
      <c r="B462" s="780"/>
      <c r="C462" s="702">
        <v>3891000</v>
      </c>
      <c r="D462" s="702">
        <v>3891000</v>
      </c>
      <c r="E462" s="702">
        <v>3891000</v>
      </c>
      <c r="F462" s="702">
        <v>3891000</v>
      </c>
      <c r="G462" s="702">
        <v>3891000</v>
      </c>
      <c r="H462" s="702">
        <v>3891000</v>
      </c>
      <c r="I462" s="702">
        <v>3891000</v>
      </c>
      <c r="J462" s="702">
        <v>3891000</v>
      </c>
      <c r="K462" s="702">
        <v>3891000</v>
      </c>
      <c r="L462" s="702">
        <v>3891000</v>
      </c>
      <c r="M462" s="702">
        <v>3891000</v>
      </c>
      <c r="N462" s="702">
        <v>3891000</v>
      </c>
      <c r="O462" s="702">
        <v>3891000</v>
      </c>
      <c r="P462" s="702">
        <v>3891000</v>
      </c>
      <c r="Q462" s="702">
        <v>3891000</v>
      </c>
      <c r="R462" s="702">
        <v>3891000</v>
      </c>
      <c r="S462" s="702">
        <v>3891000</v>
      </c>
      <c r="T462" s="702">
        <v>0</v>
      </c>
      <c r="U462" s="702">
        <v>0</v>
      </c>
      <c r="V462" s="702">
        <v>0</v>
      </c>
      <c r="W462" s="702">
        <v>0</v>
      </c>
      <c r="X462" s="702">
        <v>0</v>
      </c>
      <c r="Y462" s="702">
        <v>0</v>
      </c>
      <c r="Z462" s="702">
        <v>0</v>
      </c>
      <c r="AA462" s="702">
        <v>0</v>
      </c>
    </row>
    <row r="463" spans="1:27">
      <c r="A463" s="28" t="s">
        <v>159</v>
      </c>
      <c r="B463" s="746" t="s">
        <v>323</v>
      </c>
      <c r="C463" s="875">
        <v>0</v>
      </c>
      <c r="D463" s="875">
        <v>0</v>
      </c>
      <c r="E463" s="875">
        <v>0</v>
      </c>
      <c r="F463" s="875">
        <v>0</v>
      </c>
      <c r="G463" s="875">
        <v>0</v>
      </c>
      <c r="H463" s="875">
        <v>0</v>
      </c>
      <c r="I463" s="875">
        <v>0</v>
      </c>
      <c r="J463" s="875">
        <v>0</v>
      </c>
      <c r="K463" s="875">
        <v>0</v>
      </c>
      <c r="L463" s="875">
        <v>0</v>
      </c>
      <c r="M463" s="875">
        <v>0</v>
      </c>
      <c r="N463" s="875">
        <v>0</v>
      </c>
      <c r="O463" s="875">
        <v>0</v>
      </c>
      <c r="P463" s="875">
        <v>0</v>
      </c>
      <c r="Q463" s="875">
        <v>0</v>
      </c>
      <c r="R463" s="875">
        <v>0</v>
      </c>
      <c r="S463" s="875">
        <v>0</v>
      </c>
      <c r="T463" s="875">
        <v>0</v>
      </c>
      <c r="U463" s="875">
        <v>0</v>
      </c>
      <c r="V463" s="875">
        <v>0</v>
      </c>
      <c r="W463" s="875">
        <v>0</v>
      </c>
      <c r="X463" s="875">
        <v>0</v>
      </c>
      <c r="Y463" s="875">
        <v>0</v>
      </c>
      <c r="Z463" s="875">
        <v>0</v>
      </c>
      <c r="AA463" s="875">
        <v>0</v>
      </c>
    </row>
    <row r="464" spans="1:27" s="712" customFormat="1">
      <c r="A464" s="829" t="s">
        <v>13</v>
      </c>
      <c r="B464" s="780"/>
      <c r="C464" s="702">
        <v>0</v>
      </c>
      <c r="D464" s="702">
        <v>0</v>
      </c>
      <c r="E464" s="702">
        <v>0</v>
      </c>
      <c r="F464" s="702">
        <v>0</v>
      </c>
      <c r="G464" s="702">
        <v>0</v>
      </c>
      <c r="H464" s="702">
        <v>0</v>
      </c>
      <c r="I464" s="702">
        <v>0</v>
      </c>
      <c r="J464" s="702">
        <v>0</v>
      </c>
      <c r="K464" s="702">
        <v>0</v>
      </c>
      <c r="L464" s="702">
        <v>0</v>
      </c>
      <c r="M464" s="702">
        <v>0</v>
      </c>
      <c r="N464" s="702">
        <v>0</v>
      </c>
      <c r="O464" s="702">
        <v>0</v>
      </c>
      <c r="P464" s="702">
        <v>0</v>
      </c>
      <c r="Q464" s="702">
        <v>0</v>
      </c>
      <c r="R464" s="702">
        <v>0</v>
      </c>
      <c r="S464" s="702">
        <v>0</v>
      </c>
      <c r="T464" s="702">
        <v>0</v>
      </c>
      <c r="U464" s="702">
        <v>0</v>
      </c>
      <c r="V464" s="702">
        <v>0</v>
      </c>
      <c r="W464" s="702">
        <v>0</v>
      </c>
      <c r="X464" s="702">
        <v>0</v>
      </c>
      <c r="Y464" s="702">
        <v>0</v>
      </c>
      <c r="Z464" s="702">
        <v>0</v>
      </c>
      <c r="AA464" s="702">
        <v>0</v>
      </c>
    </row>
    <row r="465" spans="1:27" s="265" customFormat="1">
      <c r="A465" s="820" t="s">
        <v>151</v>
      </c>
      <c r="B465" s="832"/>
      <c r="C465" s="875">
        <v>0</v>
      </c>
      <c r="D465" s="875">
        <v>0</v>
      </c>
      <c r="E465" s="875">
        <v>0</v>
      </c>
      <c r="F465" s="875">
        <v>0</v>
      </c>
      <c r="G465" s="875">
        <v>0</v>
      </c>
      <c r="H465" s="875">
        <v>0</v>
      </c>
      <c r="I465" s="875">
        <v>0</v>
      </c>
      <c r="J465" s="875">
        <v>0</v>
      </c>
      <c r="K465" s="875">
        <v>0</v>
      </c>
      <c r="L465" s="875">
        <v>0</v>
      </c>
      <c r="M465" s="875">
        <v>0</v>
      </c>
      <c r="N465" s="875">
        <v>0</v>
      </c>
      <c r="O465" s="875">
        <v>0</v>
      </c>
      <c r="P465" s="875">
        <v>0</v>
      </c>
      <c r="Q465" s="875">
        <v>0</v>
      </c>
      <c r="R465" s="875">
        <v>0</v>
      </c>
      <c r="S465" s="875">
        <v>3891000</v>
      </c>
      <c r="T465" s="875">
        <v>0</v>
      </c>
      <c r="U465" s="875">
        <v>0</v>
      </c>
      <c r="V465" s="875">
        <v>0</v>
      </c>
      <c r="W465" s="875">
        <v>0</v>
      </c>
      <c r="X465" s="875">
        <v>0</v>
      </c>
      <c r="Y465" s="875">
        <v>0</v>
      </c>
      <c r="Z465" s="875">
        <v>0</v>
      </c>
      <c r="AA465" s="875">
        <v>0</v>
      </c>
    </row>
    <row r="466" spans="1:27">
      <c r="A466" s="830" t="s">
        <v>13</v>
      </c>
      <c r="B466" s="746"/>
      <c r="C466" s="720">
        <v>3891000</v>
      </c>
      <c r="D466" s="720">
        <v>3891000</v>
      </c>
      <c r="E466" s="720">
        <v>3891000</v>
      </c>
      <c r="F466" s="720">
        <v>3891000</v>
      </c>
      <c r="G466" s="720">
        <v>3891000</v>
      </c>
      <c r="H466" s="720">
        <v>3891000</v>
      </c>
      <c r="I466" s="720">
        <v>3891000</v>
      </c>
      <c r="J466" s="720">
        <v>3891000</v>
      </c>
      <c r="K466" s="720">
        <v>3891000</v>
      </c>
      <c r="L466" s="720">
        <v>3891000</v>
      </c>
      <c r="M466" s="720">
        <v>3891000</v>
      </c>
      <c r="N466" s="720">
        <v>3891000</v>
      </c>
      <c r="O466" s="720">
        <v>3891000</v>
      </c>
      <c r="P466" s="720">
        <v>3891000</v>
      </c>
      <c r="Q466" s="720">
        <v>3891000</v>
      </c>
      <c r="R466" s="720">
        <v>3891000</v>
      </c>
      <c r="S466" s="720">
        <v>3891000</v>
      </c>
      <c r="T466" s="720">
        <v>0</v>
      </c>
      <c r="U466" s="720">
        <v>0</v>
      </c>
      <c r="V466" s="720">
        <v>0</v>
      </c>
      <c r="W466" s="720">
        <v>0</v>
      </c>
      <c r="X466" s="720">
        <v>0</v>
      </c>
      <c r="Y466" s="720">
        <v>0</v>
      </c>
      <c r="Z466" s="720">
        <v>0</v>
      </c>
      <c r="AA466" s="720">
        <v>0</v>
      </c>
    </row>
    <row r="467" spans="1:27">
      <c r="A467" s="833" t="s">
        <v>167</v>
      </c>
      <c r="B467" s="746"/>
      <c r="C467" s="720">
        <v>-3891000</v>
      </c>
      <c r="D467" s="720">
        <v>-3891000</v>
      </c>
      <c r="E467" s="720">
        <v>-3891000</v>
      </c>
      <c r="F467" s="720">
        <v>-3891000</v>
      </c>
      <c r="G467" s="720">
        <v>-3891000</v>
      </c>
      <c r="H467" s="720">
        <v>-3891000</v>
      </c>
      <c r="I467" s="720">
        <v>-3891000</v>
      </c>
      <c r="J467" s="720">
        <v>-3891000</v>
      </c>
      <c r="K467" s="720">
        <v>-3891000</v>
      </c>
      <c r="L467" s="720">
        <v>-3891000</v>
      </c>
      <c r="M467" s="720">
        <v>-3891000</v>
      </c>
      <c r="N467" s="720">
        <v>-3891000</v>
      </c>
      <c r="O467" s="720">
        <v>-3891000</v>
      </c>
      <c r="P467" s="720">
        <v>-3891000</v>
      </c>
      <c r="Q467" s="720">
        <v>-3891000</v>
      </c>
      <c r="R467" s="720">
        <v>-3891000</v>
      </c>
      <c r="S467" s="720">
        <v>-3891000</v>
      </c>
      <c r="T467" s="720">
        <v>0</v>
      </c>
      <c r="U467" s="720">
        <v>0</v>
      </c>
      <c r="V467" s="720">
        <v>0</v>
      </c>
      <c r="W467" s="720">
        <v>0</v>
      </c>
      <c r="X467" s="720">
        <v>0</v>
      </c>
      <c r="Y467" s="720">
        <v>0</v>
      </c>
      <c r="Z467" s="720">
        <v>0</v>
      </c>
      <c r="AA467" s="720">
        <v>0</v>
      </c>
    </row>
    <row r="468" spans="1:27">
      <c r="A468" s="834"/>
      <c r="B468" s="748"/>
      <c r="C468" s="892"/>
      <c r="D468" s="892"/>
      <c r="E468" s="892"/>
      <c r="F468" s="892"/>
      <c r="G468" s="892"/>
      <c r="H468" s="892"/>
      <c r="I468" s="892"/>
      <c r="J468" s="892"/>
      <c r="K468" s="892"/>
      <c r="L468" s="892"/>
      <c r="M468" s="892"/>
      <c r="N468" s="892"/>
      <c r="O468" s="892"/>
      <c r="P468" s="892"/>
      <c r="Q468" s="892"/>
      <c r="R468" s="892"/>
      <c r="S468" s="892"/>
      <c r="T468" s="892"/>
      <c r="U468" s="892"/>
      <c r="V468" s="892"/>
      <c r="W468" s="892"/>
      <c r="X468" s="892"/>
      <c r="Y468" s="892"/>
      <c r="Z468" s="892"/>
      <c r="AA468" s="892"/>
    </row>
    <row r="469" spans="1:27">
      <c r="A469" s="834" t="s">
        <v>364</v>
      </c>
      <c r="B469" s="748"/>
      <c r="C469" s="892">
        <v>0</v>
      </c>
      <c r="D469" s="892">
        <v>0</v>
      </c>
      <c r="E469" s="892">
        <v>0</v>
      </c>
      <c r="F469" s="892">
        <v>0</v>
      </c>
      <c r="G469" s="892">
        <v>0</v>
      </c>
      <c r="H469" s="892">
        <v>0</v>
      </c>
      <c r="I469" s="892">
        <v>0</v>
      </c>
      <c r="J469" s="892">
        <v>0</v>
      </c>
      <c r="K469" s="892">
        <v>0</v>
      </c>
      <c r="L469" s="892">
        <v>0</v>
      </c>
      <c r="M469" s="892">
        <v>0</v>
      </c>
      <c r="N469" s="892">
        <v>0</v>
      </c>
      <c r="O469" s="892">
        <v>0</v>
      </c>
      <c r="P469" s="892">
        <v>100000</v>
      </c>
      <c r="Q469" s="892">
        <v>0</v>
      </c>
      <c r="R469" s="892">
        <v>0</v>
      </c>
      <c r="S469" s="892">
        <v>0</v>
      </c>
      <c r="T469" s="892">
        <v>0</v>
      </c>
      <c r="U469" s="892">
        <v>100000</v>
      </c>
      <c r="V469" s="892">
        <v>0</v>
      </c>
      <c r="W469" s="892">
        <v>0</v>
      </c>
      <c r="X469" s="892">
        <v>0</v>
      </c>
      <c r="Y469" s="892">
        <v>0</v>
      </c>
      <c r="Z469" s="892">
        <v>0</v>
      </c>
      <c r="AA469" s="892">
        <v>0</v>
      </c>
    </row>
    <row r="470" spans="1:27">
      <c r="A470" s="835" t="s">
        <v>13</v>
      </c>
      <c r="B470" s="748"/>
      <c r="C470" s="720">
        <v>200000</v>
      </c>
      <c r="D470" s="720">
        <v>200000</v>
      </c>
      <c r="E470" s="720">
        <v>200000</v>
      </c>
      <c r="F470" s="720">
        <v>200000</v>
      </c>
      <c r="G470" s="720">
        <v>200000</v>
      </c>
      <c r="H470" s="720">
        <v>200000</v>
      </c>
      <c r="I470" s="720">
        <v>200000</v>
      </c>
      <c r="J470" s="720">
        <v>200000</v>
      </c>
      <c r="K470" s="720">
        <v>200000</v>
      </c>
      <c r="L470" s="720">
        <v>200000</v>
      </c>
      <c r="M470" s="720">
        <v>200000</v>
      </c>
      <c r="N470" s="720">
        <v>200000</v>
      </c>
      <c r="O470" s="720">
        <v>200000</v>
      </c>
      <c r="P470" s="720">
        <v>200000</v>
      </c>
      <c r="Q470" s="720">
        <v>100000</v>
      </c>
      <c r="R470" s="720">
        <v>100000</v>
      </c>
      <c r="S470" s="720">
        <v>100000</v>
      </c>
      <c r="T470" s="720">
        <v>100000</v>
      </c>
      <c r="U470" s="720">
        <v>100000</v>
      </c>
      <c r="V470" s="720">
        <v>0</v>
      </c>
      <c r="W470" s="720">
        <v>0</v>
      </c>
      <c r="X470" s="720">
        <v>0</v>
      </c>
      <c r="Y470" s="720">
        <v>0</v>
      </c>
      <c r="Z470" s="720">
        <v>0</v>
      </c>
      <c r="AA470" s="720">
        <v>0</v>
      </c>
    </row>
    <row r="471" spans="1:27">
      <c r="A471" s="836" t="s">
        <v>365</v>
      </c>
      <c r="B471" s="748" t="s">
        <v>529</v>
      </c>
      <c r="C471" s="892">
        <v>0</v>
      </c>
      <c r="D471" s="892">
        <v>0</v>
      </c>
      <c r="E471" s="892">
        <v>0</v>
      </c>
      <c r="F471" s="892">
        <v>0</v>
      </c>
      <c r="G471" s="892">
        <v>0</v>
      </c>
      <c r="H471" s="892">
        <v>0</v>
      </c>
      <c r="I471" s="892">
        <v>0</v>
      </c>
      <c r="J471" s="892">
        <v>0</v>
      </c>
      <c r="K471" s="892">
        <v>0</v>
      </c>
      <c r="L471" s="892">
        <v>0</v>
      </c>
      <c r="M471" s="892">
        <v>0</v>
      </c>
      <c r="N471" s="892">
        <v>0</v>
      </c>
      <c r="O471" s="892">
        <v>0</v>
      </c>
      <c r="P471" s="892">
        <v>0</v>
      </c>
      <c r="Q471" s="892">
        <v>0</v>
      </c>
      <c r="R471" s="892">
        <v>0</v>
      </c>
      <c r="S471" s="892">
        <v>0</v>
      </c>
      <c r="T471" s="892">
        <v>0</v>
      </c>
      <c r="U471" s="892">
        <v>100000</v>
      </c>
      <c r="V471" s="892">
        <v>0</v>
      </c>
      <c r="W471" s="892">
        <v>0</v>
      </c>
      <c r="X471" s="892">
        <v>0</v>
      </c>
      <c r="Y471" s="892">
        <v>0</v>
      </c>
      <c r="Z471" s="892">
        <v>0</v>
      </c>
      <c r="AA471" s="892">
        <v>0</v>
      </c>
    </row>
    <row r="472" spans="1:27">
      <c r="A472" s="835" t="s">
        <v>13</v>
      </c>
      <c r="B472" s="748"/>
      <c r="C472" s="720">
        <v>100000</v>
      </c>
      <c r="D472" s="720">
        <v>100000</v>
      </c>
      <c r="E472" s="720">
        <v>100000</v>
      </c>
      <c r="F472" s="720">
        <v>100000</v>
      </c>
      <c r="G472" s="720">
        <v>100000</v>
      </c>
      <c r="H472" s="720">
        <v>100000</v>
      </c>
      <c r="I472" s="720">
        <v>100000</v>
      </c>
      <c r="J472" s="720">
        <v>100000</v>
      </c>
      <c r="K472" s="720">
        <v>100000</v>
      </c>
      <c r="L472" s="720">
        <v>100000</v>
      </c>
      <c r="M472" s="720">
        <v>100000</v>
      </c>
      <c r="N472" s="720">
        <v>100000</v>
      </c>
      <c r="O472" s="720">
        <v>100000</v>
      </c>
      <c r="P472" s="720">
        <v>100000</v>
      </c>
      <c r="Q472" s="720">
        <v>100000</v>
      </c>
      <c r="R472" s="720">
        <v>100000</v>
      </c>
      <c r="S472" s="720">
        <v>100000</v>
      </c>
      <c r="T472" s="720">
        <v>100000</v>
      </c>
      <c r="U472" s="720">
        <v>100000</v>
      </c>
      <c r="V472" s="720">
        <v>0</v>
      </c>
      <c r="W472" s="720">
        <v>0</v>
      </c>
      <c r="X472" s="720">
        <v>0</v>
      </c>
      <c r="Y472" s="720">
        <v>0</v>
      </c>
      <c r="Z472" s="720">
        <v>0</v>
      </c>
      <c r="AA472" s="720">
        <v>0</v>
      </c>
    </row>
    <row r="473" spans="1:27">
      <c r="A473" s="836" t="s">
        <v>366</v>
      </c>
      <c r="B473" s="748" t="s">
        <v>530</v>
      </c>
      <c r="C473" s="892">
        <v>0</v>
      </c>
      <c r="D473" s="892">
        <v>0</v>
      </c>
      <c r="E473" s="892">
        <v>0</v>
      </c>
      <c r="F473" s="892">
        <v>0</v>
      </c>
      <c r="G473" s="892">
        <v>0</v>
      </c>
      <c r="H473" s="892">
        <v>0</v>
      </c>
      <c r="I473" s="892">
        <v>0</v>
      </c>
      <c r="J473" s="892">
        <v>0</v>
      </c>
      <c r="K473" s="892">
        <v>0</v>
      </c>
      <c r="L473" s="892">
        <v>0</v>
      </c>
      <c r="M473" s="892">
        <v>0</v>
      </c>
      <c r="N473" s="892">
        <v>0</v>
      </c>
      <c r="O473" s="892">
        <v>0</v>
      </c>
      <c r="P473" s="892">
        <v>100000</v>
      </c>
      <c r="Q473" s="892">
        <v>0</v>
      </c>
      <c r="R473" s="892">
        <v>0</v>
      </c>
      <c r="S473" s="892">
        <v>0</v>
      </c>
      <c r="T473" s="892">
        <v>0</v>
      </c>
      <c r="U473" s="892">
        <v>0</v>
      </c>
      <c r="V473" s="892">
        <v>0</v>
      </c>
      <c r="W473" s="892">
        <v>0</v>
      </c>
      <c r="X473" s="892">
        <v>0</v>
      </c>
      <c r="Y473" s="892">
        <v>0</v>
      </c>
      <c r="Z473" s="892">
        <v>0</v>
      </c>
      <c r="AA473" s="892">
        <v>0</v>
      </c>
    </row>
    <row r="474" spans="1:27">
      <c r="A474" s="835" t="s">
        <v>13</v>
      </c>
      <c r="B474" s="748"/>
      <c r="C474" s="720">
        <v>100000</v>
      </c>
      <c r="D474" s="720">
        <v>100000</v>
      </c>
      <c r="E474" s="720">
        <v>100000</v>
      </c>
      <c r="F474" s="720">
        <v>100000</v>
      </c>
      <c r="G474" s="720">
        <v>100000</v>
      </c>
      <c r="H474" s="720">
        <v>100000</v>
      </c>
      <c r="I474" s="720">
        <v>100000</v>
      </c>
      <c r="J474" s="720">
        <v>100000</v>
      </c>
      <c r="K474" s="720">
        <v>100000</v>
      </c>
      <c r="L474" s="720">
        <v>100000</v>
      </c>
      <c r="M474" s="720">
        <v>100000</v>
      </c>
      <c r="N474" s="720">
        <v>100000</v>
      </c>
      <c r="O474" s="720">
        <v>100000</v>
      </c>
      <c r="P474" s="720">
        <v>100000</v>
      </c>
      <c r="Q474" s="720">
        <v>0</v>
      </c>
      <c r="R474" s="720">
        <v>0</v>
      </c>
      <c r="S474" s="720">
        <v>0</v>
      </c>
      <c r="T474" s="720">
        <v>0</v>
      </c>
      <c r="U474" s="720">
        <v>0</v>
      </c>
      <c r="V474" s="720">
        <v>0</v>
      </c>
      <c r="W474" s="720">
        <v>0</v>
      </c>
      <c r="X474" s="720">
        <v>0</v>
      </c>
      <c r="Y474" s="720">
        <v>0</v>
      </c>
      <c r="Z474" s="720">
        <v>0</v>
      </c>
      <c r="AA474" s="720">
        <v>0</v>
      </c>
    </row>
    <row r="475" spans="1:27">
      <c r="A475" s="834"/>
      <c r="B475" s="748"/>
      <c r="C475" s="892"/>
      <c r="D475" s="892"/>
      <c r="E475" s="892"/>
      <c r="F475" s="892"/>
      <c r="G475" s="892"/>
      <c r="H475" s="892"/>
      <c r="I475" s="892"/>
      <c r="J475" s="892"/>
      <c r="K475" s="892"/>
      <c r="L475" s="892"/>
      <c r="M475" s="892"/>
      <c r="N475" s="892"/>
      <c r="O475" s="892"/>
      <c r="P475" s="892"/>
      <c r="Q475" s="892"/>
      <c r="R475" s="892"/>
      <c r="S475" s="892"/>
      <c r="T475" s="892"/>
      <c r="U475" s="892"/>
      <c r="V475" s="892"/>
      <c r="W475" s="892"/>
      <c r="X475" s="892"/>
      <c r="Y475" s="892"/>
      <c r="Z475" s="892"/>
      <c r="AA475" s="892"/>
    </row>
    <row r="476" spans="1:27">
      <c r="A476" s="834" t="s">
        <v>187</v>
      </c>
      <c r="B476" s="748" t="s">
        <v>531</v>
      </c>
      <c r="C476" s="892">
        <v>6237000</v>
      </c>
      <c r="D476" s="892">
        <v>0</v>
      </c>
      <c r="E476" s="892">
        <v>0</v>
      </c>
      <c r="F476" s="892">
        <v>0</v>
      </c>
      <c r="G476" s="892">
        <v>0</v>
      </c>
      <c r="H476" s="892">
        <v>0</v>
      </c>
      <c r="I476" s="892">
        <v>100000</v>
      </c>
      <c r="J476" s="892">
        <v>0</v>
      </c>
      <c r="K476" s="892">
        <v>0</v>
      </c>
      <c r="L476" s="892">
        <v>0</v>
      </c>
      <c r="M476" s="892">
        <v>0</v>
      </c>
      <c r="N476" s="892">
        <v>0</v>
      </c>
      <c r="O476" s="892">
        <v>0</v>
      </c>
      <c r="P476" s="892">
        <v>0</v>
      </c>
      <c r="Q476" s="892">
        <v>0</v>
      </c>
      <c r="R476" s="892">
        <v>0</v>
      </c>
      <c r="S476" s="892">
        <v>0</v>
      </c>
      <c r="T476" s="892">
        <v>0</v>
      </c>
      <c r="U476" s="892">
        <v>0</v>
      </c>
      <c r="V476" s="892">
        <v>0</v>
      </c>
      <c r="W476" s="892">
        <v>0</v>
      </c>
      <c r="X476" s="892">
        <v>0</v>
      </c>
      <c r="Y476" s="892">
        <v>0</v>
      </c>
      <c r="Z476" s="892">
        <v>0</v>
      </c>
      <c r="AA476" s="892">
        <v>0</v>
      </c>
    </row>
    <row r="477" spans="1:27">
      <c r="A477" s="834" t="s">
        <v>13</v>
      </c>
      <c r="B477" s="748"/>
      <c r="C477" s="720">
        <v>6337000</v>
      </c>
      <c r="D477" s="720">
        <v>100000</v>
      </c>
      <c r="E477" s="720">
        <v>100000</v>
      </c>
      <c r="F477" s="720">
        <v>100000</v>
      </c>
      <c r="G477" s="720">
        <v>100000</v>
      </c>
      <c r="H477" s="720">
        <v>100000</v>
      </c>
      <c r="I477" s="720">
        <v>100000</v>
      </c>
      <c r="J477" s="720">
        <v>0</v>
      </c>
      <c r="K477" s="720">
        <v>0</v>
      </c>
      <c r="L477" s="720">
        <v>0</v>
      </c>
      <c r="M477" s="720">
        <v>0</v>
      </c>
      <c r="N477" s="720">
        <v>0</v>
      </c>
      <c r="O477" s="720">
        <v>0</v>
      </c>
      <c r="P477" s="720">
        <v>0</v>
      </c>
      <c r="Q477" s="720">
        <v>0</v>
      </c>
      <c r="R477" s="720">
        <v>0</v>
      </c>
      <c r="S477" s="720">
        <v>0</v>
      </c>
      <c r="T477" s="720">
        <v>0</v>
      </c>
      <c r="U477" s="720">
        <v>0</v>
      </c>
      <c r="V477" s="720">
        <v>0</v>
      </c>
      <c r="W477" s="720">
        <v>0</v>
      </c>
      <c r="X477" s="720">
        <v>0</v>
      </c>
      <c r="Y477" s="720">
        <v>0</v>
      </c>
      <c r="Z477" s="720">
        <v>0</v>
      </c>
      <c r="AA477" s="720">
        <v>0</v>
      </c>
    </row>
    <row r="478" spans="1:27">
      <c r="A478" s="1"/>
      <c r="B478" s="748"/>
      <c r="C478" s="890"/>
      <c r="D478" s="890"/>
      <c r="E478" s="890"/>
      <c r="F478" s="890"/>
      <c r="G478" s="890"/>
      <c r="H478" s="890"/>
      <c r="I478" s="890"/>
      <c r="J478" s="890"/>
      <c r="K478" s="890"/>
      <c r="L478" s="890"/>
      <c r="M478" s="890"/>
      <c r="N478" s="890"/>
      <c r="O478" s="890"/>
      <c r="P478" s="890"/>
      <c r="Q478" s="890"/>
      <c r="R478" s="890"/>
      <c r="S478" s="890"/>
      <c r="T478" s="890"/>
      <c r="U478" s="890"/>
      <c r="V478" s="890"/>
      <c r="W478" s="890"/>
      <c r="X478" s="890"/>
      <c r="Y478" s="890"/>
      <c r="Z478" s="890"/>
      <c r="AA478" s="890"/>
    </row>
    <row r="479" spans="1:27">
      <c r="A479" s="11" t="s">
        <v>100</v>
      </c>
      <c r="B479" s="792"/>
      <c r="C479" s="880">
        <v>7765899</v>
      </c>
      <c r="D479" s="880">
        <v>171000</v>
      </c>
      <c r="E479" s="880">
        <v>963199</v>
      </c>
      <c r="F479" s="880">
        <v>889748</v>
      </c>
      <c r="G479" s="880">
        <v>733400</v>
      </c>
      <c r="H479" s="880">
        <v>936000</v>
      </c>
      <c r="I479" s="880">
        <v>662916</v>
      </c>
      <c r="J479" s="880">
        <v>2822000</v>
      </c>
      <c r="K479" s="880">
        <v>445000</v>
      </c>
      <c r="L479" s="880">
        <v>167190</v>
      </c>
      <c r="M479" s="880">
        <v>1260000</v>
      </c>
      <c r="N479" s="880">
        <v>306000</v>
      </c>
      <c r="O479" s="880">
        <v>471999</v>
      </c>
      <c r="P479" s="880">
        <v>641000</v>
      </c>
      <c r="Q479" s="880">
        <v>181399</v>
      </c>
      <c r="R479" s="880">
        <v>328500</v>
      </c>
      <c r="S479" s="880">
        <v>4020998</v>
      </c>
      <c r="T479" s="880">
        <v>955615</v>
      </c>
      <c r="U479" s="880">
        <v>387400</v>
      </c>
      <c r="V479" s="880">
        <v>3242190</v>
      </c>
      <c r="W479" s="880">
        <v>245999</v>
      </c>
      <c r="X479" s="880">
        <v>1991999</v>
      </c>
      <c r="Y479" s="880">
        <v>326400</v>
      </c>
      <c r="Z479" s="880">
        <v>401800</v>
      </c>
      <c r="AA479" s="880">
        <v>0</v>
      </c>
    </row>
    <row r="480" spans="1:27" s="426" customFormat="1">
      <c r="A480" s="828" t="s">
        <v>59</v>
      </c>
      <c r="B480" s="792"/>
      <c r="C480" s="720">
        <v>30317651</v>
      </c>
      <c r="D480" s="720">
        <v>22551752</v>
      </c>
      <c r="E480" s="720">
        <v>22380752</v>
      </c>
      <c r="F480" s="720">
        <v>21417553</v>
      </c>
      <c r="G480" s="720">
        <v>20527805</v>
      </c>
      <c r="H480" s="720">
        <v>19794405</v>
      </c>
      <c r="I480" s="720">
        <v>18858405</v>
      </c>
      <c r="J480" s="720">
        <v>18195489</v>
      </c>
      <c r="K480" s="720">
        <v>15373489</v>
      </c>
      <c r="L480" s="720">
        <v>14928489</v>
      </c>
      <c r="M480" s="720">
        <v>14761299</v>
      </c>
      <c r="N480" s="720">
        <v>13501299</v>
      </c>
      <c r="O480" s="720">
        <v>13195299</v>
      </c>
      <c r="P480" s="720">
        <v>12723300</v>
      </c>
      <c r="Q480" s="720">
        <v>12082300</v>
      </c>
      <c r="R480" s="720">
        <v>11900901</v>
      </c>
      <c r="S480" s="720">
        <v>11572401</v>
      </c>
      <c r="T480" s="720">
        <v>7551403</v>
      </c>
      <c r="U480" s="720">
        <v>6595788</v>
      </c>
      <c r="V480" s="720">
        <v>6208388</v>
      </c>
      <c r="W480" s="720">
        <v>2966198</v>
      </c>
      <c r="X480" s="720">
        <v>2720199</v>
      </c>
      <c r="Y480" s="720">
        <v>728200</v>
      </c>
      <c r="Z480" s="720">
        <v>401800</v>
      </c>
      <c r="AA480" s="720">
        <v>0</v>
      </c>
    </row>
    <row r="481" spans="1:27">
      <c r="A481" s="11"/>
      <c r="B481" s="837"/>
      <c r="C481" s="893"/>
      <c r="D481" s="893"/>
      <c r="E481" s="893"/>
      <c r="F481" s="893"/>
      <c r="G481" s="893"/>
      <c r="H481" s="893"/>
      <c r="I481" s="893"/>
      <c r="J481" s="893"/>
      <c r="K481" s="893"/>
      <c r="L481" s="893"/>
      <c r="M481" s="893"/>
      <c r="N481" s="893"/>
      <c r="O481" s="893"/>
      <c r="P481" s="893"/>
      <c r="Q481" s="893"/>
      <c r="R481" s="893"/>
      <c r="S481" s="893"/>
      <c r="T481" s="893"/>
      <c r="U481" s="893"/>
      <c r="V481" s="893"/>
      <c r="W481" s="893"/>
      <c r="X481" s="893"/>
      <c r="Y481" s="893"/>
      <c r="Z481" s="893"/>
      <c r="AA481" s="893"/>
    </row>
    <row r="482" spans="1:27" s="722" customFormat="1" ht="21">
      <c r="A482" s="838" t="s">
        <v>60</v>
      </c>
      <c r="B482" s="839"/>
      <c r="C482" s="894">
        <v>13421898</v>
      </c>
      <c r="D482" s="894">
        <v>13501649</v>
      </c>
      <c r="E482" s="894">
        <v>12320950</v>
      </c>
      <c r="F482" s="894">
        <v>11415508</v>
      </c>
      <c r="G482" s="894">
        <v>10809069</v>
      </c>
      <c r="H482" s="894">
        <v>9864717</v>
      </c>
      <c r="I482" s="894">
        <v>8561103</v>
      </c>
      <c r="J482" s="894">
        <v>5876263</v>
      </c>
      <c r="K482" s="894">
        <v>8336863</v>
      </c>
      <c r="L482" s="894">
        <v>7265722</v>
      </c>
      <c r="M482" s="894">
        <v>5617199</v>
      </c>
      <c r="N482" s="894">
        <v>4819552</v>
      </c>
      <c r="O482" s="894">
        <v>3401887</v>
      </c>
      <c r="P482" s="894">
        <v>2238117</v>
      </c>
      <c r="Q482" s="894">
        <v>901381</v>
      </c>
      <c r="R482" s="894">
        <v>623519</v>
      </c>
      <c r="S482" s="894">
        <v>-674850</v>
      </c>
      <c r="T482" s="894">
        <v>1412603</v>
      </c>
      <c r="U482" s="894">
        <v>727171</v>
      </c>
      <c r="V482" s="894">
        <v>-202704</v>
      </c>
      <c r="W482" s="894">
        <v>1129263</v>
      </c>
      <c r="X482" s="894">
        <v>362371</v>
      </c>
      <c r="Y482" s="894">
        <v>2195820</v>
      </c>
      <c r="Z482" s="894">
        <v>1051112</v>
      </c>
      <c r="AA482" s="894">
        <v>0</v>
      </c>
    </row>
    <row r="483" spans="1:27">
      <c r="A483" s="1"/>
      <c r="B483" s="736"/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  <c r="O483" s="736"/>
      <c r="P483" s="736"/>
      <c r="Q483" s="736"/>
      <c r="R483" s="736"/>
      <c r="S483" s="736"/>
      <c r="T483" s="736"/>
      <c r="U483" s="736"/>
      <c r="V483" s="736"/>
      <c r="W483" s="736"/>
      <c r="X483" s="736"/>
      <c r="Y483" s="736"/>
      <c r="Z483" s="736"/>
      <c r="AA483" s="736"/>
    </row>
    <row r="484" spans="1:27">
      <c r="A484" s="1"/>
      <c r="B484" s="736"/>
      <c r="C484" s="736"/>
      <c r="D484" s="736"/>
      <c r="E484" s="736"/>
      <c r="F484" s="736"/>
      <c r="G484" s="736"/>
      <c r="H484" s="736"/>
      <c r="I484" s="736"/>
      <c r="J484" s="736"/>
      <c r="K484" s="736"/>
      <c r="L484" s="736"/>
      <c r="M484" s="736"/>
      <c r="N484" s="736"/>
      <c r="O484" s="736"/>
      <c r="P484" s="736"/>
      <c r="Q484" s="736"/>
      <c r="R484" s="736"/>
      <c r="S484" s="736"/>
      <c r="T484" s="736"/>
      <c r="U484" s="736"/>
      <c r="V484" s="736"/>
      <c r="W484" s="736"/>
      <c r="X484" s="736"/>
      <c r="Y484" s="736"/>
      <c r="Z484" s="736"/>
      <c r="AA484" s="736"/>
    </row>
    <row r="485" spans="1:27" s="723" customFormat="1" ht="21">
      <c r="A485" s="840" t="s">
        <v>117</v>
      </c>
      <c r="B485" s="841" t="s">
        <v>532</v>
      </c>
      <c r="C485" s="895">
        <v>317392927</v>
      </c>
      <c r="D485" s="895">
        <v>300386678</v>
      </c>
      <c r="E485" s="895">
        <v>298664979</v>
      </c>
      <c r="F485" s="895">
        <v>300241537</v>
      </c>
      <c r="G485" s="895">
        <v>225466098</v>
      </c>
      <c r="H485" s="895">
        <v>224363246</v>
      </c>
      <c r="I485" s="895">
        <v>296477132</v>
      </c>
      <c r="J485" s="895">
        <v>294660292</v>
      </c>
      <c r="K485" s="895">
        <v>296797892</v>
      </c>
      <c r="L485" s="895">
        <v>298068751</v>
      </c>
      <c r="M485" s="895">
        <v>294458728</v>
      </c>
      <c r="N485" s="895">
        <v>293950081</v>
      </c>
      <c r="O485" s="895">
        <v>217041416</v>
      </c>
      <c r="P485" s="895">
        <v>215802645</v>
      </c>
      <c r="Q485" s="895">
        <v>215630409</v>
      </c>
      <c r="R485" s="895">
        <v>214800047</v>
      </c>
      <c r="S485" s="895">
        <v>213808178</v>
      </c>
      <c r="T485" s="895">
        <v>215480131</v>
      </c>
      <c r="U485" s="895">
        <v>214617199</v>
      </c>
      <c r="V485" s="895">
        <v>215746324</v>
      </c>
      <c r="W485" s="895">
        <v>217276291</v>
      </c>
      <c r="X485" s="895">
        <v>216046399</v>
      </c>
      <c r="Y485" s="895">
        <v>217269748</v>
      </c>
      <c r="Z485" s="895">
        <v>213301040</v>
      </c>
      <c r="AA485" s="895">
        <v>214964928</v>
      </c>
    </row>
    <row r="486" spans="1:27" s="724" customFormat="1" ht="18">
      <c r="A486" s="842" t="s">
        <v>21</v>
      </c>
      <c r="B486" s="843" t="s">
        <v>533</v>
      </c>
      <c r="C486" s="896">
        <v>4074000</v>
      </c>
      <c r="D486" s="896">
        <v>4374000</v>
      </c>
      <c r="E486" s="896">
        <v>4374000</v>
      </c>
      <c r="F486" s="896">
        <v>4374000</v>
      </c>
      <c r="G486" s="896">
        <v>4374000</v>
      </c>
      <c r="H486" s="896">
        <v>4374000</v>
      </c>
      <c r="I486" s="896">
        <v>4374000</v>
      </c>
      <c r="J486" s="896">
        <v>4074000</v>
      </c>
      <c r="K486" s="896">
        <v>4074000</v>
      </c>
      <c r="L486" s="896">
        <v>4074000</v>
      </c>
      <c r="M486" s="896">
        <v>4074000</v>
      </c>
      <c r="N486" s="896">
        <v>4074000</v>
      </c>
      <c r="O486" s="896">
        <v>4074000</v>
      </c>
      <c r="P486" s="896">
        <v>4074000</v>
      </c>
      <c r="Q486" s="896">
        <v>4074000</v>
      </c>
      <c r="R486" s="896">
        <v>4074000</v>
      </c>
      <c r="S486" s="896">
        <v>4074000</v>
      </c>
      <c r="T486" s="896">
        <v>4074000</v>
      </c>
      <c r="U486" s="896">
        <v>4074000</v>
      </c>
      <c r="V486" s="896">
        <v>4074000</v>
      </c>
      <c r="W486" s="896">
        <v>4074000</v>
      </c>
      <c r="X486" s="896">
        <v>4074000</v>
      </c>
      <c r="Y486" s="896">
        <v>4434000</v>
      </c>
      <c r="Z486" s="896">
        <v>6634000</v>
      </c>
      <c r="AA486" s="896">
        <v>6934000</v>
      </c>
    </row>
    <row r="487" spans="1:27" s="724" customFormat="1" ht="18">
      <c r="A487" s="842" t="s">
        <v>11</v>
      </c>
      <c r="B487" s="843" t="s">
        <v>534</v>
      </c>
      <c r="C487" s="896">
        <v>121600000</v>
      </c>
      <c r="D487" s="896">
        <v>106850000</v>
      </c>
      <c r="E487" s="896">
        <v>109502000</v>
      </c>
      <c r="F487" s="896">
        <v>109502000</v>
      </c>
      <c r="G487" s="896">
        <v>35502000</v>
      </c>
      <c r="H487" s="896">
        <v>35502000</v>
      </c>
      <c r="I487" s="896">
        <v>109502000</v>
      </c>
      <c r="J487" s="896">
        <v>110462000</v>
      </c>
      <c r="K487" s="896">
        <v>109962000</v>
      </c>
      <c r="L487" s="896">
        <v>111252000</v>
      </c>
      <c r="M487" s="896">
        <v>109902000</v>
      </c>
      <c r="N487" s="896">
        <v>109502000</v>
      </c>
      <c r="O487" s="896">
        <v>34502000</v>
      </c>
      <c r="P487" s="896">
        <v>34502000</v>
      </c>
      <c r="Q487" s="896">
        <v>34502000</v>
      </c>
      <c r="R487" s="896">
        <v>34502000</v>
      </c>
      <c r="S487" s="896">
        <v>34502000</v>
      </c>
      <c r="T487" s="896">
        <v>34502000</v>
      </c>
      <c r="U487" s="896">
        <v>34802000</v>
      </c>
      <c r="V487" s="896">
        <v>34802000</v>
      </c>
      <c r="W487" s="896">
        <v>34802000</v>
      </c>
      <c r="X487" s="896">
        <v>34802000</v>
      </c>
      <c r="Y487" s="896">
        <v>34502000</v>
      </c>
      <c r="Z487" s="896">
        <v>34502000</v>
      </c>
      <c r="AA487" s="896">
        <v>35502000</v>
      </c>
    </row>
    <row r="488" spans="1:27" s="725" customFormat="1" ht="23.4">
      <c r="A488" s="844" t="s">
        <v>162</v>
      </c>
      <c r="B488" s="845"/>
      <c r="C488" s="897">
        <v>199866927</v>
      </c>
      <c r="D488" s="897">
        <v>197910678</v>
      </c>
      <c r="E488" s="897">
        <v>193536979</v>
      </c>
      <c r="F488" s="897">
        <f>F485+F486-F487</f>
        <v>195113537</v>
      </c>
      <c r="G488" s="897">
        <v>194338098</v>
      </c>
      <c r="H488" s="897">
        <v>193235246</v>
      </c>
      <c r="I488" s="897">
        <v>191349132</v>
      </c>
      <c r="J488" s="897">
        <v>188272292</v>
      </c>
      <c r="K488" s="897">
        <v>190909892</v>
      </c>
      <c r="L488" s="897">
        <v>190890751</v>
      </c>
      <c r="M488" s="897">
        <v>188630728</v>
      </c>
      <c r="N488" s="897">
        <v>188522081</v>
      </c>
      <c r="O488" s="897">
        <v>186613416</v>
      </c>
      <c r="P488" s="897">
        <v>185374645</v>
      </c>
      <c r="Q488" s="897">
        <v>185202409</v>
      </c>
      <c r="R488" s="897">
        <v>184372047</v>
      </c>
      <c r="S488" s="897">
        <v>183380178</v>
      </c>
      <c r="T488" s="897">
        <v>185052131</v>
      </c>
      <c r="U488" s="897">
        <v>183889199</v>
      </c>
      <c r="V488" s="897">
        <v>185018324</v>
      </c>
      <c r="W488" s="897">
        <v>186548291</v>
      </c>
      <c r="X488" s="897">
        <v>185318399</v>
      </c>
      <c r="Y488" s="897">
        <v>187201748</v>
      </c>
      <c r="Z488" s="897">
        <v>185433040</v>
      </c>
      <c r="AA488" s="897">
        <v>186396928</v>
      </c>
    </row>
    <row r="489" spans="1:27">
      <c r="A489" s="1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6"/>
      <c r="P489" s="736"/>
      <c r="Q489" s="736"/>
      <c r="R489" s="736"/>
      <c r="S489" s="736"/>
      <c r="T489" s="736"/>
      <c r="U489" s="736"/>
      <c r="V489" s="736"/>
      <c r="W489" s="736"/>
      <c r="X489" s="736"/>
      <c r="Y489" s="736"/>
      <c r="Z489" s="736"/>
      <c r="AA489" s="736"/>
    </row>
    <row r="490" spans="1:27" s="724" customFormat="1" ht="18">
      <c r="A490" s="842" t="s">
        <v>24</v>
      </c>
      <c r="B490" s="843" t="s">
        <v>210</v>
      </c>
      <c r="C490" s="896">
        <v>-1806900</v>
      </c>
      <c r="D490" s="896">
        <v>-3858900</v>
      </c>
      <c r="E490" s="896">
        <v>-4399900</v>
      </c>
      <c r="F490" s="896">
        <v>-1917900</v>
      </c>
      <c r="G490" s="896">
        <v>-2086900</v>
      </c>
      <c r="H490" s="896">
        <v>-2245400</v>
      </c>
      <c r="I490" s="896">
        <v>-2827900</v>
      </c>
      <c r="J490" s="896">
        <v>-3219900</v>
      </c>
      <c r="K490" s="896">
        <v>-3042900</v>
      </c>
      <c r="L490" s="896">
        <v>-1990900</v>
      </c>
      <c r="M490" s="896">
        <v>-2602400</v>
      </c>
      <c r="N490" s="896">
        <v>-1913400</v>
      </c>
      <c r="O490" s="896">
        <v>-2404400</v>
      </c>
      <c r="P490" s="896">
        <v>-2770400</v>
      </c>
      <c r="Q490" s="896">
        <v>-1605900</v>
      </c>
      <c r="R490" s="896">
        <v>-2158400</v>
      </c>
      <c r="S490" s="896">
        <v>-1851900</v>
      </c>
      <c r="T490" s="896">
        <v>-2267400</v>
      </c>
      <c r="U490" s="896">
        <v>-2444900</v>
      </c>
      <c r="V490" s="896">
        <v>-2553900</v>
      </c>
      <c r="W490" s="896">
        <v>-2355900</v>
      </c>
      <c r="X490" s="896">
        <v>-940900</v>
      </c>
      <c r="Y490" s="896">
        <v>-891000</v>
      </c>
      <c r="Z490" s="896">
        <v>-1515000</v>
      </c>
      <c r="AA490" s="896">
        <v>-1810354</v>
      </c>
    </row>
    <row r="491" spans="1:27" s="724" customFormat="1" ht="18">
      <c r="A491" s="846" t="s">
        <v>46</v>
      </c>
      <c r="B491" s="847"/>
      <c r="C491" s="898">
        <v>201673827</v>
      </c>
      <c r="D491" s="898">
        <v>201769578</v>
      </c>
      <c r="E491" s="898">
        <v>197936879</v>
      </c>
      <c r="F491" s="898">
        <v>271031437</v>
      </c>
      <c r="G491" s="898">
        <v>196424998</v>
      </c>
      <c r="H491" s="898">
        <v>195480646</v>
      </c>
      <c r="I491" s="898">
        <v>194177032</v>
      </c>
      <c r="J491" s="898">
        <v>191492192</v>
      </c>
      <c r="K491" s="898">
        <v>193952792</v>
      </c>
      <c r="L491" s="898">
        <v>192881651</v>
      </c>
      <c r="M491" s="898">
        <v>191233128</v>
      </c>
      <c r="N491" s="898">
        <v>265435481</v>
      </c>
      <c r="O491" s="898">
        <v>189017816</v>
      </c>
      <c r="P491" s="898">
        <v>188145045</v>
      </c>
      <c r="Q491" s="898">
        <v>186808309</v>
      </c>
      <c r="R491" s="898">
        <v>186530447</v>
      </c>
      <c r="S491" s="898">
        <v>185232078</v>
      </c>
      <c r="T491" s="898">
        <v>187319531</v>
      </c>
      <c r="U491" s="898">
        <v>186334099</v>
      </c>
      <c r="V491" s="898">
        <v>187572224</v>
      </c>
      <c r="W491" s="898">
        <v>188904191</v>
      </c>
      <c r="X491" s="898">
        <v>186259299</v>
      </c>
      <c r="Y491" s="898">
        <v>188092748</v>
      </c>
      <c r="Z491" s="898">
        <v>186948040</v>
      </c>
      <c r="AA491" s="898">
        <v>188207282</v>
      </c>
    </row>
    <row r="492" spans="1:27">
      <c r="A492" s="5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</row>
    <row r="493" spans="1:27" ht="15" thickBo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" thickBot="1">
      <c r="A494" s="5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</row>
    <row r="495" spans="1:27">
      <c r="A495" s="606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</row>
  </sheetData>
  <mergeCells count="9">
    <mergeCell ref="A123:B123"/>
    <mergeCell ref="A211:B211"/>
    <mergeCell ref="A212:B212"/>
    <mergeCell ref="A33:B33"/>
    <mergeCell ref="A48:B48"/>
    <mergeCell ref="A60:B60"/>
    <mergeCell ref="A73:B73"/>
    <mergeCell ref="A86:B86"/>
    <mergeCell ref="A119:B1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503"/>
  <sheetViews>
    <sheetView topLeftCell="A475" zoomScale="60" zoomScaleNormal="60" workbookViewId="0">
      <selection activeCell="C490" sqref="C490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29" width="25.6640625" style="263" customWidth="1"/>
    <col min="30" max="30" width="8.88671875" style="263"/>
    <col min="31" max="31" width="8.88671875" style="263" customWidth="1"/>
    <col min="32" max="16384" width="8.88671875" style="263"/>
  </cols>
  <sheetData>
    <row r="1" spans="1:29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  <c r="V1" s="960"/>
      <c r="W1" s="960"/>
      <c r="X1" s="960"/>
      <c r="Y1" s="960"/>
      <c r="Z1" s="960"/>
      <c r="AA1" s="960"/>
      <c r="AB1" s="960"/>
      <c r="AC1" s="960"/>
    </row>
    <row r="2" spans="1:29" ht="15" thickBot="1"/>
    <row r="3" spans="1:29">
      <c r="A3" s="727"/>
      <c r="B3" s="726"/>
      <c r="C3" s="679" t="s">
        <v>777</v>
      </c>
      <c r="D3" s="679" t="s">
        <v>763</v>
      </c>
      <c r="E3" s="679" t="s">
        <v>762</v>
      </c>
      <c r="F3" s="679" t="s">
        <v>761</v>
      </c>
      <c r="G3" s="679" t="s">
        <v>760</v>
      </c>
      <c r="H3" s="679" t="s">
        <v>759</v>
      </c>
      <c r="I3" s="679" t="s">
        <v>758</v>
      </c>
      <c r="J3" s="679" t="s">
        <v>757</v>
      </c>
      <c r="K3" s="679" t="s">
        <v>755</v>
      </c>
      <c r="L3" s="679" t="s">
        <v>754</v>
      </c>
      <c r="M3" s="679" t="s">
        <v>753</v>
      </c>
      <c r="N3" s="679" t="s">
        <v>752</v>
      </c>
      <c r="O3" s="679" t="s">
        <v>746</v>
      </c>
      <c r="P3" s="679" t="s">
        <v>745</v>
      </c>
      <c r="Q3" s="679" t="s">
        <v>744</v>
      </c>
      <c r="R3" s="679" t="s">
        <v>743</v>
      </c>
      <c r="S3" s="679" t="s">
        <v>742</v>
      </c>
      <c r="T3" s="679" t="s">
        <v>739</v>
      </c>
      <c r="U3" s="679" t="s">
        <v>737</v>
      </c>
      <c r="V3" s="679" t="s">
        <v>735</v>
      </c>
      <c r="W3" s="679" t="s">
        <v>733</v>
      </c>
      <c r="X3" s="679" t="s">
        <v>730</v>
      </c>
      <c r="Y3" s="679" t="s">
        <v>729</v>
      </c>
      <c r="Z3" s="679" t="s">
        <v>728</v>
      </c>
      <c r="AA3" s="679" t="s">
        <v>727</v>
      </c>
      <c r="AB3" s="679" t="s">
        <v>725</v>
      </c>
      <c r="AC3" s="679" t="s">
        <v>723</v>
      </c>
    </row>
    <row r="4" spans="1:29" s="267" customFormat="1" ht="15" thickBot="1">
      <c r="A4" s="728"/>
      <c r="B4" s="729"/>
      <c r="C4" s="680" t="s">
        <v>132</v>
      </c>
      <c r="D4" s="680" t="s">
        <v>133</v>
      </c>
      <c r="E4" s="680" t="s">
        <v>134</v>
      </c>
      <c r="F4" s="680" t="s">
        <v>128</v>
      </c>
      <c r="G4" s="680" t="s">
        <v>129</v>
      </c>
      <c r="H4" s="680" t="s">
        <v>130</v>
      </c>
      <c r="I4" s="680" t="s">
        <v>131</v>
      </c>
      <c r="J4" s="680" t="s">
        <v>722</v>
      </c>
      <c r="K4" s="680" t="s">
        <v>134</v>
      </c>
      <c r="L4" s="680" t="s">
        <v>128</v>
      </c>
      <c r="M4" s="680" t="s">
        <v>665</v>
      </c>
      <c r="N4" s="680" t="s">
        <v>132</v>
      </c>
      <c r="O4" s="680" t="s">
        <v>133</v>
      </c>
      <c r="P4" s="680" t="s">
        <v>134</v>
      </c>
      <c r="Q4" s="680" t="s">
        <v>128</v>
      </c>
      <c r="R4" s="680" t="s">
        <v>129</v>
      </c>
      <c r="S4" s="680" t="s">
        <v>130</v>
      </c>
      <c r="T4" s="680" t="s">
        <v>131</v>
      </c>
      <c r="U4" s="680" t="s">
        <v>738</v>
      </c>
      <c r="V4" s="680" t="s">
        <v>128</v>
      </c>
      <c r="W4" s="680" t="s">
        <v>129</v>
      </c>
      <c r="X4" s="680" t="s">
        <v>130</v>
      </c>
      <c r="Y4" s="680" t="s">
        <v>131</v>
      </c>
      <c r="Z4" s="680" t="s">
        <v>132</v>
      </c>
      <c r="AA4" s="680" t="s">
        <v>133</v>
      </c>
      <c r="AB4" s="680" t="s">
        <v>134</v>
      </c>
      <c r="AC4" s="680" t="s">
        <v>724</v>
      </c>
    </row>
    <row r="5" spans="1:29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  <c r="AB5" s="681"/>
      <c r="AC5" s="681"/>
    </row>
    <row r="6" spans="1:29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682"/>
      <c r="Y6" s="682"/>
      <c r="Z6" s="682"/>
      <c r="AA6" s="682"/>
      <c r="AB6" s="682"/>
      <c r="AC6" s="682"/>
    </row>
    <row r="7" spans="1:29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  <c r="U7" s="683"/>
      <c r="V7" s="683"/>
      <c r="W7" s="683"/>
      <c r="X7" s="683"/>
      <c r="Y7" s="683"/>
      <c r="Z7" s="683"/>
      <c r="AA7" s="683"/>
      <c r="AB7" s="683"/>
      <c r="AC7" s="683"/>
    </row>
    <row r="8" spans="1:29">
      <c r="A8" s="25" t="s">
        <v>101</v>
      </c>
      <c r="B8" s="735"/>
      <c r="C8" s="641">
        <v>282000</v>
      </c>
      <c r="D8" s="641">
        <v>282000</v>
      </c>
      <c r="E8" s="641">
        <v>282000</v>
      </c>
      <c r="F8" s="641">
        <v>282000</v>
      </c>
      <c r="G8" s="641">
        <v>282000</v>
      </c>
      <c r="H8" s="641">
        <v>282000</v>
      </c>
      <c r="I8" s="641">
        <v>282000</v>
      </c>
      <c r="J8" s="641">
        <v>282000</v>
      </c>
      <c r="K8" s="641">
        <v>282000</v>
      </c>
      <c r="L8" s="641">
        <v>282000</v>
      </c>
      <c r="M8" s="641">
        <v>282000</v>
      </c>
      <c r="N8" s="641">
        <v>282000</v>
      </c>
      <c r="O8" s="641">
        <v>282000</v>
      </c>
      <c r="P8" s="641">
        <v>282000</v>
      </c>
      <c r="Q8" s="641">
        <v>282000</v>
      </c>
      <c r="R8" s="641">
        <v>282000</v>
      </c>
      <c r="S8" s="641">
        <v>282000</v>
      </c>
      <c r="T8" s="641">
        <v>282000</v>
      </c>
      <c r="U8" s="641">
        <v>273000</v>
      </c>
      <c r="V8" s="641">
        <v>273000</v>
      </c>
      <c r="W8" s="641">
        <v>271000</v>
      </c>
      <c r="X8" s="641">
        <v>271000</v>
      </c>
      <c r="Y8" s="641">
        <v>266000</v>
      </c>
      <c r="Z8" s="641">
        <v>266000</v>
      </c>
      <c r="AA8" s="641">
        <v>266000</v>
      </c>
      <c r="AB8" s="641">
        <v>266000</v>
      </c>
      <c r="AC8" s="641">
        <v>266000</v>
      </c>
    </row>
    <row r="9" spans="1:29">
      <c r="A9" s="25" t="s">
        <v>336</v>
      </c>
      <c r="B9" s="735"/>
      <c r="C9" s="641">
        <v>1480000</v>
      </c>
      <c r="D9" s="641">
        <v>1480000</v>
      </c>
      <c r="E9" s="641">
        <v>1480000</v>
      </c>
      <c r="F9" s="641">
        <v>1480000</v>
      </c>
      <c r="G9" s="641">
        <v>1480000</v>
      </c>
      <c r="H9" s="641">
        <v>1480000</v>
      </c>
      <c r="I9" s="641">
        <v>1480000</v>
      </c>
      <c r="J9" s="641">
        <v>1480000</v>
      </c>
      <c r="K9" s="641">
        <v>1480000</v>
      </c>
      <c r="L9" s="641">
        <v>1480000</v>
      </c>
      <c r="M9" s="641">
        <v>1480000</v>
      </c>
      <c r="N9" s="641">
        <v>1480000</v>
      </c>
      <c r="O9" s="641">
        <v>1480000</v>
      </c>
      <c r="P9" s="641">
        <v>1480000</v>
      </c>
      <c r="Q9" s="641">
        <v>1480000</v>
      </c>
      <c r="R9" s="641">
        <v>1480000</v>
      </c>
      <c r="S9" s="641">
        <v>1480000</v>
      </c>
      <c r="T9" s="641">
        <v>1480000</v>
      </c>
      <c r="U9" s="641">
        <v>1480000</v>
      </c>
      <c r="V9" s="641">
        <v>1480000</v>
      </c>
      <c r="W9" s="641">
        <v>1480000</v>
      </c>
      <c r="X9" s="641">
        <v>1480000</v>
      </c>
      <c r="Y9" s="641">
        <v>1480000</v>
      </c>
      <c r="Z9" s="641">
        <v>1480000</v>
      </c>
      <c r="AA9" s="641">
        <v>1480000</v>
      </c>
      <c r="AB9" s="641">
        <v>1480000</v>
      </c>
      <c r="AC9" s="641">
        <v>1480000</v>
      </c>
    </row>
    <row r="10" spans="1:29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  <c r="T10" s="641">
        <v>0</v>
      </c>
      <c r="U10" s="641">
        <v>0</v>
      </c>
      <c r="V10" s="641">
        <v>0</v>
      </c>
      <c r="W10" s="641">
        <v>0</v>
      </c>
      <c r="X10" s="641">
        <v>0</v>
      </c>
      <c r="Y10" s="641">
        <v>0</v>
      </c>
      <c r="Z10" s="641">
        <v>0</v>
      </c>
      <c r="AA10" s="641">
        <v>0</v>
      </c>
      <c r="AB10" s="641">
        <v>0</v>
      </c>
      <c r="AC10" s="641">
        <v>0</v>
      </c>
    </row>
    <row r="11" spans="1:29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  <c r="T11" s="641">
        <v>0</v>
      </c>
      <c r="U11" s="641">
        <v>0</v>
      </c>
      <c r="V11" s="641">
        <v>0</v>
      </c>
      <c r="W11" s="641">
        <v>0</v>
      </c>
      <c r="X11" s="641">
        <v>0</v>
      </c>
      <c r="Y11" s="641">
        <v>0</v>
      </c>
      <c r="Z11" s="641">
        <v>0</v>
      </c>
      <c r="AA11" s="641">
        <v>0</v>
      </c>
      <c r="AB11" s="641">
        <v>0</v>
      </c>
      <c r="AC11" s="641">
        <v>0</v>
      </c>
    </row>
    <row r="12" spans="1:29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1"/>
      <c r="V12" s="641"/>
      <c r="W12" s="641"/>
      <c r="X12" s="641"/>
      <c r="Y12" s="641"/>
      <c r="Z12" s="641"/>
      <c r="AA12" s="641"/>
      <c r="AB12" s="641"/>
      <c r="AC12" s="641"/>
    </row>
    <row r="13" spans="1:29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  <c r="T13" s="641">
        <v>0</v>
      </c>
      <c r="U13" s="641">
        <v>0</v>
      </c>
      <c r="V13" s="641">
        <v>0</v>
      </c>
      <c r="W13" s="641">
        <v>0</v>
      </c>
      <c r="X13" s="641">
        <v>0</v>
      </c>
      <c r="Y13" s="641">
        <v>0</v>
      </c>
      <c r="Z13" s="641">
        <v>0</v>
      </c>
      <c r="AA13" s="641">
        <v>0</v>
      </c>
      <c r="AB13" s="641">
        <v>0</v>
      </c>
      <c r="AC13" s="641">
        <v>0</v>
      </c>
    </row>
    <row r="14" spans="1:29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  <c r="V14" s="641"/>
      <c r="W14" s="641"/>
      <c r="X14" s="641"/>
      <c r="Y14" s="641"/>
      <c r="Z14" s="641"/>
      <c r="AA14" s="641"/>
      <c r="AB14" s="641"/>
      <c r="AC14" s="641"/>
    </row>
    <row r="15" spans="1:29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  <c r="T15" s="641">
        <v>0</v>
      </c>
      <c r="U15" s="641">
        <v>0</v>
      </c>
      <c r="V15" s="641">
        <v>0</v>
      </c>
      <c r="W15" s="641">
        <v>0</v>
      </c>
      <c r="X15" s="641">
        <v>0</v>
      </c>
      <c r="Y15" s="641">
        <v>0</v>
      </c>
      <c r="Z15" s="641">
        <v>0</v>
      </c>
      <c r="AA15" s="641">
        <v>0</v>
      </c>
      <c r="AB15" s="641">
        <v>0</v>
      </c>
      <c r="AC15" s="641">
        <v>0</v>
      </c>
    </row>
    <row r="16" spans="1:29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  <c r="T16" s="641">
        <v>0</v>
      </c>
      <c r="U16" s="641">
        <v>0</v>
      </c>
      <c r="V16" s="641">
        <v>0</v>
      </c>
      <c r="W16" s="641">
        <v>0</v>
      </c>
      <c r="X16" s="641">
        <v>0</v>
      </c>
      <c r="Y16" s="641">
        <v>0</v>
      </c>
      <c r="Z16" s="641">
        <v>0</v>
      </c>
      <c r="AA16" s="641">
        <v>0</v>
      </c>
      <c r="AB16" s="641">
        <v>0</v>
      </c>
      <c r="AC16" s="641">
        <v>0</v>
      </c>
    </row>
    <row r="17" spans="1:32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  <c r="T17" s="642">
        <v>0</v>
      </c>
      <c r="U17" s="642">
        <v>0</v>
      </c>
      <c r="V17" s="642">
        <v>0</v>
      </c>
      <c r="W17" s="642">
        <v>0</v>
      </c>
      <c r="X17" s="642">
        <v>0</v>
      </c>
      <c r="Y17" s="642">
        <v>0</v>
      </c>
      <c r="Z17" s="642">
        <v>0</v>
      </c>
      <c r="AA17" s="642">
        <v>0</v>
      </c>
      <c r="AB17" s="642">
        <v>0</v>
      </c>
      <c r="AC17" s="642">
        <v>0</v>
      </c>
    </row>
    <row r="18" spans="1:32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  <c r="T18" s="642">
        <v>0</v>
      </c>
      <c r="U18" s="642">
        <v>0</v>
      </c>
      <c r="V18" s="642">
        <v>0</v>
      </c>
      <c r="W18" s="642">
        <v>0</v>
      </c>
      <c r="X18" s="642">
        <v>0</v>
      </c>
      <c r="Y18" s="642">
        <v>0</v>
      </c>
      <c r="Z18" s="642">
        <v>0</v>
      </c>
      <c r="AA18" s="642">
        <v>0</v>
      </c>
      <c r="AB18" s="642">
        <v>0</v>
      </c>
      <c r="AC18" s="642">
        <v>0</v>
      </c>
    </row>
    <row r="19" spans="1:32" ht="16.2" thickBot="1">
      <c r="A19" s="737"/>
      <c r="B19" s="738"/>
      <c r="C19" s="848">
        <v>1762000</v>
      </c>
      <c r="D19" s="848">
        <v>1762000</v>
      </c>
      <c r="E19" s="848">
        <v>1762000</v>
      </c>
      <c r="F19" s="848">
        <v>1762000</v>
      </c>
      <c r="G19" s="848">
        <v>1762000</v>
      </c>
      <c r="H19" s="848">
        <v>1762000</v>
      </c>
      <c r="I19" s="848">
        <v>1762000</v>
      </c>
      <c r="J19" s="848">
        <v>1762000</v>
      </c>
      <c r="K19" s="848">
        <v>1762000</v>
      </c>
      <c r="L19" s="848">
        <v>1762000</v>
      </c>
      <c r="M19" s="848">
        <v>1762000</v>
      </c>
      <c r="N19" s="848">
        <v>1762000</v>
      </c>
      <c r="O19" s="848">
        <v>1762000</v>
      </c>
      <c r="P19" s="848">
        <v>1762000</v>
      </c>
      <c r="Q19" s="848">
        <v>1762000</v>
      </c>
      <c r="R19" s="848">
        <v>1762000</v>
      </c>
      <c r="S19" s="848">
        <v>1762000</v>
      </c>
      <c r="T19" s="848">
        <v>1762000</v>
      </c>
      <c r="U19" s="848">
        <v>1753000</v>
      </c>
      <c r="V19" s="848">
        <v>1753000</v>
      </c>
      <c r="W19" s="848">
        <v>1751000</v>
      </c>
      <c r="X19" s="848">
        <v>1751000</v>
      </c>
      <c r="Y19" s="848">
        <v>1746000</v>
      </c>
      <c r="Z19" s="848">
        <v>1746000</v>
      </c>
      <c r="AA19" s="848">
        <v>1746000</v>
      </c>
      <c r="AB19" s="848">
        <v>1746000</v>
      </c>
      <c r="AC19" s="848">
        <v>1746000</v>
      </c>
      <c r="AF19"/>
    </row>
    <row r="20" spans="1:32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  <c r="T20" s="852"/>
      <c r="U20" s="852"/>
      <c r="V20" s="852"/>
      <c r="W20" s="852"/>
      <c r="X20" s="852"/>
      <c r="Y20" s="852"/>
      <c r="Z20" s="852"/>
      <c r="AA20" s="852"/>
      <c r="AB20" s="852"/>
      <c r="AC20" s="852"/>
    </row>
    <row r="21" spans="1:32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  <c r="U21" s="853"/>
      <c r="V21" s="853"/>
      <c r="W21" s="853"/>
      <c r="X21" s="853"/>
      <c r="Y21" s="853"/>
      <c r="Z21" s="853"/>
      <c r="AA21" s="853"/>
      <c r="AB21" s="853"/>
      <c r="AC21" s="853"/>
    </row>
    <row r="22" spans="1:32">
      <c r="A22" s="739" t="s">
        <v>0</v>
      </c>
      <c r="B22" s="740"/>
      <c r="C22" s="956">
        <v>181575000</v>
      </c>
      <c r="D22" s="956">
        <v>163581000</v>
      </c>
      <c r="E22" s="956">
        <v>155654000</v>
      </c>
      <c r="F22" s="956">
        <v>182382000</v>
      </c>
      <c r="G22" s="956">
        <v>139345000</v>
      </c>
      <c r="H22" s="956">
        <v>244345000</v>
      </c>
      <c r="I22" s="956">
        <v>222076000</v>
      </c>
      <c r="J22" s="956">
        <v>101750000</v>
      </c>
      <c r="K22" s="956">
        <v>229200000</v>
      </c>
      <c r="L22" s="956">
        <v>33755000</v>
      </c>
      <c r="M22" s="956">
        <v>103400000</v>
      </c>
      <c r="N22" s="956">
        <v>188500000</v>
      </c>
      <c r="O22" s="956">
        <v>195000000</v>
      </c>
      <c r="P22" s="956">
        <v>225304000</v>
      </c>
      <c r="Q22" s="956">
        <v>227600000</v>
      </c>
      <c r="R22" s="956">
        <v>199050000</v>
      </c>
      <c r="S22" s="956">
        <v>159600000</v>
      </c>
      <c r="T22" s="956">
        <v>165650000</v>
      </c>
      <c r="U22" s="956">
        <v>189000000</v>
      </c>
      <c r="V22" s="956">
        <v>141000000</v>
      </c>
      <c r="W22" s="956">
        <v>155678000</v>
      </c>
      <c r="X22" s="956">
        <v>197400000</v>
      </c>
      <c r="Y22" s="956">
        <v>145500000</v>
      </c>
      <c r="Z22" s="956">
        <v>167850000</v>
      </c>
      <c r="AA22" s="956">
        <v>172100000</v>
      </c>
      <c r="AB22" s="956">
        <v>129550000</v>
      </c>
      <c r="AC22" s="956">
        <v>34069000</v>
      </c>
    </row>
    <row r="23" spans="1:32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  <c r="T23" s="686">
        <v>0</v>
      </c>
      <c r="U23" s="686">
        <v>0</v>
      </c>
      <c r="V23" s="686">
        <v>0</v>
      </c>
      <c r="W23" s="686">
        <v>0</v>
      </c>
      <c r="X23" s="686">
        <v>0</v>
      </c>
      <c r="Y23" s="686">
        <v>0</v>
      </c>
      <c r="Z23" s="686">
        <v>0</v>
      </c>
      <c r="AA23" s="686">
        <v>0</v>
      </c>
      <c r="AB23" s="686">
        <v>0</v>
      </c>
      <c r="AC23" s="686">
        <v>0</v>
      </c>
    </row>
    <row r="24" spans="1:32">
      <c r="A24" s="25" t="s">
        <v>555</v>
      </c>
      <c r="B24" s="741"/>
      <c r="C24" s="686">
        <v>72000</v>
      </c>
      <c r="D24" s="686">
        <v>42000</v>
      </c>
      <c r="E24" s="686">
        <v>30000</v>
      </c>
      <c r="F24" s="686">
        <v>26000</v>
      </c>
      <c r="G24" s="686">
        <v>18000</v>
      </c>
      <c r="H24" s="686">
        <v>20000</v>
      </c>
      <c r="I24" s="686">
        <v>16000</v>
      </c>
      <c r="J24" s="686">
        <v>16500</v>
      </c>
      <c r="K24" s="686">
        <v>25500</v>
      </c>
      <c r="L24" s="686">
        <v>17500</v>
      </c>
      <c r="M24" s="686">
        <v>17500</v>
      </c>
      <c r="N24" s="686">
        <v>31000</v>
      </c>
      <c r="O24" s="686">
        <v>17500</v>
      </c>
      <c r="P24" s="686">
        <v>0</v>
      </c>
      <c r="Q24" s="686">
        <v>20000</v>
      </c>
      <c r="R24" s="686">
        <v>10000</v>
      </c>
      <c r="S24" s="686">
        <v>72000</v>
      </c>
      <c r="T24" s="686">
        <v>23000</v>
      </c>
      <c r="U24" s="686">
        <v>21500</v>
      </c>
      <c r="V24" s="686">
        <v>26000</v>
      </c>
      <c r="W24" s="686">
        <v>34000</v>
      </c>
      <c r="X24" s="686">
        <v>76000</v>
      </c>
      <c r="Y24" s="686">
        <v>86000</v>
      </c>
      <c r="Z24" s="686">
        <v>15000</v>
      </c>
      <c r="AA24" s="686">
        <v>22000</v>
      </c>
      <c r="AB24" s="686">
        <v>15000</v>
      </c>
      <c r="AC24" s="686">
        <v>12000</v>
      </c>
    </row>
    <row r="25" spans="1:32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3480000</v>
      </c>
      <c r="N25" s="686">
        <v>0</v>
      </c>
      <c r="O25" s="686">
        <v>0</v>
      </c>
      <c r="P25" s="686">
        <v>0</v>
      </c>
      <c r="Q25" s="686">
        <v>0</v>
      </c>
      <c r="R25" s="686">
        <v>0</v>
      </c>
      <c r="S25" s="686">
        <v>0</v>
      </c>
      <c r="T25" s="686">
        <v>0</v>
      </c>
      <c r="U25" s="686">
        <v>0</v>
      </c>
      <c r="V25" s="686">
        <v>0</v>
      </c>
      <c r="W25" s="686">
        <v>0</v>
      </c>
      <c r="X25" s="686">
        <v>0</v>
      </c>
      <c r="Y25" s="686">
        <v>0</v>
      </c>
      <c r="Z25" s="686">
        <v>0</v>
      </c>
      <c r="AA25" s="686">
        <v>0</v>
      </c>
      <c r="AB25" s="686">
        <v>0</v>
      </c>
      <c r="AC25" s="686">
        <v>0</v>
      </c>
    </row>
    <row r="26" spans="1:32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14827000</v>
      </c>
      <c r="N26" s="686">
        <v>0</v>
      </c>
      <c r="O26" s="686">
        <v>0</v>
      </c>
      <c r="P26" s="686">
        <v>0</v>
      </c>
      <c r="Q26" s="686">
        <v>0</v>
      </c>
      <c r="R26" s="686">
        <v>0</v>
      </c>
      <c r="S26" s="686">
        <v>0</v>
      </c>
      <c r="T26" s="686">
        <v>0</v>
      </c>
      <c r="U26" s="686">
        <v>0</v>
      </c>
      <c r="V26" s="686">
        <v>0</v>
      </c>
      <c r="W26" s="686">
        <v>0</v>
      </c>
      <c r="X26" s="686">
        <v>0</v>
      </c>
      <c r="Y26" s="686">
        <v>0</v>
      </c>
      <c r="Z26" s="686">
        <v>0</v>
      </c>
      <c r="AA26" s="686">
        <v>0</v>
      </c>
      <c r="AB26" s="686">
        <v>0</v>
      </c>
      <c r="AC26" s="686">
        <v>0</v>
      </c>
    </row>
    <row r="27" spans="1:32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20562000</v>
      </c>
      <c r="N27" s="686">
        <v>0</v>
      </c>
      <c r="O27" s="686">
        <v>0</v>
      </c>
      <c r="P27" s="686">
        <v>0</v>
      </c>
      <c r="Q27" s="686">
        <v>0</v>
      </c>
      <c r="R27" s="686">
        <v>0</v>
      </c>
      <c r="S27" s="686">
        <v>0</v>
      </c>
      <c r="T27" s="686">
        <v>0</v>
      </c>
      <c r="U27" s="686">
        <v>0</v>
      </c>
      <c r="V27" s="686">
        <v>0</v>
      </c>
      <c r="W27" s="686">
        <v>0</v>
      </c>
      <c r="X27" s="686">
        <v>0</v>
      </c>
      <c r="Y27" s="686">
        <v>0</v>
      </c>
      <c r="Z27" s="686">
        <v>0</v>
      </c>
      <c r="AA27" s="686">
        <v>0</v>
      </c>
      <c r="AB27" s="686">
        <v>0</v>
      </c>
      <c r="AC27" s="686">
        <v>0</v>
      </c>
    </row>
    <row r="28" spans="1:32">
      <c r="A28" s="25" t="s">
        <v>333</v>
      </c>
      <c r="B28" s="741"/>
      <c r="C28" s="686">
        <v>0</v>
      </c>
      <c r="D28" s="686">
        <v>0</v>
      </c>
      <c r="E28" s="686">
        <v>15977000</v>
      </c>
      <c r="F28" s="686">
        <v>0</v>
      </c>
      <c r="G28" s="686">
        <v>23664000</v>
      </c>
      <c r="H28" s="686">
        <v>16471000</v>
      </c>
      <c r="I28" s="686">
        <v>24451000</v>
      </c>
      <c r="J28" s="686">
        <v>0</v>
      </c>
      <c r="K28" s="686">
        <v>28435000</v>
      </c>
      <c r="L28" s="686">
        <v>24471000</v>
      </c>
      <c r="M28" s="686">
        <v>5529000</v>
      </c>
      <c r="N28" s="686">
        <v>0</v>
      </c>
      <c r="O28" s="686">
        <v>0</v>
      </c>
      <c r="P28" s="686">
        <v>21494000</v>
      </c>
      <c r="Q28" s="686">
        <v>19958000</v>
      </c>
      <c r="R28" s="686">
        <v>13503000</v>
      </c>
      <c r="S28" s="686">
        <v>0</v>
      </c>
      <c r="T28" s="686">
        <v>7774000</v>
      </c>
      <c r="U28" s="686">
        <v>0</v>
      </c>
      <c r="V28" s="686">
        <v>9979000</v>
      </c>
      <c r="W28" s="686">
        <v>15155000</v>
      </c>
      <c r="X28" s="686">
        <v>0</v>
      </c>
      <c r="Y28" s="686">
        <v>4365000</v>
      </c>
      <c r="Z28" s="686">
        <v>0</v>
      </c>
      <c r="AA28" s="686">
        <v>0</v>
      </c>
      <c r="AB28" s="686">
        <v>21528000</v>
      </c>
      <c r="AC28" s="686">
        <v>0</v>
      </c>
    </row>
    <row r="29" spans="1:32">
      <c r="A29" s="1" t="s">
        <v>562</v>
      </c>
      <c r="B29" s="736"/>
      <c r="C29" s="641">
        <v>8962000</v>
      </c>
      <c r="D29" s="641">
        <v>43744000</v>
      </c>
      <c r="E29" s="641">
        <v>43744000</v>
      </c>
      <c r="F29" s="641">
        <v>0</v>
      </c>
      <c r="G29" s="641">
        <v>81685000</v>
      </c>
      <c r="H29" s="641">
        <v>0</v>
      </c>
      <c r="I29" s="641">
        <v>0</v>
      </c>
      <c r="J29" s="641">
        <v>0</v>
      </c>
      <c r="K29" s="641">
        <v>0</v>
      </c>
      <c r="L29" s="641">
        <v>0</v>
      </c>
      <c r="M29" s="641">
        <v>0</v>
      </c>
      <c r="N29" s="641">
        <v>4049000</v>
      </c>
      <c r="O29" s="641">
        <v>500000</v>
      </c>
      <c r="P29" s="641">
        <v>500000</v>
      </c>
      <c r="Q29" s="641">
        <v>500000</v>
      </c>
      <c r="R29" s="641">
        <v>500000</v>
      </c>
      <c r="S29" s="641">
        <v>0</v>
      </c>
      <c r="T29" s="641">
        <v>0</v>
      </c>
      <c r="U29" s="641">
        <v>0</v>
      </c>
      <c r="V29" s="641">
        <v>0</v>
      </c>
      <c r="W29" s="641">
        <v>0</v>
      </c>
      <c r="X29" s="641">
        <v>0</v>
      </c>
      <c r="Y29" s="641">
        <v>0</v>
      </c>
      <c r="Z29" s="641">
        <v>0</v>
      </c>
      <c r="AA29" s="641">
        <v>0</v>
      </c>
      <c r="AB29" s="641">
        <v>0</v>
      </c>
      <c r="AC29" s="641">
        <v>0</v>
      </c>
    </row>
    <row r="30" spans="1:32">
      <c r="A30" s="1" t="s">
        <v>563</v>
      </c>
      <c r="B30" s="736"/>
      <c r="C30" s="641">
        <v>0</v>
      </c>
      <c r="D30" s="641">
        <v>0</v>
      </c>
      <c r="E30" s="641">
        <v>0</v>
      </c>
      <c r="F30" s="641">
        <v>0</v>
      </c>
      <c r="G30" s="641">
        <v>0</v>
      </c>
      <c r="H30" s="641">
        <v>0</v>
      </c>
      <c r="I30" s="641">
        <v>0</v>
      </c>
      <c r="J30" s="641">
        <v>142701000</v>
      </c>
      <c r="K30" s="641">
        <v>0</v>
      </c>
      <c r="L30" s="641">
        <v>0</v>
      </c>
      <c r="M30" s="641">
        <v>225000</v>
      </c>
      <c r="N30" s="641">
        <v>860000</v>
      </c>
      <c r="O30" s="641">
        <v>860000</v>
      </c>
      <c r="P30" s="641">
        <v>0</v>
      </c>
      <c r="Q30" s="641">
        <v>0</v>
      </c>
      <c r="R30" s="641">
        <v>0</v>
      </c>
      <c r="S30" s="641">
        <v>0</v>
      </c>
      <c r="T30" s="641">
        <v>0</v>
      </c>
      <c r="U30" s="641">
        <v>0</v>
      </c>
      <c r="V30" s="641">
        <v>0</v>
      </c>
      <c r="W30" s="641">
        <v>0</v>
      </c>
      <c r="X30" s="641">
        <v>0</v>
      </c>
      <c r="Y30" s="641">
        <v>0</v>
      </c>
      <c r="Z30" s="641">
        <v>0</v>
      </c>
      <c r="AA30" s="641">
        <v>0</v>
      </c>
      <c r="AB30" s="641">
        <v>0</v>
      </c>
      <c r="AC30" s="641">
        <v>0</v>
      </c>
    </row>
    <row r="31" spans="1:32" s="687" customFormat="1" ht="15" thickBot="1">
      <c r="A31" s="742"/>
      <c r="B31" s="743"/>
      <c r="C31" s="849">
        <v>190609000</v>
      </c>
      <c r="D31" s="849">
        <v>207367000</v>
      </c>
      <c r="E31" s="849">
        <v>215405000</v>
      </c>
      <c r="F31" s="849">
        <v>182408000</v>
      </c>
      <c r="G31" s="849">
        <v>244712000</v>
      </c>
      <c r="H31" s="849">
        <v>260836000</v>
      </c>
      <c r="I31" s="849">
        <v>246543000</v>
      </c>
      <c r="J31" s="849">
        <v>244467500</v>
      </c>
      <c r="K31" s="849">
        <v>257660500</v>
      </c>
      <c r="L31" s="849">
        <v>58243500</v>
      </c>
      <c r="M31" s="849">
        <v>148040500</v>
      </c>
      <c r="N31" s="849">
        <v>193440000</v>
      </c>
      <c r="O31" s="849">
        <v>196377500</v>
      </c>
      <c r="P31" s="849">
        <v>247298000</v>
      </c>
      <c r="Q31" s="849">
        <v>248078000</v>
      </c>
      <c r="R31" s="849">
        <v>213063000</v>
      </c>
      <c r="S31" s="849">
        <v>159672000</v>
      </c>
      <c r="T31" s="849">
        <v>173447000</v>
      </c>
      <c r="U31" s="849">
        <v>189021500</v>
      </c>
      <c r="V31" s="849">
        <v>151005000</v>
      </c>
      <c r="W31" s="849">
        <v>170867000</v>
      </c>
      <c r="X31" s="849">
        <v>197476000</v>
      </c>
      <c r="Y31" s="849">
        <v>149951000</v>
      </c>
      <c r="Z31" s="849">
        <v>167865000</v>
      </c>
      <c r="AA31" s="849">
        <v>172122000</v>
      </c>
      <c r="AB31" s="849">
        <v>151093000</v>
      </c>
      <c r="AC31" s="849">
        <v>34081000</v>
      </c>
    </row>
    <row r="32" spans="1:32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  <c r="T32" s="851"/>
      <c r="U32" s="851"/>
      <c r="V32" s="851"/>
      <c r="W32" s="851"/>
      <c r="X32" s="851"/>
      <c r="Y32" s="851"/>
      <c r="Z32" s="851"/>
      <c r="AA32" s="851"/>
      <c r="AB32" s="851"/>
      <c r="AC32" s="851"/>
    </row>
    <row r="33" spans="1:29" s="688" customFormat="1" ht="21">
      <c r="A33" s="1446" t="s">
        <v>225</v>
      </c>
      <c r="B33" s="1446"/>
      <c r="C33" s="850">
        <v>192371000</v>
      </c>
      <c r="D33" s="850">
        <v>209129000</v>
      </c>
      <c r="E33" s="850">
        <v>217167000</v>
      </c>
      <c r="F33" s="850">
        <v>184170000</v>
      </c>
      <c r="G33" s="850">
        <v>246474000</v>
      </c>
      <c r="H33" s="850">
        <v>262598000</v>
      </c>
      <c r="I33" s="850">
        <v>248305000</v>
      </c>
      <c r="J33" s="850">
        <v>246229500</v>
      </c>
      <c r="K33" s="850">
        <v>259422500</v>
      </c>
      <c r="L33" s="850">
        <v>60005500</v>
      </c>
      <c r="M33" s="850">
        <v>149802500</v>
      </c>
      <c r="N33" s="850">
        <v>195202000</v>
      </c>
      <c r="O33" s="850">
        <v>198139500</v>
      </c>
      <c r="P33" s="850">
        <v>249060000</v>
      </c>
      <c r="Q33" s="850">
        <v>249840000</v>
      </c>
      <c r="R33" s="850">
        <v>214825000</v>
      </c>
      <c r="S33" s="850">
        <v>161434000</v>
      </c>
      <c r="T33" s="850">
        <v>175209000</v>
      </c>
      <c r="U33" s="850">
        <v>190774500</v>
      </c>
      <c r="V33" s="850">
        <v>152758000</v>
      </c>
      <c r="W33" s="850">
        <v>172618000</v>
      </c>
      <c r="X33" s="850">
        <v>199227000</v>
      </c>
      <c r="Y33" s="850">
        <v>151697000</v>
      </c>
      <c r="Z33" s="850">
        <v>169611000</v>
      </c>
      <c r="AA33" s="850">
        <v>173868000</v>
      </c>
      <c r="AB33" s="850">
        <v>152839000</v>
      </c>
      <c r="AC33" s="850">
        <v>35827000</v>
      </c>
    </row>
    <row r="34" spans="1:29" s="688" customFormat="1" ht="21">
      <c r="A34" s="1071"/>
      <c r="B34" s="1071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  <c r="T34" s="850"/>
      <c r="U34" s="850"/>
      <c r="V34" s="850"/>
      <c r="W34" s="850"/>
      <c r="X34" s="850"/>
      <c r="Y34" s="850"/>
      <c r="Z34" s="850"/>
      <c r="AA34" s="850"/>
      <c r="AB34" s="850"/>
      <c r="AC34" s="850"/>
    </row>
    <row r="35" spans="1:29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  <c r="T35" s="851"/>
      <c r="U35" s="851"/>
      <c r="V35" s="851"/>
      <c r="W35" s="851"/>
      <c r="X35" s="851"/>
      <c r="Y35" s="851"/>
      <c r="Z35" s="851"/>
      <c r="AA35" s="851"/>
      <c r="AB35" s="851"/>
      <c r="AC35" s="851"/>
    </row>
    <row r="36" spans="1:29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4"/>
      <c r="U36" s="854"/>
      <c r="V36" s="854"/>
      <c r="W36" s="854"/>
      <c r="X36" s="854"/>
      <c r="Y36" s="854"/>
      <c r="Z36" s="854"/>
      <c r="AA36" s="854"/>
      <c r="AB36" s="854"/>
      <c r="AC36" s="854"/>
    </row>
    <row r="37" spans="1:29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</row>
    <row r="38" spans="1:29">
      <c r="A38" s="28" t="s">
        <v>69</v>
      </c>
      <c r="B38" s="747" t="s">
        <v>266</v>
      </c>
      <c r="C38" s="855">
        <v>26559510</v>
      </c>
      <c r="D38" s="855">
        <v>5000000</v>
      </c>
      <c r="E38" s="855">
        <v>5000001</v>
      </c>
      <c r="F38" s="855">
        <v>5000001</v>
      </c>
      <c r="G38" s="855">
        <v>5000001</v>
      </c>
      <c r="H38" s="855">
        <v>5000001</v>
      </c>
      <c r="I38" s="855">
        <v>5000001</v>
      </c>
      <c r="J38" s="855">
        <v>5000001</v>
      </c>
      <c r="K38" s="855">
        <v>5000001</v>
      </c>
      <c r="L38" s="855">
        <v>5000001</v>
      </c>
      <c r="M38" s="855">
        <v>5000001</v>
      </c>
      <c r="N38" s="855">
        <v>5000001</v>
      </c>
      <c r="O38" s="855">
        <v>5000001</v>
      </c>
      <c r="P38" s="855">
        <v>5000000</v>
      </c>
      <c r="Q38" s="855">
        <v>5000000</v>
      </c>
      <c r="R38" s="855">
        <v>5000000</v>
      </c>
      <c r="S38" s="855">
        <v>5000000</v>
      </c>
      <c r="T38" s="855">
        <v>5000000</v>
      </c>
      <c r="U38" s="855">
        <v>5000000</v>
      </c>
      <c r="V38" s="855">
        <v>5000000</v>
      </c>
      <c r="W38" s="855">
        <v>4796000</v>
      </c>
      <c r="X38" s="855">
        <v>5000000</v>
      </c>
      <c r="Y38" s="855">
        <v>5000000</v>
      </c>
      <c r="Z38" s="855">
        <v>5000000</v>
      </c>
      <c r="AA38" s="855">
        <v>5000000</v>
      </c>
      <c r="AB38" s="855">
        <v>5000000</v>
      </c>
      <c r="AC38" s="855">
        <v>100000000</v>
      </c>
    </row>
    <row r="39" spans="1:29">
      <c r="A39" s="28" t="s">
        <v>74</v>
      </c>
      <c r="B39" s="746" t="s">
        <v>267</v>
      </c>
      <c r="C39" s="855">
        <v>974126</v>
      </c>
      <c r="D39" s="855">
        <v>966476</v>
      </c>
      <c r="E39" s="855">
        <v>1017476</v>
      </c>
      <c r="F39" s="855">
        <v>1038476</v>
      </c>
      <c r="G39" s="855">
        <v>303476</v>
      </c>
      <c r="H39" s="855">
        <v>415926</v>
      </c>
      <c r="I39" s="855">
        <v>462026</v>
      </c>
      <c r="J39" s="855">
        <v>325776</v>
      </c>
      <c r="K39" s="855">
        <v>673226</v>
      </c>
      <c r="L39" s="855">
        <v>202652</v>
      </c>
      <c r="M39" s="855">
        <v>202652</v>
      </c>
      <c r="N39" s="855">
        <v>211102</v>
      </c>
      <c r="O39" s="855">
        <v>211102</v>
      </c>
      <c r="P39" s="855">
        <v>458902</v>
      </c>
      <c r="Q39" s="855">
        <v>464977</v>
      </c>
      <c r="R39" s="855">
        <v>647727</v>
      </c>
      <c r="S39" s="855">
        <v>914577</v>
      </c>
      <c r="T39" s="855">
        <v>1065327</v>
      </c>
      <c r="U39" s="855">
        <v>1761077</v>
      </c>
      <c r="V39" s="855">
        <v>457627</v>
      </c>
      <c r="W39" s="855">
        <v>909627</v>
      </c>
      <c r="X39" s="855">
        <v>136627</v>
      </c>
      <c r="Y39" s="855">
        <v>408347</v>
      </c>
      <c r="Z39" s="855">
        <v>458872</v>
      </c>
      <c r="AA39" s="855">
        <v>458872</v>
      </c>
      <c r="AB39" s="855">
        <v>458872</v>
      </c>
      <c r="AC39" s="855">
        <v>458872</v>
      </c>
    </row>
    <row r="40" spans="1:29">
      <c r="A40" s="28" t="s">
        <v>1</v>
      </c>
      <c r="B40" s="746" t="s">
        <v>268</v>
      </c>
      <c r="C40" s="855">
        <v>869552</v>
      </c>
      <c r="D40" s="855">
        <v>1227867</v>
      </c>
      <c r="E40" s="855">
        <v>1501655</v>
      </c>
      <c r="F40" s="855">
        <v>1926348</v>
      </c>
      <c r="G40" s="855">
        <v>300842</v>
      </c>
      <c r="H40" s="855">
        <v>524333</v>
      </c>
      <c r="I40" s="855">
        <v>757126</v>
      </c>
      <c r="J40" s="855">
        <v>1146911</v>
      </c>
      <c r="K40" s="855">
        <v>143136</v>
      </c>
      <c r="L40" s="855">
        <v>569225</v>
      </c>
      <c r="M40" s="855">
        <v>1060114</v>
      </c>
      <c r="N40" s="855">
        <v>337087</v>
      </c>
      <c r="O40" s="855">
        <v>638477</v>
      </c>
      <c r="P40" s="855">
        <v>119163</v>
      </c>
      <c r="Q40" s="855">
        <v>481450</v>
      </c>
      <c r="R40" s="855">
        <v>914138</v>
      </c>
      <c r="S40" s="855">
        <v>570625</v>
      </c>
      <c r="T40" s="855">
        <v>845415</v>
      </c>
      <c r="U40" s="855">
        <v>1153805</v>
      </c>
      <c r="V40" s="855">
        <v>1952981</v>
      </c>
      <c r="W40" s="855">
        <v>612162</v>
      </c>
      <c r="X40" s="855">
        <v>1159349</v>
      </c>
      <c r="Y40" s="855">
        <v>54138</v>
      </c>
      <c r="Z40" s="855">
        <v>320530</v>
      </c>
      <c r="AA40" s="855">
        <v>672621</v>
      </c>
      <c r="AB40" s="855">
        <v>966907</v>
      </c>
      <c r="AC40" s="855">
        <v>1265195</v>
      </c>
    </row>
    <row r="41" spans="1:29">
      <c r="A41" s="28" t="s">
        <v>111</v>
      </c>
      <c r="B41" s="746" t="s">
        <v>269</v>
      </c>
      <c r="C41" s="855">
        <v>160153</v>
      </c>
      <c r="D41" s="855">
        <v>235353</v>
      </c>
      <c r="E41" s="855">
        <v>442768</v>
      </c>
      <c r="F41" s="855">
        <v>603593</v>
      </c>
      <c r="G41" s="855">
        <v>643293</v>
      </c>
      <c r="H41" s="855">
        <v>674293</v>
      </c>
      <c r="I41" s="855">
        <v>707293</v>
      </c>
      <c r="J41" s="855">
        <v>740543</v>
      </c>
      <c r="K41" s="855">
        <v>1039918</v>
      </c>
      <c r="L41" s="855">
        <v>117918</v>
      </c>
      <c r="M41" s="855">
        <v>306118</v>
      </c>
      <c r="N41" s="855">
        <v>652108</v>
      </c>
      <c r="O41" s="855">
        <v>793908</v>
      </c>
      <c r="P41" s="855">
        <v>810908</v>
      </c>
      <c r="Q41" s="855">
        <v>916428</v>
      </c>
      <c r="R41" s="855">
        <v>14258</v>
      </c>
      <c r="S41" s="855">
        <v>31758</v>
      </c>
      <c r="T41" s="855">
        <v>284808</v>
      </c>
      <c r="U41" s="855">
        <v>410508</v>
      </c>
      <c r="V41" s="855">
        <v>658688</v>
      </c>
      <c r="W41" s="855">
        <v>744488</v>
      </c>
      <c r="X41" s="855">
        <v>790808</v>
      </c>
      <c r="Y41" s="855">
        <v>1036708</v>
      </c>
      <c r="Z41" s="855">
        <v>62128</v>
      </c>
      <c r="AA41" s="855">
        <v>272508</v>
      </c>
      <c r="AB41" s="855">
        <v>522008</v>
      </c>
      <c r="AC41" s="855">
        <v>808588</v>
      </c>
    </row>
    <row r="42" spans="1:29">
      <c r="A42" s="28" t="s">
        <v>168</v>
      </c>
      <c r="B42" s="746" t="s">
        <v>204</v>
      </c>
      <c r="C42" s="855">
        <v>324720</v>
      </c>
      <c r="D42" s="855">
        <v>337920</v>
      </c>
      <c r="E42" s="855">
        <v>401920</v>
      </c>
      <c r="F42" s="855">
        <v>425420</v>
      </c>
      <c r="G42" s="855">
        <v>442920</v>
      </c>
      <c r="H42" s="855">
        <v>442920</v>
      </c>
      <c r="I42" s="855">
        <v>442920</v>
      </c>
      <c r="J42" s="855">
        <v>442920</v>
      </c>
      <c r="K42" s="855">
        <v>540520</v>
      </c>
      <c r="L42" s="855">
        <v>540520</v>
      </c>
      <c r="M42" s="855">
        <v>623120</v>
      </c>
      <c r="N42" s="855">
        <v>211620</v>
      </c>
      <c r="O42" s="855">
        <v>235120</v>
      </c>
      <c r="P42" s="855">
        <v>252620</v>
      </c>
      <c r="Q42" s="855">
        <v>354620</v>
      </c>
      <c r="R42" s="855">
        <v>389870</v>
      </c>
      <c r="S42" s="855">
        <v>502870</v>
      </c>
      <c r="T42" s="855">
        <v>526370</v>
      </c>
      <c r="U42" s="855">
        <v>570870</v>
      </c>
      <c r="V42" s="855">
        <v>694470</v>
      </c>
      <c r="W42" s="855">
        <v>694470</v>
      </c>
      <c r="X42" s="855">
        <v>725170</v>
      </c>
      <c r="Y42" s="855">
        <v>225170</v>
      </c>
      <c r="Z42" s="855">
        <v>225170</v>
      </c>
      <c r="AA42" s="855">
        <v>225170</v>
      </c>
      <c r="AB42" s="855">
        <v>288670</v>
      </c>
      <c r="AC42" s="855">
        <v>335170</v>
      </c>
    </row>
    <row r="43" spans="1:29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  <c r="T43" s="855">
        <v>0</v>
      </c>
      <c r="U43" s="855">
        <v>0</v>
      </c>
      <c r="V43" s="855">
        <v>0</v>
      </c>
      <c r="W43" s="855">
        <v>0</v>
      </c>
      <c r="X43" s="855">
        <v>0</v>
      </c>
      <c r="Y43" s="855">
        <v>0</v>
      </c>
      <c r="Z43" s="855">
        <v>0</v>
      </c>
      <c r="AA43" s="855">
        <v>0</v>
      </c>
      <c r="AB43" s="855">
        <v>0</v>
      </c>
      <c r="AC43" s="855">
        <v>0</v>
      </c>
    </row>
    <row r="44" spans="1:29">
      <c r="A44" s="28" t="s">
        <v>9</v>
      </c>
      <c r="B44" s="746" t="s">
        <v>270</v>
      </c>
      <c r="C44" s="855">
        <v>220337</v>
      </c>
      <c r="D44" s="855">
        <v>217900</v>
      </c>
      <c r="E44" s="855">
        <v>257263</v>
      </c>
      <c r="F44" s="855">
        <v>742763</v>
      </c>
      <c r="G44" s="855">
        <v>742763</v>
      </c>
      <c r="H44" s="855">
        <v>742763</v>
      </c>
      <c r="I44" s="855">
        <v>742763</v>
      </c>
      <c r="J44" s="855">
        <v>742763</v>
      </c>
      <c r="K44" s="855">
        <v>740326</v>
      </c>
      <c r="L44" s="855">
        <v>283026</v>
      </c>
      <c r="M44" s="855">
        <v>278152</v>
      </c>
      <c r="N44" s="855">
        <v>1127478</v>
      </c>
      <c r="O44" s="855">
        <v>1257378</v>
      </c>
      <c r="P44" s="855">
        <v>1257378</v>
      </c>
      <c r="Q44" s="855">
        <v>257378</v>
      </c>
      <c r="R44" s="855">
        <v>257378</v>
      </c>
      <c r="S44" s="855">
        <v>247630</v>
      </c>
      <c r="T44" s="855">
        <v>568230</v>
      </c>
      <c r="U44" s="855">
        <v>568230</v>
      </c>
      <c r="V44" s="855">
        <v>995119</v>
      </c>
      <c r="W44" s="855">
        <v>992682</v>
      </c>
      <c r="X44" s="855">
        <v>410382</v>
      </c>
      <c r="Y44" s="855">
        <v>410382</v>
      </c>
      <c r="Z44" s="855">
        <v>410382</v>
      </c>
      <c r="AA44" s="855">
        <v>405508</v>
      </c>
      <c r="AB44" s="855">
        <v>850608</v>
      </c>
      <c r="AC44" s="855">
        <v>848171</v>
      </c>
    </row>
    <row r="45" spans="1:29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  <c r="N45" s="641">
        <v>4149</v>
      </c>
      <c r="O45" s="641">
        <v>4149</v>
      </c>
      <c r="P45" s="641">
        <v>4149</v>
      </c>
      <c r="Q45" s="641">
        <v>4149</v>
      </c>
      <c r="R45" s="641">
        <v>4149</v>
      </c>
      <c r="S45" s="641">
        <v>4149</v>
      </c>
      <c r="T45" s="641">
        <v>4149</v>
      </c>
      <c r="U45" s="641">
        <v>4149</v>
      </c>
      <c r="V45" s="641">
        <v>4149</v>
      </c>
      <c r="W45" s="641">
        <v>4149</v>
      </c>
      <c r="X45" s="641">
        <v>4149</v>
      </c>
      <c r="Y45" s="641">
        <v>4149</v>
      </c>
      <c r="Z45" s="641">
        <v>4149</v>
      </c>
      <c r="AA45" s="641">
        <v>4149</v>
      </c>
      <c r="AB45" s="641">
        <v>4149</v>
      </c>
      <c r="AC45" s="641">
        <v>4149</v>
      </c>
    </row>
    <row r="46" spans="1:29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  <c r="N46" s="641">
        <v>22000</v>
      </c>
      <c r="O46" s="641">
        <v>22000</v>
      </c>
      <c r="P46" s="641">
        <v>22000</v>
      </c>
      <c r="Q46" s="641">
        <v>22000</v>
      </c>
      <c r="R46" s="641">
        <v>22000</v>
      </c>
      <c r="S46" s="641">
        <v>22000</v>
      </c>
      <c r="T46" s="641">
        <v>22000</v>
      </c>
      <c r="U46" s="641">
        <v>22000</v>
      </c>
      <c r="V46" s="641">
        <v>22000</v>
      </c>
      <c r="W46" s="641">
        <v>22000</v>
      </c>
      <c r="X46" s="641">
        <v>22000</v>
      </c>
      <c r="Y46" s="641">
        <v>22000</v>
      </c>
      <c r="Z46" s="641">
        <v>22000</v>
      </c>
      <c r="AA46" s="641">
        <v>22000</v>
      </c>
      <c r="AB46" s="641">
        <v>22000</v>
      </c>
      <c r="AC46" s="641">
        <v>22000</v>
      </c>
    </row>
    <row r="47" spans="1:29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41"/>
      <c r="AB47" s="641"/>
      <c r="AC47" s="641"/>
    </row>
    <row r="48" spans="1:29" s="687" customFormat="1" ht="15" thickBot="1">
      <c r="A48" s="1447" t="s">
        <v>224</v>
      </c>
      <c r="B48" s="1448"/>
      <c r="C48" s="856">
        <v>29134547</v>
      </c>
      <c r="D48" s="856">
        <v>8011665</v>
      </c>
      <c r="E48" s="856">
        <v>8647232</v>
      </c>
      <c r="F48" s="856">
        <v>9762750</v>
      </c>
      <c r="G48" s="856">
        <v>7459444</v>
      </c>
      <c r="H48" s="856">
        <v>7826385</v>
      </c>
      <c r="I48" s="856">
        <v>8138278</v>
      </c>
      <c r="J48" s="856">
        <v>8425063</v>
      </c>
      <c r="K48" s="856">
        <v>8163276</v>
      </c>
      <c r="L48" s="856">
        <v>6739491</v>
      </c>
      <c r="M48" s="856">
        <v>7496306</v>
      </c>
      <c r="N48" s="856">
        <v>7565545</v>
      </c>
      <c r="O48" s="856">
        <v>8162135</v>
      </c>
      <c r="P48" s="856">
        <v>7925120</v>
      </c>
      <c r="Q48" s="856">
        <v>7501002</v>
      </c>
      <c r="R48" s="856">
        <v>7249520</v>
      </c>
      <c r="S48" s="856">
        <v>7293609</v>
      </c>
      <c r="T48" s="856">
        <v>8316299</v>
      </c>
      <c r="U48" s="856">
        <v>9490639</v>
      </c>
      <c r="V48" s="856">
        <v>9785034</v>
      </c>
      <c r="W48" s="856">
        <v>8775578</v>
      </c>
      <c r="X48" s="856">
        <v>8248485</v>
      </c>
      <c r="Y48" s="856">
        <v>7160894</v>
      </c>
      <c r="Z48" s="856">
        <v>6503231</v>
      </c>
      <c r="AA48" s="856">
        <v>7060828</v>
      </c>
      <c r="AB48" s="856">
        <v>8113214</v>
      </c>
      <c r="AC48" s="856">
        <v>103742145</v>
      </c>
    </row>
    <row r="49" spans="1:29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  <c r="U49" s="851"/>
      <c r="V49" s="851"/>
      <c r="W49" s="851"/>
      <c r="X49" s="851"/>
      <c r="Y49" s="851"/>
      <c r="Z49" s="851"/>
      <c r="AA49" s="851"/>
      <c r="AB49" s="851"/>
      <c r="AC49" s="851"/>
    </row>
    <row r="50" spans="1:29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  <c r="T50" s="854"/>
      <c r="U50" s="854"/>
      <c r="V50" s="854"/>
      <c r="W50" s="854"/>
      <c r="X50" s="854"/>
      <c r="Y50" s="854"/>
      <c r="Z50" s="854"/>
      <c r="AA50" s="854"/>
      <c r="AB50" s="854"/>
      <c r="AC50" s="854"/>
    </row>
    <row r="51" spans="1:29">
      <c r="A51" s="28" t="s">
        <v>90</v>
      </c>
      <c r="B51" s="747" t="s">
        <v>206</v>
      </c>
      <c r="C51" s="855">
        <v>5079980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4990000</v>
      </c>
      <c r="O51" s="855">
        <v>5000000</v>
      </c>
      <c r="P51" s="855">
        <v>5000000</v>
      </c>
      <c r="Q51" s="855">
        <v>2749000</v>
      </c>
      <c r="R51" s="855">
        <v>5000000</v>
      </c>
      <c r="S51" s="855">
        <v>5000000</v>
      </c>
      <c r="T51" s="855">
        <v>5000000</v>
      </c>
      <c r="U51" s="855">
        <v>35289550</v>
      </c>
      <c r="V51" s="855">
        <v>5000000</v>
      </c>
      <c r="W51" s="855">
        <v>5000000</v>
      </c>
      <c r="X51" s="855">
        <v>5000000</v>
      </c>
      <c r="Y51" s="855">
        <v>5000000</v>
      </c>
      <c r="Z51" s="855">
        <v>5000000</v>
      </c>
      <c r="AA51" s="855">
        <v>5000000</v>
      </c>
      <c r="AB51" s="855">
        <v>5000000</v>
      </c>
      <c r="AC51" s="855">
        <v>100000000</v>
      </c>
    </row>
    <row r="52" spans="1:29">
      <c r="A52" s="28" t="s">
        <v>73</v>
      </c>
      <c r="B52" s="746" t="s">
        <v>81</v>
      </c>
      <c r="C52" s="855">
        <v>356725</v>
      </c>
      <c r="D52" s="855">
        <v>334725</v>
      </c>
      <c r="E52" s="855">
        <v>390943</v>
      </c>
      <c r="F52" s="855">
        <v>832468</v>
      </c>
      <c r="G52" s="855">
        <v>414443</v>
      </c>
      <c r="H52" s="855">
        <v>440368</v>
      </c>
      <c r="I52" s="855">
        <v>440368</v>
      </c>
      <c r="J52" s="855">
        <v>440368</v>
      </c>
      <c r="K52" s="855">
        <v>440368</v>
      </c>
      <c r="L52" s="855">
        <v>440368</v>
      </c>
      <c r="M52" s="855">
        <v>440368</v>
      </c>
      <c r="N52" s="855">
        <v>440368</v>
      </c>
      <c r="O52" s="855">
        <v>440368</v>
      </c>
      <c r="P52" s="855">
        <v>440368</v>
      </c>
      <c r="Q52" s="855">
        <v>451143</v>
      </c>
      <c r="R52" s="855">
        <v>879143</v>
      </c>
      <c r="S52" s="855">
        <v>93643</v>
      </c>
      <c r="T52" s="855">
        <v>294643</v>
      </c>
      <c r="U52" s="855">
        <v>520643</v>
      </c>
      <c r="V52" s="855">
        <v>22643</v>
      </c>
      <c r="W52" s="855">
        <v>22643</v>
      </c>
      <c r="X52" s="855">
        <v>73643</v>
      </c>
      <c r="Y52" s="855">
        <v>73643</v>
      </c>
      <c r="Z52" s="855">
        <v>73643</v>
      </c>
      <c r="AA52" s="855">
        <v>73643</v>
      </c>
      <c r="AB52" s="855">
        <v>256493</v>
      </c>
      <c r="AC52" s="855">
        <v>299537</v>
      </c>
    </row>
    <row r="53" spans="1:29">
      <c r="A53" s="28" t="s">
        <v>1</v>
      </c>
      <c r="B53" s="746" t="s">
        <v>271</v>
      </c>
      <c r="C53" s="855">
        <v>1013066</v>
      </c>
      <c r="D53" s="855">
        <v>762816</v>
      </c>
      <c r="E53" s="855">
        <v>489959</v>
      </c>
      <c r="F53" s="855">
        <v>892252</v>
      </c>
      <c r="G53" s="855">
        <v>1151445</v>
      </c>
      <c r="H53" s="855">
        <v>1697434</v>
      </c>
      <c r="I53" s="855">
        <v>1888428</v>
      </c>
      <c r="J53" s="855">
        <v>307615</v>
      </c>
      <c r="K53" s="855">
        <v>691807</v>
      </c>
      <c r="L53" s="855">
        <v>291690</v>
      </c>
      <c r="M53" s="855">
        <v>827576</v>
      </c>
      <c r="N53" s="855">
        <v>815538</v>
      </c>
      <c r="O53" s="855">
        <v>815538</v>
      </c>
      <c r="P53" s="855">
        <v>243227</v>
      </c>
      <c r="Q53" s="855">
        <v>467418</v>
      </c>
      <c r="R53" s="855">
        <v>693713</v>
      </c>
      <c r="S53" s="855">
        <v>1197904</v>
      </c>
      <c r="T53" s="855">
        <v>1410194</v>
      </c>
      <c r="U53" s="855">
        <v>228577</v>
      </c>
      <c r="V53" s="855">
        <v>462051</v>
      </c>
      <c r="W53" s="855">
        <v>893145</v>
      </c>
      <c r="X53" s="855">
        <v>1213836</v>
      </c>
      <c r="Y53" s="855">
        <v>103429</v>
      </c>
      <c r="Z53" s="855">
        <v>414719</v>
      </c>
      <c r="AA53" s="855">
        <v>414719</v>
      </c>
      <c r="AB53" s="855">
        <v>919804</v>
      </c>
      <c r="AC53" s="855">
        <v>1487990</v>
      </c>
    </row>
    <row r="54" spans="1:29">
      <c r="A54" s="28" t="s">
        <v>111</v>
      </c>
      <c r="B54" s="746" t="s">
        <v>83</v>
      </c>
      <c r="C54" s="855">
        <v>674940</v>
      </c>
      <c r="D54" s="855">
        <v>674940</v>
      </c>
      <c r="E54" s="855">
        <v>780660</v>
      </c>
      <c r="F54" s="855">
        <v>801360</v>
      </c>
      <c r="G54" s="855">
        <v>801360</v>
      </c>
      <c r="H54" s="855">
        <v>801360</v>
      </c>
      <c r="I54" s="855">
        <v>956360</v>
      </c>
      <c r="J54" s="855">
        <v>979860</v>
      </c>
      <c r="K54" s="855">
        <v>992860</v>
      </c>
      <c r="L54" s="855">
        <v>1033860</v>
      </c>
      <c r="M54" s="855">
        <v>1143210</v>
      </c>
      <c r="N54" s="855">
        <v>1275110</v>
      </c>
      <c r="O54" s="855">
        <v>1275110</v>
      </c>
      <c r="P54" s="855">
        <v>1322990</v>
      </c>
      <c r="Q54" s="855">
        <v>1345490</v>
      </c>
      <c r="R54" s="855">
        <v>345490</v>
      </c>
      <c r="S54" s="855">
        <v>374630</v>
      </c>
      <c r="T54" s="855">
        <v>552580</v>
      </c>
      <c r="U54" s="855">
        <v>583580</v>
      </c>
      <c r="V54" s="855">
        <v>662420</v>
      </c>
      <c r="W54" s="855">
        <v>746960</v>
      </c>
      <c r="X54" s="855">
        <v>840850</v>
      </c>
      <c r="Y54" s="855">
        <v>962950</v>
      </c>
      <c r="Z54" s="855">
        <v>1026430</v>
      </c>
      <c r="AA54" s="855">
        <v>1026430</v>
      </c>
      <c r="AB54" s="855">
        <v>1115430</v>
      </c>
      <c r="AC54" s="855">
        <v>1115430</v>
      </c>
    </row>
    <row r="55" spans="1:29">
      <c r="A55" s="28" t="s">
        <v>168</v>
      </c>
      <c r="B55" s="746" t="s">
        <v>272</v>
      </c>
      <c r="C55" s="855">
        <v>395683</v>
      </c>
      <c r="D55" s="855">
        <v>395683</v>
      </c>
      <c r="E55" s="855">
        <v>395683</v>
      </c>
      <c r="F55" s="855">
        <v>395683</v>
      </c>
      <c r="G55" s="855">
        <v>395683</v>
      </c>
      <c r="H55" s="855">
        <v>395683</v>
      </c>
      <c r="I55" s="855">
        <v>395683</v>
      </c>
      <c r="J55" s="855">
        <v>395683</v>
      </c>
      <c r="K55" s="855">
        <v>408883</v>
      </c>
      <c r="L55" s="855">
        <v>509383</v>
      </c>
      <c r="M55" s="855">
        <v>9383</v>
      </c>
      <c r="N55" s="855">
        <v>149883</v>
      </c>
      <c r="O55" s="855">
        <v>149883</v>
      </c>
      <c r="P55" s="855">
        <v>149883</v>
      </c>
      <c r="Q55" s="855">
        <v>165883</v>
      </c>
      <c r="R55" s="855">
        <v>165883</v>
      </c>
      <c r="S55" s="855">
        <v>165883</v>
      </c>
      <c r="T55" s="855">
        <v>165883</v>
      </c>
      <c r="U55" s="855">
        <v>212383</v>
      </c>
      <c r="V55" s="855">
        <v>305383</v>
      </c>
      <c r="W55" s="855">
        <v>305383</v>
      </c>
      <c r="X55" s="855">
        <v>318583</v>
      </c>
      <c r="Y55" s="855">
        <v>318583</v>
      </c>
      <c r="Z55" s="855">
        <v>379083</v>
      </c>
      <c r="AA55" s="855">
        <v>379083</v>
      </c>
      <c r="AB55" s="855">
        <v>441833</v>
      </c>
      <c r="AC55" s="855">
        <v>497833</v>
      </c>
    </row>
    <row r="56" spans="1:29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  <c r="T56" s="855">
        <v>0</v>
      </c>
      <c r="U56" s="855">
        <v>0</v>
      </c>
      <c r="V56" s="855">
        <v>0</v>
      </c>
      <c r="W56" s="855">
        <v>0</v>
      </c>
      <c r="X56" s="855">
        <v>0</v>
      </c>
      <c r="Y56" s="855">
        <v>0</v>
      </c>
      <c r="Z56" s="855">
        <v>0</v>
      </c>
      <c r="AA56" s="855">
        <v>0</v>
      </c>
      <c r="AB56" s="855">
        <v>0</v>
      </c>
      <c r="AC56" s="855">
        <v>0</v>
      </c>
    </row>
    <row r="57" spans="1:29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  <c r="T57" s="855">
        <v>208871</v>
      </c>
      <c r="U57" s="855">
        <v>208871</v>
      </c>
      <c r="V57" s="855">
        <v>208871</v>
      </c>
      <c r="W57" s="855">
        <v>208871</v>
      </c>
      <c r="X57" s="855">
        <v>208871</v>
      </c>
      <c r="Y57" s="855">
        <v>208871</v>
      </c>
      <c r="Z57" s="855">
        <v>208871</v>
      </c>
      <c r="AA57" s="855">
        <v>208871</v>
      </c>
      <c r="AB57" s="855">
        <v>208871</v>
      </c>
      <c r="AC57" s="855">
        <v>208871</v>
      </c>
    </row>
    <row r="58" spans="1:29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  <c r="T58" s="855">
        <v>4634</v>
      </c>
      <c r="U58" s="855">
        <v>4634</v>
      </c>
      <c r="V58" s="855">
        <v>4634</v>
      </c>
      <c r="W58" s="855">
        <v>4634</v>
      </c>
      <c r="X58" s="855">
        <v>4634</v>
      </c>
      <c r="Y58" s="855">
        <v>4634</v>
      </c>
      <c r="Z58" s="855">
        <v>4634</v>
      </c>
      <c r="AA58" s="855">
        <v>4634</v>
      </c>
      <c r="AB58" s="855">
        <v>4634</v>
      </c>
      <c r="AC58" s="855">
        <v>4634</v>
      </c>
    </row>
    <row r="59" spans="1:29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  <c r="U59" s="857"/>
      <c r="V59" s="857"/>
      <c r="W59" s="857"/>
      <c r="X59" s="857"/>
      <c r="Y59" s="857"/>
      <c r="Z59" s="857"/>
      <c r="AA59" s="857"/>
      <c r="AB59" s="857"/>
      <c r="AC59" s="857"/>
    </row>
    <row r="60" spans="1:29" s="687" customFormat="1" ht="15" thickBot="1">
      <c r="A60" s="1447" t="s">
        <v>224</v>
      </c>
      <c r="B60" s="1448"/>
      <c r="C60" s="856">
        <v>7733899</v>
      </c>
      <c r="D60" s="856">
        <v>7381669</v>
      </c>
      <c r="E60" s="856">
        <v>7270750</v>
      </c>
      <c r="F60" s="856">
        <v>8135268</v>
      </c>
      <c r="G60" s="856">
        <v>7976436</v>
      </c>
      <c r="H60" s="856">
        <v>8548350</v>
      </c>
      <c r="I60" s="856">
        <v>8894344</v>
      </c>
      <c r="J60" s="856">
        <v>7337031</v>
      </c>
      <c r="K60" s="856">
        <v>7747423</v>
      </c>
      <c r="L60" s="856">
        <v>7488806</v>
      </c>
      <c r="M60" s="856">
        <v>7634042</v>
      </c>
      <c r="N60" s="856">
        <v>7884404</v>
      </c>
      <c r="O60" s="856">
        <v>7894404</v>
      </c>
      <c r="P60" s="856">
        <v>7369973</v>
      </c>
      <c r="Q60" s="856">
        <v>5392439</v>
      </c>
      <c r="R60" s="856">
        <v>7297734</v>
      </c>
      <c r="S60" s="856">
        <v>7045565</v>
      </c>
      <c r="T60" s="856">
        <v>7636805</v>
      </c>
      <c r="U60" s="856">
        <v>37048238</v>
      </c>
      <c r="V60" s="856">
        <v>6666002</v>
      </c>
      <c r="W60" s="856">
        <v>7181636</v>
      </c>
      <c r="X60" s="856">
        <v>7660417</v>
      </c>
      <c r="Y60" s="856">
        <v>6672110</v>
      </c>
      <c r="Z60" s="856">
        <v>7107380</v>
      </c>
      <c r="AA60" s="856">
        <v>7107380</v>
      </c>
      <c r="AB60" s="856">
        <v>7947065</v>
      </c>
      <c r="AC60" s="856">
        <v>103614295</v>
      </c>
    </row>
    <row r="61" spans="1:29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  <c r="U61" s="851"/>
      <c r="V61" s="851"/>
      <c r="W61" s="851"/>
      <c r="X61" s="851"/>
      <c r="Y61" s="851"/>
      <c r="Z61" s="851"/>
      <c r="AA61" s="851"/>
      <c r="AB61" s="851"/>
      <c r="AC61" s="851"/>
    </row>
    <row r="62" spans="1:29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  <c r="T62" s="858"/>
      <c r="U62" s="858"/>
      <c r="V62" s="858"/>
      <c r="W62" s="858"/>
      <c r="X62" s="858"/>
      <c r="Y62" s="858"/>
      <c r="Z62" s="858"/>
      <c r="AA62" s="858"/>
      <c r="AB62" s="858"/>
      <c r="AC62" s="858"/>
    </row>
    <row r="63" spans="1:29">
      <c r="A63" s="751" t="s">
        <v>1</v>
      </c>
      <c r="B63" s="752" t="s">
        <v>275</v>
      </c>
      <c r="C63" s="859">
        <v>379666</v>
      </c>
      <c r="D63" s="859">
        <v>122016</v>
      </c>
      <c r="E63" s="859">
        <v>381407</v>
      </c>
      <c r="F63" s="859">
        <v>1048890</v>
      </c>
      <c r="G63" s="859">
        <v>1358679</v>
      </c>
      <c r="H63" s="859">
        <v>43058</v>
      </c>
      <c r="I63" s="859">
        <v>323447</v>
      </c>
      <c r="J63" s="859">
        <v>1128830</v>
      </c>
      <c r="K63" s="859">
        <v>1790014</v>
      </c>
      <c r="L63" s="859">
        <v>483211</v>
      </c>
      <c r="M63" s="859">
        <v>628630</v>
      </c>
      <c r="N63" s="859">
        <v>636770</v>
      </c>
      <c r="O63" s="859">
        <v>636770</v>
      </c>
      <c r="P63" s="859">
        <v>168359</v>
      </c>
      <c r="Q63" s="859">
        <v>622049</v>
      </c>
      <c r="R63" s="859">
        <v>1300337</v>
      </c>
      <c r="S63" s="859">
        <v>1634226</v>
      </c>
      <c r="T63" s="859">
        <v>75610</v>
      </c>
      <c r="U63" s="859">
        <v>608893</v>
      </c>
      <c r="V63" s="859">
        <v>803967</v>
      </c>
      <c r="W63" s="859">
        <v>1434457</v>
      </c>
      <c r="X63" s="859">
        <v>1980041</v>
      </c>
      <c r="Y63" s="859">
        <v>588631</v>
      </c>
      <c r="Z63" s="859">
        <v>1166915</v>
      </c>
      <c r="AA63" s="859">
        <v>1166915</v>
      </c>
      <c r="AB63" s="859">
        <v>1563203</v>
      </c>
      <c r="AC63" s="859">
        <v>1982593</v>
      </c>
    </row>
    <row r="64" spans="1:29">
      <c r="A64" s="751" t="s">
        <v>212</v>
      </c>
      <c r="B64" s="752" t="s">
        <v>274</v>
      </c>
      <c r="C64" s="859">
        <v>1068894</v>
      </c>
      <c r="D64" s="859">
        <v>159894</v>
      </c>
      <c r="E64" s="859">
        <v>257894</v>
      </c>
      <c r="F64" s="859">
        <v>1330394</v>
      </c>
      <c r="G64" s="859">
        <v>2903394</v>
      </c>
      <c r="H64" s="859">
        <v>1103394</v>
      </c>
      <c r="I64" s="859">
        <v>379394</v>
      </c>
      <c r="J64" s="859">
        <v>10294</v>
      </c>
      <c r="K64" s="859">
        <v>2066294</v>
      </c>
      <c r="L64" s="859">
        <v>326294</v>
      </c>
      <c r="M64" s="859">
        <v>677461</v>
      </c>
      <c r="N64" s="859">
        <v>36361</v>
      </c>
      <c r="O64" s="859">
        <v>36361</v>
      </c>
      <c r="P64" s="859">
        <v>3869861</v>
      </c>
      <c r="Q64" s="859">
        <v>502861</v>
      </c>
      <c r="R64" s="859">
        <v>85861</v>
      </c>
      <c r="S64" s="859">
        <v>572861</v>
      </c>
      <c r="T64" s="859">
        <v>432861</v>
      </c>
      <c r="U64" s="859">
        <v>24761</v>
      </c>
      <c r="V64" s="859">
        <v>1126161</v>
      </c>
      <c r="W64" s="859">
        <v>110260</v>
      </c>
      <c r="X64" s="859">
        <v>24910</v>
      </c>
      <c r="Y64" s="859">
        <v>328910</v>
      </c>
      <c r="Z64" s="859">
        <v>1410</v>
      </c>
      <c r="AA64" s="859">
        <v>1410</v>
      </c>
      <c r="AB64" s="859">
        <v>469905</v>
      </c>
      <c r="AC64" s="859">
        <v>873405</v>
      </c>
    </row>
    <row r="65" spans="1:29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  <c r="T65" s="859">
        <v>159814</v>
      </c>
      <c r="U65" s="859">
        <v>159814</v>
      </c>
      <c r="V65" s="859">
        <v>159814</v>
      </c>
      <c r="W65" s="859">
        <v>159814</v>
      </c>
      <c r="X65" s="859">
        <v>159814</v>
      </c>
      <c r="Y65" s="859">
        <v>159814</v>
      </c>
      <c r="Z65" s="859">
        <v>159814</v>
      </c>
      <c r="AA65" s="859">
        <v>159814</v>
      </c>
      <c r="AB65" s="859">
        <v>159814</v>
      </c>
      <c r="AC65" s="859">
        <v>159814</v>
      </c>
    </row>
    <row r="66" spans="1:29">
      <c r="A66" s="751" t="s">
        <v>747</v>
      </c>
      <c r="B66" s="752" t="s">
        <v>277</v>
      </c>
      <c r="C66" s="859">
        <v>1516851</v>
      </c>
      <c r="D66" s="859">
        <v>1516851</v>
      </c>
      <c r="E66" s="859">
        <v>2935291</v>
      </c>
      <c r="F66" s="859">
        <v>3335291</v>
      </c>
      <c r="G66" s="859">
        <v>325291</v>
      </c>
      <c r="H66" s="859">
        <v>2712791</v>
      </c>
      <c r="I66" s="859">
        <v>2850291</v>
      </c>
      <c r="J66" s="859">
        <v>1425310</v>
      </c>
      <c r="K66" s="859">
        <v>1293473</v>
      </c>
      <c r="L66" s="859">
        <v>861368</v>
      </c>
      <c r="M66" s="859">
        <v>1965513</v>
      </c>
      <c r="N66" s="859">
        <v>1257965</v>
      </c>
      <c r="O66" s="859">
        <v>1257965</v>
      </c>
      <c r="P66" s="859">
        <v>3018405</v>
      </c>
      <c r="Q66" s="859">
        <v>7090905</v>
      </c>
      <c r="R66" s="859">
        <v>5933405</v>
      </c>
      <c r="S66" s="859">
        <v>1213405</v>
      </c>
      <c r="T66" s="859">
        <v>533405</v>
      </c>
      <c r="U66" s="859">
        <v>3108513</v>
      </c>
      <c r="V66" s="859">
        <v>2049399</v>
      </c>
      <c r="W66" s="859">
        <v>717399</v>
      </c>
      <c r="X66" s="859">
        <v>2019899</v>
      </c>
      <c r="Y66" s="859">
        <v>901399</v>
      </c>
      <c r="Z66" s="859">
        <v>3693899</v>
      </c>
      <c r="AA66" s="859">
        <v>3693899</v>
      </c>
      <c r="AB66" s="859">
        <v>3043519</v>
      </c>
      <c r="AC66" s="859">
        <v>1036019</v>
      </c>
    </row>
    <row r="67" spans="1:29">
      <c r="A67" s="751" t="s">
        <v>200</v>
      </c>
      <c r="B67" s="752" t="s">
        <v>278</v>
      </c>
      <c r="C67" s="859">
        <v>30907</v>
      </c>
      <c r="D67" s="859">
        <v>30907</v>
      </c>
      <c r="E67" s="859">
        <v>30907</v>
      </c>
      <c r="F67" s="859">
        <v>30907</v>
      </c>
      <c r="G67" s="859">
        <v>30907</v>
      </c>
      <c r="H67" s="859">
        <v>30907</v>
      </c>
      <c r="I67" s="859">
        <v>30907</v>
      </c>
      <c r="J67" s="859">
        <v>30907</v>
      </c>
      <c r="K67" s="859">
        <v>30907</v>
      </c>
      <c r="L67" s="859">
        <v>30907</v>
      </c>
      <c r="M67" s="859">
        <v>30907</v>
      </c>
      <c r="N67" s="859">
        <v>30907</v>
      </c>
      <c r="O67" s="859">
        <v>30907</v>
      </c>
      <c r="P67" s="859">
        <v>30907</v>
      </c>
      <c r="Q67" s="859">
        <v>30907</v>
      </c>
      <c r="R67" s="859">
        <v>30907</v>
      </c>
      <c r="S67" s="859">
        <v>30907</v>
      </c>
      <c r="T67" s="859">
        <v>30907</v>
      </c>
      <c r="U67" s="859">
        <v>30907</v>
      </c>
      <c r="V67" s="859">
        <v>30907</v>
      </c>
      <c r="W67" s="859">
        <v>30907</v>
      </c>
      <c r="X67" s="859">
        <v>30907</v>
      </c>
      <c r="Y67" s="859">
        <v>30907</v>
      </c>
      <c r="Z67" s="859">
        <v>30907</v>
      </c>
      <c r="AA67" s="859">
        <v>30907</v>
      </c>
      <c r="AB67" s="859">
        <v>33907</v>
      </c>
      <c r="AC67" s="859">
        <v>33907</v>
      </c>
    </row>
    <row r="68" spans="1:29">
      <c r="A68" s="751" t="s">
        <v>201</v>
      </c>
      <c r="B68" s="752" t="s">
        <v>279</v>
      </c>
      <c r="C68" s="859">
        <v>29000</v>
      </c>
      <c r="D68" s="859">
        <v>29000</v>
      </c>
      <c r="E68" s="859">
        <v>29000</v>
      </c>
      <c r="F68" s="859">
        <v>29000</v>
      </c>
      <c r="G68" s="859">
        <v>29000</v>
      </c>
      <c r="H68" s="859">
        <v>29000</v>
      </c>
      <c r="I68" s="859">
        <v>29000</v>
      </c>
      <c r="J68" s="859">
        <v>29000</v>
      </c>
      <c r="K68" s="859">
        <v>29000</v>
      </c>
      <c r="L68" s="859">
        <v>19000</v>
      </c>
      <c r="M68" s="859">
        <v>19000</v>
      </c>
      <c r="N68" s="859">
        <v>19000</v>
      </c>
      <c r="O68" s="859">
        <v>19000</v>
      </c>
      <c r="P68" s="859">
        <v>8000</v>
      </c>
      <c r="Q68" s="859">
        <v>8000</v>
      </c>
      <c r="R68" s="859">
        <v>8000</v>
      </c>
      <c r="S68" s="859">
        <v>8000</v>
      </c>
      <c r="T68" s="859">
        <v>8000</v>
      </c>
      <c r="U68" s="859">
        <v>8000</v>
      </c>
      <c r="V68" s="859">
        <v>8000</v>
      </c>
      <c r="W68" s="859">
        <v>8000</v>
      </c>
      <c r="X68" s="859">
        <v>8000</v>
      </c>
      <c r="Y68" s="859">
        <v>8000</v>
      </c>
      <c r="Z68" s="859">
        <v>8000</v>
      </c>
      <c r="AA68" s="859">
        <v>8000</v>
      </c>
      <c r="AB68" s="859">
        <v>27000</v>
      </c>
      <c r="AC68" s="859">
        <v>27000</v>
      </c>
    </row>
    <row r="69" spans="1:29">
      <c r="A69" s="751" t="s">
        <v>202</v>
      </c>
      <c r="B69" s="752" t="s">
        <v>280</v>
      </c>
      <c r="C69" s="859">
        <v>28500</v>
      </c>
      <c r="D69" s="859">
        <v>28500</v>
      </c>
      <c r="E69" s="859">
        <v>28500</v>
      </c>
      <c r="F69" s="859">
        <v>28500</v>
      </c>
      <c r="G69" s="859">
        <v>28500</v>
      </c>
      <c r="H69" s="859">
        <v>28500</v>
      </c>
      <c r="I69" s="859">
        <v>28500</v>
      </c>
      <c r="J69" s="859">
        <v>28500</v>
      </c>
      <c r="K69" s="859">
        <v>28500</v>
      </c>
      <c r="L69" s="859">
        <v>28500</v>
      </c>
      <c r="M69" s="859">
        <v>28500</v>
      </c>
      <c r="N69" s="859">
        <v>28500</v>
      </c>
      <c r="O69" s="859">
        <v>28500</v>
      </c>
      <c r="P69" s="859">
        <v>28500</v>
      </c>
      <c r="Q69" s="859">
        <v>28500</v>
      </c>
      <c r="R69" s="859">
        <v>28500</v>
      </c>
      <c r="S69" s="859">
        <v>28500</v>
      </c>
      <c r="T69" s="859">
        <v>28500</v>
      </c>
      <c r="U69" s="859">
        <v>28500</v>
      </c>
      <c r="V69" s="859">
        <v>28500</v>
      </c>
      <c r="W69" s="859">
        <v>28500</v>
      </c>
      <c r="X69" s="859">
        <v>28500</v>
      </c>
      <c r="Y69" s="859">
        <v>28500</v>
      </c>
      <c r="Z69" s="859">
        <v>28500</v>
      </c>
      <c r="AA69" s="859">
        <v>28500</v>
      </c>
      <c r="AB69" s="859">
        <v>34500</v>
      </c>
      <c r="AC69" s="859">
        <v>34500</v>
      </c>
    </row>
    <row r="70" spans="1:29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  <c r="T70" s="859">
        <v>69862</v>
      </c>
      <c r="U70" s="859">
        <v>69862</v>
      </c>
      <c r="V70" s="859">
        <v>69862</v>
      </c>
      <c r="W70" s="859">
        <v>69862</v>
      </c>
      <c r="X70" s="859">
        <v>69862</v>
      </c>
      <c r="Y70" s="859">
        <v>69862</v>
      </c>
      <c r="Z70" s="859">
        <v>69862</v>
      </c>
      <c r="AA70" s="859">
        <v>69862</v>
      </c>
      <c r="AB70" s="859">
        <v>69862</v>
      </c>
      <c r="AC70" s="859">
        <v>69862</v>
      </c>
    </row>
    <row r="71" spans="1:29">
      <c r="A71" s="751" t="s">
        <v>535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  <c r="R71" s="859">
        <v>0</v>
      </c>
      <c r="S71" s="859">
        <v>0</v>
      </c>
      <c r="T71" s="859">
        <v>0</v>
      </c>
      <c r="U71" s="859">
        <v>0</v>
      </c>
      <c r="V71" s="859">
        <v>0</v>
      </c>
      <c r="W71" s="859">
        <v>0</v>
      </c>
      <c r="X71" s="859">
        <v>0</v>
      </c>
      <c r="Y71" s="859">
        <v>0</v>
      </c>
      <c r="Z71" s="859">
        <v>0</v>
      </c>
      <c r="AA71" s="859">
        <v>0</v>
      </c>
      <c r="AB71" s="859">
        <v>0</v>
      </c>
      <c r="AC71" s="859">
        <v>0</v>
      </c>
    </row>
    <row r="72" spans="1:29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0"/>
      <c r="R72" s="860"/>
      <c r="S72" s="860"/>
      <c r="T72" s="860"/>
      <c r="U72" s="860"/>
      <c r="V72" s="860"/>
      <c r="W72" s="860"/>
      <c r="X72" s="860"/>
      <c r="Y72" s="860"/>
      <c r="Z72" s="860"/>
      <c r="AA72" s="860"/>
      <c r="AB72" s="860"/>
      <c r="AC72" s="860"/>
    </row>
    <row r="73" spans="1:29" s="687" customFormat="1" ht="15" thickBot="1">
      <c r="A73" s="1447" t="s">
        <v>224</v>
      </c>
      <c r="B73" s="1448"/>
      <c r="C73" s="856">
        <v>3283494</v>
      </c>
      <c r="D73" s="856">
        <v>2116844</v>
      </c>
      <c r="E73" s="856">
        <v>3892675</v>
      </c>
      <c r="F73" s="856">
        <v>6032658</v>
      </c>
      <c r="G73" s="856">
        <v>4905447</v>
      </c>
      <c r="H73" s="856">
        <v>4177326</v>
      </c>
      <c r="I73" s="856">
        <v>3871215</v>
      </c>
      <c r="J73" s="856">
        <v>2882517</v>
      </c>
      <c r="K73" s="856">
        <v>5467864</v>
      </c>
      <c r="L73" s="856">
        <v>1978956</v>
      </c>
      <c r="M73" s="856">
        <v>3579687</v>
      </c>
      <c r="N73" s="856">
        <v>2239179</v>
      </c>
      <c r="O73" s="856">
        <v>2239179</v>
      </c>
      <c r="P73" s="856">
        <v>7353708</v>
      </c>
      <c r="Q73" s="856">
        <v>8512898</v>
      </c>
      <c r="R73" s="856">
        <v>7616686</v>
      </c>
      <c r="S73" s="856">
        <v>3717575</v>
      </c>
      <c r="T73" s="856">
        <v>1338959</v>
      </c>
      <c r="U73" s="856">
        <v>4039250</v>
      </c>
      <c r="V73" s="856">
        <v>4276610</v>
      </c>
      <c r="W73" s="856">
        <v>2559199</v>
      </c>
      <c r="X73" s="856">
        <v>4321933</v>
      </c>
      <c r="Y73" s="856">
        <v>2116023</v>
      </c>
      <c r="Z73" s="856">
        <v>5159307</v>
      </c>
      <c r="AA73" s="856">
        <v>5159307</v>
      </c>
      <c r="AB73" s="856">
        <v>5401710</v>
      </c>
      <c r="AC73" s="856">
        <v>4217100</v>
      </c>
    </row>
    <row r="74" spans="1:29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  <c r="T74" s="861"/>
      <c r="U74" s="861"/>
      <c r="V74" s="861"/>
      <c r="W74" s="861"/>
      <c r="X74" s="861"/>
      <c r="Y74" s="861"/>
      <c r="Z74" s="861"/>
      <c r="AA74" s="861"/>
      <c r="AB74" s="861"/>
      <c r="AC74" s="861"/>
    </row>
    <row r="75" spans="1:29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  <c r="T75" s="848"/>
      <c r="U75" s="848"/>
      <c r="V75" s="848"/>
      <c r="W75" s="848"/>
      <c r="X75" s="848"/>
      <c r="Y75" s="848"/>
      <c r="Z75" s="848"/>
      <c r="AA75" s="848"/>
      <c r="AB75" s="848"/>
      <c r="AC75" s="848"/>
    </row>
    <row r="76" spans="1:29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  <c r="T76" s="852"/>
      <c r="U76" s="852"/>
      <c r="V76" s="852"/>
      <c r="W76" s="852"/>
      <c r="X76" s="852"/>
      <c r="Y76" s="852"/>
      <c r="Z76" s="852"/>
      <c r="AA76" s="852"/>
      <c r="AB76" s="852"/>
      <c r="AC76" s="852"/>
    </row>
    <row r="77" spans="1:29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  <c r="U77" s="854"/>
      <c r="V77" s="854"/>
      <c r="W77" s="854"/>
      <c r="X77" s="854"/>
      <c r="Y77" s="854"/>
      <c r="Z77" s="854"/>
      <c r="AA77" s="854"/>
      <c r="AB77" s="854"/>
      <c r="AC77" s="854"/>
    </row>
    <row r="78" spans="1:29">
      <c r="A78" s="28" t="s">
        <v>90</v>
      </c>
      <c r="B78" s="747" t="s">
        <v>266</v>
      </c>
      <c r="C78" s="855">
        <v>1000000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5000000</v>
      </c>
      <c r="T78" s="855">
        <v>5000000</v>
      </c>
      <c r="U78" s="855">
        <v>5000000</v>
      </c>
      <c r="V78" s="855">
        <v>5000000</v>
      </c>
      <c r="W78" s="855">
        <v>5000000</v>
      </c>
      <c r="X78" s="855">
        <v>5000000</v>
      </c>
      <c r="Y78" s="855">
        <v>5000000</v>
      </c>
      <c r="Z78" s="855">
        <v>5000000</v>
      </c>
      <c r="AA78" s="855">
        <v>5000000</v>
      </c>
      <c r="AB78" s="855">
        <v>5000000</v>
      </c>
      <c r="AC78" s="855">
        <v>57800</v>
      </c>
    </row>
    <row r="79" spans="1:29">
      <c r="A79" s="28" t="s">
        <v>73</v>
      </c>
      <c r="B79" s="746" t="s">
        <v>485</v>
      </c>
      <c r="C79" s="855">
        <v>144483</v>
      </c>
      <c r="D79" s="855">
        <v>137483</v>
      </c>
      <c r="E79" s="855">
        <v>158233</v>
      </c>
      <c r="F79" s="855">
        <v>158233</v>
      </c>
      <c r="G79" s="855">
        <v>188983</v>
      </c>
      <c r="H79" s="855">
        <v>239733</v>
      </c>
      <c r="I79" s="855">
        <v>260483</v>
      </c>
      <c r="J79" s="855">
        <v>361233</v>
      </c>
      <c r="K79" s="855">
        <v>183983</v>
      </c>
      <c r="L79" s="855">
        <v>681013</v>
      </c>
      <c r="M79" s="855">
        <v>731763</v>
      </c>
      <c r="N79" s="855">
        <v>898813</v>
      </c>
      <c r="O79" s="855">
        <v>898813</v>
      </c>
      <c r="P79" s="855">
        <v>898813</v>
      </c>
      <c r="Q79" s="855">
        <v>201313</v>
      </c>
      <c r="R79" s="855">
        <v>261863</v>
      </c>
      <c r="S79" s="855">
        <v>378163</v>
      </c>
      <c r="T79" s="855">
        <v>30263</v>
      </c>
      <c r="U79" s="855">
        <v>132113</v>
      </c>
      <c r="V79" s="855">
        <v>594113</v>
      </c>
      <c r="W79" s="855">
        <v>594113</v>
      </c>
      <c r="X79" s="855">
        <v>594113</v>
      </c>
      <c r="Y79" s="855">
        <v>594113</v>
      </c>
      <c r="Z79" s="855">
        <v>79863</v>
      </c>
      <c r="AA79" s="855">
        <v>79863</v>
      </c>
      <c r="AB79" s="855">
        <v>188963</v>
      </c>
      <c r="AC79" s="855">
        <v>557463</v>
      </c>
    </row>
    <row r="80" spans="1:29">
      <c r="A80" s="28" t="s">
        <v>1</v>
      </c>
      <c r="B80" s="746" t="s">
        <v>486</v>
      </c>
      <c r="C80" s="855">
        <v>1247434</v>
      </c>
      <c r="D80" s="855">
        <v>1026984</v>
      </c>
      <c r="E80" s="855">
        <v>1384369</v>
      </c>
      <c r="F80" s="855">
        <v>53</v>
      </c>
      <c r="G80" s="855">
        <v>590738</v>
      </c>
      <c r="H80" s="855">
        <v>1225746</v>
      </c>
      <c r="I80" s="855">
        <v>1605841</v>
      </c>
      <c r="J80" s="855">
        <v>674018</v>
      </c>
      <c r="K80" s="855">
        <v>1068106</v>
      </c>
      <c r="L80" s="855">
        <v>1273201</v>
      </c>
      <c r="M80" s="855">
        <v>307386</v>
      </c>
      <c r="N80" s="855">
        <v>734943</v>
      </c>
      <c r="O80" s="855">
        <v>939836</v>
      </c>
      <c r="P80" s="855">
        <v>595010</v>
      </c>
      <c r="Q80" s="855">
        <v>137598</v>
      </c>
      <c r="R80" s="855">
        <v>830486</v>
      </c>
      <c r="S80" s="855">
        <v>1464970</v>
      </c>
      <c r="T80" s="855">
        <v>18560</v>
      </c>
      <c r="U80" s="855">
        <v>687745</v>
      </c>
      <c r="V80" s="855">
        <v>1525817</v>
      </c>
      <c r="W80" s="855">
        <v>60000</v>
      </c>
      <c r="X80" s="855">
        <v>489393</v>
      </c>
      <c r="Y80" s="855">
        <v>946679</v>
      </c>
      <c r="Z80" s="855">
        <v>1432567</v>
      </c>
      <c r="AA80" s="855">
        <v>1432567</v>
      </c>
      <c r="AB80" s="855">
        <v>642545</v>
      </c>
      <c r="AC80" s="855">
        <v>1095738</v>
      </c>
    </row>
    <row r="81" spans="1:29">
      <c r="A81" s="28" t="s">
        <v>111</v>
      </c>
      <c r="B81" s="746" t="s">
        <v>487</v>
      </c>
      <c r="C81" s="855">
        <v>1210822</v>
      </c>
      <c r="D81" s="855">
        <v>1210822</v>
      </c>
      <c r="E81" s="855">
        <v>1257322</v>
      </c>
      <c r="F81" s="855">
        <v>1321322</v>
      </c>
      <c r="G81" s="855">
        <v>1392202</v>
      </c>
      <c r="H81" s="855">
        <v>1453522</v>
      </c>
      <c r="I81" s="855">
        <v>1453522</v>
      </c>
      <c r="J81" s="855">
        <v>1450522</v>
      </c>
      <c r="K81" s="855">
        <v>1493402</v>
      </c>
      <c r="L81" s="855">
        <v>569782</v>
      </c>
      <c r="M81" s="855">
        <v>657482</v>
      </c>
      <c r="N81" s="855">
        <v>868482</v>
      </c>
      <c r="O81" s="855">
        <v>914982</v>
      </c>
      <c r="P81" s="855">
        <v>1070227</v>
      </c>
      <c r="Q81" s="855">
        <v>165697</v>
      </c>
      <c r="R81" s="855">
        <v>165697</v>
      </c>
      <c r="S81" s="855">
        <v>302897</v>
      </c>
      <c r="T81" s="855">
        <v>417477</v>
      </c>
      <c r="U81" s="855">
        <v>102567</v>
      </c>
      <c r="V81" s="855">
        <v>124567</v>
      </c>
      <c r="W81" s="855">
        <v>247947</v>
      </c>
      <c r="X81" s="855">
        <v>367467</v>
      </c>
      <c r="Y81" s="855">
        <v>628332</v>
      </c>
      <c r="Z81" s="855">
        <v>699957</v>
      </c>
      <c r="AA81" s="855">
        <v>699957</v>
      </c>
      <c r="AB81" s="855">
        <v>816852</v>
      </c>
      <c r="AC81" s="855">
        <v>991397</v>
      </c>
    </row>
    <row r="82" spans="1:29">
      <c r="A82" s="28" t="s">
        <v>168</v>
      </c>
      <c r="B82" s="746" t="s">
        <v>488</v>
      </c>
      <c r="C82" s="855">
        <v>157850</v>
      </c>
      <c r="D82" s="855">
        <v>157850</v>
      </c>
      <c r="E82" s="855">
        <v>223350</v>
      </c>
      <c r="F82" s="855">
        <v>230100</v>
      </c>
      <c r="G82" s="855">
        <v>297600</v>
      </c>
      <c r="H82" s="855">
        <v>423100</v>
      </c>
      <c r="I82" s="855">
        <v>446600</v>
      </c>
      <c r="J82" s="855">
        <v>539600</v>
      </c>
      <c r="K82" s="855">
        <v>539600</v>
      </c>
      <c r="L82" s="855">
        <v>588100</v>
      </c>
      <c r="M82" s="855">
        <v>588100</v>
      </c>
      <c r="N82" s="855">
        <v>151100</v>
      </c>
      <c r="O82" s="855">
        <v>151100</v>
      </c>
      <c r="P82" s="855">
        <v>151100</v>
      </c>
      <c r="Q82" s="855">
        <v>256600</v>
      </c>
      <c r="R82" s="855">
        <v>256600</v>
      </c>
      <c r="S82" s="855">
        <v>274600</v>
      </c>
      <c r="T82" s="855">
        <v>274600</v>
      </c>
      <c r="U82" s="855">
        <v>302600</v>
      </c>
      <c r="V82" s="855">
        <v>320100</v>
      </c>
      <c r="W82" s="855">
        <v>385900</v>
      </c>
      <c r="X82" s="855">
        <v>385900</v>
      </c>
      <c r="Y82" s="855">
        <v>432400</v>
      </c>
      <c r="Z82" s="855">
        <v>432400</v>
      </c>
      <c r="AA82" s="855">
        <v>432400</v>
      </c>
      <c r="AB82" s="855">
        <v>439400</v>
      </c>
      <c r="AC82" s="855">
        <v>460400</v>
      </c>
    </row>
    <row r="83" spans="1:29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  <c r="T83" s="855">
        <v>0</v>
      </c>
      <c r="U83" s="855">
        <v>0</v>
      </c>
      <c r="V83" s="855">
        <v>0</v>
      </c>
      <c r="W83" s="855">
        <v>0</v>
      </c>
      <c r="X83" s="855">
        <v>0</v>
      </c>
      <c r="Y83" s="855">
        <v>0</v>
      </c>
      <c r="Z83" s="855">
        <v>0</v>
      </c>
      <c r="AA83" s="855">
        <v>0</v>
      </c>
      <c r="AB83" s="855">
        <v>0</v>
      </c>
      <c r="AC83" s="855">
        <v>0</v>
      </c>
    </row>
    <row r="84" spans="1:29">
      <c r="A84" s="28" t="s">
        <v>9</v>
      </c>
      <c r="B84" s="746" t="s">
        <v>490</v>
      </c>
      <c r="C84" s="855">
        <v>1022974</v>
      </c>
      <c r="D84" s="855">
        <v>1022974</v>
      </c>
      <c r="E84" s="855">
        <v>1022974</v>
      </c>
      <c r="F84" s="855">
        <v>1022974</v>
      </c>
      <c r="G84" s="855">
        <v>1022974</v>
      </c>
      <c r="H84" s="855">
        <v>1022974</v>
      </c>
      <c r="I84" s="855">
        <v>1022974</v>
      </c>
      <c r="J84" s="855">
        <v>1022974</v>
      </c>
      <c r="K84" s="855">
        <v>1022974</v>
      </c>
      <c r="L84" s="855">
        <v>1022974</v>
      </c>
      <c r="M84" s="855">
        <v>1022974</v>
      </c>
      <c r="N84" s="855">
        <v>1022974</v>
      </c>
      <c r="O84" s="855">
        <v>1022974</v>
      </c>
      <c r="P84" s="855">
        <v>1022974</v>
      </c>
      <c r="Q84" s="855">
        <v>1022974</v>
      </c>
      <c r="R84" s="855">
        <v>1022974</v>
      </c>
      <c r="S84" s="855">
        <v>1022974</v>
      </c>
      <c r="T84" s="855">
        <v>1022974</v>
      </c>
      <c r="U84" s="855">
        <v>1022974</v>
      </c>
      <c r="V84" s="855">
        <v>1022974</v>
      </c>
      <c r="W84" s="855">
        <v>1022974</v>
      </c>
      <c r="X84" s="855">
        <v>1022974</v>
      </c>
      <c r="Y84" s="855">
        <v>1022974</v>
      </c>
      <c r="Z84" s="855">
        <v>1020537</v>
      </c>
      <c r="AA84" s="855">
        <v>1020537</v>
      </c>
      <c r="AB84" s="855">
        <v>50063</v>
      </c>
      <c r="AC84" s="855">
        <v>452263</v>
      </c>
    </row>
    <row r="85" spans="1:29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  <c r="U85" s="857"/>
      <c r="V85" s="857"/>
      <c r="W85" s="857"/>
      <c r="X85" s="857"/>
      <c r="Y85" s="857"/>
      <c r="Z85" s="857"/>
      <c r="AA85" s="857"/>
      <c r="AB85" s="857"/>
      <c r="AC85" s="857"/>
    </row>
    <row r="86" spans="1:29" s="687" customFormat="1" ht="15" thickBot="1">
      <c r="A86" s="1447" t="s">
        <v>224</v>
      </c>
      <c r="B86" s="1448"/>
      <c r="C86" s="856">
        <v>4783563</v>
      </c>
      <c r="D86" s="856">
        <v>8556113</v>
      </c>
      <c r="E86" s="856">
        <v>9046248</v>
      </c>
      <c r="F86" s="856">
        <v>7732682</v>
      </c>
      <c r="G86" s="856">
        <v>8492497</v>
      </c>
      <c r="H86" s="856">
        <v>9365075</v>
      </c>
      <c r="I86" s="856">
        <v>9789420</v>
      </c>
      <c r="J86" s="856">
        <v>9048347</v>
      </c>
      <c r="K86" s="856">
        <v>9308065</v>
      </c>
      <c r="L86" s="856">
        <v>9135070</v>
      </c>
      <c r="M86" s="856">
        <v>8307705</v>
      </c>
      <c r="N86" s="856">
        <v>8676312</v>
      </c>
      <c r="O86" s="856">
        <v>8927705</v>
      </c>
      <c r="P86" s="856">
        <v>8738124</v>
      </c>
      <c r="Q86" s="856">
        <v>6784182</v>
      </c>
      <c r="R86" s="856">
        <v>7537620</v>
      </c>
      <c r="S86" s="856">
        <v>8443604</v>
      </c>
      <c r="T86" s="856">
        <v>6763874</v>
      </c>
      <c r="U86" s="856">
        <v>7247999</v>
      </c>
      <c r="V86" s="856">
        <v>8587571</v>
      </c>
      <c r="W86" s="856">
        <v>7310934</v>
      </c>
      <c r="X86" s="856">
        <v>7859847</v>
      </c>
      <c r="Y86" s="856">
        <v>8624498</v>
      </c>
      <c r="Z86" s="856">
        <v>8665324</v>
      </c>
      <c r="AA86" s="856">
        <v>8665324</v>
      </c>
      <c r="AB86" s="856">
        <v>7137823</v>
      </c>
      <c r="AC86" s="856">
        <v>3615061</v>
      </c>
    </row>
    <row r="87" spans="1:29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  <c r="T87" s="852"/>
      <c r="U87" s="852"/>
      <c r="V87" s="852"/>
      <c r="W87" s="852"/>
      <c r="X87" s="852"/>
      <c r="Y87" s="852"/>
      <c r="Z87" s="852"/>
      <c r="AA87" s="852"/>
      <c r="AB87" s="852"/>
      <c r="AC87" s="852"/>
    </row>
    <row r="88" spans="1:29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  <c r="T88" s="852"/>
      <c r="U88" s="852"/>
      <c r="V88" s="852"/>
      <c r="W88" s="852"/>
      <c r="X88" s="852"/>
      <c r="Y88" s="852"/>
      <c r="Z88" s="852"/>
      <c r="AA88" s="852"/>
      <c r="AB88" s="852"/>
      <c r="AC88" s="852"/>
    </row>
    <row r="89" spans="1:29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  <c r="T89" s="862"/>
      <c r="U89" s="862"/>
      <c r="V89" s="862"/>
      <c r="W89" s="862"/>
      <c r="X89" s="862"/>
      <c r="Y89" s="862"/>
      <c r="Z89" s="862"/>
      <c r="AA89" s="862"/>
      <c r="AB89" s="862"/>
      <c r="AC89" s="862"/>
    </row>
    <row r="90" spans="1:29">
      <c r="A90" s="28" t="s">
        <v>95</v>
      </c>
      <c r="B90" s="747" t="s">
        <v>207</v>
      </c>
      <c r="C90" s="855">
        <v>154903</v>
      </c>
      <c r="D90" s="855">
        <v>154903</v>
      </c>
      <c r="E90" s="855">
        <v>154903</v>
      </c>
      <c r="F90" s="855">
        <v>22156403</v>
      </c>
      <c r="G90" s="855">
        <v>9792882</v>
      </c>
      <c r="H90" s="855">
        <v>983805</v>
      </c>
      <c r="I90" s="855">
        <v>5983805</v>
      </c>
      <c r="J90" s="855">
        <v>15486805</v>
      </c>
      <c r="K90" s="855">
        <v>25981655</v>
      </c>
      <c r="L90" s="855">
        <v>37385855</v>
      </c>
      <c r="M90" s="855">
        <v>46592355</v>
      </c>
      <c r="N90" s="855">
        <v>43000453</v>
      </c>
      <c r="O90" s="855">
        <v>376453</v>
      </c>
      <c r="P90" s="855">
        <v>376453</v>
      </c>
      <c r="Q90" s="855">
        <v>376453</v>
      </c>
      <c r="R90" s="855">
        <v>376453</v>
      </c>
      <c r="S90" s="855">
        <v>16376453</v>
      </c>
      <c r="T90" s="855">
        <v>9996953</v>
      </c>
      <c r="U90" s="855">
        <v>746953</v>
      </c>
      <c r="V90" s="855">
        <v>29048453</v>
      </c>
      <c r="W90" s="855">
        <v>9829453</v>
      </c>
      <c r="X90" s="855">
        <v>11831953</v>
      </c>
      <c r="Y90" s="855">
        <v>63333453</v>
      </c>
      <c r="Z90" s="855">
        <v>7248067</v>
      </c>
      <c r="AA90" s="855">
        <v>7248067</v>
      </c>
      <c r="AB90" s="855">
        <v>9531852</v>
      </c>
      <c r="AC90" s="855">
        <v>265519</v>
      </c>
    </row>
    <row r="91" spans="1:29">
      <c r="A91" s="28" t="s">
        <v>96</v>
      </c>
      <c r="B91" s="747" t="s">
        <v>208</v>
      </c>
      <c r="C91" s="855">
        <v>17870</v>
      </c>
      <c r="D91" s="855">
        <v>17870</v>
      </c>
      <c r="E91" s="855">
        <v>17870</v>
      </c>
      <c r="F91" s="855">
        <v>17870</v>
      </c>
      <c r="G91" s="855">
        <v>17870</v>
      </c>
      <c r="H91" s="855">
        <v>17870</v>
      </c>
      <c r="I91" s="855">
        <v>17870</v>
      </c>
      <c r="J91" s="855">
        <v>17870</v>
      </c>
      <c r="K91" s="855">
        <v>17870</v>
      </c>
      <c r="L91" s="855">
        <v>17870</v>
      </c>
      <c r="M91" s="855">
        <v>17870</v>
      </c>
      <c r="N91" s="855">
        <v>17870</v>
      </c>
      <c r="O91" s="855">
        <v>17870</v>
      </c>
      <c r="P91" s="855">
        <v>17870</v>
      </c>
      <c r="Q91" s="855">
        <v>17870</v>
      </c>
      <c r="R91" s="855">
        <v>17870</v>
      </c>
      <c r="S91" s="855">
        <v>17870</v>
      </c>
      <c r="T91" s="855">
        <v>17870</v>
      </c>
      <c r="U91" s="855">
        <v>17870</v>
      </c>
      <c r="V91" s="855">
        <v>17870</v>
      </c>
      <c r="W91" s="855">
        <v>17870</v>
      </c>
      <c r="X91" s="855">
        <v>17870</v>
      </c>
      <c r="Y91" s="855">
        <v>17870</v>
      </c>
      <c r="Z91" s="855">
        <v>17870</v>
      </c>
      <c r="AA91" s="855">
        <v>17870</v>
      </c>
      <c r="AB91" s="855">
        <v>17870</v>
      </c>
      <c r="AC91" s="855">
        <v>17870</v>
      </c>
    </row>
    <row r="92" spans="1:29">
      <c r="A92" s="28" t="s">
        <v>766</v>
      </c>
      <c r="B92" s="747"/>
      <c r="C92" s="855">
        <v>0</v>
      </c>
      <c r="D92" s="855">
        <v>0</v>
      </c>
      <c r="E92" s="855"/>
      <c r="F92" s="855"/>
      <c r="G92" s="855"/>
      <c r="H92" s="855"/>
      <c r="I92" s="855"/>
      <c r="J92" s="855"/>
      <c r="K92" s="855"/>
      <c r="L92" s="855"/>
      <c r="M92" s="855"/>
      <c r="N92" s="855"/>
      <c r="O92" s="855"/>
      <c r="P92" s="855"/>
      <c r="Q92" s="855"/>
      <c r="R92" s="855"/>
      <c r="S92" s="855"/>
      <c r="T92" s="855"/>
      <c r="U92" s="855"/>
      <c r="V92" s="855"/>
      <c r="W92" s="855"/>
      <c r="X92" s="855"/>
      <c r="Y92" s="855"/>
      <c r="Z92" s="855"/>
      <c r="AA92" s="855"/>
      <c r="AB92" s="855"/>
      <c r="AC92" s="855"/>
    </row>
    <row r="93" spans="1:29">
      <c r="A93" s="28" t="s">
        <v>767</v>
      </c>
      <c r="B93" s="747"/>
      <c r="C93" s="855">
        <v>0</v>
      </c>
      <c r="D93" s="855">
        <v>0</v>
      </c>
      <c r="E93" s="855"/>
      <c r="F93" s="855"/>
      <c r="G93" s="855"/>
      <c r="H93" s="855"/>
      <c r="I93" s="855"/>
      <c r="J93" s="855"/>
      <c r="K93" s="855"/>
      <c r="L93" s="855"/>
      <c r="M93" s="855"/>
      <c r="N93" s="855"/>
      <c r="O93" s="855"/>
      <c r="P93" s="855"/>
      <c r="Q93" s="855"/>
      <c r="R93" s="855"/>
      <c r="S93" s="855"/>
      <c r="T93" s="855"/>
      <c r="U93" s="855"/>
      <c r="V93" s="855"/>
      <c r="W93" s="855"/>
      <c r="X93" s="855"/>
      <c r="Y93" s="855"/>
      <c r="Z93" s="855"/>
      <c r="AA93" s="855"/>
      <c r="AB93" s="855"/>
      <c r="AC93" s="855"/>
    </row>
    <row r="94" spans="1:29">
      <c r="A94" s="28" t="s">
        <v>94</v>
      </c>
      <c r="B94" s="747" t="s">
        <v>82</v>
      </c>
      <c r="C94" s="855">
        <v>252777</v>
      </c>
      <c r="D94" s="855">
        <v>252777</v>
      </c>
      <c r="E94" s="855">
        <v>252777</v>
      </c>
      <c r="F94" s="855">
        <v>252777</v>
      </c>
      <c r="G94" s="855">
        <v>202777</v>
      </c>
      <c r="H94" s="855">
        <v>202777</v>
      </c>
      <c r="I94" s="855">
        <v>202777</v>
      </c>
      <c r="J94" s="855">
        <v>202777</v>
      </c>
      <c r="K94" s="855">
        <v>202777</v>
      </c>
      <c r="L94" s="855">
        <v>202777</v>
      </c>
      <c r="M94" s="855">
        <v>202777</v>
      </c>
      <c r="N94" s="855">
        <v>202777</v>
      </c>
      <c r="O94" s="855">
        <v>202777</v>
      </c>
      <c r="P94" s="855">
        <v>202777</v>
      </c>
      <c r="Q94" s="855">
        <v>202777</v>
      </c>
      <c r="R94" s="855">
        <v>202777</v>
      </c>
      <c r="S94" s="855">
        <v>202777</v>
      </c>
      <c r="T94" s="855">
        <v>202777</v>
      </c>
      <c r="U94" s="855">
        <v>202777</v>
      </c>
      <c r="V94" s="855">
        <v>202777</v>
      </c>
      <c r="W94" s="855">
        <v>202777</v>
      </c>
      <c r="X94" s="855">
        <v>202777</v>
      </c>
      <c r="Y94" s="855">
        <v>202777</v>
      </c>
      <c r="Z94" s="855">
        <v>202777</v>
      </c>
      <c r="AA94" s="855">
        <v>202777</v>
      </c>
      <c r="AB94" s="855">
        <v>202777</v>
      </c>
      <c r="AC94" s="855">
        <v>202777</v>
      </c>
    </row>
    <row r="95" spans="1:29">
      <c r="A95" s="28" t="s">
        <v>103</v>
      </c>
      <c r="B95" s="747" t="s">
        <v>209</v>
      </c>
      <c r="C95" s="855">
        <v>202500</v>
      </c>
      <c r="D95" s="855">
        <v>202500</v>
      </c>
      <c r="E95" s="855">
        <v>202500</v>
      </c>
      <c r="F95" s="855">
        <v>202500</v>
      </c>
      <c r="G95" s="855">
        <v>202500</v>
      </c>
      <c r="H95" s="855">
        <v>202500</v>
      </c>
      <c r="I95" s="855">
        <v>202500</v>
      </c>
      <c r="J95" s="855">
        <v>202500</v>
      </c>
      <c r="K95" s="855">
        <v>202500</v>
      </c>
      <c r="L95" s="855">
        <v>202500</v>
      </c>
      <c r="M95" s="855">
        <v>202500</v>
      </c>
      <c r="N95" s="855">
        <v>202500</v>
      </c>
      <c r="O95" s="855">
        <v>202500</v>
      </c>
      <c r="P95" s="855">
        <v>202500</v>
      </c>
      <c r="Q95" s="855">
        <v>202500</v>
      </c>
      <c r="R95" s="855">
        <v>202500</v>
      </c>
      <c r="S95" s="855">
        <v>202500</v>
      </c>
      <c r="T95" s="855">
        <v>202500</v>
      </c>
      <c r="U95" s="855">
        <v>202500</v>
      </c>
      <c r="V95" s="855">
        <v>202500</v>
      </c>
      <c r="W95" s="855">
        <v>202500</v>
      </c>
      <c r="X95" s="855">
        <v>202500</v>
      </c>
      <c r="Y95" s="855">
        <v>202500</v>
      </c>
      <c r="Z95" s="855">
        <v>202500</v>
      </c>
      <c r="AA95" s="855">
        <v>202500</v>
      </c>
      <c r="AB95" s="855">
        <v>152500</v>
      </c>
      <c r="AC95" s="855">
        <v>152500</v>
      </c>
    </row>
    <row r="96" spans="1:29">
      <c r="A96" s="28" t="s">
        <v>70</v>
      </c>
      <c r="B96" s="747" t="s">
        <v>210</v>
      </c>
      <c r="C96" s="855">
        <v>9123</v>
      </c>
      <c r="D96" s="855">
        <v>9123</v>
      </c>
      <c r="E96" s="855">
        <v>9123</v>
      </c>
      <c r="F96" s="855">
        <v>9123</v>
      </c>
      <c r="G96" s="855">
        <v>9123</v>
      </c>
      <c r="H96" s="855">
        <v>9123</v>
      </c>
      <c r="I96" s="855">
        <v>9123</v>
      </c>
      <c r="J96" s="855">
        <v>9123</v>
      </c>
      <c r="K96" s="855">
        <v>9123</v>
      </c>
      <c r="L96" s="855">
        <v>9123</v>
      </c>
      <c r="M96" s="855">
        <v>9123</v>
      </c>
      <c r="N96" s="855">
        <v>9123</v>
      </c>
      <c r="O96" s="855">
        <v>9123</v>
      </c>
      <c r="P96" s="855">
        <v>9123</v>
      </c>
      <c r="Q96" s="855">
        <v>9123</v>
      </c>
      <c r="R96" s="855">
        <v>9123</v>
      </c>
      <c r="S96" s="855">
        <v>9123</v>
      </c>
      <c r="T96" s="855">
        <v>9123</v>
      </c>
      <c r="U96" s="855">
        <v>9123</v>
      </c>
      <c r="V96" s="855">
        <v>9123</v>
      </c>
      <c r="W96" s="855">
        <v>9123</v>
      </c>
      <c r="X96" s="855">
        <v>9123</v>
      </c>
      <c r="Y96" s="855">
        <v>9123</v>
      </c>
      <c r="Z96" s="855">
        <v>9123</v>
      </c>
      <c r="AA96" s="855">
        <v>9123</v>
      </c>
      <c r="AB96" s="855">
        <v>9123</v>
      </c>
      <c r="AC96" s="855">
        <v>29123</v>
      </c>
    </row>
    <row r="97" spans="1:29">
      <c r="A97" s="28" t="s">
        <v>220</v>
      </c>
      <c r="B97" s="747" t="s">
        <v>204</v>
      </c>
      <c r="C97" s="855">
        <v>32722</v>
      </c>
      <c r="D97" s="855">
        <v>32722</v>
      </c>
      <c r="E97" s="855">
        <v>32722</v>
      </c>
      <c r="F97" s="855">
        <v>32722</v>
      </c>
      <c r="G97" s="855">
        <v>32722</v>
      </c>
      <c r="H97" s="855">
        <v>32722</v>
      </c>
      <c r="I97" s="855">
        <v>32722</v>
      </c>
      <c r="J97" s="855">
        <v>32722</v>
      </c>
      <c r="K97" s="855">
        <v>32722</v>
      </c>
      <c r="L97" s="855">
        <v>35222</v>
      </c>
      <c r="M97" s="855">
        <v>54222</v>
      </c>
      <c r="N97" s="855">
        <v>54222</v>
      </c>
      <c r="O97" s="855">
        <v>54222</v>
      </c>
      <c r="P97" s="855">
        <v>54222</v>
      </c>
      <c r="Q97" s="855">
        <v>54222</v>
      </c>
      <c r="R97" s="855">
        <v>54222</v>
      </c>
      <c r="S97" s="855">
        <v>54222</v>
      </c>
      <c r="T97" s="855">
        <v>54222</v>
      </c>
      <c r="U97" s="855">
        <v>54222</v>
      </c>
      <c r="V97" s="855">
        <v>54222</v>
      </c>
      <c r="W97" s="855">
        <v>54222</v>
      </c>
      <c r="X97" s="855">
        <v>54222</v>
      </c>
      <c r="Y97" s="855">
        <v>54222</v>
      </c>
      <c r="Z97" s="855">
        <v>54222</v>
      </c>
      <c r="AA97" s="855">
        <v>54222</v>
      </c>
      <c r="AB97" s="855">
        <v>54222</v>
      </c>
      <c r="AC97" s="855">
        <v>54222</v>
      </c>
    </row>
    <row r="98" spans="1:29">
      <c r="A98" s="28" t="s">
        <v>221</v>
      </c>
      <c r="B98" s="747" t="s">
        <v>205</v>
      </c>
      <c r="C98" s="855">
        <v>60999</v>
      </c>
      <c r="D98" s="855">
        <v>60999</v>
      </c>
      <c r="E98" s="855">
        <v>60999</v>
      </c>
      <c r="F98" s="855">
        <v>60999</v>
      </c>
      <c r="G98" s="855">
        <v>60999</v>
      </c>
      <c r="H98" s="855">
        <v>60999</v>
      </c>
      <c r="I98" s="855">
        <v>60999</v>
      </c>
      <c r="J98" s="855">
        <v>60999</v>
      </c>
      <c r="K98" s="855">
        <v>67499</v>
      </c>
      <c r="L98" s="855">
        <v>67499</v>
      </c>
      <c r="M98" s="855">
        <v>79499</v>
      </c>
      <c r="N98" s="855">
        <v>79499</v>
      </c>
      <c r="O98" s="855">
        <v>79499</v>
      </c>
      <c r="P98" s="855">
        <v>79499</v>
      </c>
      <c r="Q98" s="855">
        <v>79499</v>
      </c>
      <c r="R98" s="855">
        <v>79499</v>
      </c>
      <c r="S98" s="855">
        <v>79499</v>
      </c>
      <c r="T98" s="855">
        <v>79499</v>
      </c>
      <c r="U98" s="855">
        <v>79499</v>
      </c>
      <c r="V98" s="855">
        <v>79499</v>
      </c>
      <c r="W98" s="855">
        <v>79499</v>
      </c>
      <c r="X98" s="855">
        <v>79499</v>
      </c>
      <c r="Y98" s="855">
        <v>79499</v>
      </c>
      <c r="Z98" s="855">
        <v>79499</v>
      </c>
      <c r="AA98" s="855">
        <v>79499</v>
      </c>
      <c r="AB98" s="855">
        <v>79499</v>
      </c>
      <c r="AC98" s="855">
        <v>29499</v>
      </c>
    </row>
    <row r="99" spans="1:29">
      <c r="A99" s="1" t="s">
        <v>5</v>
      </c>
      <c r="B99" s="756"/>
      <c r="C99" s="641">
        <v>0</v>
      </c>
      <c r="D99" s="641">
        <v>0</v>
      </c>
      <c r="E99" s="641">
        <v>0</v>
      </c>
      <c r="F99" s="641">
        <v>0</v>
      </c>
      <c r="G99" s="641">
        <v>0</v>
      </c>
      <c r="H99" s="641">
        <v>0</v>
      </c>
      <c r="I99" s="641">
        <v>0</v>
      </c>
      <c r="J99" s="641">
        <v>0</v>
      </c>
      <c r="K99" s="641">
        <v>0</v>
      </c>
      <c r="L99" s="641">
        <v>0</v>
      </c>
      <c r="M99" s="641">
        <v>0</v>
      </c>
      <c r="N99" s="641">
        <v>0</v>
      </c>
      <c r="O99" s="641">
        <v>0</v>
      </c>
      <c r="P99" s="641">
        <v>0</v>
      </c>
      <c r="Q99" s="641">
        <v>0</v>
      </c>
      <c r="R99" s="641">
        <v>0</v>
      </c>
      <c r="S99" s="641">
        <v>0</v>
      </c>
      <c r="T99" s="641">
        <v>0</v>
      </c>
      <c r="U99" s="641">
        <v>0</v>
      </c>
      <c r="V99" s="641">
        <v>0</v>
      </c>
      <c r="W99" s="641">
        <v>0</v>
      </c>
      <c r="X99" s="641">
        <v>0</v>
      </c>
      <c r="Y99" s="641">
        <v>0</v>
      </c>
      <c r="Z99" s="641">
        <v>0</v>
      </c>
      <c r="AA99" s="641">
        <v>0</v>
      </c>
      <c r="AB99" s="641">
        <v>0</v>
      </c>
      <c r="AC99" s="641">
        <v>0</v>
      </c>
    </row>
    <row r="100" spans="1:29">
      <c r="A100" s="1" t="s">
        <v>6</v>
      </c>
      <c r="B100" s="756"/>
      <c r="C100" s="641">
        <v>0</v>
      </c>
      <c r="D100" s="641">
        <v>0</v>
      </c>
      <c r="E100" s="641">
        <v>0</v>
      </c>
      <c r="F100" s="641">
        <v>0</v>
      </c>
      <c r="G100" s="641">
        <v>0</v>
      </c>
      <c r="H100" s="641">
        <v>0</v>
      </c>
      <c r="I100" s="641">
        <v>0</v>
      </c>
      <c r="J100" s="641">
        <v>0</v>
      </c>
      <c r="K100" s="641">
        <v>0</v>
      </c>
      <c r="L100" s="641">
        <v>0</v>
      </c>
      <c r="M100" s="641">
        <v>0</v>
      </c>
      <c r="N100" s="641">
        <v>0</v>
      </c>
      <c r="O100" s="641">
        <v>0</v>
      </c>
      <c r="P100" s="641">
        <v>0</v>
      </c>
      <c r="Q100" s="641">
        <v>0</v>
      </c>
      <c r="R100" s="641">
        <v>0</v>
      </c>
      <c r="S100" s="641">
        <v>0</v>
      </c>
      <c r="T100" s="641">
        <v>0</v>
      </c>
      <c r="U100" s="641">
        <v>0</v>
      </c>
      <c r="V100" s="641">
        <v>0</v>
      </c>
      <c r="W100" s="641">
        <v>0</v>
      </c>
      <c r="X100" s="641">
        <v>0</v>
      </c>
      <c r="Y100" s="641">
        <v>0</v>
      </c>
      <c r="Z100" s="641">
        <v>0</v>
      </c>
      <c r="AA100" s="641">
        <v>0</v>
      </c>
      <c r="AB100" s="641">
        <v>0</v>
      </c>
      <c r="AC100" s="641">
        <v>0</v>
      </c>
    </row>
    <row r="101" spans="1:29">
      <c r="A101" s="1" t="s">
        <v>7</v>
      </c>
      <c r="B101" s="756"/>
      <c r="C101" s="641">
        <v>5000</v>
      </c>
      <c r="D101" s="641">
        <v>5000</v>
      </c>
      <c r="E101" s="641">
        <v>5000</v>
      </c>
      <c r="F101" s="641">
        <v>5000</v>
      </c>
      <c r="G101" s="641">
        <v>5000</v>
      </c>
      <c r="H101" s="641">
        <v>5000</v>
      </c>
      <c r="I101" s="641">
        <v>5000</v>
      </c>
      <c r="J101" s="641">
        <v>5000</v>
      </c>
      <c r="K101" s="641">
        <v>5000</v>
      </c>
      <c r="L101" s="641">
        <v>5000</v>
      </c>
      <c r="M101" s="641">
        <v>5000</v>
      </c>
      <c r="N101" s="641">
        <v>5000</v>
      </c>
      <c r="O101" s="641">
        <v>5000</v>
      </c>
      <c r="P101" s="641">
        <v>5000</v>
      </c>
      <c r="Q101" s="641">
        <v>5000</v>
      </c>
      <c r="R101" s="641">
        <v>5000</v>
      </c>
      <c r="S101" s="641">
        <v>5000</v>
      </c>
      <c r="T101" s="641">
        <v>5000</v>
      </c>
      <c r="U101" s="641">
        <v>5000</v>
      </c>
      <c r="V101" s="641">
        <v>5000</v>
      </c>
      <c r="W101" s="641">
        <v>5000</v>
      </c>
      <c r="X101" s="641">
        <v>5000</v>
      </c>
      <c r="Y101" s="641">
        <v>5000</v>
      </c>
      <c r="Z101" s="641">
        <v>5000</v>
      </c>
      <c r="AA101" s="641">
        <v>5000</v>
      </c>
      <c r="AB101" s="641">
        <v>5000</v>
      </c>
      <c r="AC101" s="641">
        <v>5000</v>
      </c>
    </row>
    <row r="102" spans="1:29">
      <c r="A102" s="4" t="s">
        <v>565</v>
      </c>
      <c r="B102" s="757"/>
      <c r="C102" s="689">
        <v>50000</v>
      </c>
      <c r="D102" s="689">
        <v>50000</v>
      </c>
      <c r="E102" s="689">
        <v>50000</v>
      </c>
      <c r="F102" s="689">
        <v>50000</v>
      </c>
      <c r="G102" s="689">
        <v>50000</v>
      </c>
      <c r="H102" s="689">
        <v>50000</v>
      </c>
      <c r="I102" s="689">
        <v>50000</v>
      </c>
      <c r="J102" s="689">
        <v>50000</v>
      </c>
      <c r="K102" s="689">
        <v>50000</v>
      </c>
      <c r="L102" s="689">
        <v>50000</v>
      </c>
      <c r="M102" s="689">
        <v>50000</v>
      </c>
      <c r="N102" s="689">
        <v>50000</v>
      </c>
      <c r="O102" s="689">
        <v>50000</v>
      </c>
      <c r="P102" s="689">
        <v>50000</v>
      </c>
      <c r="Q102" s="689">
        <v>50000</v>
      </c>
      <c r="R102" s="689">
        <v>50000</v>
      </c>
      <c r="S102" s="689">
        <v>50000</v>
      </c>
      <c r="T102" s="689">
        <v>50000</v>
      </c>
      <c r="U102" s="689">
        <v>50000</v>
      </c>
      <c r="V102" s="689">
        <v>50000</v>
      </c>
      <c r="W102" s="689">
        <v>50000</v>
      </c>
      <c r="X102" s="689">
        <v>50000</v>
      </c>
      <c r="Y102" s="689">
        <v>50000</v>
      </c>
      <c r="Z102" s="689">
        <v>50000</v>
      </c>
      <c r="AA102" s="689">
        <v>50000</v>
      </c>
      <c r="AB102" s="689">
        <v>50000</v>
      </c>
      <c r="AC102" s="689">
        <v>50000</v>
      </c>
    </row>
    <row r="103" spans="1:29">
      <c r="A103" s="4" t="s">
        <v>566</v>
      </c>
      <c r="B103" s="757"/>
      <c r="C103" s="689">
        <v>8000</v>
      </c>
      <c r="D103" s="689">
        <v>8000</v>
      </c>
      <c r="E103" s="689">
        <v>8000</v>
      </c>
      <c r="F103" s="689">
        <v>8000</v>
      </c>
      <c r="G103" s="689">
        <v>8000</v>
      </c>
      <c r="H103" s="689">
        <v>8000</v>
      </c>
      <c r="I103" s="689">
        <v>8000</v>
      </c>
      <c r="J103" s="689">
        <v>8000</v>
      </c>
      <c r="K103" s="689">
        <v>8000</v>
      </c>
      <c r="L103" s="689">
        <v>8000</v>
      </c>
      <c r="M103" s="689">
        <v>8000</v>
      </c>
      <c r="N103" s="689">
        <v>8000</v>
      </c>
      <c r="O103" s="689">
        <v>8000</v>
      </c>
      <c r="P103" s="689">
        <v>8000</v>
      </c>
      <c r="Q103" s="689">
        <v>8000</v>
      </c>
      <c r="R103" s="689">
        <v>8000</v>
      </c>
      <c r="S103" s="689">
        <v>8000</v>
      </c>
      <c r="T103" s="689">
        <v>8000</v>
      </c>
      <c r="U103" s="689">
        <v>8000</v>
      </c>
      <c r="V103" s="689">
        <v>8000</v>
      </c>
      <c r="W103" s="689">
        <v>8000</v>
      </c>
      <c r="X103" s="689">
        <v>8000</v>
      </c>
      <c r="Y103" s="689">
        <v>8000</v>
      </c>
      <c r="Z103" s="689">
        <v>8000</v>
      </c>
      <c r="AA103" s="689">
        <v>8000</v>
      </c>
      <c r="AB103" s="689">
        <v>8000</v>
      </c>
      <c r="AC103" s="689">
        <v>8000</v>
      </c>
    </row>
    <row r="104" spans="1:29">
      <c r="A104" s="4" t="s">
        <v>567</v>
      </c>
      <c r="B104" s="757"/>
      <c r="C104" s="689">
        <v>3845</v>
      </c>
      <c r="D104" s="689">
        <v>3845</v>
      </c>
      <c r="E104" s="689">
        <v>3845</v>
      </c>
      <c r="F104" s="689">
        <v>3845</v>
      </c>
      <c r="G104" s="689">
        <v>3845</v>
      </c>
      <c r="H104" s="689">
        <v>3845</v>
      </c>
      <c r="I104" s="689">
        <v>3845</v>
      </c>
      <c r="J104" s="689">
        <v>3845</v>
      </c>
      <c r="K104" s="689">
        <v>3845</v>
      </c>
      <c r="L104" s="689">
        <v>3845</v>
      </c>
      <c r="M104" s="689">
        <v>3845</v>
      </c>
      <c r="N104" s="689">
        <v>3845</v>
      </c>
      <c r="O104" s="689">
        <v>3845</v>
      </c>
      <c r="P104" s="689">
        <v>3845</v>
      </c>
      <c r="Q104" s="689">
        <v>3845</v>
      </c>
      <c r="R104" s="689">
        <v>3845</v>
      </c>
      <c r="S104" s="689">
        <v>3845</v>
      </c>
      <c r="T104" s="689">
        <v>3845</v>
      </c>
      <c r="U104" s="689">
        <v>3845</v>
      </c>
      <c r="V104" s="689">
        <v>3845</v>
      </c>
      <c r="W104" s="689">
        <v>3845</v>
      </c>
      <c r="X104" s="689">
        <v>3845</v>
      </c>
      <c r="Y104" s="689">
        <v>3845</v>
      </c>
      <c r="Z104" s="689">
        <v>3845</v>
      </c>
      <c r="AA104" s="689">
        <v>3845</v>
      </c>
      <c r="AB104" s="689">
        <v>3845</v>
      </c>
      <c r="AC104" s="689">
        <v>3845</v>
      </c>
    </row>
    <row r="105" spans="1:29">
      <c r="A105" s="4" t="s">
        <v>568</v>
      </c>
      <c r="B105" s="757"/>
      <c r="C105" s="689">
        <v>3500</v>
      </c>
      <c r="D105" s="689">
        <v>3500</v>
      </c>
      <c r="E105" s="689">
        <v>3500</v>
      </c>
      <c r="F105" s="689">
        <v>3500</v>
      </c>
      <c r="G105" s="689">
        <v>3500</v>
      </c>
      <c r="H105" s="689">
        <v>3500</v>
      </c>
      <c r="I105" s="689">
        <v>3500</v>
      </c>
      <c r="J105" s="689">
        <v>3500</v>
      </c>
      <c r="K105" s="689">
        <v>3500</v>
      </c>
      <c r="L105" s="689">
        <v>3500</v>
      </c>
      <c r="M105" s="689">
        <v>3500</v>
      </c>
      <c r="N105" s="689">
        <v>3500</v>
      </c>
      <c r="O105" s="689">
        <v>3500</v>
      </c>
      <c r="P105" s="689">
        <v>3500</v>
      </c>
      <c r="Q105" s="689">
        <v>3500</v>
      </c>
      <c r="R105" s="689">
        <v>3500</v>
      </c>
      <c r="S105" s="689">
        <v>3500</v>
      </c>
      <c r="T105" s="689">
        <v>3500</v>
      </c>
      <c r="U105" s="689">
        <v>3500</v>
      </c>
      <c r="V105" s="689">
        <v>3500</v>
      </c>
      <c r="W105" s="689">
        <v>3500</v>
      </c>
      <c r="X105" s="689">
        <v>3500</v>
      </c>
      <c r="Y105" s="689">
        <v>3500</v>
      </c>
      <c r="Z105" s="689">
        <v>3500</v>
      </c>
      <c r="AA105" s="689">
        <v>3500</v>
      </c>
      <c r="AB105" s="689">
        <v>3500</v>
      </c>
      <c r="AC105" s="689">
        <v>3500</v>
      </c>
    </row>
    <row r="106" spans="1:29">
      <c r="A106" s="4" t="s">
        <v>748</v>
      </c>
      <c r="B106" s="757"/>
      <c r="C106" s="689">
        <v>0</v>
      </c>
      <c r="D106" s="689">
        <v>0</v>
      </c>
      <c r="E106" s="689">
        <v>0</v>
      </c>
      <c r="F106" s="689">
        <v>0</v>
      </c>
      <c r="G106" s="689">
        <v>0</v>
      </c>
      <c r="H106" s="689">
        <v>0</v>
      </c>
      <c r="I106" s="689">
        <v>0</v>
      </c>
      <c r="J106" s="689">
        <v>0</v>
      </c>
      <c r="K106" s="689">
        <v>0</v>
      </c>
      <c r="L106" s="689">
        <v>0</v>
      </c>
      <c r="M106" s="689">
        <v>10000000</v>
      </c>
      <c r="N106" s="689">
        <v>24000000</v>
      </c>
      <c r="O106" s="689">
        <v>24000000</v>
      </c>
      <c r="P106" s="689">
        <v>0</v>
      </c>
      <c r="Q106" s="689">
        <v>0</v>
      </c>
      <c r="R106" s="689">
        <v>0</v>
      </c>
      <c r="S106" s="689">
        <v>0</v>
      </c>
      <c r="T106" s="689">
        <v>0</v>
      </c>
      <c r="U106" s="689">
        <v>0</v>
      </c>
      <c r="V106" s="689">
        <v>0</v>
      </c>
      <c r="W106" s="689">
        <v>0</v>
      </c>
      <c r="X106" s="689">
        <v>0</v>
      </c>
      <c r="Y106" s="689">
        <v>0</v>
      </c>
      <c r="Z106" s="689">
        <v>0</v>
      </c>
      <c r="AA106" s="689">
        <v>0</v>
      </c>
      <c r="AB106" s="689">
        <v>0</v>
      </c>
      <c r="AC106" s="689">
        <v>0</v>
      </c>
    </row>
    <row r="107" spans="1:29">
      <c r="A107" s="4"/>
      <c r="B107" s="757"/>
      <c r="C107" s="689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  <c r="V107" s="689"/>
      <c r="W107" s="689"/>
      <c r="X107" s="689"/>
      <c r="Y107" s="689"/>
      <c r="Z107" s="689"/>
      <c r="AA107" s="689"/>
      <c r="AB107" s="689"/>
      <c r="AC107" s="689"/>
    </row>
    <row r="108" spans="1:29" ht="16.2" thickBot="1">
      <c r="A108" s="737"/>
      <c r="B108" s="738"/>
      <c r="C108" s="848">
        <v>801239</v>
      </c>
      <c r="D108" s="848">
        <v>801239</v>
      </c>
      <c r="E108" s="848">
        <v>801239</v>
      </c>
      <c r="F108" s="848">
        <v>22802739</v>
      </c>
      <c r="G108" s="848">
        <v>10389218</v>
      </c>
      <c r="H108" s="848">
        <v>1580141</v>
      </c>
      <c r="I108" s="848">
        <v>6580141</v>
      </c>
      <c r="J108" s="848">
        <v>16083141</v>
      </c>
      <c r="K108" s="848">
        <v>26584491</v>
      </c>
      <c r="L108" s="848">
        <v>37991191</v>
      </c>
      <c r="M108" s="848">
        <v>57228691</v>
      </c>
      <c r="N108" s="848">
        <v>67636789</v>
      </c>
      <c r="O108" s="848">
        <v>25012789</v>
      </c>
      <c r="P108" s="848">
        <v>1012789</v>
      </c>
      <c r="Q108" s="848">
        <v>1012789</v>
      </c>
      <c r="R108" s="848">
        <v>1012789</v>
      </c>
      <c r="S108" s="848">
        <v>17012789</v>
      </c>
      <c r="T108" s="848">
        <v>10633289</v>
      </c>
      <c r="U108" s="848">
        <v>1383289</v>
      </c>
      <c r="V108" s="848">
        <v>29684789</v>
      </c>
      <c r="W108" s="848">
        <v>10465789</v>
      </c>
      <c r="X108" s="848">
        <v>12468289</v>
      </c>
      <c r="Y108" s="848">
        <v>63969789</v>
      </c>
      <c r="Z108" s="848">
        <v>7884403</v>
      </c>
      <c r="AA108" s="848">
        <v>7884403</v>
      </c>
      <c r="AB108" s="848">
        <v>10118188</v>
      </c>
      <c r="AC108" s="848">
        <v>821855</v>
      </c>
    </row>
    <row r="109" spans="1:29">
      <c r="A109" s="5"/>
      <c r="B109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685"/>
      <c r="Q109" s="685"/>
      <c r="R109" s="685"/>
      <c r="S109" s="685"/>
      <c r="T109" s="685"/>
      <c r="U109" s="685"/>
      <c r="V109" s="685"/>
      <c r="W109" s="685"/>
      <c r="X109" s="685"/>
      <c r="Y109" s="685"/>
      <c r="Z109" s="685"/>
      <c r="AA109" s="685"/>
      <c r="AB109" s="685"/>
      <c r="AC109" s="685"/>
    </row>
    <row r="110" spans="1:29">
      <c r="A110" s="5"/>
      <c r="B110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685"/>
      <c r="Q110" s="685"/>
      <c r="R110" s="685"/>
      <c r="S110" s="685"/>
      <c r="T110" s="685"/>
      <c r="U110" s="685"/>
      <c r="V110" s="685"/>
      <c r="W110" s="685"/>
      <c r="X110" s="685"/>
      <c r="Y110" s="685"/>
      <c r="Z110" s="685"/>
      <c r="AA110" s="685"/>
      <c r="AB110" s="685"/>
      <c r="AC110" s="685"/>
    </row>
    <row r="111" spans="1:29">
      <c r="A111" s="754" t="s">
        <v>3</v>
      </c>
      <c r="B111" s="755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90"/>
      <c r="P111" s="690"/>
      <c r="Q111" s="690"/>
      <c r="R111" s="690"/>
      <c r="S111" s="690"/>
      <c r="T111" s="690"/>
      <c r="U111" s="690"/>
      <c r="V111" s="690"/>
      <c r="W111" s="690"/>
      <c r="X111" s="690"/>
      <c r="Y111" s="690"/>
      <c r="Z111" s="690"/>
      <c r="AA111" s="690"/>
      <c r="AB111" s="690"/>
      <c r="AC111" s="690"/>
    </row>
    <row r="112" spans="1:29">
      <c r="A112" s="28" t="s">
        <v>223</v>
      </c>
      <c r="B112" s="747" t="s">
        <v>282</v>
      </c>
      <c r="C112" s="855">
        <v>100000</v>
      </c>
      <c r="D112" s="855">
        <v>100000</v>
      </c>
      <c r="E112" s="855">
        <v>42172989</v>
      </c>
      <c r="F112" s="855">
        <v>56093149</v>
      </c>
      <c r="G112" s="855">
        <v>9325979</v>
      </c>
      <c r="H112" s="855">
        <v>661003</v>
      </c>
      <c r="I112" s="855">
        <v>62842413</v>
      </c>
      <c r="J112" s="855">
        <v>59008386</v>
      </c>
      <c r="K112" s="855">
        <v>28988896</v>
      </c>
      <c r="L112" s="855">
        <v>170759796</v>
      </c>
      <c r="M112" s="855">
        <v>58555706</v>
      </c>
      <c r="N112" s="855">
        <v>329021</v>
      </c>
      <c r="O112" s="855">
        <v>39329021</v>
      </c>
      <c r="P112" s="855">
        <v>3694329</v>
      </c>
      <c r="Q112" s="855">
        <v>4611329</v>
      </c>
      <c r="R112" s="855">
        <v>36916529</v>
      </c>
      <c r="S112" s="855">
        <v>21848221</v>
      </c>
      <c r="T112" s="855">
        <v>17543559</v>
      </c>
      <c r="U112" s="855">
        <v>27559361</v>
      </c>
      <c r="V112" s="855">
        <v>63582806</v>
      </c>
      <c r="W112" s="855">
        <v>67981202</v>
      </c>
      <c r="X112" s="855">
        <v>35983602</v>
      </c>
      <c r="Y112" s="855">
        <v>33261700</v>
      </c>
      <c r="Z112" s="855">
        <v>37555950</v>
      </c>
      <c r="AA112" s="855">
        <v>31803699</v>
      </c>
      <c r="AB112" s="855">
        <v>49042699</v>
      </c>
      <c r="AC112" s="855">
        <v>65302169</v>
      </c>
    </row>
    <row r="113" spans="1:29">
      <c r="A113" s="28" t="s">
        <v>764</v>
      </c>
      <c r="B113" s="747"/>
      <c r="C113" s="855">
        <v>48496408</v>
      </c>
      <c r="D113" s="855">
        <v>48496408</v>
      </c>
      <c r="E113" s="855"/>
      <c r="F113" s="855"/>
      <c r="G113" s="855"/>
      <c r="H113" s="855"/>
      <c r="I113" s="855"/>
      <c r="J113" s="855"/>
      <c r="K113" s="855"/>
      <c r="L113" s="855"/>
      <c r="M113" s="855"/>
      <c r="N113" s="855"/>
      <c r="O113" s="855"/>
      <c r="P113" s="855"/>
      <c r="Q113" s="855"/>
      <c r="R113" s="855"/>
      <c r="S113" s="855"/>
      <c r="T113" s="855"/>
      <c r="U113" s="855"/>
      <c r="V113" s="855"/>
      <c r="W113" s="855"/>
      <c r="X113" s="855"/>
      <c r="Y113" s="855"/>
      <c r="Z113" s="855"/>
      <c r="AA113" s="855"/>
      <c r="AB113" s="855"/>
      <c r="AC113" s="855"/>
    </row>
    <row r="114" spans="1:29">
      <c r="A114" s="28" t="s">
        <v>765</v>
      </c>
      <c r="B114" s="747"/>
      <c r="C114" s="855">
        <v>0</v>
      </c>
      <c r="D114" s="855">
        <v>0</v>
      </c>
      <c r="E114" s="855"/>
      <c r="F114" s="855"/>
      <c r="G114" s="855"/>
      <c r="H114" s="855"/>
      <c r="I114" s="855"/>
      <c r="J114" s="855"/>
      <c r="K114" s="855"/>
      <c r="L114" s="855"/>
      <c r="M114" s="855"/>
      <c r="N114" s="855"/>
      <c r="O114" s="855"/>
      <c r="P114" s="855"/>
      <c r="Q114" s="855"/>
      <c r="R114" s="855"/>
      <c r="S114" s="855"/>
      <c r="T114" s="855"/>
      <c r="U114" s="855"/>
      <c r="V114" s="855"/>
      <c r="W114" s="855"/>
      <c r="X114" s="855"/>
      <c r="Y114" s="855"/>
      <c r="Z114" s="855"/>
      <c r="AA114" s="855"/>
      <c r="AB114" s="855"/>
      <c r="AC114" s="855"/>
    </row>
    <row r="115" spans="1:29">
      <c r="A115" s="1" t="s">
        <v>5</v>
      </c>
      <c r="B115" s="756"/>
      <c r="C115" s="641">
        <v>5</v>
      </c>
      <c r="D115" s="641">
        <v>5</v>
      </c>
      <c r="E115" s="641">
        <v>5</v>
      </c>
      <c r="F115" s="641">
        <v>5</v>
      </c>
      <c r="G115" s="641">
        <v>5</v>
      </c>
      <c r="H115" s="641">
        <v>5</v>
      </c>
      <c r="I115" s="641">
        <v>5</v>
      </c>
      <c r="J115" s="641">
        <v>5</v>
      </c>
      <c r="K115" s="641">
        <v>5</v>
      </c>
      <c r="L115" s="641">
        <v>5</v>
      </c>
      <c r="M115" s="641">
        <v>5</v>
      </c>
      <c r="N115" s="641">
        <v>5</v>
      </c>
      <c r="O115" s="641">
        <v>5</v>
      </c>
      <c r="P115" s="641">
        <v>5</v>
      </c>
      <c r="Q115" s="641">
        <v>5</v>
      </c>
      <c r="R115" s="641">
        <v>5</v>
      </c>
      <c r="S115" s="641">
        <v>5</v>
      </c>
      <c r="T115" s="641">
        <v>5</v>
      </c>
      <c r="U115" s="641">
        <v>5</v>
      </c>
      <c r="V115" s="641">
        <v>5</v>
      </c>
      <c r="W115" s="641">
        <v>5</v>
      </c>
      <c r="X115" s="641">
        <v>5</v>
      </c>
      <c r="Y115" s="641">
        <v>5</v>
      </c>
      <c r="Z115" s="641">
        <v>5</v>
      </c>
      <c r="AA115" s="641">
        <v>5</v>
      </c>
      <c r="AB115" s="641">
        <v>5</v>
      </c>
      <c r="AC115" s="641">
        <v>5</v>
      </c>
    </row>
    <row r="116" spans="1:29">
      <c r="A116" s="1" t="s">
        <v>6</v>
      </c>
      <c r="B116" s="756"/>
      <c r="C116" s="641">
        <v>3148</v>
      </c>
      <c r="D116" s="641">
        <v>3148</v>
      </c>
      <c r="E116" s="641">
        <v>3148</v>
      </c>
      <c r="F116" s="641">
        <v>3148</v>
      </c>
      <c r="G116" s="641">
        <v>3148</v>
      </c>
      <c r="H116" s="641">
        <v>3148</v>
      </c>
      <c r="I116" s="641">
        <v>3148</v>
      </c>
      <c r="J116" s="641">
        <v>3148</v>
      </c>
      <c r="K116" s="641">
        <v>3148</v>
      </c>
      <c r="L116" s="641">
        <v>3148</v>
      </c>
      <c r="M116" s="641">
        <v>3148</v>
      </c>
      <c r="N116" s="641">
        <v>3148</v>
      </c>
      <c r="O116" s="641">
        <v>3148</v>
      </c>
      <c r="P116" s="641">
        <v>3148</v>
      </c>
      <c r="Q116" s="641">
        <v>3148</v>
      </c>
      <c r="R116" s="641">
        <v>3148</v>
      </c>
      <c r="S116" s="641">
        <v>3148</v>
      </c>
      <c r="T116" s="641">
        <v>3148</v>
      </c>
      <c r="U116" s="641">
        <v>3148</v>
      </c>
      <c r="V116" s="641">
        <v>3148</v>
      </c>
      <c r="W116" s="641">
        <v>3148</v>
      </c>
      <c r="X116" s="641">
        <v>3148</v>
      </c>
      <c r="Y116" s="641">
        <v>3148</v>
      </c>
      <c r="Z116" s="641">
        <v>3148</v>
      </c>
      <c r="AA116" s="641">
        <v>3148</v>
      </c>
      <c r="AB116" s="641">
        <v>3148</v>
      </c>
      <c r="AC116" s="641">
        <v>3148</v>
      </c>
    </row>
    <row r="117" spans="1:29">
      <c r="A117" s="1" t="s">
        <v>7</v>
      </c>
      <c r="B117" s="756"/>
      <c r="C117" s="641">
        <v>149</v>
      </c>
      <c r="D117" s="641">
        <v>149</v>
      </c>
      <c r="E117" s="641">
        <v>149</v>
      </c>
      <c r="F117" s="641">
        <v>149</v>
      </c>
      <c r="G117" s="641">
        <v>149</v>
      </c>
      <c r="H117" s="641">
        <v>149</v>
      </c>
      <c r="I117" s="641">
        <v>149</v>
      </c>
      <c r="J117" s="641">
        <v>149</v>
      </c>
      <c r="K117" s="641">
        <v>149</v>
      </c>
      <c r="L117" s="641">
        <v>149</v>
      </c>
      <c r="M117" s="641">
        <v>149</v>
      </c>
      <c r="N117" s="641">
        <v>149</v>
      </c>
      <c r="O117" s="641">
        <v>149</v>
      </c>
      <c r="P117" s="641">
        <v>149</v>
      </c>
      <c r="Q117" s="641">
        <v>149</v>
      </c>
      <c r="R117" s="641">
        <v>149</v>
      </c>
      <c r="S117" s="641">
        <v>149</v>
      </c>
      <c r="T117" s="641">
        <v>149</v>
      </c>
      <c r="U117" s="641">
        <v>149</v>
      </c>
      <c r="V117" s="641">
        <v>149</v>
      </c>
      <c r="W117" s="641">
        <v>149</v>
      </c>
      <c r="X117" s="641">
        <v>149</v>
      </c>
      <c r="Y117" s="641">
        <v>149</v>
      </c>
      <c r="Z117" s="641">
        <v>149</v>
      </c>
      <c r="AA117" s="641">
        <v>149</v>
      </c>
      <c r="AB117" s="641">
        <v>149</v>
      </c>
      <c r="AC117" s="641">
        <v>149</v>
      </c>
    </row>
    <row r="118" spans="1:29">
      <c r="A118" s="1" t="s">
        <v>8</v>
      </c>
      <c r="B118" s="756"/>
      <c r="C118" s="641">
        <v>250000</v>
      </c>
      <c r="D118" s="641">
        <v>250000</v>
      </c>
      <c r="E118" s="641">
        <v>250000</v>
      </c>
      <c r="F118" s="641">
        <v>250000</v>
      </c>
      <c r="G118" s="641">
        <v>250000</v>
      </c>
      <c r="H118" s="641">
        <v>250000</v>
      </c>
      <c r="I118" s="641">
        <v>250000</v>
      </c>
      <c r="J118" s="641">
        <v>250000</v>
      </c>
      <c r="K118" s="641">
        <v>250000</v>
      </c>
      <c r="L118" s="641">
        <v>250000</v>
      </c>
      <c r="M118" s="641">
        <v>250000</v>
      </c>
      <c r="N118" s="641">
        <v>250000</v>
      </c>
      <c r="O118" s="641">
        <v>250000</v>
      </c>
      <c r="P118" s="641">
        <v>250000</v>
      </c>
      <c r="Q118" s="641">
        <v>250000</v>
      </c>
      <c r="R118" s="641">
        <v>250000</v>
      </c>
      <c r="S118" s="641">
        <v>250000</v>
      </c>
      <c r="T118" s="641">
        <v>250000</v>
      </c>
      <c r="U118" s="641">
        <v>250000</v>
      </c>
      <c r="V118" s="641">
        <v>250000</v>
      </c>
      <c r="W118" s="641">
        <v>250000</v>
      </c>
      <c r="X118" s="641">
        <v>250000</v>
      </c>
      <c r="Y118" s="641">
        <v>250000</v>
      </c>
      <c r="Z118" s="641">
        <v>250000</v>
      </c>
      <c r="AA118" s="641">
        <v>250000</v>
      </c>
      <c r="AB118" s="641">
        <v>250000</v>
      </c>
      <c r="AC118" s="641">
        <v>250000</v>
      </c>
    </row>
    <row r="119" spans="1:29">
      <c r="A119" s="1"/>
      <c r="B119" s="736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1"/>
      <c r="P119" s="641"/>
      <c r="Q119" s="641"/>
      <c r="R119" s="641"/>
      <c r="S119" s="641"/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</row>
    <row r="120" spans="1:29" ht="15.6">
      <c r="A120" s="1"/>
      <c r="B120" s="736"/>
      <c r="C120" s="863">
        <v>48849710</v>
      </c>
      <c r="D120" s="863">
        <v>48849710</v>
      </c>
      <c r="E120" s="863">
        <v>42426291</v>
      </c>
      <c r="F120" s="863">
        <v>56346451</v>
      </c>
      <c r="G120" s="863">
        <v>9579281</v>
      </c>
      <c r="H120" s="863">
        <v>914305</v>
      </c>
      <c r="I120" s="863">
        <v>63095715</v>
      </c>
      <c r="J120" s="863">
        <v>59261688</v>
      </c>
      <c r="K120" s="863">
        <v>29242198</v>
      </c>
      <c r="L120" s="863">
        <v>171013098</v>
      </c>
      <c r="M120" s="863">
        <v>58809008</v>
      </c>
      <c r="N120" s="863">
        <v>582323</v>
      </c>
      <c r="O120" s="863">
        <v>39582323</v>
      </c>
      <c r="P120" s="863">
        <v>3947631</v>
      </c>
      <c r="Q120" s="863">
        <v>4864631</v>
      </c>
      <c r="R120" s="863">
        <v>37169831</v>
      </c>
      <c r="S120" s="863">
        <v>22101523</v>
      </c>
      <c r="T120" s="863">
        <v>17796861</v>
      </c>
      <c r="U120" s="863">
        <v>27812663</v>
      </c>
      <c r="V120" s="863">
        <v>63836108</v>
      </c>
      <c r="W120" s="863">
        <v>68234504</v>
      </c>
      <c r="X120" s="863">
        <v>36236904</v>
      </c>
      <c r="Y120" s="863">
        <v>33515002</v>
      </c>
      <c r="Z120" s="863">
        <v>37809252</v>
      </c>
      <c r="AA120" s="863">
        <v>32057001</v>
      </c>
      <c r="AB120" s="863">
        <v>49296001</v>
      </c>
      <c r="AC120" s="863">
        <v>65555471</v>
      </c>
    </row>
    <row r="121" spans="1:29">
      <c r="A121" s="4"/>
      <c r="B121" s="15"/>
      <c r="C121" s="865"/>
      <c r="D121" s="865"/>
      <c r="E121" s="865"/>
      <c r="F121" s="865"/>
      <c r="G121" s="865"/>
      <c r="H121" s="865"/>
      <c r="I121" s="865"/>
      <c r="J121" s="865"/>
      <c r="K121" s="865"/>
      <c r="L121" s="865"/>
      <c r="M121" s="865"/>
      <c r="N121" s="865"/>
      <c r="O121" s="865"/>
      <c r="P121" s="865"/>
      <c r="Q121" s="865"/>
      <c r="R121" s="865"/>
      <c r="S121" s="865"/>
      <c r="T121" s="865"/>
      <c r="U121" s="865"/>
      <c r="V121" s="865"/>
      <c r="W121" s="865"/>
      <c r="X121" s="865"/>
      <c r="Y121" s="865"/>
      <c r="Z121" s="865"/>
      <c r="AA121" s="865"/>
      <c r="AB121" s="865"/>
      <c r="AC121" s="865"/>
    </row>
    <row r="122" spans="1:29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  <c r="R122" s="864"/>
      <c r="S122" s="864"/>
      <c r="T122" s="864"/>
      <c r="U122" s="864"/>
      <c r="V122" s="864"/>
      <c r="W122" s="864"/>
      <c r="X122" s="864"/>
      <c r="Y122" s="864"/>
      <c r="Z122" s="864"/>
      <c r="AA122" s="864"/>
      <c r="AB122" s="864"/>
      <c r="AC122" s="864"/>
    </row>
    <row r="123" spans="1:29" s="688" customFormat="1" ht="21">
      <c r="A123" s="1449" t="s">
        <v>226</v>
      </c>
      <c r="B123" s="1446"/>
      <c r="C123" s="850">
        <v>94586452</v>
      </c>
      <c r="D123" s="850">
        <v>75717240</v>
      </c>
      <c r="E123" s="850">
        <v>72084435</v>
      </c>
      <c r="F123" s="850">
        <v>110812548</v>
      </c>
      <c r="G123" s="850">
        <v>48802323</v>
      </c>
      <c r="H123" s="850">
        <v>32411582</v>
      </c>
      <c r="I123" s="850">
        <v>100369113</v>
      </c>
      <c r="J123" s="850">
        <v>103037787</v>
      </c>
      <c r="K123" s="850">
        <v>86513317</v>
      </c>
      <c r="L123" s="850">
        <v>234346612</v>
      </c>
      <c r="M123" s="850">
        <v>143055439</v>
      </c>
      <c r="N123" s="850">
        <v>94584552</v>
      </c>
      <c r="O123" s="850">
        <v>91818535</v>
      </c>
      <c r="P123" s="850">
        <v>36347345</v>
      </c>
      <c r="Q123" s="850">
        <v>34067941</v>
      </c>
      <c r="R123" s="850">
        <v>67884180</v>
      </c>
      <c r="S123" s="850">
        <v>65614665</v>
      </c>
      <c r="T123" s="850">
        <v>52486087</v>
      </c>
      <c r="U123" s="850">
        <v>87022078</v>
      </c>
      <c r="V123" s="850">
        <v>122836114</v>
      </c>
      <c r="W123" s="850">
        <v>104527640</v>
      </c>
      <c r="X123" s="850">
        <v>76795875</v>
      </c>
      <c r="Y123" s="850">
        <v>122058316</v>
      </c>
      <c r="Z123" s="850">
        <v>73128897</v>
      </c>
      <c r="AA123" s="850">
        <v>67934243</v>
      </c>
      <c r="AB123" s="850">
        <v>88014001</v>
      </c>
      <c r="AC123" s="850">
        <v>281565927</v>
      </c>
    </row>
    <row r="124" spans="1:29">
      <c r="A124" s="5"/>
      <c r="B124"/>
      <c r="C124" s="864"/>
      <c r="D124" s="864"/>
      <c r="E124" s="864"/>
      <c r="F124" s="864"/>
      <c r="G124" s="864"/>
      <c r="H124" s="864"/>
      <c r="I124" s="864"/>
      <c r="J124" s="864"/>
      <c r="K124" s="864"/>
      <c r="L124" s="864"/>
      <c r="M124" s="864"/>
      <c r="N124" s="864"/>
      <c r="O124" s="864"/>
      <c r="P124" s="864"/>
      <c r="Q124" s="864"/>
      <c r="R124" s="864"/>
      <c r="S124" s="864"/>
      <c r="T124" s="864"/>
      <c r="U124" s="864"/>
      <c r="V124" s="864"/>
      <c r="W124" s="864"/>
      <c r="X124" s="864"/>
      <c r="Y124" s="864"/>
      <c r="Z124" s="864"/>
      <c r="AA124" s="864"/>
      <c r="AB124" s="864"/>
      <c r="AC124" s="864"/>
    </row>
    <row r="125" spans="1:29" ht="16.2" thickBot="1">
      <c r="A125" s="758"/>
      <c r="B125" s="759"/>
      <c r="C125" s="866"/>
      <c r="D125" s="866"/>
      <c r="E125" s="866"/>
      <c r="F125" s="866"/>
      <c r="G125" s="866"/>
      <c r="H125" s="866"/>
      <c r="I125" s="866"/>
      <c r="J125" s="866"/>
      <c r="K125" s="866"/>
      <c r="L125" s="866"/>
      <c r="M125" s="866"/>
      <c r="N125" s="866"/>
      <c r="O125" s="866"/>
      <c r="P125" s="866"/>
      <c r="Q125" s="866"/>
      <c r="R125" s="866"/>
      <c r="S125" s="866"/>
      <c r="T125" s="866"/>
      <c r="U125" s="866"/>
      <c r="V125" s="866"/>
      <c r="W125" s="866"/>
      <c r="X125" s="866"/>
      <c r="Y125" s="866"/>
      <c r="Z125" s="866"/>
      <c r="AA125" s="866"/>
      <c r="AB125" s="866"/>
      <c r="AC125" s="866"/>
    </row>
    <row r="126" spans="1:29" ht="15" thickTop="1">
      <c r="A126" s="5"/>
      <c r="B126"/>
      <c r="C126" s="864"/>
      <c r="D126" s="864"/>
      <c r="E126" s="864"/>
      <c r="F126" s="864"/>
      <c r="G126" s="864"/>
      <c r="H126" s="864"/>
      <c r="I126" s="864"/>
      <c r="J126" s="864"/>
      <c r="K126" s="864"/>
      <c r="L126" s="864"/>
      <c r="M126" s="864"/>
      <c r="N126" s="864"/>
      <c r="O126" s="864"/>
      <c r="P126" s="864"/>
      <c r="Q126" s="864"/>
      <c r="R126" s="864"/>
      <c r="S126" s="864"/>
      <c r="T126" s="864"/>
      <c r="U126" s="864"/>
      <c r="V126" s="864"/>
      <c r="W126" s="864"/>
      <c r="X126" s="864"/>
      <c r="Y126" s="864"/>
      <c r="Z126" s="864"/>
      <c r="AA126" s="864"/>
      <c r="AB126" s="864"/>
      <c r="AC126" s="864"/>
    </row>
    <row r="127" spans="1:29" s="691" customFormat="1" ht="21">
      <c r="A127" s="1442" t="s">
        <v>227</v>
      </c>
      <c r="B127" s="1443"/>
      <c r="C127" s="867">
        <v>286957452</v>
      </c>
      <c r="D127" s="867">
        <v>284846240</v>
      </c>
      <c r="E127" s="867">
        <v>289251435</v>
      </c>
      <c r="F127" s="867">
        <v>294982548</v>
      </c>
      <c r="G127" s="867">
        <v>295276323</v>
      </c>
      <c r="H127" s="867">
        <v>295009582</v>
      </c>
      <c r="I127" s="867">
        <v>348674113</v>
      </c>
      <c r="J127" s="867">
        <v>349267287</v>
      </c>
      <c r="K127" s="867">
        <v>345935817</v>
      </c>
      <c r="L127" s="867">
        <v>294352112</v>
      </c>
      <c r="M127" s="867">
        <v>292857939</v>
      </c>
      <c r="N127" s="867">
        <v>289786552</v>
      </c>
      <c r="O127" s="867">
        <v>289958035</v>
      </c>
      <c r="P127" s="867">
        <v>285407345</v>
      </c>
      <c r="Q127" s="867">
        <v>283907941</v>
      </c>
      <c r="R127" s="867">
        <v>282709180</v>
      </c>
      <c r="S127" s="867">
        <v>227048665</v>
      </c>
      <c r="T127" s="867">
        <v>227695087</v>
      </c>
      <c r="U127" s="867">
        <v>277796578</v>
      </c>
      <c r="V127" s="867">
        <v>275594114</v>
      </c>
      <c r="W127" s="867">
        <v>277145640</v>
      </c>
      <c r="X127" s="867">
        <v>276022875</v>
      </c>
      <c r="Y127" s="867">
        <v>273755316</v>
      </c>
      <c r="Z127" s="867">
        <v>242739897</v>
      </c>
      <c r="AA127" s="867">
        <v>241802243</v>
      </c>
      <c r="AB127" s="867">
        <v>240853001</v>
      </c>
      <c r="AC127" s="867">
        <v>317392927</v>
      </c>
    </row>
    <row r="128" spans="1:29">
      <c r="A128" s="5"/>
      <c r="B128"/>
      <c r="C128" s="852"/>
      <c r="D128" s="852"/>
      <c r="E128" s="852"/>
      <c r="F128" s="852"/>
      <c r="G128" s="852"/>
      <c r="H128" s="852"/>
      <c r="I128" s="852"/>
      <c r="J128" s="852"/>
      <c r="K128" s="852"/>
      <c r="L128" s="852"/>
      <c r="M128" s="852"/>
      <c r="N128" s="852"/>
      <c r="O128" s="852"/>
      <c r="P128" s="852"/>
      <c r="Q128" s="852"/>
      <c r="R128" s="852"/>
      <c r="S128" s="852"/>
      <c r="T128" s="852"/>
      <c r="U128" s="852"/>
      <c r="V128" s="852"/>
      <c r="W128" s="852"/>
      <c r="X128" s="852"/>
      <c r="Y128" s="852"/>
      <c r="Z128" s="852"/>
      <c r="AA128" s="852"/>
      <c r="AB128" s="852"/>
      <c r="AC128" s="852"/>
    </row>
    <row r="129" spans="1:29" ht="18">
      <c r="A129" s="754" t="s">
        <v>21</v>
      </c>
      <c r="B129" s="755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  <c r="U129" s="692"/>
      <c r="V129" s="692"/>
      <c r="W129" s="692"/>
      <c r="X129" s="692"/>
      <c r="Y129" s="692"/>
      <c r="Z129" s="692"/>
      <c r="AA129" s="692"/>
      <c r="AB129" s="692"/>
      <c r="AC129" s="692"/>
    </row>
    <row r="130" spans="1:29">
      <c r="A130" s="1"/>
      <c r="B130" s="736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  <c r="R130" s="641"/>
      <c r="S130" s="641"/>
      <c r="T130" s="641"/>
      <c r="U130" s="641"/>
      <c r="V130" s="641"/>
      <c r="W130" s="641"/>
      <c r="X130" s="641"/>
      <c r="Y130" s="641"/>
      <c r="Z130" s="641"/>
      <c r="AA130" s="641"/>
      <c r="AB130" s="641"/>
      <c r="AC130" s="641"/>
    </row>
    <row r="131" spans="1:29">
      <c r="A131" s="4" t="s">
        <v>76</v>
      </c>
      <c r="B131" s="15"/>
      <c r="C131" s="689">
        <v>5000000</v>
      </c>
      <c r="D131" s="689">
        <v>5000000</v>
      </c>
      <c r="E131" s="689">
        <v>5000000</v>
      </c>
      <c r="F131" s="689">
        <v>5000000</v>
      </c>
      <c r="G131" s="689">
        <v>5000000</v>
      </c>
      <c r="H131" s="689">
        <v>5000000</v>
      </c>
      <c r="I131" s="689">
        <v>5000000</v>
      </c>
      <c r="J131" s="689">
        <v>5000000</v>
      </c>
      <c r="K131" s="689">
        <v>5000000</v>
      </c>
      <c r="L131" s="689">
        <v>5000000</v>
      </c>
      <c r="M131" s="689">
        <v>5000000</v>
      </c>
      <c r="N131" s="689">
        <v>5000000</v>
      </c>
      <c r="O131" s="689">
        <v>5000000</v>
      </c>
      <c r="P131" s="689">
        <v>5000000</v>
      </c>
      <c r="Q131" s="689">
        <v>5000000</v>
      </c>
      <c r="R131" s="689">
        <v>5000000</v>
      </c>
      <c r="S131" s="689">
        <v>5000000</v>
      </c>
      <c r="T131" s="689">
        <v>5000000</v>
      </c>
      <c r="U131" s="689">
        <v>5000000</v>
      </c>
      <c r="V131" s="689">
        <v>5000000</v>
      </c>
      <c r="W131" s="689">
        <v>5000000</v>
      </c>
      <c r="X131" s="689">
        <v>5000000</v>
      </c>
      <c r="Y131" s="689">
        <v>5000000</v>
      </c>
      <c r="Z131" s="689">
        <v>5000000</v>
      </c>
      <c r="AA131" s="689">
        <v>5000000</v>
      </c>
      <c r="AB131" s="689">
        <v>5000000</v>
      </c>
      <c r="AC131" s="689">
        <v>5000000</v>
      </c>
    </row>
    <row r="132" spans="1:29">
      <c r="A132" s="4" t="s">
        <v>186</v>
      </c>
      <c r="B132" s="15"/>
      <c r="C132" s="689">
        <v>679000</v>
      </c>
      <c r="D132" s="689">
        <v>679000</v>
      </c>
      <c r="E132" s="689">
        <v>679000</v>
      </c>
      <c r="F132" s="689">
        <v>679000</v>
      </c>
      <c r="G132" s="689">
        <v>679000</v>
      </c>
      <c r="H132" s="689">
        <v>679000</v>
      </c>
      <c r="I132" s="689">
        <v>679000</v>
      </c>
      <c r="J132" s="689">
        <v>679000</v>
      </c>
      <c r="K132" s="689">
        <v>679000</v>
      </c>
      <c r="L132" s="689">
        <v>679000</v>
      </c>
      <c r="M132" s="689">
        <v>679000</v>
      </c>
      <c r="N132" s="689">
        <v>679000</v>
      </c>
      <c r="O132" s="689">
        <v>679000</v>
      </c>
      <c r="P132" s="689">
        <v>679000</v>
      </c>
      <c r="Q132" s="689">
        <v>679000</v>
      </c>
      <c r="R132" s="689">
        <v>679000</v>
      </c>
      <c r="S132" s="689">
        <v>679000</v>
      </c>
      <c r="T132" s="689">
        <v>679000</v>
      </c>
      <c r="U132" s="689">
        <v>679000</v>
      </c>
      <c r="V132" s="689">
        <v>679000</v>
      </c>
      <c r="W132" s="689">
        <v>679000</v>
      </c>
      <c r="X132" s="689">
        <v>679000</v>
      </c>
      <c r="Y132" s="689">
        <v>679000</v>
      </c>
      <c r="Z132" s="689">
        <v>679000</v>
      </c>
      <c r="AA132" s="689">
        <v>679000</v>
      </c>
      <c r="AB132" s="689">
        <v>679000</v>
      </c>
      <c r="AC132" s="689">
        <v>679000</v>
      </c>
    </row>
    <row r="133" spans="1:29">
      <c r="A133" s="4" t="s">
        <v>261</v>
      </c>
      <c r="B133" s="15"/>
      <c r="C133" s="689">
        <v>200000</v>
      </c>
      <c r="D133" s="689">
        <v>200000</v>
      </c>
      <c r="E133" s="689">
        <v>200000</v>
      </c>
      <c r="F133" s="689">
        <v>200000</v>
      </c>
      <c r="G133" s="689">
        <v>200000</v>
      </c>
      <c r="H133" s="689">
        <v>200000</v>
      </c>
      <c r="I133" s="689">
        <v>200000</v>
      </c>
      <c r="J133" s="689">
        <v>200000</v>
      </c>
      <c r="K133" s="689">
        <v>200000</v>
      </c>
      <c r="L133" s="689">
        <v>200000</v>
      </c>
      <c r="M133" s="689">
        <v>200000</v>
      </c>
      <c r="N133" s="689">
        <v>200000</v>
      </c>
      <c r="O133" s="689">
        <v>200000</v>
      </c>
      <c r="P133" s="689">
        <v>200000</v>
      </c>
      <c r="Q133" s="689">
        <v>200000</v>
      </c>
      <c r="R133" s="689">
        <v>200000</v>
      </c>
      <c r="S133" s="689">
        <v>200000</v>
      </c>
      <c r="T133" s="689">
        <v>200000</v>
      </c>
      <c r="U133" s="689">
        <v>200000</v>
      </c>
      <c r="V133" s="689">
        <v>200000</v>
      </c>
      <c r="W133" s="689">
        <v>200000</v>
      </c>
      <c r="X133" s="689">
        <v>200000</v>
      </c>
      <c r="Y133" s="689">
        <v>200000</v>
      </c>
      <c r="Z133" s="689">
        <v>200000</v>
      </c>
      <c r="AA133" s="689">
        <v>200000</v>
      </c>
      <c r="AB133" s="689">
        <v>200000</v>
      </c>
      <c r="AC133" s="689">
        <v>200000</v>
      </c>
    </row>
    <row r="134" spans="1:29">
      <c r="A134" s="4" t="s">
        <v>669</v>
      </c>
      <c r="B134" s="15"/>
      <c r="C134" s="689">
        <v>55000</v>
      </c>
      <c r="D134" s="689">
        <v>55000</v>
      </c>
      <c r="E134" s="689">
        <v>55000</v>
      </c>
      <c r="F134" s="689">
        <v>55000</v>
      </c>
      <c r="G134" s="689">
        <v>55000</v>
      </c>
      <c r="H134" s="689">
        <v>55000</v>
      </c>
      <c r="I134" s="689">
        <v>55000</v>
      </c>
      <c r="J134" s="689">
        <v>55000</v>
      </c>
      <c r="K134" s="689">
        <v>55000</v>
      </c>
      <c r="L134" s="689">
        <v>55000</v>
      </c>
      <c r="M134" s="689">
        <v>55000</v>
      </c>
      <c r="N134" s="689">
        <v>55000</v>
      </c>
      <c r="O134" s="689">
        <v>55000</v>
      </c>
      <c r="P134" s="689">
        <v>55000</v>
      </c>
      <c r="Q134" s="689">
        <v>55000</v>
      </c>
      <c r="R134" s="689">
        <v>55000</v>
      </c>
      <c r="S134" s="689">
        <v>55000</v>
      </c>
      <c r="T134" s="689">
        <v>55000</v>
      </c>
      <c r="U134" s="689">
        <v>55000</v>
      </c>
      <c r="V134" s="689">
        <v>55000</v>
      </c>
      <c r="W134" s="689">
        <v>55000</v>
      </c>
      <c r="X134" s="689">
        <v>55000</v>
      </c>
      <c r="Y134" s="689">
        <v>55000</v>
      </c>
      <c r="Z134" s="689">
        <v>55000</v>
      </c>
      <c r="AA134" s="689">
        <v>55000</v>
      </c>
      <c r="AB134" s="689">
        <v>55000</v>
      </c>
      <c r="AC134" s="689">
        <v>55000</v>
      </c>
    </row>
    <row r="135" spans="1:29">
      <c r="A135" s="4" t="s">
        <v>731</v>
      </c>
      <c r="B135" s="15"/>
      <c r="C135" s="689">
        <v>0</v>
      </c>
      <c r="D135" s="689">
        <v>0</v>
      </c>
      <c r="E135" s="689">
        <v>0</v>
      </c>
      <c r="F135" s="689">
        <v>0</v>
      </c>
      <c r="G135" s="689">
        <v>0</v>
      </c>
      <c r="H135" s="689">
        <v>0</v>
      </c>
      <c r="I135" s="689">
        <v>0</v>
      </c>
      <c r="J135" s="689">
        <v>0</v>
      </c>
      <c r="K135" s="689">
        <v>0</v>
      </c>
      <c r="L135" s="689">
        <v>0</v>
      </c>
      <c r="M135" s="689">
        <v>0</v>
      </c>
      <c r="N135" s="689">
        <v>0</v>
      </c>
      <c r="O135" s="689">
        <v>0</v>
      </c>
      <c r="P135" s="689">
        <v>0</v>
      </c>
      <c r="Q135" s="689">
        <v>0</v>
      </c>
      <c r="R135" s="689">
        <v>0</v>
      </c>
      <c r="S135" s="689">
        <v>0</v>
      </c>
      <c r="T135" s="693">
        <v>0</v>
      </c>
      <c r="U135" s="693">
        <v>110000</v>
      </c>
      <c r="V135" s="689">
        <v>0</v>
      </c>
      <c r="W135" s="689">
        <v>0</v>
      </c>
      <c r="X135" s="689">
        <v>0</v>
      </c>
      <c r="Y135" s="689">
        <v>0</v>
      </c>
      <c r="Z135" s="689">
        <v>0</v>
      </c>
      <c r="AA135" s="689">
        <v>0</v>
      </c>
      <c r="AB135" s="689">
        <v>0</v>
      </c>
      <c r="AC135" s="689">
        <v>0</v>
      </c>
    </row>
    <row r="136" spans="1:29">
      <c r="A136" s="4" t="s">
        <v>736</v>
      </c>
      <c r="B136" s="15"/>
      <c r="C136" s="689">
        <v>225000</v>
      </c>
      <c r="D136" s="689">
        <v>225000</v>
      </c>
      <c r="E136" s="689">
        <v>225000</v>
      </c>
      <c r="F136" s="689">
        <v>225000</v>
      </c>
      <c r="G136" s="689">
        <v>225000</v>
      </c>
      <c r="H136" s="689">
        <v>225000</v>
      </c>
      <c r="I136" s="689">
        <v>225000</v>
      </c>
      <c r="J136" s="689">
        <v>225000</v>
      </c>
      <c r="K136" s="689">
        <v>225000</v>
      </c>
      <c r="L136" s="689">
        <v>225000</v>
      </c>
      <c r="M136" s="689">
        <v>225000</v>
      </c>
      <c r="N136" s="689">
        <v>225000</v>
      </c>
      <c r="O136" s="689">
        <v>225000</v>
      </c>
      <c r="P136" s="689">
        <v>225000</v>
      </c>
      <c r="Q136" s="689">
        <v>225000</v>
      </c>
      <c r="R136" s="689">
        <v>225000</v>
      </c>
      <c r="S136" s="689">
        <v>225000</v>
      </c>
      <c r="T136" s="689">
        <v>225000</v>
      </c>
      <c r="U136" s="693">
        <v>225000</v>
      </c>
      <c r="V136" s="689">
        <v>0</v>
      </c>
      <c r="W136" s="689">
        <v>0</v>
      </c>
      <c r="X136" s="689">
        <v>0</v>
      </c>
      <c r="Y136" s="689">
        <v>0</v>
      </c>
      <c r="Z136" s="689">
        <v>0</v>
      </c>
      <c r="AA136" s="689">
        <v>0</v>
      </c>
      <c r="AB136" s="689">
        <v>0</v>
      </c>
      <c r="AC136" s="689">
        <v>0</v>
      </c>
    </row>
    <row r="137" spans="1:29">
      <c r="A137" s="1" t="s">
        <v>26</v>
      </c>
      <c r="B137" s="736"/>
      <c r="C137" s="641">
        <v>50000</v>
      </c>
      <c r="D137" s="641">
        <v>50000</v>
      </c>
      <c r="E137" s="641">
        <v>50000</v>
      </c>
      <c r="F137" s="641">
        <v>50000</v>
      </c>
      <c r="G137" s="641">
        <v>50000</v>
      </c>
      <c r="H137" s="641">
        <v>50000</v>
      </c>
      <c r="I137" s="641">
        <v>50000</v>
      </c>
      <c r="J137" s="641">
        <v>50000</v>
      </c>
      <c r="K137" s="641">
        <v>50000</v>
      </c>
      <c r="L137" s="641">
        <v>50000</v>
      </c>
      <c r="M137" s="641">
        <v>50000</v>
      </c>
      <c r="N137" s="641">
        <v>50000</v>
      </c>
      <c r="O137" s="641">
        <v>50000</v>
      </c>
      <c r="P137" s="641">
        <v>50000</v>
      </c>
      <c r="Q137" s="641">
        <v>50000</v>
      </c>
      <c r="R137" s="641">
        <v>50000</v>
      </c>
      <c r="S137" s="641">
        <v>50000</v>
      </c>
      <c r="T137" s="641">
        <v>50000</v>
      </c>
      <c r="U137" s="641">
        <v>50000</v>
      </c>
      <c r="V137" s="641">
        <v>50000</v>
      </c>
      <c r="W137" s="641">
        <v>50000</v>
      </c>
      <c r="X137" s="641">
        <v>50000</v>
      </c>
      <c r="Y137" s="641">
        <v>50000</v>
      </c>
      <c r="Z137" s="641">
        <v>50000</v>
      </c>
      <c r="AA137" s="641">
        <v>50000</v>
      </c>
      <c r="AB137" s="641">
        <v>50000</v>
      </c>
      <c r="AC137" s="641">
        <v>50000</v>
      </c>
    </row>
    <row r="138" spans="1:29">
      <c r="A138" s="1" t="s">
        <v>570</v>
      </c>
      <c r="B138" s="736"/>
      <c r="C138" s="641">
        <v>2250000</v>
      </c>
      <c r="D138" s="641">
        <v>2250000</v>
      </c>
      <c r="E138" s="641">
        <v>2250000</v>
      </c>
      <c r="F138" s="641">
        <v>2250000</v>
      </c>
      <c r="G138" s="641">
        <v>2250000</v>
      </c>
      <c r="H138" s="641">
        <v>2250000</v>
      </c>
      <c r="I138" s="641">
        <v>2250000</v>
      </c>
      <c r="J138" s="641">
        <v>2250000</v>
      </c>
      <c r="K138" s="641">
        <v>2250000</v>
      </c>
      <c r="L138" s="641">
        <v>2250000</v>
      </c>
      <c r="M138" s="641">
        <v>2250000</v>
      </c>
      <c r="N138" s="641">
        <v>2250000</v>
      </c>
      <c r="O138" s="641">
        <v>2250000</v>
      </c>
      <c r="P138" s="641">
        <v>2250000</v>
      </c>
      <c r="Q138" s="641">
        <v>2250000</v>
      </c>
      <c r="R138" s="641">
        <v>2250000</v>
      </c>
      <c r="S138" s="641">
        <v>2250000</v>
      </c>
      <c r="T138" s="641">
        <v>2250000</v>
      </c>
      <c r="U138" s="641">
        <v>2250000</v>
      </c>
      <c r="V138" s="641">
        <v>2250000</v>
      </c>
      <c r="W138" s="641">
        <v>2250000</v>
      </c>
      <c r="X138" s="641">
        <v>2250000</v>
      </c>
      <c r="Y138" s="641">
        <v>2250000</v>
      </c>
      <c r="Z138" s="641">
        <v>2250000</v>
      </c>
      <c r="AA138" s="641">
        <v>2250000</v>
      </c>
      <c r="AB138" s="641">
        <v>2250000</v>
      </c>
      <c r="AC138" s="641">
        <v>2250000</v>
      </c>
    </row>
    <row r="139" spans="1:29">
      <c r="A139" s="1" t="s">
        <v>571</v>
      </c>
      <c r="B139" s="736"/>
      <c r="C139" s="641">
        <v>190000</v>
      </c>
      <c r="D139" s="641">
        <v>190000</v>
      </c>
      <c r="E139" s="641">
        <v>190000</v>
      </c>
      <c r="F139" s="641">
        <v>190000</v>
      </c>
      <c r="G139" s="641">
        <v>190000</v>
      </c>
      <c r="H139" s="641">
        <v>190000</v>
      </c>
      <c r="I139" s="641">
        <v>190000</v>
      </c>
      <c r="J139" s="641">
        <v>190000</v>
      </c>
      <c r="K139" s="641">
        <v>190000</v>
      </c>
      <c r="L139" s="641">
        <v>190000</v>
      </c>
      <c r="M139" s="641">
        <v>190000</v>
      </c>
      <c r="N139" s="641">
        <v>190000</v>
      </c>
      <c r="O139" s="641">
        <v>190000</v>
      </c>
      <c r="P139" s="641">
        <v>190000</v>
      </c>
      <c r="Q139" s="641">
        <v>190000</v>
      </c>
      <c r="R139" s="641">
        <v>190000</v>
      </c>
      <c r="S139" s="641">
        <v>190000</v>
      </c>
      <c r="T139" s="641">
        <v>190000</v>
      </c>
      <c r="U139" s="641">
        <v>190000</v>
      </c>
      <c r="V139" s="641">
        <v>190000</v>
      </c>
      <c r="W139" s="641">
        <v>190000</v>
      </c>
      <c r="X139" s="641">
        <v>190000</v>
      </c>
      <c r="Y139" s="641">
        <v>190000</v>
      </c>
      <c r="Z139" s="641">
        <v>190000</v>
      </c>
      <c r="AA139" s="641">
        <v>190000</v>
      </c>
      <c r="AB139" s="641">
        <v>190000</v>
      </c>
      <c r="AC139" s="641">
        <v>190000</v>
      </c>
    </row>
    <row r="140" spans="1:29">
      <c r="A140" s="1" t="s">
        <v>198</v>
      </c>
      <c r="B140" s="736"/>
      <c r="C140" s="641">
        <v>100000</v>
      </c>
      <c r="D140" s="641">
        <v>100000</v>
      </c>
      <c r="E140" s="641">
        <v>100000</v>
      </c>
      <c r="F140" s="641">
        <v>100000</v>
      </c>
      <c r="G140" s="641">
        <v>100000</v>
      </c>
      <c r="H140" s="641">
        <v>100000</v>
      </c>
      <c r="I140" s="641">
        <v>100000</v>
      </c>
      <c r="J140" s="641">
        <v>100000</v>
      </c>
      <c r="K140" s="641">
        <v>100000</v>
      </c>
      <c r="L140" s="641">
        <v>100000</v>
      </c>
      <c r="M140" s="641">
        <v>100000</v>
      </c>
      <c r="N140" s="641">
        <v>100000</v>
      </c>
      <c r="O140" s="641">
        <v>100000</v>
      </c>
      <c r="P140" s="641">
        <v>100000</v>
      </c>
      <c r="Q140" s="641">
        <v>100000</v>
      </c>
      <c r="R140" s="641">
        <v>100000</v>
      </c>
      <c r="S140" s="641">
        <v>100000</v>
      </c>
      <c r="T140" s="641">
        <v>100000</v>
      </c>
      <c r="U140" s="641">
        <v>100000</v>
      </c>
      <c r="V140" s="641">
        <v>100000</v>
      </c>
      <c r="W140" s="641">
        <v>100000</v>
      </c>
      <c r="X140" s="641">
        <v>100000</v>
      </c>
      <c r="Y140" s="641">
        <v>100000</v>
      </c>
      <c r="Z140" s="641">
        <v>100000</v>
      </c>
      <c r="AA140" s="641">
        <v>100000</v>
      </c>
      <c r="AB140" s="641">
        <v>100000</v>
      </c>
      <c r="AC140" s="641">
        <v>100000</v>
      </c>
    </row>
    <row r="141" spans="1:29">
      <c r="A141" s="1" t="s">
        <v>676</v>
      </c>
      <c r="B141" s="736"/>
      <c r="C141" s="1067">
        <v>0</v>
      </c>
      <c r="D141" s="1067">
        <v>0</v>
      </c>
      <c r="E141" s="1067">
        <v>0</v>
      </c>
      <c r="F141" s="1067">
        <v>0</v>
      </c>
      <c r="G141" s="1067">
        <v>0</v>
      </c>
      <c r="H141" s="1067">
        <v>0</v>
      </c>
      <c r="I141" s="1067">
        <v>0</v>
      </c>
      <c r="J141" s="1067">
        <v>0</v>
      </c>
      <c r="K141" s="1067">
        <v>0</v>
      </c>
      <c r="L141" s="684">
        <v>0</v>
      </c>
      <c r="M141" s="641">
        <v>197500</v>
      </c>
      <c r="N141" s="641">
        <v>197500</v>
      </c>
      <c r="O141" s="641">
        <v>197500</v>
      </c>
      <c r="P141" s="641">
        <v>197500</v>
      </c>
      <c r="Q141" s="641">
        <v>197500</v>
      </c>
      <c r="R141" s="641">
        <v>197500</v>
      </c>
      <c r="S141" s="641">
        <v>197500</v>
      </c>
      <c r="T141" s="641">
        <v>197500</v>
      </c>
      <c r="U141" s="641">
        <v>197500</v>
      </c>
      <c r="V141" s="641">
        <v>197500</v>
      </c>
      <c r="W141" s="641">
        <v>197500</v>
      </c>
      <c r="X141" s="641">
        <v>197500</v>
      </c>
      <c r="Y141" s="641">
        <v>197500</v>
      </c>
      <c r="Z141" s="641">
        <v>197500</v>
      </c>
      <c r="AA141" s="641">
        <v>197500</v>
      </c>
      <c r="AB141" s="684">
        <v>197500</v>
      </c>
      <c r="AC141" s="641">
        <v>0</v>
      </c>
    </row>
    <row r="142" spans="1:29">
      <c r="A142" s="1" t="s">
        <v>740</v>
      </c>
      <c r="B142" s="736"/>
      <c r="C142" s="641">
        <v>506333</v>
      </c>
      <c r="D142" s="641">
        <v>506333</v>
      </c>
      <c r="E142" s="641">
        <v>506333</v>
      </c>
      <c r="F142" s="641">
        <v>506333</v>
      </c>
      <c r="G142" s="641">
        <v>506333</v>
      </c>
      <c r="H142" s="641">
        <v>506333</v>
      </c>
      <c r="I142" s="641">
        <v>506333</v>
      </c>
      <c r="J142" s="641">
        <v>506333</v>
      </c>
      <c r="K142" s="641">
        <v>506333</v>
      </c>
      <c r="L142" s="641">
        <v>506333</v>
      </c>
      <c r="M142" s="641">
        <v>506333</v>
      </c>
      <c r="N142" s="641">
        <v>506333</v>
      </c>
      <c r="O142" s="641">
        <v>506333</v>
      </c>
      <c r="P142" s="641">
        <v>506333</v>
      </c>
      <c r="Q142" s="641">
        <v>506333</v>
      </c>
      <c r="R142" s="641">
        <v>506333</v>
      </c>
      <c r="S142" s="684">
        <v>506333</v>
      </c>
      <c r="T142" s="684">
        <v>506333</v>
      </c>
      <c r="U142" s="641">
        <v>0</v>
      </c>
      <c r="V142" s="641">
        <v>0</v>
      </c>
      <c r="W142" s="641">
        <v>0</v>
      </c>
      <c r="X142" s="641">
        <v>0</v>
      </c>
      <c r="Y142" s="641">
        <v>0</v>
      </c>
      <c r="Z142" s="641">
        <v>0</v>
      </c>
      <c r="AA142" s="641">
        <v>0</v>
      </c>
      <c r="AB142" s="641">
        <v>0</v>
      </c>
      <c r="AC142" s="641">
        <v>0</v>
      </c>
    </row>
    <row r="143" spans="1:29">
      <c r="A143" s="1" t="s">
        <v>697</v>
      </c>
      <c r="B143" s="736"/>
      <c r="C143" s="641">
        <v>0</v>
      </c>
      <c r="D143" s="641">
        <v>0</v>
      </c>
      <c r="E143" s="641">
        <v>0</v>
      </c>
      <c r="F143" s="641">
        <v>0</v>
      </c>
      <c r="G143" s="641">
        <v>0</v>
      </c>
      <c r="H143" s="641">
        <v>0</v>
      </c>
      <c r="I143" s="641">
        <v>0</v>
      </c>
      <c r="J143" s="641">
        <v>0</v>
      </c>
      <c r="K143" s="641">
        <v>0</v>
      </c>
      <c r="L143" s="641">
        <v>0</v>
      </c>
      <c r="M143" s="641">
        <v>0</v>
      </c>
      <c r="N143" s="641">
        <v>0</v>
      </c>
      <c r="O143" s="641">
        <v>0</v>
      </c>
      <c r="P143" s="641">
        <v>0</v>
      </c>
      <c r="Q143" s="641">
        <v>0</v>
      </c>
      <c r="R143" s="684">
        <v>0</v>
      </c>
      <c r="S143" s="684">
        <v>305000</v>
      </c>
      <c r="T143" s="641">
        <v>0</v>
      </c>
      <c r="U143" s="641">
        <v>0</v>
      </c>
      <c r="V143" s="641">
        <v>0</v>
      </c>
      <c r="W143" s="641">
        <v>0</v>
      </c>
      <c r="X143" s="641">
        <v>0</v>
      </c>
      <c r="Y143" s="641">
        <v>0</v>
      </c>
      <c r="Z143" s="641">
        <v>0</v>
      </c>
      <c r="AA143" s="641">
        <v>0</v>
      </c>
      <c r="AB143" s="641">
        <v>0</v>
      </c>
      <c r="AC143" s="684">
        <v>0</v>
      </c>
    </row>
    <row r="144" spans="1:29">
      <c r="A144" s="4" t="s">
        <v>660</v>
      </c>
      <c r="B144" s="15"/>
      <c r="C144" s="689">
        <v>400000</v>
      </c>
      <c r="D144" s="689">
        <v>400000</v>
      </c>
      <c r="E144" s="689">
        <v>400000</v>
      </c>
      <c r="F144" s="689">
        <v>400000</v>
      </c>
      <c r="G144" s="689">
        <v>400000</v>
      </c>
      <c r="H144" s="689">
        <v>400000</v>
      </c>
      <c r="I144" s="689">
        <v>400000</v>
      </c>
      <c r="J144" s="689">
        <v>400000</v>
      </c>
      <c r="K144" s="689">
        <v>400000</v>
      </c>
      <c r="L144" s="689">
        <v>400000</v>
      </c>
      <c r="M144" s="689">
        <v>400000</v>
      </c>
      <c r="N144" s="689">
        <v>400000</v>
      </c>
      <c r="O144" s="689">
        <v>400000</v>
      </c>
      <c r="P144" s="689">
        <v>400000</v>
      </c>
      <c r="Q144" s="689">
        <v>400000</v>
      </c>
      <c r="R144" s="689">
        <v>400000</v>
      </c>
      <c r="S144" s="689">
        <v>400000</v>
      </c>
      <c r="T144" s="689">
        <v>400000</v>
      </c>
      <c r="U144" s="689">
        <v>400000</v>
      </c>
      <c r="V144" s="689">
        <v>400000</v>
      </c>
      <c r="W144" s="689">
        <v>400000</v>
      </c>
      <c r="X144" s="689">
        <v>400000</v>
      </c>
      <c r="Y144" s="689">
        <v>400000</v>
      </c>
      <c r="Z144" s="689">
        <v>400000</v>
      </c>
      <c r="AA144" s="689">
        <v>400000</v>
      </c>
      <c r="AB144" s="689">
        <v>400000</v>
      </c>
      <c r="AC144" s="689">
        <v>400000</v>
      </c>
    </row>
    <row r="145" spans="1:29">
      <c r="A145" s="4" t="s">
        <v>191</v>
      </c>
      <c r="B145" s="15"/>
      <c r="C145" s="689">
        <v>150000</v>
      </c>
      <c r="D145" s="689">
        <v>150000</v>
      </c>
      <c r="E145" s="689">
        <v>150000</v>
      </c>
      <c r="F145" s="689">
        <v>150000</v>
      </c>
      <c r="G145" s="689">
        <v>150000</v>
      </c>
      <c r="H145" s="689">
        <v>150000</v>
      </c>
      <c r="I145" s="689">
        <v>150000</v>
      </c>
      <c r="J145" s="689">
        <v>150000</v>
      </c>
      <c r="K145" s="689">
        <v>150000</v>
      </c>
      <c r="L145" s="689">
        <v>150000</v>
      </c>
      <c r="M145" s="689">
        <v>150000</v>
      </c>
      <c r="N145" s="689">
        <v>150000</v>
      </c>
      <c r="O145" s="689">
        <v>150000</v>
      </c>
      <c r="P145" s="689">
        <v>150000</v>
      </c>
      <c r="Q145" s="689">
        <v>150000</v>
      </c>
      <c r="R145" s="689">
        <v>150000</v>
      </c>
      <c r="S145" s="689">
        <v>150000</v>
      </c>
      <c r="T145" s="689">
        <v>150000</v>
      </c>
      <c r="U145" s="689">
        <v>150000</v>
      </c>
      <c r="V145" s="689">
        <v>150000</v>
      </c>
      <c r="W145" s="689">
        <v>150000</v>
      </c>
      <c r="X145" s="689">
        <v>150000</v>
      </c>
      <c r="Y145" s="689">
        <v>150000</v>
      </c>
      <c r="Z145" s="689">
        <v>150000</v>
      </c>
      <c r="AA145" s="689">
        <v>150000</v>
      </c>
      <c r="AB145" s="689">
        <v>150000</v>
      </c>
      <c r="AC145" s="689">
        <v>150000</v>
      </c>
    </row>
    <row r="146" spans="1:29">
      <c r="A146" s="4" t="s">
        <v>732</v>
      </c>
      <c r="B146" s="15"/>
      <c r="C146" s="689">
        <v>0</v>
      </c>
      <c r="D146" s="689">
        <v>0</v>
      </c>
      <c r="E146" s="689">
        <v>0</v>
      </c>
      <c r="F146" s="689">
        <v>0</v>
      </c>
      <c r="G146" s="689">
        <v>0</v>
      </c>
      <c r="H146" s="689">
        <v>0</v>
      </c>
      <c r="I146" s="689">
        <v>0</v>
      </c>
      <c r="J146" s="689">
        <v>0</v>
      </c>
      <c r="K146" s="689">
        <v>0</v>
      </c>
      <c r="L146" s="689">
        <v>500000</v>
      </c>
      <c r="M146" s="689">
        <v>500000</v>
      </c>
      <c r="N146" s="689">
        <v>500000</v>
      </c>
      <c r="O146" s="689">
        <v>500000</v>
      </c>
      <c r="P146" s="689">
        <v>500000</v>
      </c>
      <c r="Q146" s="689">
        <v>500000</v>
      </c>
      <c r="R146" s="689">
        <v>500000</v>
      </c>
      <c r="S146" s="689">
        <v>500000</v>
      </c>
      <c r="T146" s="689">
        <v>500000</v>
      </c>
      <c r="U146" s="689">
        <v>500000</v>
      </c>
      <c r="V146" s="689">
        <v>500000</v>
      </c>
      <c r="W146" s="689">
        <v>500000</v>
      </c>
      <c r="X146" s="693">
        <v>500000</v>
      </c>
      <c r="Y146" s="689">
        <v>0</v>
      </c>
      <c r="Z146" s="689">
        <v>0</v>
      </c>
      <c r="AA146" s="689">
        <v>0</v>
      </c>
      <c r="AB146" s="689">
        <v>0</v>
      </c>
      <c r="AC146" s="689">
        <v>0</v>
      </c>
    </row>
    <row r="147" spans="1:29">
      <c r="A147" s="4" t="s">
        <v>749</v>
      </c>
      <c r="B147" s="15"/>
      <c r="C147" s="1066">
        <v>0</v>
      </c>
      <c r="D147" s="1066">
        <v>0</v>
      </c>
      <c r="E147" s="1066">
        <v>0</v>
      </c>
      <c r="F147" s="1066">
        <v>0</v>
      </c>
      <c r="G147" s="1066">
        <v>0</v>
      </c>
      <c r="H147" s="1066">
        <v>0</v>
      </c>
      <c r="I147" s="1066">
        <v>0</v>
      </c>
      <c r="J147" s="1066">
        <v>0</v>
      </c>
      <c r="K147" s="693">
        <v>0</v>
      </c>
      <c r="L147" s="689">
        <v>300000</v>
      </c>
      <c r="M147" s="689">
        <v>300000</v>
      </c>
      <c r="N147" s="689">
        <v>300000</v>
      </c>
      <c r="O147" s="693">
        <v>300000</v>
      </c>
      <c r="P147" s="689">
        <v>0</v>
      </c>
      <c r="Q147" s="689">
        <v>0</v>
      </c>
      <c r="R147" s="689">
        <v>0</v>
      </c>
      <c r="S147" s="689">
        <v>0</v>
      </c>
      <c r="T147" s="689">
        <v>0</v>
      </c>
      <c r="U147" s="689">
        <v>0</v>
      </c>
      <c r="V147" s="689">
        <v>0</v>
      </c>
      <c r="W147" s="689">
        <v>0</v>
      </c>
      <c r="X147" s="689">
        <v>0</v>
      </c>
      <c r="Y147" s="689">
        <v>0</v>
      </c>
      <c r="Z147" s="689">
        <v>0</v>
      </c>
      <c r="AA147" s="689">
        <v>0</v>
      </c>
      <c r="AB147" s="689">
        <v>0</v>
      </c>
      <c r="AC147" s="689">
        <v>0</v>
      </c>
    </row>
    <row r="148" spans="1:29">
      <c r="A148" s="4"/>
      <c r="B148" s="15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89"/>
      <c r="N148" s="689"/>
      <c r="O148" s="689"/>
      <c r="P148" s="689"/>
      <c r="Q148" s="689"/>
      <c r="R148" s="689"/>
      <c r="S148" s="689"/>
      <c r="T148" s="689"/>
      <c r="U148" s="689"/>
      <c r="V148" s="689"/>
      <c r="W148" s="689"/>
      <c r="X148" s="689"/>
      <c r="Y148" s="689"/>
      <c r="Z148" s="689"/>
      <c r="AA148" s="689"/>
      <c r="AB148" s="689"/>
      <c r="AC148" s="689"/>
    </row>
    <row r="149" spans="1:29" ht="16.2" thickBot="1">
      <c r="A149" s="737"/>
      <c r="B149" s="738"/>
      <c r="C149" s="848">
        <v>4805333</v>
      </c>
      <c r="D149" s="848">
        <v>4805333</v>
      </c>
      <c r="E149" s="848">
        <v>4805333</v>
      </c>
      <c r="F149" s="848">
        <v>4805333</v>
      </c>
      <c r="G149" s="848">
        <v>4805333</v>
      </c>
      <c r="H149" s="848">
        <v>4805333</v>
      </c>
      <c r="I149" s="848">
        <v>4805333</v>
      </c>
      <c r="J149" s="848">
        <v>4805333</v>
      </c>
      <c r="K149" s="848">
        <v>4805333</v>
      </c>
      <c r="L149" s="848">
        <v>5605333</v>
      </c>
      <c r="M149" s="848">
        <v>5802833</v>
      </c>
      <c r="N149" s="848">
        <v>5802833</v>
      </c>
      <c r="O149" s="848">
        <v>5802833</v>
      </c>
      <c r="P149" s="848">
        <v>5502833</v>
      </c>
      <c r="Q149" s="848">
        <v>5502833</v>
      </c>
      <c r="R149" s="848">
        <v>5502833</v>
      </c>
      <c r="S149" s="848">
        <v>5807833</v>
      </c>
      <c r="T149" s="848">
        <v>5502833</v>
      </c>
      <c r="U149" s="848">
        <v>5106500</v>
      </c>
      <c r="V149" s="848">
        <v>4771500</v>
      </c>
      <c r="W149" s="848">
        <v>4771500</v>
      </c>
      <c r="X149" s="848">
        <v>4771500</v>
      </c>
      <c r="Y149" s="848">
        <v>4271500</v>
      </c>
      <c r="Z149" s="848">
        <v>4271500</v>
      </c>
      <c r="AA149" s="848">
        <v>4271500</v>
      </c>
      <c r="AB149" s="848">
        <v>4271500</v>
      </c>
      <c r="AC149" s="848">
        <v>4074000</v>
      </c>
    </row>
    <row r="150" spans="1:29" ht="16.2" thickBot="1">
      <c r="A150" s="5"/>
      <c r="B150"/>
      <c r="C150" s="853"/>
      <c r="D150" s="853"/>
      <c r="E150" s="853"/>
      <c r="F150" s="853"/>
      <c r="G150" s="853"/>
      <c r="H150" s="853"/>
      <c r="I150" s="853"/>
      <c r="J150" s="853"/>
      <c r="K150" s="853"/>
      <c r="L150" s="853"/>
      <c r="M150" s="853"/>
      <c r="N150" s="853"/>
      <c r="O150" s="853"/>
      <c r="P150" s="853"/>
      <c r="Q150" s="853"/>
      <c r="R150" s="853"/>
      <c r="S150" s="853"/>
      <c r="T150" s="853"/>
      <c r="U150" s="853"/>
      <c r="V150" s="853"/>
      <c r="W150" s="853"/>
      <c r="X150" s="853"/>
      <c r="Y150" s="853"/>
      <c r="Z150" s="853"/>
      <c r="AA150" s="853"/>
      <c r="AB150" s="853"/>
      <c r="AC150" s="853"/>
    </row>
    <row r="151" spans="1:29">
      <c r="A151" s="760" t="s">
        <v>12</v>
      </c>
      <c r="B151" s="761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94"/>
      <c r="AB151" s="694"/>
      <c r="AC151" s="694"/>
    </row>
    <row r="152" spans="1:29">
      <c r="A152" s="762"/>
      <c r="B152" s="763"/>
      <c r="C152" s="695"/>
      <c r="D152" s="695"/>
      <c r="E152" s="695"/>
      <c r="F152" s="695"/>
      <c r="G152" s="695"/>
      <c r="H152" s="695"/>
      <c r="I152" s="695"/>
      <c r="J152" s="695"/>
      <c r="K152" s="695"/>
      <c r="L152" s="695"/>
      <c r="M152" s="695"/>
      <c r="N152" s="695"/>
      <c r="O152" s="695"/>
      <c r="P152" s="695"/>
      <c r="Q152" s="695"/>
      <c r="R152" s="695"/>
      <c r="S152" s="695"/>
      <c r="T152" s="695"/>
      <c r="U152" s="695"/>
      <c r="V152" s="695"/>
      <c r="W152" s="695"/>
      <c r="X152" s="695"/>
      <c r="Y152" s="695"/>
      <c r="Z152" s="695"/>
      <c r="AA152" s="695"/>
      <c r="AB152" s="695"/>
      <c r="AC152" s="695"/>
    </row>
    <row r="153" spans="1:29">
      <c r="A153" s="1" t="s">
        <v>22</v>
      </c>
      <c r="B153" s="736"/>
      <c r="C153" s="641">
        <v>192000</v>
      </c>
      <c r="D153" s="641">
        <v>192000</v>
      </c>
      <c r="E153" s="641">
        <v>192000</v>
      </c>
      <c r="F153" s="641">
        <v>192000</v>
      </c>
      <c r="G153" s="641">
        <v>192000</v>
      </c>
      <c r="H153" s="641">
        <v>192000</v>
      </c>
      <c r="I153" s="641">
        <v>192000</v>
      </c>
      <c r="J153" s="641">
        <v>192000</v>
      </c>
      <c r="K153" s="641">
        <v>192000</v>
      </c>
      <c r="L153" s="641">
        <v>192000</v>
      </c>
      <c r="M153" s="641">
        <v>192000</v>
      </c>
      <c r="N153" s="641">
        <v>192000</v>
      </c>
      <c r="O153" s="641">
        <v>192000</v>
      </c>
      <c r="P153" s="641">
        <v>192000</v>
      </c>
      <c r="Q153" s="641">
        <v>192000</v>
      </c>
      <c r="R153" s="641">
        <v>192000</v>
      </c>
      <c r="S153" s="641">
        <v>192000</v>
      </c>
      <c r="T153" s="641">
        <v>192000</v>
      </c>
      <c r="U153" s="641">
        <v>192000</v>
      </c>
      <c r="V153" s="641">
        <v>192000</v>
      </c>
      <c r="W153" s="641">
        <v>192000</v>
      </c>
      <c r="X153" s="641">
        <v>192000</v>
      </c>
      <c r="Y153" s="641">
        <v>192000</v>
      </c>
      <c r="Z153" s="641">
        <v>192000</v>
      </c>
      <c r="AA153" s="641">
        <v>192000</v>
      </c>
      <c r="AB153" s="641">
        <v>192000</v>
      </c>
      <c r="AC153" s="641">
        <v>192000</v>
      </c>
    </row>
    <row r="154" spans="1:29">
      <c r="A154" s="1"/>
      <c r="B154" s="736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41"/>
      <c r="AB154" s="641"/>
      <c r="AC154" s="641"/>
    </row>
    <row r="155" spans="1:29">
      <c r="A155" s="1"/>
      <c r="B155" s="736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1"/>
      <c r="P155" s="641"/>
      <c r="Q155" s="641"/>
      <c r="R155" s="641"/>
      <c r="S155" s="641"/>
      <c r="T155" s="641"/>
      <c r="U155" s="641"/>
      <c r="V155" s="641"/>
      <c r="W155" s="641"/>
      <c r="X155" s="641"/>
      <c r="Y155" s="641"/>
      <c r="Z155" s="641"/>
      <c r="AA155" s="641"/>
      <c r="AB155" s="641"/>
      <c r="AC155" s="641"/>
    </row>
    <row r="156" spans="1:29">
      <c r="A156" s="1"/>
      <c r="B156" s="736"/>
      <c r="C156" s="641"/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  <c r="N156" s="641"/>
      <c r="O156" s="641"/>
      <c r="P156" s="641"/>
      <c r="Q156" s="641"/>
      <c r="R156" s="641"/>
      <c r="S156" s="641"/>
      <c r="T156" s="641"/>
      <c r="U156" s="641"/>
      <c r="V156" s="641"/>
      <c r="W156" s="641"/>
      <c r="X156" s="641"/>
      <c r="Y156" s="641"/>
      <c r="Z156" s="641"/>
      <c r="AA156" s="641"/>
      <c r="AB156" s="641"/>
      <c r="AC156" s="641"/>
    </row>
    <row r="157" spans="1:29">
      <c r="A157" s="1" t="s">
        <v>26</v>
      </c>
      <c r="B157" s="736"/>
      <c r="C157" s="641">
        <v>139500</v>
      </c>
      <c r="D157" s="641">
        <v>139500</v>
      </c>
      <c r="E157" s="641">
        <v>139500</v>
      </c>
      <c r="F157" s="641">
        <v>139500</v>
      </c>
      <c r="G157" s="641">
        <v>139500</v>
      </c>
      <c r="H157" s="641">
        <v>139500</v>
      </c>
      <c r="I157" s="641">
        <v>139500</v>
      </c>
      <c r="J157" s="641">
        <v>139500</v>
      </c>
      <c r="K157" s="641">
        <v>139500</v>
      </c>
      <c r="L157" s="641">
        <v>139500</v>
      </c>
      <c r="M157" s="641">
        <v>139500</v>
      </c>
      <c r="N157" s="641">
        <v>139500</v>
      </c>
      <c r="O157" s="641">
        <v>139500</v>
      </c>
      <c r="P157" s="641">
        <v>139500</v>
      </c>
      <c r="Q157" s="641">
        <v>139500</v>
      </c>
      <c r="R157" s="641">
        <v>139500</v>
      </c>
      <c r="S157" s="641">
        <v>139500</v>
      </c>
      <c r="T157" s="641">
        <v>139500</v>
      </c>
      <c r="U157" s="641">
        <v>139500</v>
      </c>
      <c r="V157" s="641">
        <v>139500</v>
      </c>
      <c r="W157" s="641">
        <v>139500</v>
      </c>
      <c r="X157" s="641">
        <v>139500</v>
      </c>
      <c r="Y157" s="641">
        <v>139500</v>
      </c>
      <c r="Z157" s="641">
        <v>139500</v>
      </c>
      <c r="AA157" s="641">
        <v>139500</v>
      </c>
      <c r="AB157" s="641">
        <v>139500</v>
      </c>
      <c r="AC157" s="641">
        <v>139500</v>
      </c>
    </row>
    <row r="158" spans="1:29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  <c r="T158" s="641"/>
      <c r="U158" s="641"/>
      <c r="V158" s="641"/>
      <c r="W158" s="641"/>
      <c r="X158" s="641"/>
      <c r="Y158" s="641"/>
      <c r="Z158" s="641"/>
      <c r="AA158" s="641"/>
      <c r="AB158" s="641"/>
      <c r="AC158" s="641"/>
    </row>
    <row r="159" spans="1:29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  <c r="U159" s="641"/>
      <c r="V159" s="641"/>
      <c r="W159" s="641"/>
      <c r="X159" s="641"/>
      <c r="Y159" s="641"/>
      <c r="Z159" s="641"/>
      <c r="AA159" s="641"/>
      <c r="AB159" s="641"/>
      <c r="AC159" s="641"/>
    </row>
    <row r="160" spans="1:29">
      <c r="A160" s="1" t="s">
        <v>571</v>
      </c>
      <c r="B160" s="736"/>
      <c r="C160" s="641">
        <v>100000</v>
      </c>
      <c r="D160" s="641">
        <v>100000</v>
      </c>
      <c r="E160" s="641">
        <v>100000</v>
      </c>
      <c r="F160" s="641">
        <v>100000</v>
      </c>
      <c r="G160" s="641">
        <v>100000</v>
      </c>
      <c r="H160" s="641">
        <v>100000</v>
      </c>
      <c r="I160" s="641">
        <v>100000</v>
      </c>
      <c r="J160" s="641">
        <v>100000</v>
      </c>
      <c r="K160" s="641">
        <v>100000</v>
      </c>
      <c r="L160" s="641">
        <v>100000</v>
      </c>
      <c r="M160" s="641">
        <v>100000</v>
      </c>
      <c r="N160" s="641">
        <v>100000</v>
      </c>
      <c r="O160" s="641">
        <v>100000</v>
      </c>
      <c r="P160" s="641">
        <v>100000</v>
      </c>
      <c r="Q160" s="641">
        <v>100000</v>
      </c>
      <c r="R160" s="641">
        <v>100000</v>
      </c>
      <c r="S160" s="641">
        <v>100000</v>
      </c>
      <c r="T160" s="641">
        <v>100000</v>
      </c>
      <c r="U160" s="641">
        <v>100000</v>
      </c>
      <c r="V160" s="641">
        <v>100000</v>
      </c>
      <c r="W160" s="641">
        <v>100000</v>
      </c>
      <c r="X160" s="641">
        <v>100000</v>
      </c>
      <c r="Y160" s="641">
        <v>100000</v>
      </c>
      <c r="Z160" s="641">
        <v>100000</v>
      </c>
      <c r="AA160" s="641">
        <v>100000</v>
      </c>
      <c r="AB160" s="641">
        <v>100000</v>
      </c>
      <c r="AC160" s="641">
        <v>100000</v>
      </c>
    </row>
    <row r="161" spans="1:29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  <c r="U161" s="641"/>
      <c r="V161" s="641"/>
      <c r="W161" s="641"/>
      <c r="X161" s="641"/>
      <c r="Y161" s="641"/>
      <c r="Z161" s="641"/>
      <c r="AA161" s="641"/>
      <c r="AB161" s="641"/>
      <c r="AC161" s="641"/>
    </row>
    <row r="162" spans="1:29">
      <c r="A162" s="1"/>
      <c r="B162" s="736"/>
      <c r="C162" s="641"/>
      <c r="D162" s="641"/>
      <c r="E162" s="641"/>
      <c r="F162" s="641"/>
      <c r="G162" s="641"/>
      <c r="H162" s="641"/>
      <c r="I162" s="641"/>
      <c r="J162" s="641"/>
      <c r="K162" s="641"/>
      <c r="L162" s="641"/>
      <c r="M162" s="641"/>
      <c r="N162" s="641"/>
      <c r="O162" s="641"/>
      <c r="P162" s="641"/>
      <c r="Q162" s="641"/>
      <c r="R162" s="641"/>
      <c r="S162" s="641"/>
      <c r="T162" s="641"/>
      <c r="U162" s="641"/>
      <c r="V162" s="641"/>
      <c r="W162" s="641"/>
      <c r="X162" s="641"/>
      <c r="Y162" s="641"/>
      <c r="Z162" s="641"/>
      <c r="AA162" s="641"/>
      <c r="AB162" s="641"/>
      <c r="AC162" s="641"/>
    </row>
    <row r="163" spans="1:29">
      <c r="A163" s="1"/>
      <c r="B163" s="736"/>
      <c r="C163" s="641"/>
      <c r="D163" s="641"/>
      <c r="E163" s="641"/>
      <c r="F163" s="641"/>
      <c r="G163" s="641"/>
      <c r="H163" s="641"/>
      <c r="I163" s="641"/>
      <c r="J163" s="641"/>
      <c r="K163" s="641"/>
      <c r="L163" s="641"/>
      <c r="M163" s="641"/>
      <c r="N163" s="641"/>
      <c r="O163" s="641"/>
      <c r="P163" s="641"/>
      <c r="Q163" s="641"/>
      <c r="R163" s="641"/>
      <c r="S163" s="641"/>
      <c r="T163" s="641"/>
      <c r="U163" s="641"/>
      <c r="V163" s="641"/>
      <c r="W163" s="641"/>
      <c r="X163" s="641"/>
      <c r="Y163" s="641"/>
      <c r="Z163" s="641"/>
      <c r="AA163" s="641"/>
      <c r="AB163" s="641"/>
      <c r="AC163" s="641"/>
    </row>
    <row r="164" spans="1:29">
      <c r="A164" s="1"/>
      <c r="B164" s="736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1"/>
      <c r="P164" s="641"/>
      <c r="Q164" s="641"/>
      <c r="R164" s="641"/>
      <c r="S164" s="641"/>
      <c r="T164" s="641"/>
      <c r="U164" s="641"/>
      <c r="V164" s="641"/>
      <c r="W164" s="641"/>
      <c r="X164" s="641"/>
      <c r="Y164" s="641"/>
      <c r="Z164" s="641"/>
      <c r="AA164" s="641"/>
      <c r="AB164" s="641"/>
      <c r="AC164" s="641"/>
    </row>
    <row r="165" spans="1:29">
      <c r="A165" s="1"/>
      <c r="B165" s="736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1"/>
      <c r="P165" s="641"/>
      <c r="Q165" s="641"/>
      <c r="R165" s="641"/>
      <c r="S165" s="641"/>
      <c r="T165" s="641"/>
      <c r="U165" s="641"/>
      <c r="V165" s="641"/>
      <c r="W165" s="641"/>
      <c r="X165" s="641"/>
      <c r="Y165" s="641"/>
      <c r="Z165" s="641"/>
      <c r="AA165" s="641"/>
      <c r="AB165" s="641"/>
      <c r="AC165" s="641"/>
    </row>
    <row r="166" spans="1:29">
      <c r="A166" s="4"/>
      <c r="B166" s="15"/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89"/>
      <c r="N166" s="689"/>
      <c r="O166" s="689"/>
      <c r="P166" s="689"/>
      <c r="Q166" s="689"/>
      <c r="R166" s="689"/>
      <c r="S166" s="689"/>
      <c r="T166" s="689"/>
      <c r="U166" s="689"/>
      <c r="V166" s="689"/>
      <c r="W166" s="689"/>
      <c r="X166" s="689"/>
      <c r="Y166" s="689"/>
      <c r="Z166" s="689"/>
      <c r="AA166" s="689"/>
      <c r="AB166" s="689"/>
      <c r="AC166" s="689"/>
    </row>
    <row r="167" spans="1:29">
      <c r="A167" s="4"/>
      <c r="B167" s="15"/>
      <c r="C167" s="689"/>
      <c r="D167" s="689"/>
      <c r="E167" s="689"/>
      <c r="F167" s="689"/>
      <c r="G167" s="689"/>
      <c r="H167" s="689"/>
      <c r="I167" s="689"/>
      <c r="J167" s="689"/>
      <c r="K167" s="689"/>
      <c r="L167" s="689"/>
      <c r="M167" s="689"/>
      <c r="N167" s="689"/>
      <c r="O167" s="689"/>
      <c r="P167" s="689"/>
      <c r="Q167" s="689"/>
      <c r="R167" s="689"/>
      <c r="S167" s="689"/>
      <c r="T167" s="689"/>
      <c r="U167" s="689"/>
      <c r="V167" s="689"/>
      <c r="W167" s="689"/>
      <c r="X167" s="689"/>
      <c r="Y167" s="689"/>
      <c r="Z167" s="689"/>
      <c r="AA167" s="689"/>
      <c r="AB167" s="689"/>
      <c r="AC167" s="689"/>
    </row>
    <row r="168" spans="1:29">
      <c r="A168" s="4"/>
      <c r="B168" s="15"/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689"/>
      <c r="R168" s="689"/>
      <c r="S168" s="689"/>
      <c r="T168" s="689"/>
      <c r="U168" s="689"/>
      <c r="V168" s="689"/>
      <c r="W168" s="689"/>
      <c r="X168" s="689"/>
      <c r="Y168" s="689"/>
      <c r="Z168" s="689"/>
      <c r="AA168" s="689"/>
      <c r="AB168" s="689"/>
      <c r="AC168" s="689"/>
    </row>
    <row r="169" spans="1:29" ht="16.2" thickBot="1">
      <c r="A169" s="737"/>
      <c r="B169" s="738"/>
      <c r="C169" s="848">
        <v>431500</v>
      </c>
      <c r="D169" s="848">
        <v>431500</v>
      </c>
      <c r="E169" s="848">
        <v>431500</v>
      </c>
      <c r="F169" s="848">
        <v>431500</v>
      </c>
      <c r="G169" s="848">
        <v>431500</v>
      </c>
      <c r="H169" s="848">
        <v>431500</v>
      </c>
      <c r="I169" s="848">
        <v>431500</v>
      </c>
      <c r="J169" s="848">
        <v>431500</v>
      </c>
      <c r="K169" s="848">
        <v>431500</v>
      </c>
      <c r="L169" s="848">
        <v>431500</v>
      </c>
      <c r="M169" s="848">
        <v>431500</v>
      </c>
      <c r="N169" s="848">
        <v>431500</v>
      </c>
      <c r="O169" s="848">
        <v>431500</v>
      </c>
      <c r="P169" s="848">
        <v>431500</v>
      </c>
      <c r="Q169" s="848">
        <v>431500</v>
      </c>
      <c r="R169" s="848">
        <v>431500</v>
      </c>
      <c r="S169" s="848">
        <v>431500</v>
      </c>
      <c r="T169" s="848">
        <v>431500</v>
      </c>
      <c r="U169" s="848">
        <v>431500</v>
      </c>
      <c r="V169" s="848">
        <v>431500</v>
      </c>
      <c r="W169" s="848">
        <v>431500</v>
      </c>
      <c r="X169" s="848">
        <v>431500</v>
      </c>
      <c r="Y169" s="848">
        <v>431500</v>
      </c>
      <c r="Z169" s="848">
        <v>431500</v>
      </c>
      <c r="AA169" s="848">
        <v>431500</v>
      </c>
      <c r="AB169" s="848">
        <v>431500</v>
      </c>
      <c r="AC169" s="848">
        <v>431500</v>
      </c>
    </row>
    <row r="170" spans="1:29" s="697" customFormat="1">
      <c r="A170" s="764" t="s">
        <v>23</v>
      </c>
      <c r="B170" s="765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96"/>
      <c r="AB170" s="696"/>
      <c r="AC170" s="696"/>
    </row>
    <row r="171" spans="1:29" s="697" customFormat="1">
      <c r="A171" s="766"/>
      <c r="B171" s="767"/>
      <c r="C171" s="698"/>
      <c r="D171" s="698"/>
      <c r="E171" s="698"/>
      <c r="F171" s="698"/>
      <c r="G171" s="698"/>
      <c r="H171" s="698"/>
      <c r="I171" s="698"/>
      <c r="J171" s="698"/>
      <c r="K171" s="698"/>
      <c r="L171" s="698"/>
      <c r="M171" s="698"/>
      <c r="N171" s="698"/>
      <c r="O171" s="698"/>
      <c r="P171" s="698"/>
      <c r="Q171" s="698"/>
      <c r="R171" s="698"/>
      <c r="S171" s="698"/>
      <c r="T171" s="698"/>
      <c r="U171" s="698"/>
      <c r="V171" s="698"/>
      <c r="W171" s="698"/>
      <c r="X171" s="698"/>
      <c r="Y171" s="698"/>
      <c r="Z171" s="698"/>
      <c r="AA171" s="698"/>
      <c r="AB171" s="698"/>
      <c r="AC171" s="698"/>
    </row>
    <row r="172" spans="1:29">
      <c r="A172" s="14" t="s">
        <v>152</v>
      </c>
      <c r="B172" s="15"/>
      <c r="C172" s="693">
        <v>0</v>
      </c>
      <c r="D172" s="1066">
        <v>750000</v>
      </c>
      <c r="E172" s="1066">
        <v>750000</v>
      </c>
      <c r="F172" s="1066">
        <v>750000</v>
      </c>
      <c r="G172" s="1066">
        <v>750000</v>
      </c>
      <c r="H172" s="1066">
        <v>750000</v>
      </c>
      <c r="I172" s="693">
        <v>750000</v>
      </c>
      <c r="J172" s="1066">
        <v>500000</v>
      </c>
      <c r="K172" s="1066">
        <v>500000</v>
      </c>
      <c r="L172" s="1066">
        <v>500000</v>
      </c>
      <c r="M172" s="693">
        <v>500000</v>
      </c>
      <c r="N172" s="689">
        <v>250000</v>
      </c>
      <c r="O172" s="689">
        <v>250000</v>
      </c>
      <c r="P172" s="689">
        <v>250000</v>
      </c>
      <c r="Q172" s="689">
        <v>250000</v>
      </c>
      <c r="R172" s="689">
        <v>250000</v>
      </c>
      <c r="S172" s="693">
        <v>250000</v>
      </c>
      <c r="T172" s="693">
        <v>100000</v>
      </c>
      <c r="U172" s="689">
        <v>0</v>
      </c>
      <c r="V172" s="693">
        <v>0</v>
      </c>
      <c r="W172" s="689">
        <v>300000</v>
      </c>
      <c r="X172" s="689">
        <v>300000</v>
      </c>
      <c r="Y172" s="689">
        <v>300000</v>
      </c>
      <c r="Z172" s="689">
        <v>300000</v>
      </c>
      <c r="AA172" s="689">
        <v>300000</v>
      </c>
      <c r="AB172" s="689">
        <v>300000</v>
      </c>
      <c r="AC172" s="693">
        <v>300000</v>
      </c>
    </row>
    <row r="173" spans="1:29">
      <c r="A173" s="14" t="s">
        <v>741</v>
      </c>
      <c r="B173" s="15"/>
      <c r="C173" s="689">
        <v>0</v>
      </c>
      <c r="D173" s="689">
        <v>0</v>
      </c>
      <c r="E173" s="689">
        <v>0</v>
      </c>
      <c r="F173" s="689">
        <v>0</v>
      </c>
      <c r="G173" s="689">
        <v>0</v>
      </c>
      <c r="H173" s="689">
        <v>0</v>
      </c>
      <c r="I173" s="689">
        <v>0</v>
      </c>
      <c r="J173" s="689">
        <v>0</v>
      </c>
      <c r="K173" s="689">
        <v>0</v>
      </c>
      <c r="L173" s="689">
        <v>0</v>
      </c>
      <c r="M173" s="689">
        <v>0</v>
      </c>
      <c r="N173" s="689">
        <v>0</v>
      </c>
      <c r="O173" s="689">
        <v>0</v>
      </c>
      <c r="P173" s="689">
        <v>0</v>
      </c>
      <c r="Q173" s="689">
        <v>0</v>
      </c>
      <c r="R173" s="693">
        <v>0</v>
      </c>
      <c r="S173" s="693">
        <v>100000</v>
      </c>
      <c r="T173" s="693">
        <v>100000</v>
      </c>
      <c r="U173" s="689">
        <v>0</v>
      </c>
      <c r="V173" s="689">
        <v>0</v>
      </c>
      <c r="W173" s="689">
        <v>0</v>
      </c>
      <c r="X173" s="689">
        <v>0</v>
      </c>
      <c r="Y173" s="689">
        <v>0</v>
      </c>
      <c r="Z173" s="689">
        <v>0</v>
      </c>
      <c r="AA173" s="689">
        <v>0</v>
      </c>
      <c r="AB173" s="689">
        <v>0</v>
      </c>
      <c r="AC173" s="689">
        <v>0</v>
      </c>
    </row>
    <row r="174" spans="1:29">
      <c r="A174" s="14" t="s">
        <v>663</v>
      </c>
      <c r="B174" s="15"/>
      <c r="C174" s="1066">
        <v>0</v>
      </c>
      <c r="D174" s="1066">
        <v>0</v>
      </c>
      <c r="E174" s="1066">
        <v>0</v>
      </c>
      <c r="F174" s="1066">
        <v>0</v>
      </c>
      <c r="G174" s="1066">
        <v>0</v>
      </c>
      <c r="H174" s="693">
        <v>0</v>
      </c>
      <c r="I174" s="689">
        <v>55000000</v>
      </c>
      <c r="J174" s="689">
        <v>55000000</v>
      </c>
      <c r="K174" s="689">
        <v>55000000</v>
      </c>
      <c r="L174" s="689">
        <v>55000000</v>
      </c>
      <c r="M174" s="689">
        <v>55000000</v>
      </c>
      <c r="N174" s="689">
        <v>55000000</v>
      </c>
      <c r="O174" s="689">
        <v>55000000</v>
      </c>
      <c r="P174" s="689">
        <v>55000000</v>
      </c>
      <c r="Q174" s="689">
        <v>55000000</v>
      </c>
      <c r="R174" s="693">
        <v>55000000</v>
      </c>
      <c r="S174" s="693">
        <v>0</v>
      </c>
      <c r="T174" s="693">
        <v>0</v>
      </c>
      <c r="U174" s="689">
        <v>30000000</v>
      </c>
      <c r="V174" s="689">
        <v>30000000</v>
      </c>
      <c r="W174" s="689">
        <v>30000000</v>
      </c>
      <c r="X174" s="693">
        <v>30000000</v>
      </c>
      <c r="Y174" s="693">
        <v>30000000</v>
      </c>
      <c r="Z174" s="689">
        <v>0</v>
      </c>
      <c r="AA174" s="689">
        <v>0</v>
      </c>
      <c r="AB174" s="693">
        <v>0</v>
      </c>
      <c r="AC174" s="689">
        <v>75000000</v>
      </c>
    </row>
    <row r="175" spans="1:29">
      <c r="A175" s="14" t="s">
        <v>120</v>
      </c>
      <c r="B175" s="15"/>
      <c r="C175" s="689">
        <v>850000</v>
      </c>
      <c r="D175" s="689">
        <v>850000</v>
      </c>
      <c r="E175" s="689">
        <v>850000</v>
      </c>
      <c r="F175" s="689">
        <v>850000</v>
      </c>
      <c r="G175" s="689">
        <v>850000</v>
      </c>
      <c r="H175" s="689">
        <v>850000</v>
      </c>
      <c r="I175" s="689">
        <v>850000</v>
      </c>
      <c r="J175" s="689">
        <v>850000</v>
      </c>
      <c r="K175" s="689">
        <v>850000</v>
      </c>
      <c r="L175" s="689">
        <v>850000</v>
      </c>
      <c r="M175" s="689">
        <v>850000</v>
      </c>
      <c r="N175" s="689">
        <v>850000</v>
      </c>
      <c r="O175" s="689">
        <v>850000</v>
      </c>
      <c r="P175" s="689">
        <v>850000</v>
      </c>
      <c r="Q175" s="689">
        <v>850000</v>
      </c>
      <c r="R175" s="693">
        <v>850000</v>
      </c>
      <c r="S175" s="693">
        <v>950000</v>
      </c>
      <c r="T175" s="689">
        <v>1150000</v>
      </c>
      <c r="U175" s="693">
        <v>1150000</v>
      </c>
      <c r="V175" s="689">
        <v>0</v>
      </c>
      <c r="W175" s="689">
        <v>0</v>
      </c>
      <c r="X175" s="689">
        <v>0</v>
      </c>
      <c r="Y175" s="689">
        <v>0</v>
      </c>
      <c r="Z175" s="689">
        <v>0</v>
      </c>
      <c r="AA175" s="689">
        <v>0</v>
      </c>
      <c r="AB175" s="689">
        <v>0</v>
      </c>
      <c r="AC175" s="689">
        <v>0</v>
      </c>
    </row>
    <row r="176" spans="1:29">
      <c r="A176" s="1017" t="s">
        <v>625</v>
      </c>
      <c r="B176" s="15"/>
      <c r="C176" s="1019">
        <v>450000</v>
      </c>
      <c r="D176" s="1019">
        <v>450000</v>
      </c>
      <c r="E176" s="1019">
        <v>450000</v>
      </c>
      <c r="F176" s="1019">
        <v>450000</v>
      </c>
      <c r="G176" s="1019">
        <v>450000</v>
      </c>
      <c r="H176" s="1019">
        <v>450000</v>
      </c>
      <c r="I176" s="1019">
        <v>450000</v>
      </c>
      <c r="J176" s="1019">
        <v>450000</v>
      </c>
      <c r="K176" s="1019">
        <v>450000</v>
      </c>
      <c r="L176" s="1019">
        <v>450000</v>
      </c>
      <c r="M176" s="1019">
        <v>450000</v>
      </c>
      <c r="N176" s="1019">
        <v>450000</v>
      </c>
      <c r="O176" s="1019">
        <v>450000</v>
      </c>
      <c r="P176" s="1019">
        <v>450000</v>
      </c>
      <c r="Q176" s="1019">
        <v>450000</v>
      </c>
      <c r="R176" s="1019">
        <v>450000</v>
      </c>
      <c r="S176" s="1019">
        <v>450000</v>
      </c>
      <c r="T176" s="1019">
        <v>450000</v>
      </c>
      <c r="U176" s="1019">
        <v>450000</v>
      </c>
      <c r="V176" s="1019">
        <v>450000</v>
      </c>
      <c r="W176" s="1019">
        <v>450000</v>
      </c>
      <c r="X176" s="1019">
        <v>450000</v>
      </c>
      <c r="Y176" s="1019">
        <v>450000</v>
      </c>
      <c r="Z176" s="1019">
        <v>450000</v>
      </c>
      <c r="AA176" s="1019">
        <v>450000</v>
      </c>
      <c r="AB176" s="1019">
        <v>450000</v>
      </c>
      <c r="AC176" s="1019">
        <v>450000</v>
      </c>
    </row>
    <row r="177" spans="1:29">
      <c r="A177" s="1018" t="s">
        <v>626</v>
      </c>
      <c r="B177" s="736"/>
      <c r="C177" s="1020">
        <v>350000</v>
      </c>
      <c r="D177" s="1020">
        <v>350000</v>
      </c>
      <c r="E177" s="1020">
        <v>350000</v>
      </c>
      <c r="F177" s="1020">
        <v>350000</v>
      </c>
      <c r="G177" s="1020">
        <v>350000</v>
      </c>
      <c r="H177" s="1020">
        <v>350000</v>
      </c>
      <c r="I177" s="1020">
        <v>350000</v>
      </c>
      <c r="J177" s="1020">
        <v>350000</v>
      </c>
      <c r="K177" s="1020">
        <v>350000</v>
      </c>
      <c r="L177" s="1020">
        <v>350000</v>
      </c>
      <c r="M177" s="1020">
        <v>350000</v>
      </c>
      <c r="N177" s="1020">
        <v>350000</v>
      </c>
      <c r="O177" s="1020">
        <v>350000</v>
      </c>
      <c r="P177" s="1020">
        <v>350000</v>
      </c>
      <c r="Q177" s="1020">
        <v>350000</v>
      </c>
      <c r="R177" s="1020">
        <v>350000</v>
      </c>
      <c r="S177" s="1020">
        <v>350000</v>
      </c>
      <c r="T177" s="1020">
        <v>350000</v>
      </c>
      <c r="U177" s="1020">
        <v>350000</v>
      </c>
      <c r="V177" s="1020">
        <v>350000</v>
      </c>
      <c r="W177" s="1020">
        <v>350000</v>
      </c>
      <c r="X177" s="1020">
        <v>350000</v>
      </c>
      <c r="Y177" s="1020">
        <v>350000</v>
      </c>
      <c r="Z177" s="1020">
        <v>350000</v>
      </c>
      <c r="AA177" s="1020">
        <v>350000</v>
      </c>
      <c r="AB177" s="1020">
        <v>350000</v>
      </c>
      <c r="AC177" s="1020">
        <v>350000</v>
      </c>
    </row>
    <row r="178" spans="1:29">
      <c r="A178" s="6" t="s">
        <v>726</v>
      </c>
      <c r="B178" s="736"/>
      <c r="C178" s="641">
        <v>5000000</v>
      </c>
      <c r="D178" s="641">
        <v>5000000</v>
      </c>
      <c r="E178" s="641">
        <v>5000000</v>
      </c>
      <c r="F178" s="641">
        <v>5000000</v>
      </c>
      <c r="G178" s="641">
        <v>5000000</v>
      </c>
      <c r="H178" s="641">
        <v>5000000</v>
      </c>
      <c r="I178" s="641">
        <v>5000000</v>
      </c>
      <c r="J178" s="641">
        <v>5000000</v>
      </c>
      <c r="K178" s="641">
        <v>5000000</v>
      </c>
      <c r="L178" s="641">
        <v>5000000</v>
      </c>
      <c r="M178" s="641">
        <v>5000000</v>
      </c>
      <c r="N178" s="641">
        <v>5000000</v>
      </c>
      <c r="O178" s="641">
        <v>5000000</v>
      </c>
      <c r="P178" s="641">
        <v>5000000</v>
      </c>
      <c r="Q178" s="641">
        <v>5000000</v>
      </c>
      <c r="R178" s="641">
        <v>5000000</v>
      </c>
      <c r="S178" s="641">
        <v>5000000</v>
      </c>
      <c r="T178" s="641">
        <v>5000000</v>
      </c>
      <c r="U178" s="641">
        <v>5000000</v>
      </c>
      <c r="V178" s="641">
        <v>5000000</v>
      </c>
      <c r="W178" s="641">
        <v>5000000</v>
      </c>
      <c r="X178" s="641">
        <v>3000000</v>
      </c>
      <c r="Y178" s="641">
        <v>3000000</v>
      </c>
      <c r="Z178" s="641">
        <v>3000000</v>
      </c>
      <c r="AA178" s="641">
        <v>3000000</v>
      </c>
      <c r="AB178" s="641">
        <v>3000000</v>
      </c>
      <c r="AC178" s="684">
        <v>3000000</v>
      </c>
    </row>
    <row r="179" spans="1:29">
      <c r="A179" s="6" t="s">
        <v>768</v>
      </c>
      <c r="B179" s="736"/>
      <c r="C179" s="1067">
        <v>24000</v>
      </c>
      <c r="D179" s="684">
        <v>24000</v>
      </c>
      <c r="E179" s="641"/>
      <c r="F179" s="641"/>
      <c r="G179" s="641"/>
      <c r="H179" s="641"/>
      <c r="I179" s="641"/>
      <c r="J179" s="641"/>
      <c r="K179" s="641"/>
      <c r="L179" s="641"/>
      <c r="M179" s="641"/>
      <c r="N179" s="641"/>
      <c r="O179" s="641"/>
      <c r="P179" s="641"/>
      <c r="Q179" s="641"/>
      <c r="R179" s="641"/>
      <c r="S179" s="641"/>
      <c r="T179" s="641"/>
      <c r="U179" s="641"/>
      <c r="V179" s="641"/>
      <c r="W179" s="641"/>
      <c r="X179" s="641"/>
      <c r="Y179" s="641"/>
      <c r="Z179" s="641"/>
      <c r="AA179" s="641"/>
      <c r="AB179" s="641"/>
      <c r="AC179" s="684"/>
    </row>
    <row r="180" spans="1:29">
      <c r="A180" s="6" t="s">
        <v>731</v>
      </c>
      <c r="B180" s="736"/>
      <c r="C180" s="641">
        <v>0</v>
      </c>
      <c r="D180" s="641">
        <v>0</v>
      </c>
      <c r="E180" s="641">
        <v>0</v>
      </c>
      <c r="F180" s="641">
        <v>0</v>
      </c>
      <c r="G180" s="641">
        <v>0</v>
      </c>
      <c r="H180" s="641">
        <v>0</v>
      </c>
      <c r="I180" s="641">
        <v>0</v>
      </c>
      <c r="J180" s="641">
        <v>0</v>
      </c>
      <c r="K180" s="641">
        <v>0</v>
      </c>
      <c r="L180" s="641">
        <v>0</v>
      </c>
      <c r="M180" s="641">
        <v>0</v>
      </c>
      <c r="N180" s="641">
        <v>0</v>
      </c>
      <c r="O180" s="641">
        <v>0</v>
      </c>
      <c r="P180" s="641">
        <v>0</v>
      </c>
      <c r="Q180" s="641">
        <v>0</v>
      </c>
      <c r="R180" s="641">
        <v>0</v>
      </c>
      <c r="S180" s="641">
        <v>0</v>
      </c>
      <c r="T180" s="641">
        <v>0</v>
      </c>
      <c r="U180" s="641">
        <v>0</v>
      </c>
      <c r="V180" s="641">
        <v>0</v>
      </c>
      <c r="W180" s="684">
        <v>0</v>
      </c>
      <c r="X180" s="684">
        <v>1200000</v>
      </c>
      <c r="Y180" s="641">
        <v>0</v>
      </c>
      <c r="Z180" s="641">
        <v>0</v>
      </c>
      <c r="AA180" s="641">
        <v>0</v>
      </c>
      <c r="AB180" s="641">
        <v>0</v>
      </c>
      <c r="AC180" s="641">
        <v>0</v>
      </c>
    </row>
    <row r="181" spans="1:29">
      <c r="A181" s="6" t="s">
        <v>734</v>
      </c>
      <c r="B181" s="736"/>
      <c r="C181" s="641">
        <v>0</v>
      </c>
      <c r="D181" s="641">
        <v>0</v>
      </c>
      <c r="E181" s="641">
        <v>0</v>
      </c>
      <c r="F181" s="641">
        <v>0</v>
      </c>
      <c r="G181" s="641">
        <v>0</v>
      </c>
      <c r="H181" s="641">
        <v>0</v>
      </c>
      <c r="I181" s="641">
        <v>0</v>
      </c>
      <c r="J181" s="641">
        <v>0</v>
      </c>
      <c r="K181" s="641">
        <v>0</v>
      </c>
      <c r="L181" s="641">
        <v>0</v>
      </c>
      <c r="M181" s="641">
        <v>0</v>
      </c>
      <c r="N181" s="641">
        <v>0</v>
      </c>
      <c r="O181" s="641">
        <v>0</v>
      </c>
      <c r="P181" s="684">
        <v>0</v>
      </c>
      <c r="Q181" s="641">
        <v>300000</v>
      </c>
      <c r="R181" s="641">
        <v>300000</v>
      </c>
      <c r="S181" s="641">
        <v>300000</v>
      </c>
      <c r="T181" s="641">
        <v>300000</v>
      </c>
      <c r="U181" s="641">
        <v>300000</v>
      </c>
      <c r="V181" s="641">
        <v>300000</v>
      </c>
      <c r="W181" s="684">
        <v>300000</v>
      </c>
      <c r="X181" s="641">
        <v>0</v>
      </c>
      <c r="Y181" s="641">
        <v>0</v>
      </c>
      <c r="Z181" s="641">
        <v>0</v>
      </c>
      <c r="AA181" s="641">
        <v>0</v>
      </c>
      <c r="AB181" s="641">
        <v>0</v>
      </c>
      <c r="AC181" s="641">
        <v>0</v>
      </c>
    </row>
    <row r="182" spans="1:29">
      <c r="A182" s="6" t="s">
        <v>750</v>
      </c>
      <c r="B182" s="736"/>
      <c r="C182" s="1067">
        <v>0</v>
      </c>
      <c r="D182" s="1067">
        <v>0</v>
      </c>
      <c r="E182" s="1067">
        <v>0</v>
      </c>
      <c r="F182" s="1067">
        <v>0</v>
      </c>
      <c r="G182" s="1067">
        <v>0</v>
      </c>
      <c r="H182" s="1067">
        <v>0</v>
      </c>
      <c r="I182" s="1067">
        <v>0</v>
      </c>
      <c r="J182" s="1067">
        <v>0</v>
      </c>
      <c r="K182" s="1067">
        <v>0</v>
      </c>
      <c r="L182" s="1067">
        <v>0</v>
      </c>
      <c r="M182" s="684">
        <v>0</v>
      </c>
      <c r="N182" s="641">
        <v>200000</v>
      </c>
      <c r="O182" s="684">
        <v>200000</v>
      </c>
      <c r="P182" s="641"/>
      <c r="Q182" s="641"/>
      <c r="R182" s="641"/>
      <c r="S182" s="641"/>
      <c r="T182" s="641"/>
      <c r="U182" s="641"/>
      <c r="V182" s="641"/>
      <c r="W182" s="684"/>
      <c r="X182" s="641"/>
      <c r="Y182" s="641"/>
      <c r="Z182" s="641"/>
      <c r="AA182" s="641"/>
      <c r="AB182" s="641"/>
      <c r="AC182" s="641"/>
    </row>
    <row r="183" spans="1:29">
      <c r="A183" s="6" t="s">
        <v>751</v>
      </c>
      <c r="B183" s="736"/>
      <c r="C183" s="1067">
        <v>0</v>
      </c>
      <c r="D183" s="1067">
        <v>0</v>
      </c>
      <c r="E183" s="1067">
        <v>0</v>
      </c>
      <c r="F183" s="1067">
        <v>0</v>
      </c>
      <c r="G183" s="1067">
        <v>0</v>
      </c>
      <c r="H183" s="1067">
        <v>0</v>
      </c>
      <c r="I183" s="1067">
        <v>0</v>
      </c>
      <c r="J183" s="1067">
        <v>0</v>
      </c>
      <c r="K183" s="1067">
        <v>0</v>
      </c>
      <c r="L183" s="1067">
        <v>0</v>
      </c>
      <c r="M183" s="684">
        <v>0</v>
      </c>
      <c r="N183" s="641">
        <v>2500000</v>
      </c>
      <c r="O183" s="684">
        <v>2500000</v>
      </c>
      <c r="P183" s="641"/>
      <c r="Q183" s="641"/>
      <c r="R183" s="641"/>
      <c r="S183" s="641"/>
      <c r="T183" s="641"/>
      <c r="U183" s="641"/>
      <c r="V183" s="641"/>
      <c r="W183" s="684"/>
      <c r="X183" s="641"/>
      <c r="Y183" s="641"/>
      <c r="Z183" s="641"/>
      <c r="AA183" s="641"/>
      <c r="AB183" s="641"/>
      <c r="AC183" s="641"/>
    </row>
    <row r="184" spans="1:29">
      <c r="A184" s="6" t="s">
        <v>717</v>
      </c>
      <c r="B184" s="736"/>
      <c r="C184" s="641">
        <v>0</v>
      </c>
      <c r="D184" s="641">
        <v>0</v>
      </c>
      <c r="E184" s="641">
        <v>0</v>
      </c>
      <c r="F184" s="641">
        <v>0</v>
      </c>
      <c r="G184" s="641">
        <v>0</v>
      </c>
      <c r="H184" s="641">
        <v>0</v>
      </c>
      <c r="I184" s="641">
        <v>0</v>
      </c>
      <c r="J184" s="641">
        <v>0</v>
      </c>
      <c r="K184" s="641">
        <v>0</v>
      </c>
      <c r="L184" s="641">
        <v>0</v>
      </c>
      <c r="M184" s="641">
        <v>0</v>
      </c>
      <c r="N184" s="641">
        <v>0</v>
      </c>
      <c r="O184" s="641">
        <v>0</v>
      </c>
      <c r="P184" s="641">
        <v>0</v>
      </c>
      <c r="Q184" s="641">
        <v>0</v>
      </c>
      <c r="R184" s="641">
        <v>0</v>
      </c>
      <c r="S184" s="641">
        <v>0</v>
      </c>
      <c r="T184" s="684">
        <v>0</v>
      </c>
      <c r="U184" s="684">
        <v>620000</v>
      </c>
      <c r="V184" s="641">
        <v>0</v>
      </c>
      <c r="W184" s="641">
        <v>0</v>
      </c>
      <c r="X184" s="641">
        <v>0</v>
      </c>
      <c r="Y184" s="641">
        <v>0</v>
      </c>
      <c r="Z184" s="641">
        <v>0</v>
      </c>
      <c r="AA184" s="641">
        <v>0</v>
      </c>
      <c r="AB184" s="641">
        <v>0</v>
      </c>
      <c r="AC184" s="641">
        <v>0</v>
      </c>
    </row>
    <row r="185" spans="1:29">
      <c r="A185" s="6" t="s">
        <v>697</v>
      </c>
      <c r="B185" s="736"/>
      <c r="C185" s="641">
        <v>0</v>
      </c>
      <c r="D185" s="641">
        <v>0</v>
      </c>
      <c r="E185" s="641">
        <v>0</v>
      </c>
      <c r="F185" s="641">
        <v>0</v>
      </c>
      <c r="G185" s="641">
        <v>0</v>
      </c>
      <c r="H185" s="641">
        <v>0</v>
      </c>
      <c r="I185" s="641">
        <v>0</v>
      </c>
      <c r="J185" s="641">
        <v>0</v>
      </c>
      <c r="K185" s="641">
        <v>0</v>
      </c>
      <c r="L185" s="641">
        <v>0</v>
      </c>
      <c r="M185" s="641">
        <v>0</v>
      </c>
      <c r="N185" s="641">
        <v>0</v>
      </c>
      <c r="O185" s="641">
        <v>0</v>
      </c>
      <c r="P185" s="641">
        <v>0</v>
      </c>
      <c r="Q185" s="641">
        <v>0</v>
      </c>
      <c r="R185" s="641">
        <v>0</v>
      </c>
      <c r="S185" s="641">
        <v>0</v>
      </c>
      <c r="T185" s="684">
        <v>0</v>
      </c>
      <c r="U185" s="641">
        <v>14500000</v>
      </c>
      <c r="V185" s="641">
        <v>14500000</v>
      </c>
      <c r="W185" s="641">
        <v>14500000</v>
      </c>
      <c r="X185" s="641">
        <v>14500000</v>
      </c>
      <c r="Y185" s="641">
        <v>14500000</v>
      </c>
      <c r="Z185" s="641">
        <v>14500000</v>
      </c>
      <c r="AA185" s="641">
        <v>14500000</v>
      </c>
      <c r="AB185" s="641">
        <v>14500000</v>
      </c>
      <c r="AC185" s="684">
        <v>14500000</v>
      </c>
    </row>
    <row r="186" spans="1:29">
      <c r="A186" s="6" t="s">
        <v>624</v>
      </c>
      <c r="B186" s="736"/>
      <c r="C186" s="641">
        <v>3000000</v>
      </c>
      <c r="D186" s="641">
        <v>3000000</v>
      </c>
      <c r="E186" s="641">
        <v>3000000</v>
      </c>
      <c r="F186" s="641">
        <v>3000000</v>
      </c>
      <c r="G186" s="641">
        <v>3000000</v>
      </c>
      <c r="H186" s="641">
        <v>3000000</v>
      </c>
      <c r="I186" s="641">
        <v>3000000</v>
      </c>
      <c r="J186" s="641">
        <v>3000000</v>
      </c>
      <c r="K186" s="641">
        <v>3000000</v>
      </c>
      <c r="L186" s="641">
        <v>3000000</v>
      </c>
      <c r="M186" s="641">
        <v>3000000</v>
      </c>
      <c r="N186" s="641">
        <v>3000000</v>
      </c>
      <c r="O186" s="641">
        <v>3000000</v>
      </c>
      <c r="P186" s="641">
        <v>3000000</v>
      </c>
      <c r="Q186" s="641">
        <v>3000000</v>
      </c>
      <c r="R186" s="641">
        <v>3000000</v>
      </c>
      <c r="S186" s="641">
        <v>3000000</v>
      </c>
      <c r="T186" s="641">
        <v>3000000</v>
      </c>
      <c r="U186" s="641">
        <v>3000000</v>
      </c>
      <c r="V186" s="641">
        <v>3000000</v>
      </c>
      <c r="W186" s="641">
        <v>3000000</v>
      </c>
      <c r="X186" s="641">
        <v>3000000</v>
      </c>
      <c r="Y186" s="641">
        <v>3000000</v>
      </c>
      <c r="Z186" s="641">
        <v>3000000</v>
      </c>
      <c r="AA186" s="641">
        <v>3000000</v>
      </c>
      <c r="AB186" s="641">
        <v>3000000</v>
      </c>
      <c r="AC186" s="641">
        <v>3000000</v>
      </c>
    </row>
    <row r="187" spans="1:29">
      <c r="A187" s="6" t="s">
        <v>119</v>
      </c>
      <c r="B187" s="736"/>
      <c r="C187" s="641">
        <v>15500000</v>
      </c>
      <c r="D187" s="641">
        <v>15500000</v>
      </c>
      <c r="E187" s="641">
        <v>15500000</v>
      </c>
      <c r="F187" s="641">
        <v>15500000</v>
      </c>
      <c r="G187" s="641">
        <v>15500000</v>
      </c>
      <c r="H187" s="641">
        <v>15500000</v>
      </c>
      <c r="I187" s="641">
        <v>15500000</v>
      </c>
      <c r="J187" s="641">
        <v>15500000</v>
      </c>
      <c r="K187" s="641">
        <v>15500000</v>
      </c>
      <c r="L187" s="641">
        <v>15500000</v>
      </c>
      <c r="M187" s="641">
        <v>15500000</v>
      </c>
      <c r="N187" s="641">
        <v>15500000</v>
      </c>
      <c r="O187" s="641">
        <v>15500000</v>
      </c>
      <c r="P187" s="641">
        <v>15500000</v>
      </c>
      <c r="Q187" s="641">
        <v>15500000</v>
      </c>
      <c r="R187" s="641">
        <v>15500000</v>
      </c>
      <c r="S187" s="641">
        <v>15500000</v>
      </c>
      <c r="T187" s="641">
        <v>15500000</v>
      </c>
      <c r="U187" s="641">
        <v>15500000</v>
      </c>
      <c r="V187" s="641">
        <v>15500000</v>
      </c>
      <c r="W187" s="641">
        <v>15500000</v>
      </c>
      <c r="X187" s="641">
        <v>15500000</v>
      </c>
      <c r="Y187" s="641">
        <v>15500000</v>
      </c>
      <c r="Z187" s="641">
        <v>15500000</v>
      </c>
      <c r="AA187" s="641">
        <v>15500000</v>
      </c>
      <c r="AB187" s="641">
        <v>15500000</v>
      </c>
      <c r="AC187" s="641">
        <v>15500000</v>
      </c>
    </row>
    <row r="188" spans="1:29">
      <c r="A188" s="6" t="s">
        <v>179</v>
      </c>
      <c r="B188" s="736"/>
      <c r="C188" s="641">
        <v>5500000</v>
      </c>
      <c r="D188" s="641">
        <v>5500000</v>
      </c>
      <c r="E188" s="641">
        <v>5500000</v>
      </c>
      <c r="F188" s="641">
        <v>5500000</v>
      </c>
      <c r="G188" s="641">
        <v>5500000</v>
      </c>
      <c r="H188" s="641">
        <v>5500000</v>
      </c>
      <c r="I188" s="641">
        <v>5500000</v>
      </c>
      <c r="J188" s="641">
        <v>5500000</v>
      </c>
      <c r="K188" s="641">
        <v>5500000</v>
      </c>
      <c r="L188" s="641">
        <v>5500000</v>
      </c>
      <c r="M188" s="641">
        <v>5500000</v>
      </c>
      <c r="N188" s="641">
        <v>5500000</v>
      </c>
      <c r="O188" s="641">
        <v>5500000</v>
      </c>
      <c r="P188" s="641">
        <v>5500000</v>
      </c>
      <c r="Q188" s="641">
        <v>5500000</v>
      </c>
      <c r="R188" s="641">
        <v>5500000</v>
      </c>
      <c r="S188" s="641">
        <v>5500000</v>
      </c>
      <c r="T188" s="641">
        <v>5500000</v>
      </c>
      <c r="U188" s="641">
        <v>5500000</v>
      </c>
      <c r="V188" s="641">
        <v>5500000</v>
      </c>
      <c r="W188" s="641">
        <v>5500000</v>
      </c>
      <c r="X188" s="641">
        <v>5500000</v>
      </c>
      <c r="Y188" s="641">
        <v>5500000</v>
      </c>
      <c r="Z188" s="641">
        <v>5500000</v>
      </c>
      <c r="AA188" s="641">
        <v>5500000</v>
      </c>
      <c r="AB188" s="641">
        <v>5500000</v>
      </c>
      <c r="AC188" s="641">
        <v>5500000</v>
      </c>
    </row>
    <row r="189" spans="1:29">
      <c r="A189" s="6" t="s">
        <v>756</v>
      </c>
      <c r="B189" s="736"/>
      <c r="C189" s="1067">
        <v>50000000</v>
      </c>
      <c r="D189" s="1067">
        <v>50000000</v>
      </c>
      <c r="E189" s="1067">
        <v>50000000</v>
      </c>
      <c r="F189" s="1067">
        <v>50000000</v>
      </c>
      <c r="G189" s="1067">
        <v>50000000</v>
      </c>
      <c r="H189" s="1067">
        <v>50000000</v>
      </c>
      <c r="I189" s="1067">
        <v>50000000</v>
      </c>
      <c r="J189" s="1067">
        <v>50000000</v>
      </c>
      <c r="K189" s="684">
        <v>50000000</v>
      </c>
      <c r="L189" s="641"/>
      <c r="M189" s="641"/>
      <c r="N189" s="641"/>
      <c r="O189" s="641"/>
      <c r="P189" s="641"/>
      <c r="Q189" s="641"/>
      <c r="R189" s="641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</row>
    <row r="190" spans="1:29">
      <c r="A190" s="6" t="s">
        <v>161</v>
      </c>
      <c r="B190" s="736"/>
      <c r="C190" s="641">
        <v>7000000</v>
      </c>
      <c r="D190" s="641">
        <v>7000000</v>
      </c>
      <c r="E190" s="641">
        <v>7000000</v>
      </c>
      <c r="F190" s="641">
        <v>7000000</v>
      </c>
      <c r="G190" s="641">
        <v>7000000</v>
      </c>
      <c r="H190" s="641">
        <v>7000000</v>
      </c>
      <c r="I190" s="641">
        <v>7000000</v>
      </c>
      <c r="J190" s="641">
        <v>7000000</v>
      </c>
      <c r="K190" s="641">
        <v>7000000</v>
      </c>
      <c r="L190" s="641">
        <v>7000000</v>
      </c>
      <c r="M190" s="641">
        <v>7000000</v>
      </c>
      <c r="N190" s="641">
        <v>7000000</v>
      </c>
      <c r="O190" s="641">
        <v>7000000</v>
      </c>
      <c r="P190" s="641">
        <v>7000000</v>
      </c>
      <c r="Q190" s="641">
        <v>7000000</v>
      </c>
      <c r="R190" s="641">
        <v>7000000</v>
      </c>
      <c r="S190" s="641">
        <v>7000000</v>
      </c>
      <c r="T190" s="641">
        <v>7000000</v>
      </c>
      <c r="U190" s="641">
        <v>7000000</v>
      </c>
      <c r="V190" s="641">
        <v>7000000</v>
      </c>
      <c r="W190" s="641">
        <v>7000000</v>
      </c>
      <c r="X190" s="641">
        <v>7000000</v>
      </c>
      <c r="Y190" s="641">
        <v>7000000</v>
      </c>
      <c r="Z190" s="641">
        <v>7000000</v>
      </c>
      <c r="AA190" s="641">
        <v>7000000</v>
      </c>
      <c r="AB190" s="641">
        <v>7000000</v>
      </c>
      <c r="AC190" s="641">
        <v>7000000</v>
      </c>
    </row>
    <row r="191" spans="1:29" ht="16.2" thickBot="1">
      <c r="A191" s="7"/>
      <c r="B191" s="738"/>
      <c r="C191" s="848">
        <v>87674000</v>
      </c>
      <c r="D191" s="848">
        <v>88424000</v>
      </c>
      <c r="E191" s="848">
        <v>88400000</v>
      </c>
      <c r="F191" s="848">
        <v>88400000</v>
      </c>
      <c r="G191" s="848">
        <v>88400000</v>
      </c>
      <c r="H191" s="848">
        <v>88400000</v>
      </c>
      <c r="I191" s="848">
        <v>143400000</v>
      </c>
      <c r="J191" s="848">
        <v>143150000</v>
      </c>
      <c r="K191" s="848">
        <v>143150000</v>
      </c>
      <c r="L191" s="848">
        <v>93150000</v>
      </c>
      <c r="M191" s="848">
        <v>93150000</v>
      </c>
      <c r="N191" s="848">
        <v>95600000</v>
      </c>
      <c r="O191" s="848">
        <v>95600000</v>
      </c>
      <c r="P191" s="848">
        <v>92900000</v>
      </c>
      <c r="Q191" s="848">
        <v>93200000</v>
      </c>
      <c r="R191" s="848">
        <v>93200000</v>
      </c>
      <c r="S191" s="848">
        <v>38400000</v>
      </c>
      <c r="T191" s="848">
        <v>38450000</v>
      </c>
      <c r="U191" s="848">
        <v>83370000</v>
      </c>
      <c r="V191" s="848">
        <v>81600000</v>
      </c>
      <c r="W191" s="848">
        <v>81900000</v>
      </c>
      <c r="X191" s="848">
        <v>80800000</v>
      </c>
      <c r="Y191" s="848">
        <v>79600000</v>
      </c>
      <c r="Z191" s="848">
        <v>49600000</v>
      </c>
      <c r="AA191" s="848">
        <v>49600000</v>
      </c>
      <c r="AB191" s="848">
        <v>49600000</v>
      </c>
      <c r="AC191" s="848">
        <v>124600000</v>
      </c>
    </row>
    <row r="192" spans="1:29" ht="16.2" thickBot="1">
      <c r="A192" s="9"/>
      <c r="B192" s="10"/>
      <c r="C192" s="869"/>
      <c r="D192" s="869"/>
      <c r="E192" s="869"/>
      <c r="F192" s="869"/>
      <c r="G192" s="869"/>
      <c r="H192" s="869"/>
      <c r="I192" s="869"/>
      <c r="J192" s="869"/>
      <c r="K192" s="869"/>
      <c r="L192" s="869"/>
      <c r="M192" s="869"/>
      <c r="N192" s="869"/>
      <c r="O192" s="869"/>
      <c r="P192" s="869"/>
      <c r="Q192" s="869"/>
      <c r="R192" s="869"/>
      <c r="S192" s="869"/>
      <c r="T192" s="869"/>
      <c r="U192" s="869"/>
      <c r="V192" s="869"/>
      <c r="W192" s="869"/>
      <c r="X192" s="869"/>
      <c r="Y192" s="869"/>
      <c r="Z192" s="869"/>
      <c r="AA192" s="869"/>
      <c r="AB192" s="869"/>
      <c r="AC192" s="869"/>
    </row>
    <row r="193" spans="1:29" ht="16.2" thickBot="1">
      <c r="A193" s="768"/>
      <c r="B193" s="769"/>
      <c r="C193" s="868"/>
      <c r="D193" s="868"/>
      <c r="E193" s="868"/>
      <c r="F193" s="868"/>
      <c r="G193" s="868"/>
      <c r="H193" s="868"/>
      <c r="I193" s="868"/>
      <c r="J193" s="868"/>
      <c r="K193" s="868"/>
      <c r="L193" s="868"/>
      <c r="M193" s="868"/>
      <c r="N193" s="868"/>
      <c r="O193" s="868"/>
      <c r="P193" s="868"/>
      <c r="Q193" s="868"/>
      <c r="R193" s="868"/>
      <c r="S193" s="868"/>
      <c r="T193" s="868"/>
      <c r="U193" s="868"/>
      <c r="V193" s="868"/>
      <c r="W193" s="868"/>
      <c r="X193" s="868"/>
      <c r="Y193" s="868"/>
      <c r="Z193" s="868"/>
      <c r="AA193" s="868"/>
      <c r="AB193" s="868"/>
      <c r="AC193" s="868"/>
    </row>
    <row r="194" spans="1:29" s="699" customFormat="1" ht="18.600000000000001" thickBot="1">
      <c r="A194" s="770" t="s">
        <v>35</v>
      </c>
      <c r="B194" s="771"/>
      <c r="C194" s="870">
        <v>204520285</v>
      </c>
      <c r="D194" s="870">
        <v>201659073</v>
      </c>
      <c r="E194" s="870">
        <v>206088268</v>
      </c>
      <c r="F194" s="870">
        <v>211819381</v>
      </c>
      <c r="G194" s="870">
        <v>212113156</v>
      </c>
      <c r="H194" s="870">
        <v>211846415</v>
      </c>
      <c r="I194" s="870">
        <v>210510946</v>
      </c>
      <c r="J194" s="870">
        <v>211354120</v>
      </c>
      <c r="K194" s="870">
        <v>208022650</v>
      </c>
      <c r="L194" s="870">
        <v>207238945</v>
      </c>
      <c r="M194" s="870">
        <v>205942272</v>
      </c>
      <c r="N194" s="870">
        <v>200420885</v>
      </c>
      <c r="O194" s="870">
        <v>200592368</v>
      </c>
      <c r="P194" s="870">
        <v>198441678</v>
      </c>
      <c r="Q194" s="870">
        <v>196642274</v>
      </c>
      <c r="R194" s="870">
        <v>195443513</v>
      </c>
      <c r="S194" s="870">
        <v>194887998</v>
      </c>
      <c r="T194" s="870">
        <v>195179420</v>
      </c>
      <c r="U194" s="870">
        <v>199964578</v>
      </c>
      <c r="V194" s="870">
        <v>199197114</v>
      </c>
      <c r="W194" s="870">
        <v>200448640</v>
      </c>
      <c r="X194" s="870">
        <v>200425875</v>
      </c>
      <c r="Y194" s="870">
        <v>198858316</v>
      </c>
      <c r="Z194" s="870">
        <v>197842897</v>
      </c>
      <c r="AA194" s="870">
        <v>196905243</v>
      </c>
      <c r="AB194" s="870">
        <v>195956001</v>
      </c>
      <c r="AC194" s="870">
        <v>197298427</v>
      </c>
    </row>
    <row r="195" spans="1:29" s="699" customFormat="1" ht="18">
      <c r="A195" s="772"/>
      <c r="B195" s="773"/>
      <c r="C195" s="871"/>
      <c r="D195" s="871"/>
      <c r="E195" s="871"/>
      <c r="F195" s="871"/>
      <c r="G195" s="871"/>
      <c r="H195" s="871"/>
      <c r="I195" s="871"/>
      <c r="J195" s="871"/>
      <c r="K195" s="871"/>
      <c r="L195" s="871"/>
      <c r="M195" s="871"/>
      <c r="N195" s="871"/>
      <c r="O195" s="871"/>
      <c r="P195" s="871"/>
      <c r="Q195" s="871"/>
      <c r="R195" s="871"/>
      <c r="S195" s="871"/>
      <c r="T195" s="871"/>
      <c r="U195" s="871"/>
      <c r="V195" s="871"/>
      <c r="W195" s="871"/>
      <c r="X195" s="871"/>
      <c r="Y195" s="871"/>
      <c r="Z195" s="871"/>
      <c r="AA195" s="871"/>
      <c r="AB195" s="871"/>
      <c r="AC195" s="871"/>
    </row>
    <row r="196" spans="1:29">
      <c r="A196" s="5"/>
      <c r="B196"/>
      <c r="C196" s="852"/>
      <c r="D196" s="852"/>
      <c r="E196" s="852"/>
      <c r="F196" s="852"/>
      <c r="G196" s="852"/>
      <c r="H196" s="852"/>
      <c r="I196" s="852"/>
      <c r="J196" s="852"/>
      <c r="K196" s="852"/>
      <c r="L196" s="852"/>
      <c r="M196" s="852"/>
      <c r="N196" s="852"/>
      <c r="O196" s="852"/>
      <c r="P196" s="852"/>
      <c r="Q196" s="852"/>
      <c r="R196" s="852"/>
      <c r="S196" s="852"/>
      <c r="T196" s="852"/>
      <c r="U196" s="852"/>
      <c r="V196" s="852"/>
      <c r="W196" s="852"/>
      <c r="X196" s="852"/>
      <c r="Y196" s="852"/>
      <c r="Z196" s="852"/>
      <c r="AA196" s="852"/>
      <c r="AB196" s="852"/>
      <c r="AC196" s="852"/>
    </row>
    <row r="197" spans="1:29">
      <c r="A197" s="5" t="s">
        <v>25</v>
      </c>
      <c r="B197"/>
      <c r="C197" s="8">
        <v>286957452</v>
      </c>
      <c r="D197" s="8">
        <v>284846240</v>
      </c>
      <c r="E197" s="8">
        <v>289251435</v>
      </c>
      <c r="F197" s="8">
        <v>294982548</v>
      </c>
      <c r="G197" s="8">
        <v>295276323</v>
      </c>
      <c r="H197" s="8">
        <v>295009582</v>
      </c>
      <c r="I197" s="8">
        <v>348674113</v>
      </c>
      <c r="J197" s="8">
        <v>349267287</v>
      </c>
      <c r="K197" s="8">
        <v>345935817</v>
      </c>
      <c r="L197" s="8">
        <v>294352112</v>
      </c>
      <c r="M197" s="8">
        <v>292857939</v>
      </c>
      <c r="N197" s="8">
        <v>289786552</v>
      </c>
      <c r="O197" s="8">
        <v>289958035</v>
      </c>
      <c r="P197" s="8">
        <v>285407345</v>
      </c>
      <c r="Q197" s="8">
        <v>283907941</v>
      </c>
      <c r="R197" s="8">
        <v>282709180</v>
      </c>
      <c r="S197" s="8">
        <v>227048665</v>
      </c>
      <c r="T197" s="8">
        <v>227695087</v>
      </c>
      <c r="U197" s="8">
        <v>277796578</v>
      </c>
      <c r="V197" s="8">
        <v>275594114</v>
      </c>
      <c r="W197" s="8">
        <v>277145640</v>
      </c>
      <c r="X197" s="8">
        <v>276022875</v>
      </c>
      <c r="Y197" s="8">
        <v>273755316</v>
      </c>
      <c r="Z197" s="8">
        <v>242739897</v>
      </c>
      <c r="AA197" s="8">
        <v>241802243</v>
      </c>
      <c r="AB197" s="8">
        <v>240853001</v>
      </c>
      <c r="AC197" s="8">
        <v>317392927</v>
      </c>
    </row>
    <row r="198" spans="1:29" ht="18">
      <c r="A198" s="774" t="s">
        <v>13</v>
      </c>
      <c r="B198" s="2"/>
      <c r="C198" s="24">
        <v>204520285</v>
      </c>
      <c r="D198" s="24">
        <v>201659073</v>
      </c>
      <c r="E198" s="24">
        <v>206088268</v>
      </c>
      <c r="F198" s="24">
        <v>211819381</v>
      </c>
      <c r="G198" s="24">
        <v>212113156</v>
      </c>
      <c r="H198" s="24">
        <v>211846415</v>
      </c>
      <c r="I198" s="24">
        <v>210510946</v>
      </c>
      <c r="J198" s="24">
        <v>211354120</v>
      </c>
      <c r="K198" s="24">
        <v>208022650</v>
      </c>
      <c r="L198" s="24">
        <v>207238945</v>
      </c>
      <c r="M198" s="24">
        <v>205942272</v>
      </c>
      <c r="N198" s="24">
        <v>200420885</v>
      </c>
      <c r="O198" s="24">
        <v>200592368</v>
      </c>
      <c r="P198" s="24">
        <v>198441678</v>
      </c>
      <c r="Q198" s="24">
        <v>196642274</v>
      </c>
      <c r="R198" s="24">
        <v>195443513</v>
      </c>
      <c r="S198" s="24">
        <v>194887998</v>
      </c>
      <c r="T198" s="24">
        <v>195179420</v>
      </c>
      <c r="U198" s="24">
        <v>199964578</v>
      </c>
      <c r="V198" s="24">
        <v>199197114</v>
      </c>
      <c r="W198" s="24">
        <v>200448640</v>
      </c>
      <c r="X198" s="24">
        <v>200425875</v>
      </c>
      <c r="Y198" s="24">
        <v>198858316</v>
      </c>
      <c r="Z198" s="24">
        <v>197842897</v>
      </c>
      <c r="AA198" s="24">
        <v>196905243</v>
      </c>
      <c r="AB198" s="24">
        <v>195956001</v>
      </c>
      <c r="AC198" s="24">
        <v>197298427</v>
      </c>
    </row>
    <row r="199" spans="1:29" ht="18">
      <c r="A199" s="774"/>
      <c r="B199" s="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spans="1:29" ht="15" thickBot="1">
      <c r="A200" s="5"/>
      <c r="B2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>
      <c r="A201" s="775" t="s">
        <v>18</v>
      </c>
      <c r="B201" s="726"/>
      <c r="C201" s="700">
        <v>2111212</v>
      </c>
      <c r="D201" s="700">
        <v>-4405195</v>
      </c>
      <c r="E201" s="700">
        <v>-5731113</v>
      </c>
      <c r="F201" s="700">
        <v>-293775</v>
      </c>
      <c r="G201" s="700">
        <v>266741</v>
      </c>
      <c r="H201" s="700">
        <v>-53664531</v>
      </c>
      <c r="I201" s="700">
        <v>-593174</v>
      </c>
      <c r="J201" s="700">
        <v>3331470</v>
      </c>
      <c r="K201" s="700">
        <v>51583705</v>
      </c>
      <c r="L201" s="700">
        <v>1494173</v>
      </c>
      <c r="M201" s="700">
        <v>3071387</v>
      </c>
      <c r="N201" s="700">
        <v>-171483</v>
      </c>
      <c r="O201" s="700">
        <v>4550690</v>
      </c>
      <c r="P201" s="700">
        <v>1499404</v>
      </c>
      <c r="Q201" s="700">
        <v>1198761</v>
      </c>
      <c r="R201" s="700">
        <v>55660515</v>
      </c>
      <c r="S201" s="700">
        <v>-646422</v>
      </c>
      <c r="T201" s="700">
        <v>-50101491</v>
      </c>
      <c r="U201" s="700">
        <v>2202464</v>
      </c>
      <c r="V201" s="700">
        <v>-1551526</v>
      </c>
      <c r="W201" s="700">
        <v>1122765</v>
      </c>
      <c r="X201" s="700">
        <v>2267559</v>
      </c>
      <c r="Y201" s="700">
        <v>31015419</v>
      </c>
      <c r="Z201" s="700">
        <v>937654</v>
      </c>
      <c r="AA201" s="700">
        <v>949242</v>
      </c>
      <c r="AB201" s="700">
        <v>-76539926</v>
      </c>
      <c r="AC201" s="700">
        <v>0</v>
      </c>
    </row>
    <row r="202" spans="1:29" ht="15" thickBot="1">
      <c r="A202" s="5"/>
      <c r="B20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>
      <c r="A203" s="776"/>
      <c r="B203" s="777"/>
      <c r="C203" s="872"/>
      <c r="D203" s="872"/>
      <c r="E203" s="872"/>
      <c r="F203" s="872"/>
      <c r="G203" s="872"/>
      <c r="H203" s="872"/>
      <c r="I203" s="872"/>
      <c r="J203" s="872"/>
      <c r="K203" s="872"/>
      <c r="L203" s="872"/>
      <c r="M203" s="872"/>
      <c r="N203" s="872"/>
      <c r="O203" s="872"/>
      <c r="P203" s="872"/>
      <c r="Q203" s="872"/>
      <c r="R203" s="872"/>
      <c r="S203" s="872"/>
      <c r="T203" s="872"/>
      <c r="U203" s="872"/>
      <c r="V203" s="872"/>
      <c r="W203" s="872"/>
      <c r="X203" s="872"/>
      <c r="Y203" s="872"/>
      <c r="Z203" s="872"/>
      <c r="AA203" s="872"/>
      <c r="AB203" s="872"/>
      <c r="AC203" s="872"/>
    </row>
    <row r="204" spans="1:29">
      <c r="A204" s="20" t="s">
        <v>183</v>
      </c>
      <c r="B204" s="778"/>
      <c r="C204" s="873">
        <v>730000</v>
      </c>
      <c r="D204" s="873">
        <v>749002</v>
      </c>
      <c r="E204" s="873">
        <v>783300</v>
      </c>
      <c r="F204" s="873">
        <v>493000</v>
      </c>
      <c r="G204" s="873">
        <v>511000</v>
      </c>
      <c r="H204" s="873">
        <v>551000</v>
      </c>
      <c r="I204" s="873">
        <v>728500</v>
      </c>
      <c r="J204" s="873">
        <v>1007000</v>
      </c>
      <c r="K204" s="873">
        <v>566000</v>
      </c>
      <c r="L204" s="873">
        <v>346000</v>
      </c>
      <c r="M204" s="873">
        <v>1733485</v>
      </c>
      <c r="N204" s="873">
        <v>683500</v>
      </c>
      <c r="O204" s="873">
        <v>844115</v>
      </c>
      <c r="P204" s="873">
        <v>626000</v>
      </c>
      <c r="Q204" s="873">
        <v>773000</v>
      </c>
      <c r="R204" s="873">
        <v>713000</v>
      </c>
      <c r="S204" s="873">
        <v>642000</v>
      </c>
      <c r="T204" s="873">
        <v>477500</v>
      </c>
      <c r="U204" s="873">
        <v>1382000</v>
      </c>
      <c r="V204" s="873">
        <v>643000</v>
      </c>
      <c r="W204" s="873">
        <v>711000</v>
      </c>
      <c r="X204" s="873">
        <v>754000</v>
      </c>
      <c r="Y204" s="873">
        <v>252000</v>
      </c>
      <c r="Z204" s="873">
        <v>399000</v>
      </c>
      <c r="AA204" s="873">
        <v>718000</v>
      </c>
      <c r="AB204" s="873">
        <v>806500</v>
      </c>
      <c r="AC204" s="873">
        <v>0</v>
      </c>
    </row>
    <row r="205" spans="1:29">
      <c r="A205" s="20" t="s">
        <v>24</v>
      </c>
      <c r="B205" s="778"/>
      <c r="C205" s="873">
        <v>680000</v>
      </c>
      <c r="D205" s="873">
        <v>641002</v>
      </c>
      <c r="E205" s="873">
        <v>733300</v>
      </c>
      <c r="F205" s="873">
        <v>378000</v>
      </c>
      <c r="G205" s="873">
        <v>403000</v>
      </c>
      <c r="H205" s="873">
        <v>461000</v>
      </c>
      <c r="I205" s="873">
        <v>728500</v>
      </c>
      <c r="J205" s="873">
        <v>951000</v>
      </c>
      <c r="K205" s="873">
        <v>516000</v>
      </c>
      <c r="L205" s="873">
        <v>346000</v>
      </c>
      <c r="M205" s="873">
        <v>1633485</v>
      </c>
      <c r="N205" s="873">
        <v>683500</v>
      </c>
      <c r="O205" s="873">
        <v>728115</v>
      </c>
      <c r="P205" s="873">
        <v>566000</v>
      </c>
      <c r="Q205" s="873">
        <v>773000</v>
      </c>
      <c r="R205" s="873">
        <v>585000</v>
      </c>
      <c r="S205" s="873">
        <v>536000</v>
      </c>
      <c r="T205" s="873">
        <v>407500</v>
      </c>
      <c r="U205" s="873">
        <v>1224000</v>
      </c>
      <c r="V205" s="873">
        <v>503000</v>
      </c>
      <c r="W205" s="873">
        <v>711000</v>
      </c>
      <c r="X205" s="873">
        <v>654000</v>
      </c>
      <c r="Y205" s="873">
        <v>209000</v>
      </c>
      <c r="Z205" s="873">
        <v>329000</v>
      </c>
      <c r="AA205" s="873">
        <v>668000</v>
      </c>
      <c r="AB205" s="873">
        <v>656500</v>
      </c>
      <c r="AC205" s="873">
        <v>0</v>
      </c>
    </row>
    <row r="206" spans="1:29">
      <c r="A206" s="28" t="s">
        <v>19</v>
      </c>
      <c r="B206" s="746" t="s">
        <v>283</v>
      </c>
      <c r="C206" s="874">
        <v>0</v>
      </c>
      <c r="D206" s="874">
        <v>25000</v>
      </c>
      <c r="E206" s="874">
        <v>7417500</v>
      </c>
      <c r="F206" s="874">
        <v>1765000</v>
      </c>
      <c r="G206" s="874">
        <v>795000</v>
      </c>
      <c r="H206" s="874">
        <v>0</v>
      </c>
      <c r="I206" s="874">
        <v>2705000</v>
      </c>
      <c r="J206" s="874">
        <v>200000</v>
      </c>
      <c r="K206" s="874">
        <v>515000</v>
      </c>
      <c r="L206" s="874">
        <v>0</v>
      </c>
      <c r="M206" s="874">
        <v>0</v>
      </c>
      <c r="N206" s="874">
        <v>0</v>
      </c>
      <c r="O206" s="874">
        <v>488000</v>
      </c>
      <c r="P206" s="874">
        <v>0</v>
      </c>
      <c r="Q206" s="874">
        <v>816000</v>
      </c>
      <c r="R206" s="874">
        <v>340000</v>
      </c>
      <c r="S206" s="874">
        <v>915000</v>
      </c>
      <c r="T206" s="874">
        <v>2221000</v>
      </c>
      <c r="U206" s="874">
        <v>315000</v>
      </c>
      <c r="V206" s="874">
        <v>750000</v>
      </c>
      <c r="W206" s="874">
        <v>0</v>
      </c>
      <c r="X206" s="874">
        <v>475000</v>
      </c>
      <c r="Y206" s="874">
        <v>181500</v>
      </c>
      <c r="Z206" s="874">
        <v>0</v>
      </c>
      <c r="AA206" s="874">
        <v>865000</v>
      </c>
      <c r="AB206" s="874">
        <v>2590000</v>
      </c>
      <c r="AC206" s="874">
        <v>0</v>
      </c>
    </row>
    <row r="207" spans="1:29" s="265" customFormat="1">
      <c r="A207" s="779" t="s">
        <v>189</v>
      </c>
      <c r="B207" s="780"/>
      <c r="C207" s="701">
        <v>23379000</v>
      </c>
      <c r="D207" s="701">
        <v>23379000</v>
      </c>
      <c r="E207" s="701">
        <v>23354000</v>
      </c>
      <c r="F207" s="701">
        <v>15936500</v>
      </c>
      <c r="G207" s="701">
        <v>14171500</v>
      </c>
      <c r="H207" s="701">
        <v>13376500</v>
      </c>
      <c r="I207" s="701">
        <v>13376500</v>
      </c>
      <c r="J207" s="701">
        <v>10671500</v>
      </c>
      <c r="K207" s="701">
        <v>10471500</v>
      </c>
      <c r="L207" s="701">
        <v>9956500</v>
      </c>
      <c r="M207" s="701">
        <v>9956500</v>
      </c>
      <c r="N207" s="701">
        <v>9956500</v>
      </c>
      <c r="O207" s="701">
        <v>9956500</v>
      </c>
      <c r="P207" s="701">
        <v>9468500</v>
      </c>
      <c r="Q207" s="701">
        <v>9468500</v>
      </c>
      <c r="R207" s="701">
        <v>8652500</v>
      </c>
      <c r="S207" s="701">
        <v>8312500</v>
      </c>
      <c r="T207" s="701">
        <v>7397500</v>
      </c>
      <c r="U207" s="701">
        <v>5176500</v>
      </c>
      <c r="V207" s="701">
        <v>4861500</v>
      </c>
      <c r="W207" s="701">
        <v>4111500</v>
      </c>
      <c r="X207" s="701">
        <v>4111500</v>
      </c>
      <c r="Y207" s="701">
        <v>3636500</v>
      </c>
      <c r="Z207" s="701">
        <v>3455000</v>
      </c>
      <c r="AA207" s="701">
        <v>3455000</v>
      </c>
      <c r="AB207" s="701">
        <v>2590000</v>
      </c>
      <c r="AC207" s="701">
        <v>0</v>
      </c>
    </row>
    <row r="208" spans="1:29">
      <c r="A208" s="28" t="s">
        <v>180</v>
      </c>
      <c r="B208" s="746" t="s">
        <v>284</v>
      </c>
      <c r="C208" s="874">
        <v>50000</v>
      </c>
      <c r="D208" s="874">
        <v>108000</v>
      </c>
      <c r="E208" s="874">
        <v>50000</v>
      </c>
      <c r="F208" s="874">
        <v>115000</v>
      </c>
      <c r="G208" s="874">
        <v>108000</v>
      </c>
      <c r="H208" s="874">
        <v>90000</v>
      </c>
      <c r="I208" s="874">
        <v>0</v>
      </c>
      <c r="J208" s="874">
        <v>56000</v>
      </c>
      <c r="K208" s="874">
        <v>50000</v>
      </c>
      <c r="L208" s="874">
        <v>0</v>
      </c>
      <c r="M208" s="874">
        <v>100000</v>
      </c>
      <c r="N208" s="874">
        <v>0</v>
      </c>
      <c r="O208" s="874">
        <v>116000</v>
      </c>
      <c r="P208" s="874">
        <v>60000</v>
      </c>
      <c r="Q208" s="874">
        <v>0</v>
      </c>
      <c r="R208" s="874">
        <v>128000</v>
      </c>
      <c r="S208" s="874">
        <v>106000</v>
      </c>
      <c r="T208" s="874">
        <v>70000</v>
      </c>
      <c r="U208" s="874">
        <v>158000</v>
      </c>
      <c r="V208" s="874">
        <v>140000</v>
      </c>
      <c r="W208" s="874">
        <v>0</v>
      </c>
      <c r="X208" s="874">
        <v>100000</v>
      </c>
      <c r="Y208" s="874">
        <v>43000</v>
      </c>
      <c r="Z208" s="874">
        <v>70000</v>
      </c>
      <c r="AA208" s="874">
        <v>50000</v>
      </c>
      <c r="AB208" s="874">
        <v>150000</v>
      </c>
      <c r="AC208" s="874">
        <v>0</v>
      </c>
    </row>
    <row r="209" spans="1:32" s="265" customFormat="1">
      <c r="A209" s="779" t="s">
        <v>190</v>
      </c>
      <c r="B209" s="780"/>
      <c r="C209" s="702">
        <v>1918000</v>
      </c>
      <c r="D209" s="702">
        <v>1868000</v>
      </c>
      <c r="E209" s="702">
        <v>1760000</v>
      </c>
      <c r="F209" s="702">
        <v>1710000</v>
      </c>
      <c r="G209" s="702">
        <v>1595000</v>
      </c>
      <c r="H209" s="702">
        <v>1487000</v>
      </c>
      <c r="I209" s="702">
        <v>1397000</v>
      </c>
      <c r="J209" s="702">
        <v>1397000</v>
      </c>
      <c r="K209" s="702">
        <v>1341000</v>
      </c>
      <c r="L209" s="702">
        <v>1291000</v>
      </c>
      <c r="M209" s="702">
        <v>1291000</v>
      </c>
      <c r="N209" s="702">
        <v>1191000</v>
      </c>
      <c r="O209" s="702">
        <v>1191000</v>
      </c>
      <c r="P209" s="702">
        <v>1075000</v>
      </c>
      <c r="Q209" s="702">
        <v>1015000</v>
      </c>
      <c r="R209" s="702">
        <v>1015000</v>
      </c>
      <c r="S209" s="702">
        <v>887000</v>
      </c>
      <c r="T209" s="702">
        <v>781000</v>
      </c>
      <c r="U209" s="702">
        <v>711000</v>
      </c>
      <c r="V209" s="702">
        <v>553000</v>
      </c>
      <c r="W209" s="702">
        <v>413000</v>
      </c>
      <c r="X209" s="702">
        <v>413000</v>
      </c>
      <c r="Y209" s="702">
        <v>313000</v>
      </c>
      <c r="Z209" s="702">
        <v>270000</v>
      </c>
      <c r="AA209" s="702">
        <v>200000</v>
      </c>
      <c r="AB209" s="702">
        <v>150000</v>
      </c>
      <c r="AC209" s="702">
        <v>0</v>
      </c>
    </row>
    <row r="210" spans="1:32">
      <c r="A210" s="20"/>
      <c r="B210" s="781"/>
      <c r="C210" s="873"/>
      <c r="D210" s="873"/>
      <c r="E210" s="873"/>
      <c r="F210" s="873"/>
      <c r="G210" s="873"/>
      <c r="H210" s="873"/>
      <c r="I210" s="873"/>
      <c r="J210" s="873"/>
      <c r="K210" s="873"/>
      <c r="L210" s="873"/>
      <c r="M210" s="873"/>
      <c r="N210" s="873"/>
      <c r="O210" s="873"/>
      <c r="P210" s="873"/>
      <c r="Q210" s="873"/>
      <c r="R210" s="873"/>
      <c r="S210" s="873"/>
      <c r="T210" s="873"/>
      <c r="U210" s="873"/>
      <c r="V210" s="873"/>
      <c r="W210" s="873"/>
      <c r="X210" s="873"/>
      <c r="Y210" s="873"/>
      <c r="Z210" s="873"/>
      <c r="AA210" s="873"/>
      <c r="AB210" s="873"/>
      <c r="AC210" s="873"/>
    </row>
    <row r="211" spans="1:32">
      <c r="A211" s="28" t="s">
        <v>63</v>
      </c>
      <c r="B211" s="746" t="s">
        <v>285</v>
      </c>
      <c r="C211" s="875">
        <v>0</v>
      </c>
      <c r="D211" s="875">
        <v>0</v>
      </c>
      <c r="E211" s="875">
        <v>0</v>
      </c>
      <c r="F211" s="875">
        <v>0</v>
      </c>
      <c r="G211" s="875">
        <v>0</v>
      </c>
      <c r="H211" s="875">
        <v>0</v>
      </c>
      <c r="I211" s="875">
        <v>0</v>
      </c>
      <c r="J211" s="875">
        <v>0</v>
      </c>
      <c r="K211" s="875">
        <v>0</v>
      </c>
      <c r="L211" s="875">
        <v>0</v>
      </c>
      <c r="M211" s="875">
        <v>0</v>
      </c>
      <c r="N211" s="875">
        <v>0</v>
      </c>
      <c r="O211" s="875">
        <v>0</v>
      </c>
      <c r="P211" s="875">
        <v>0</v>
      </c>
      <c r="Q211" s="875">
        <v>0</v>
      </c>
      <c r="R211" s="875">
        <v>0</v>
      </c>
      <c r="S211" s="875">
        <v>0</v>
      </c>
      <c r="T211" s="875">
        <v>0</v>
      </c>
      <c r="U211" s="875">
        <v>0</v>
      </c>
      <c r="V211" s="875">
        <v>0</v>
      </c>
      <c r="W211" s="875">
        <v>0</v>
      </c>
      <c r="X211" s="875">
        <v>0</v>
      </c>
      <c r="Y211" s="875">
        <v>0</v>
      </c>
      <c r="Z211" s="875">
        <v>0</v>
      </c>
      <c r="AA211" s="875">
        <v>0</v>
      </c>
      <c r="AB211" s="875">
        <v>0</v>
      </c>
      <c r="AC211" s="875">
        <v>0</v>
      </c>
      <c r="AF211" s="703"/>
    </row>
    <row r="212" spans="1:32">
      <c r="A212" s="28" t="s">
        <v>12</v>
      </c>
      <c r="B212" s="746" t="s">
        <v>286</v>
      </c>
      <c r="C212" s="875">
        <v>0</v>
      </c>
      <c r="D212" s="875">
        <v>0</v>
      </c>
      <c r="E212" s="875">
        <v>0</v>
      </c>
      <c r="F212" s="875">
        <v>0</v>
      </c>
      <c r="G212" s="875">
        <v>0</v>
      </c>
      <c r="H212" s="875">
        <v>0</v>
      </c>
      <c r="I212" s="875">
        <v>0</v>
      </c>
      <c r="J212" s="875">
        <v>0</v>
      </c>
      <c r="K212" s="875">
        <v>0</v>
      </c>
      <c r="L212" s="875">
        <v>0</v>
      </c>
      <c r="M212" s="875">
        <v>0</v>
      </c>
      <c r="N212" s="875">
        <v>0</v>
      </c>
      <c r="O212" s="875">
        <v>0</v>
      </c>
      <c r="P212" s="875">
        <v>0</v>
      </c>
      <c r="Q212" s="875">
        <v>0</v>
      </c>
      <c r="R212" s="875">
        <v>0</v>
      </c>
      <c r="S212" s="875">
        <v>0</v>
      </c>
      <c r="T212" s="875">
        <v>0</v>
      </c>
      <c r="U212" s="875">
        <v>0</v>
      </c>
      <c r="V212" s="875">
        <v>0</v>
      </c>
      <c r="W212" s="875">
        <v>0</v>
      </c>
      <c r="X212" s="875">
        <v>0</v>
      </c>
      <c r="Y212" s="875">
        <v>0</v>
      </c>
      <c r="Z212" s="875">
        <v>0</v>
      </c>
      <c r="AA212" s="875">
        <v>0</v>
      </c>
      <c r="AB212" s="875">
        <v>0</v>
      </c>
      <c r="AC212" s="875">
        <v>0</v>
      </c>
    </row>
    <row r="213" spans="1:32">
      <c r="A213" s="1"/>
      <c r="B213" s="748"/>
      <c r="C213" s="876"/>
      <c r="D213" s="876"/>
      <c r="E213" s="876"/>
      <c r="F213" s="876"/>
      <c r="G213" s="876"/>
      <c r="H213" s="876"/>
      <c r="I213" s="876"/>
      <c r="J213" s="876"/>
      <c r="K213" s="876"/>
      <c r="L213" s="876"/>
      <c r="M213" s="876"/>
      <c r="N213" s="876"/>
      <c r="O213" s="876"/>
      <c r="P213" s="876"/>
      <c r="Q213" s="876"/>
      <c r="R213" s="876"/>
      <c r="S213" s="876"/>
      <c r="T213" s="876"/>
      <c r="U213" s="876"/>
      <c r="V213" s="876"/>
      <c r="W213" s="876"/>
      <c r="X213" s="876"/>
      <c r="Y213" s="876"/>
      <c r="Z213" s="876"/>
      <c r="AA213" s="876"/>
      <c r="AB213" s="876"/>
      <c r="AC213" s="876"/>
    </row>
    <row r="214" spans="1:32">
      <c r="A214" s="782" t="s">
        <v>47</v>
      </c>
      <c r="B214" s="781"/>
      <c r="C214" s="702">
        <v>-4756098</v>
      </c>
      <c r="D214" s="702">
        <v>-5486098</v>
      </c>
      <c r="E214" s="702">
        <v>-6210100</v>
      </c>
      <c r="F214" s="702">
        <v>424100</v>
      </c>
      <c r="G214" s="702">
        <v>1696100</v>
      </c>
      <c r="H214" s="702">
        <v>1980100</v>
      </c>
      <c r="I214" s="702">
        <v>1429100</v>
      </c>
      <c r="J214" s="702">
        <v>3405600</v>
      </c>
      <c r="K214" s="702">
        <v>2598600</v>
      </c>
      <c r="L214" s="702">
        <v>2547600</v>
      </c>
      <c r="M214" s="702">
        <v>2201600</v>
      </c>
      <c r="N214" s="702">
        <v>468115</v>
      </c>
      <c r="O214" s="702">
        <v>-215385</v>
      </c>
      <c r="P214" s="702">
        <v>-571500</v>
      </c>
      <c r="Q214" s="702">
        <v>-1197500</v>
      </c>
      <c r="R214" s="702">
        <v>-1154500</v>
      </c>
      <c r="S214" s="702">
        <v>-1527500</v>
      </c>
      <c r="T214" s="702">
        <v>-1254500</v>
      </c>
      <c r="U214" s="702">
        <v>489000</v>
      </c>
      <c r="V214" s="702">
        <v>-578000</v>
      </c>
      <c r="W214" s="702">
        <v>-471000</v>
      </c>
      <c r="X214" s="702">
        <v>-1182000</v>
      </c>
      <c r="Y214" s="702">
        <v>-1461000</v>
      </c>
      <c r="Z214" s="702">
        <v>-1531500</v>
      </c>
      <c r="AA214" s="702">
        <v>-1930500</v>
      </c>
      <c r="AB214" s="702">
        <v>-1783500</v>
      </c>
      <c r="AC214" s="702">
        <v>0</v>
      </c>
    </row>
    <row r="215" spans="1:32">
      <c r="A215" s="1"/>
      <c r="B215" s="748"/>
      <c r="C215" s="876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  <c r="O215" s="876"/>
      <c r="P215" s="876"/>
      <c r="Q215" s="876"/>
      <c r="R215" s="876"/>
      <c r="S215" s="876"/>
      <c r="T215" s="876"/>
      <c r="U215" s="876"/>
      <c r="V215" s="876"/>
      <c r="W215" s="876"/>
      <c r="X215" s="876"/>
      <c r="Y215" s="876"/>
      <c r="Z215" s="876"/>
      <c r="AA215" s="876"/>
      <c r="AB215" s="876"/>
      <c r="AC215" s="876"/>
    </row>
    <row r="216" spans="1:32">
      <c r="A216" s="28" t="s">
        <v>21</v>
      </c>
      <c r="B216" s="746" t="s">
        <v>287</v>
      </c>
      <c r="C216" s="875">
        <v>0</v>
      </c>
      <c r="D216" s="875">
        <v>0</v>
      </c>
      <c r="E216" s="875">
        <v>0</v>
      </c>
      <c r="F216" s="875">
        <v>0</v>
      </c>
      <c r="G216" s="875">
        <v>0</v>
      </c>
      <c r="H216" s="875">
        <v>0</v>
      </c>
      <c r="I216" s="875">
        <v>0</v>
      </c>
      <c r="J216" s="875">
        <v>0</v>
      </c>
      <c r="K216" s="875">
        <v>0</v>
      </c>
      <c r="L216" s="875">
        <v>0</v>
      </c>
      <c r="M216" s="875">
        <v>220000</v>
      </c>
      <c r="N216" s="875">
        <v>0</v>
      </c>
      <c r="O216" s="875">
        <v>300000</v>
      </c>
      <c r="P216" s="875">
        <v>0</v>
      </c>
      <c r="Q216" s="875">
        <v>0</v>
      </c>
      <c r="R216" s="875">
        <v>0</v>
      </c>
      <c r="S216" s="875">
        <v>305000</v>
      </c>
      <c r="T216" s="875">
        <v>506333</v>
      </c>
      <c r="U216" s="875">
        <v>335000</v>
      </c>
      <c r="V216" s="875">
        <v>0</v>
      </c>
      <c r="W216" s="875">
        <v>0</v>
      </c>
      <c r="X216" s="875">
        <v>500000</v>
      </c>
      <c r="Y216" s="875">
        <v>0</v>
      </c>
      <c r="Z216" s="875">
        <v>0</v>
      </c>
      <c r="AA216" s="875">
        <v>0</v>
      </c>
      <c r="AB216" s="875">
        <v>197500</v>
      </c>
      <c r="AC216" s="875">
        <v>0</v>
      </c>
    </row>
    <row r="217" spans="1:32">
      <c r="A217" s="28" t="s">
        <v>64</v>
      </c>
      <c r="B217" s="746" t="s">
        <v>281</v>
      </c>
      <c r="C217" s="875">
        <v>0</v>
      </c>
      <c r="D217" s="875">
        <v>0</v>
      </c>
      <c r="E217" s="875">
        <v>0</v>
      </c>
      <c r="F217" s="875">
        <v>0</v>
      </c>
      <c r="G217" s="875">
        <v>0</v>
      </c>
      <c r="H217" s="875">
        <v>0</v>
      </c>
      <c r="I217" s="875">
        <v>0</v>
      </c>
      <c r="J217" s="875">
        <v>0</v>
      </c>
      <c r="K217" s="875">
        <v>520000</v>
      </c>
      <c r="L217" s="875">
        <v>197500</v>
      </c>
      <c r="M217" s="875">
        <v>0</v>
      </c>
      <c r="N217" s="875">
        <v>0</v>
      </c>
      <c r="O217" s="875">
        <v>0</v>
      </c>
      <c r="P217" s="875">
        <v>0</v>
      </c>
      <c r="Q217" s="875">
        <v>0</v>
      </c>
      <c r="R217" s="875">
        <v>305000</v>
      </c>
      <c r="S217" s="875">
        <v>0</v>
      </c>
      <c r="T217" s="875">
        <v>110000</v>
      </c>
      <c r="U217" s="875">
        <v>0</v>
      </c>
      <c r="V217" s="875">
        <v>0</v>
      </c>
      <c r="W217" s="875">
        <v>0</v>
      </c>
      <c r="X217" s="875">
        <v>0</v>
      </c>
      <c r="Y217" s="875">
        <v>0</v>
      </c>
      <c r="Z217" s="875">
        <v>0</v>
      </c>
      <c r="AA217" s="875">
        <v>0</v>
      </c>
      <c r="AB217" s="875">
        <v>0</v>
      </c>
      <c r="AC217" s="875">
        <v>0</v>
      </c>
    </row>
    <row r="218" spans="1:32">
      <c r="A218" s="1"/>
      <c r="B218" s="748"/>
      <c r="C218" s="876"/>
      <c r="D218" s="876"/>
      <c r="E218" s="876"/>
      <c r="F218" s="876"/>
      <c r="G218" s="876"/>
      <c r="H218" s="876"/>
      <c r="I218" s="876"/>
      <c r="J218" s="876"/>
      <c r="K218" s="876"/>
      <c r="L218" s="876"/>
      <c r="M218" s="876"/>
      <c r="N218" s="876"/>
      <c r="O218" s="876"/>
      <c r="P218" s="876"/>
      <c r="Q218" s="876"/>
      <c r="R218" s="876"/>
      <c r="S218" s="876"/>
      <c r="T218" s="876"/>
      <c r="U218" s="876"/>
      <c r="V218" s="876"/>
      <c r="W218" s="876"/>
      <c r="X218" s="876"/>
      <c r="Y218" s="876"/>
      <c r="Z218" s="876"/>
      <c r="AA218" s="876"/>
      <c r="AB218" s="876"/>
      <c r="AC218" s="876"/>
    </row>
    <row r="219" spans="1:32">
      <c r="A219" s="1444" t="s">
        <v>324</v>
      </c>
      <c r="B219" s="1445"/>
      <c r="C219" s="1069">
        <v>22000</v>
      </c>
      <c r="D219" s="1069">
        <v>22000</v>
      </c>
      <c r="E219" s="1058">
        <v>22000</v>
      </c>
      <c r="F219" s="1058">
        <v>22000</v>
      </c>
      <c r="G219" s="1058">
        <v>15000</v>
      </c>
      <c r="H219" s="1058">
        <v>15000</v>
      </c>
      <c r="I219" s="1058">
        <v>15000</v>
      </c>
      <c r="J219" s="1058">
        <v>15000</v>
      </c>
      <c r="K219" s="1058">
        <v>15000</v>
      </c>
      <c r="L219" s="1058">
        <v>15000</v>
      </c>
      <c r="M219" s="1058">
        <v>15000</v>
      </c>
      <c r="N219" s="1058">
        <v>15000</v>
      </c>
      <c r="O219" s="1058">
        <v>15000</v>
      </c>
      <c r="P219" s="643">
        <v>14000</v>
      </c>
      <c r="Q219" s="1058">
        <v>14000</v>
      </c>
      <c r="R219" s="1058">
        <v>14000</v>
      </c>
      <c r="S219" s="1058">
        <v>7000</v>
      </c>
      <c r="T219" s="1058">
        <v>7000</v>
      </c>
      <c r="U219" s="1058">
        <v>0</v>
      </c>
      <c r="V219" s="1058">
        <v>0</v>
      </c>
      <c r="W219" s="1058">
        <v>0</v>
      </c>
      <c r="X219" s="1058">
        <v>0</v>
      </c>
      <c r="Y219" s="1058">
        <v>0</v>
      </c>
      <c r="Z219" s="1058">
        <v>0</v>
      </c>
      <c r="AA219" s="1058">
        <v>0</v>
      </c>
      <c r="AB219" s="1058">
        <v>0</v>
      </c>
      <c r="AC219" s="1058">
        <v>0</v>
      </c>
    </row>
    <row r="220" spans="1:32">
      <c r="A220" s="1444" t="s">
        <v>325</v>
      </c>
      <c r="B220" s="1445"/>
      <c r="C220" s="1069">
        <v>85000</v>
      </c>
      <c r="D220" s="1069">
        <v>85000</v>
      </c>
      <c r="E220" s="1058">
        <v>85000</v>
      </c>
      <c r="F220" s="1058">
        <v>85000</v>
      </c>
      <c r="G220" s="1058">
        <v>67000</v>
      </c>
      <c r="H220" s="1058">
        <v>67000</v>
      </c>
      <c r="I220" s="1058">
        <v>67000</v>
      </c>
      <c r="J220" s="1058">
        <v>67000</v>
      </c>
      <c r="K220" s="1058">
        <v>67000</v>
      </c>
      <c r="L220" s="1058">
        <v>61000</v>
      </c>
      <c r="M220" s="1058">
        <v>55000</v>
      </c>
      <c r="N220" s="1058">
        <v>55000</v>
      </c>
      <c r="O220" s="1058">
        <v>55000</v>
      </c>
      <c r="P220" s="643">
        <v>55000</v>
      </c>
      <c r="Q220" s="1058">
        <v>55000</v>
      </c>
      <c r="R220" s="1058">
        <v>55000</v>
      </c>
      <c r="S220" s="1058">
        <v>55000</v>
      </c>
      <c r="T220" s="1058">
        <v>55000</v>
      </c>
      <c r="U220" s="1058">
        <v>25000</v>
      </c>
      <c r="V220" s="1058">
        <v>19000</v>
      </c>
      <c r="W220" s="1058">
        <v>19000</v>
      </c>
      <c r="X220" s="721">
        <v>0</v>
      </c>
      <c r="Y220" s="1058">
        <v>0</v>
      </c>
      <c r="Z220" s="1058">
        <v>0</v>
      </c>
      <c r="AA220" s="1058">
        <v>0</v>
      </c>
      <c r="AB220" s="1058">
        <v>0</v>
      </c>
      <c r="AC220" s="1058">
        <v>0</v>
      </c>
    </row>
    <row r="221" spans="1:32">
      <c r="A221" s="1070" t="s">
        <v>339</v>
      </c>
      <c r="B221" s="784"/>
      <c r="C221" s="1069">
        <v>847000</v>
      </c>
      <c r="D221" s="1069">
        <v>847000</v>
      </c>
      <c r="E221" s="1058">
        <v>847000</v>
      </c>
      <c r="F221" s="1058">
        <v>847000</v>
      </c>
      <c r="G221" s="1058">
        <v>786000</v>
      </c>
      <c r="H221" s="1069">
        <v>711000</v>
      </c>
      <c r="I221" s="1058">
        <v>711000</v>
      </c>
      <c r="J221" s="1058">
        <v>603500</v>
      </c>
      <c r="K221" s="1058">
        <v>603500</v>
      </c>
      <c r="L221" s="1058">
        <v>574000</v>
      </c>
      <c r="M221" s="1058">
        <v>390000</v>
      </c>
      <c r="N221" s="1058">
        <v>390000</v>
      </c>
      <c r="O221" s="1058">
        <v>390000</v>
      </c>
      <c r="P221" s="643">
        <v>292000</v>
      </c>
      <c r="Q221" s="1058">
        <v>292000</v>
      </c>
      <c r="R221" s="1058">
        <v>292000</v>
      </c>
      <c r="S221" s="1058">
        <v>257500</v>
      </c>
      <c r="T221" s="643">
        <v>197000</v>
      </c>
      <c r="U221" s="1058">
        <v>197000</v>
      </c>
      <c r="V221" s="721">
        <v>43000</v>
      </c>
      <c r="W221" s="721">
        <v>43000</v>
      </c>
      <c r="X221" s="721">
        <v>43000</v>
      </c>
      <c r="Y221" s="721">
        <v>43000</v>
      </c>
      <c r="Z221" s="1058">
        <v>43000</v>
      </c>
      <c r="AA221" s="1058">
        <v>43000</v>
      </c>
      <c r="AB221" s="1058">
        <v>0</v>
      </c>
      <c r="AC221" s="1058">
        <v>0</v>
      </c>
    </row>
    <row r="222" spans="1:32">
      <c r="A222" s="1070" t="s">
        <v>561</v>
      </c>
      <c r="B222" s="784"/>
      <c r="C222" s="1058">
        <v>7000</v>
      </c>
      <c r="D222" s="1058">
        <v>7000</v>
      </c>
      <c r="E222" s="1058">
        <v>7000</v>
      </c>
      <c r="F222" s="1058">
        <v>7000</v>
      </c>
      <c r="G222" s="1058">
        <v>7000</v>
      </c>
      <c r="H222" s="1058">
        <v>7000</v>
      </c>
      <c r="I222" s="1058">
        <v>7000</v>
      </c>
      <c r="J222" s="1058">
        <v>7000</v>
      </c>
      <c r="K222" s="1058">
        <v>7000</v>
      </c>
      <c r="L222" s="1058">
        <v>7000</v>
      </c>
      <c r="M222" s="1058">
        <v>7000</v>
      </c>
      <c r="N222" s="1058">
        <v>7000</v>
      </c>
      <c r="O222" s="1058">
        <v>7000</v>
      </c>
      <c r="P222" s="643">
        <v>7000</v>
      </c>
      <c r="Q222" s="1058">
        <v>7000</v>
      </c>
      <c r="R222" s="1058">
        <v>7000</v>
      </c>
      <c r="S222" s="1058">
        <v>7000</v>
      </c>
      <c r="T222" s="1058">
        <v>7000</v>
      </c>
      <c r="U222" s="1058">
        <v>7000</v>
      </c>
      <c r="V222" s="1058">
        <v>7000</v>
      </c>
      <c r="W222" s="1058">
        <v>7000</v>
      </c>
      <c r="X222" s="1058">
        <v>7000</v>
      </c>
      <c r="Y222" s="1058">
        <v>7000</v>
      </c>
      <c r="Z222" s="1058">
        <v>0</v>
      </c>
      <c r="AA222" s="1058">
        <v>0</v>
      </c>
      <c r="AB222" s="1058">
        <v>0</v>
      </c>
      <c r="AC222" s="1058">
        <v>0</v>
      </c>
    </row>
    <row r="223" spans="1:32">
      <c r="A223" s="965"/>
      <c r="B223" s="966"/>
      <c r="C223" s="967">
        <v>961000</v>
      </c>
      <c r="D223" s="967">
        <v>961000</v>
      </c>
      <c r="E223" s="967">
        <v>961000</v>
      </c>
      <c r="F223" s="967">
        <v>961000</v>
      </c>
      <c r="G223" s="967">
        <v>875000</v>
      </c>
      <c r="H223" s="967">
        <v>800000</v>
      </c>
      <c r="I223" s="967">
        <v>800000</v>
      </c>
      <c r="J223" s="967">
        <v>692500</v>
      </c>
      <c r="K223" s="967">
        <v>692500</v>
      </c>
      <c r="L223" s="967">
        <v>657000</v>
      </c>
      <c r="M223" s="967">
        <v>467000</v>
      </c>
      <c r="N223" s="967">
        <v>467000</v>
      </c>
      <c r="O223" s="967">
        <v>467000</v>
      </c>
      <c r="P223" s="967">
        <v>368000</v>
      </c>
      <c r="Q223" s="967">
        <v>368000</v>
      </c>
      <c r="R223" s="967">
        <v>368000</v>
      </c>
      <c r="S223" s="967">
        <v>326500</v>
      </c>
      <c r="T223" s="967">
        <v>266000</v>
      </c>
      <c r="U223" s="967">
        <v>229000</v>
      </c>
      <c r="V223" s="967">
        <v>69000</v>
      </c>
      <c r="W223" s="967">
        <v>69000</v>
      </c>
      <c r="X223" s="967">
        <v>50000</v>
      </c>
      <c r="Y223" s="967">
        <v>50000</v>
      </c>
      <c r="Z223" s="967">
        <v>43000</v>
      </c>
      <c r="AA223" s="967">
        <v>43000</v>
      </c>
      <c r="AB223" s="967">
        <v>0</v>
      </c>
      <c r="AC223" s="967">
        <v>0</v>
      </c>
    </row>
    <row r="224" spans="1:32">
      <c r="A224" s="1"/>
      <c r="B224" s="748"/>
      <c r="C224" s="876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 t="s">
        <v>45</v>
      </c>
      <c r="O224" s="876" t="s">
        <v>45</v>
      </c>
      <c r="P224" s="876"/>
      <c r="Q224" s="876"/>
      <c r="R224" s="876"/>
      <c r="S224" s="876"/>
      <c r="T224" s="876"/>
      <c r="U224" s="876"/>
      <c r="V224" s="876"/>
      <c r="W224" s="876"/>
      <c r="X224" s="876"/>
      <c r="Y224" s="876"/>
      <c r="Z224" s="876"/>
      <c r="AA224" s="876"/>
      <c r="AB224" s="876"/>
      <c r="AC224" s="876"/>
    </row>
    <row r="225" spans="1:29">
      <c r="A225" s="1" t="s">
        <v>557</v>
      </c>
      <c r="B225" s="748"/>
      <c r="C225" s="1068">
        <v>239450</v>
      </c>
      <c r="D225" s="1068">
        <v>239450</v>
      </c>
      <c r="E225" s="1057">
        <v>239450</v>
      </c>
      <c r="F225" s="1057">
        <v>239450</v>
      </c>
      <c r="G225" s="1057">
        <v>239450</v>
      </c>
      <c r="H225" s="1057">
        <v>116950</v>
      </c>
      <c r="I225" s="1057">
        <v>115950</v>
      </c>
      <c r="J225" s="1057">
        <v>103150</v>
      </c>
      <c r="K225" s="1057">
        <v>103150</v>
      </c>
      <c r="L225" s="1057">
        <v>96900</v>
      </c>
      <c r="M225" s="1057">
        <v>66300</v>
      </c>
      <c r="N225" s="1057">
        <v>66300</v>
      </c>
      <c r="O225" s="1057">
        <v>66300</v>
      </c>
      <c r="P225" s="876">
        <v>55500</v>
      </c>
      <c r="Q225" s="1057">
        <v>55500</v>
      </c>
      <c r="R225" s="1057">
        <v>55500</v>
      </c>
      <c r="S225" s="1057">
        <v>53000</v>
      </c>
      <c r="T225" s="1057">
        <v>51450</v>
      </c>
      <c r="U225" s="1057">
        <v>26200</v>
      </c>
      <c r="V225" s="1057">
        <v>21400</v>
      </c>
      <c r="W225" s="1057">
        <v>21400</v>
      </c>
      <c r="X225" s="1057">
        <v>12600</v>
      </c>
      <c r="Y225" s="1057">
        <v>11850</v>
      </c>
      <c r="Z225" s="1057">
        <v>9300</v>
      </c>
      <c r="AA225" s="1057">
        <v>6050</v>
      </c>
      <c r="AB225" s="1057">
        <v>0</v>
      </c>
      <c r="AC225" s="1057">
        <v>0</v>
      </c>
    </row>
    <row r="226" spans="1:29">
      <c r="A226" s="1" t="s">
        <v>558</v>
      </c>
      <c r="B226" s="748"/>
      <c r="C226" s="1068">
        <v>250250</v>
      </c>
      <c r="D226" s="1068">
        <v>250250</v>
      </c>
      <c r="E226" s="1057">
        <v>242000</v>
      </c>
      <c r="F226" s="1057">
        <v>242000</v>
      </c>
      <c r="G226" s="1057">
        <v>242000</v>
      </c>
      <c r="H226" s="1057">
        <v>231200</v>
      </c>
      <c r="I226" s="1057">
        <v>226450</v>
      </c>
      <c r="J226" s="1057">
        <v>220200</v>
      </c>
      <c r="K226" s="1057">
        <v>220200</v>
      </c>
      <c r="L226" s="1057">
        <v>85850</v>
      </c>
      <c r="M226" s="1057">
        <v>68250</v>
      </c>
      <c r="N226" s="1057">
        <v>68250</v>
      </c>
      <c r="O226" s="1057">
        <v>68250</v>
      </c>
      <c r="P226" s="876">
        <v>57200</v>
      </c>
      <c r="Q226" s="1057">
        <v>57200</v>
      </c>
      <c r="R226" s="1057">
        <v>57200</v>
      </c>
      <c r="S226" s="1057">
        <v>54700</v>
      </c>
      <c r="T226" s="1057">
        <v>54450</v>
      </c>
      <c r="U226" s="1057">
        <v>47900</v>
      </c>
      <c r="V226" s="1057">
        <v>20100</v>
      </c>
      <c r="W226" s="1057">
        <v>20100</v>
      </c>
      <c r="X226" s="1057">
        <v>14350</v>
      </c>
      <c r="Y226" s="1057">
        <v>11850</v>
      </c>
      <c r="Z226" s="1057">
        <v>9800</v>
      </c>
      <c r="AA226" s="1057">
        <v>9800</v>
      </c>
      <c r="AB226" s="1057">
        <v>0</v>
      </c>
      <c r="AC226" s="1057">
        <v>0</v>
      </c>
    </row>
    <row r="227" spans="1:29">
      <c r="A227" s="1" t="s">
        <v>559</v>
      </c>
      <c r="B227" s="748"/>
      <c r="C227" s="1068">
        <v>254100</v>
      </c>
      <c r="D227" s="1068">
        <v>254100</v>
      </c>
      <c r="E227" s="1057">
        <v>254100</v>
      </c>
      <c r="F227" s="1057">
        <v>254100</v>
      </c>
      <c r="G227" s="1057">
        <v>252800</v>
      </c>
      <c r="H227" s="1068">
        <v>247400</v>
      </c>
      <c r="I227" s="1057">
        <v>247400</v>
      </c>
      <c r="J227" s="1057">
        <v>236250</v>
      </c>
      <c r="K227" s="1057">
        <v>236250</v>
      </c>
      <c r="L227" s="1057">
        <v>227100</v>
      </c>
      <c r="M227" s="1057">
        <v>185400</v>
      </c>
      <c r="N227" s="1057">
        <v>185400</v>
      </c>
      <c r="O227" s="1057">
        <v>185400</v>
      </c>
      <c r="P227" s="876">
        <v>55750</v>
      </c>
      <c r="Q227" s="1057">
        <v>55750</v>
      </c>
      <c r="R227" s="1057">
        <v>55750</v>
      </c>
      <c r="S227" s="1057">
        <v>52950</v>
      </c>
      <c r="T227" s="876">
        <v>43150</v>
      </c>
      <c r="U227" s="1057">
        <v>43150</v>
      </c>
      <c r="V227" s="1057">
        <v>19950</v>
      </c>
      <c r="W227" s="1057">
        <v>19950</v>
      </c>
      <c r="X227" s="893">
        <v>12350</v>
      </c>
      <c r="Y227" s="893">
        <v>12350</v>
      </c>
      <c r="Z227" s="1057">
        <v>12350</v>
      </c>
      <c r="AA227" s="1057">
        <v>12350</v>
      </c>
      <c r="AB227" s="1057">
        <v>0</v>
      </c>
      <c r="AC227" s="1057">
        <v>0</v>
      </c>
    </row>
    <row r="228" spans="1:29">
      <c r="A228" s="1" t="s">
        <v>560</v>
      </c>
      <c r="B228" s="748"/>
      <c r="C228" s="1057">
        <v>220450</v>
      </c>
      <c r="D228" s="1057">
        <v>220450</v>
      </c>
      <c r="E228" s="1057">
        <v>211600</v>
      </c>
      <c r="F228" s="1057">
        <v>211600</v>
      </c>
      <c r="G228" s="1057">
        <v>86700</v>
      </c>
      <c r="H228" s="1057">
        <v>85700</v>
      </c>
      <c r="I228" s="1057">
        <v>84950</v>
      </c>
      <c r="J228" s="1057">
        <v>74600</v>
      </c>
      <c r="K228" s="1057">
        <v>74600</v>
      </c>
      <c r="L228" s="1057">
        <v>72300</v>
      </c>
      <c r="M228" s="1057">
        <v>60000</v>
      </c>
      <c r="N228" s="1057">
        <v>60000</v>
      </c>
      <c r="O228" s="1057">
        <v>60000</v>
      </c>
      <c r="P228" s="876">
        <v>36700</v>
      </c>
      <c r="Q228" s="1057">
        <v>36700</v>
      </c>
      <c r="R228" s="1057">
        <v>36700</v>
      </c>
      <c r="S228" s="1057">
        <v>32450</v>
      </c>
      <c r="T228" s="1057">
        <v>27200</v>
      </c>
      <c r="U228" s="1057">
        <v>22950</v>
      </c>
      <c r="V228" s="893">
        <v>13100</v>
      </c>
      <c r="W228" s="893">
        <v>13100</v>
      </c>
      <c r="X228" s="893">
        <v>7350</v>
      </c>
      <c r="Y228" s="1057">
        <v>7350</v>
      </c>
      <c r="Z228" s="1057">
        <v>5100</v>
      </c>
      <c r="AA228" s="1057">
        <v>5100</v>
      </c>
      <c r="AB228" s="1057">
        <v>0</v>
      </c>
      <c r="AC228" s="1057">
        <v>0</v>
      </c>
    </row>
    <row r="229" spans="1:29">
      <c r="A229" s="1"/>
      <c r="B229" s="748"/>
      <c r="C229" s="892">
        <v>964250</v>
      </c>
      <c r="D229" s="892">
        <v>964250</v>
      </c>
      <c r="E229" s="892">
        <v>947150</v>
      </c>
      <c r="F229" s="892">
        <v>947150</v>
      </c>
      <c r="G229" s="892">
        <v>820950</v>
      </c>
      <c r="H229" s="892">
        <v>681250</v>
      </c>
      <c r="I229" s="892">
        <v>674750</v>
      </c>
      <c r="J229" s="892">
        <v>634200</v>
      </c>
      <c r="K229" s="892">
        <v>634200</v>
      </c>
      <c r="L229" s="892">
        <v>482150</v>
      </c>
      <c r="M229" s="892">
        <v>379950</v>
      </c>
      <c r="N229" s="892">
        <v>379950</v>
      </c>
      <c r="O229" s="892">
        <v>379950</v>
      </c>
      <c r="P229" s="892">
        <v>205150</v>
      </c>
      <c r="Q229" s="892">
        <v>205150</v>
      </c>
      <c r="R229" s="892">
        <v>205150</v>
      </c>
      <c r="S229" s="892">
        <v>193100</v>
      </c>
      <c r="T229" s="892">
        <v>176250</v>
      </c>
      <c r="U229" s="892">
        <v>140200</v>
      </c>
      <c r="V229" s="892">
        <v>74550</v>
      </c>
      <c r="W229" s="892">
        <v>74550</v>
      </c>
      <c r="X229" s="892">
        <v>46650</v>
      </c>
      <c r="Y229" s="892">
        <v>43400</v>
      </c>
      <c r="Z229" s="892">
        <v>36550</v>
      </c>
      <c r="AA229" s="892">
        <v>33300</v>
      </c>
      <c r="AB229" s="892">
        <v>0</v>
      </c>
      <c r="AC229" s="892">
        <v>0</v>
      </c>
    </row>
    <row r="230" spans="1:29">
      <c r="A230" s="1"/>
      <c r="B230" s="748"/>
      <c r="C230" s="876"/>
      <c r="D230" s="876"/>
      <c r="E230" s="876"/>
      <c r="F230" s="876"/>
      <c r="G230" s="876"/>
      <c r="H230" s="876"/>
      <c r="I230" s="876"/>
      <c r="J230" s="876"/>
      <c r="K230" s="876"/>
      <c r="L230" s="876"/>
      <c r="M230" s="876"/>
      <c r="N230" s="876"/>
      <c r="O230" s="876"/>
      <c r="P230" s="876"/>
      <c r="Q230" s="876"/>
      <c r="R230" s="876"/>
      <c r="S230" s="876"/>
      <c r="T230" s="876"/>
      <c r="U230" s="876"/>
      <c r="V230" s="876"/>
      <c r="W230" s="876"/>
      <c r="X230" s="876"/>
      <c r="Y230" s="876"/>
      <c r="Z230" s="876"/>
      <c r="AA230" s="876"/>
      <c r="AB230" s="876"/>
      <c r="AC230" s="876"/>
    </row>
    <row r="231" spans="1:29">
      <c r="A231" s="28" t="s">
        <v>11</v>
      </c>
      <c r="B231" s="746" t="s">
        <v>265</v>
      </c>
      <c r="C231" s="875">
        <v>380000</v>
      </c>
      <c r="D231" s="875">
        <v>24000</v>
      </c>
      <c r="E231" s="875">
        <v>0</v>
      </c>
      <c r="F231" s="875">
        <v>0</v>
      </c>
      <c r="G231" s="875">
        <v>0</v>
      </c>
      <c r="H231" s="875">
        <v>0</v>
      </c>
      <c r="I231" s="875">
        <v>250000</v>
      </c>
      <c r="J231" s="875">
        <v>0</v>
      </c>
      <c r="K231" s="875">
        <v>50000000</v>
      </c>
      <c r="L231" s="875">
        <v>0</v>
      </c>
      <c r="M231" s="875">
        <v>55850000</v>
      </c>
      <c r="N231" s="875">
        <v>0</v>
      </c>
      <c r="O231" s="875">
        <v>2700000</v>
      </c>
      <c r="P231" s="875">
        <v>0</v>
      </c>
      <c r="Q231" s="875">
        <v>0</v>
      </c>
      <c r="R231" s="875">
        <v>55000000</v>
      </c>
      <c r="S231" s="875">
        <v>150000</v>
      </c>
      <c r="T231" s="875">
        <v>200000</v>
      </c>
      <c r="U231" s="875">
        <v>1770000</v>
      </c>
      <c r="V231" s="875">
        <v>3000000</v>
      </c>
      <c r="W231" s="875">
        <v>300000</v>
      </c>
      <c r="X231" s="875">
        <v>1200000</v>
      </c>
      <c r="Y231" s="875">
        <v>30000000</v>
      </c>
      <c r="Z231" s="875">
        <v>500000</v>
      </c>
      <c r="AA231" s="875">
        <v>0</v>
      </c>
      <c r="AB231" s="875">
        <v>0</v>
      </c>
      <c r="AC231" s="875">
        <v>0</v>
      </c>
    </row>
    <row r="232" spans="1:29">
      <c r="A232" s="28" t="s">
        <v>65</v>
      </c>
      <c r="B232" s="746" t="s">
        <v>264</v>
      </c>
      <c r="C232" s="875">
        <v>750000</v>
      </c>
      <c r="D232" s="875">
        <v>0</v>
      </c>
      <c r="E232" s="875">
        <v>0</v>
      </c>
      <c r="F232" s="875">
        <v>0</v>
      </c>
      <c r="G232" s="875">
        <v>0</v>
      </c>
      <c r="H232" s="875">
        <v>55000000</v>
      </c>
      <c r="I232" s="875">
        <v>0</v>
      </c>
      <c r="J232" s="875">
        <v>0</v>
      </c>
      <c r="K232" s="875">
        <v>0</v>
      </c>
      <c r="L232" s="875">
        <v>0</v>
      </c>
      <c r="M232" s="875">
        <v>57700000</v>
      </c>
      <c r="N232" s="875">
        <v>190000</v>
      </c>
      <c r="O232" s="875">
        <v>0</v>
      </c>
      <c r="P232" s="875">
        <v>290000</v>
      </c>
      <c r="Q232" s="875">
        <v>0</v>
      </c>
      <c r="R232" s="875">
        <v>200000</v>
      </c>
      <c r="S232" s="875">
        <v>200000</v>
      </c>
      <c r="T232" s="875">
        <v>45120000</v>
      </c>
      <c r="U232" s="875">
        <v>0</v>
      </c>
      <c r="V232" s="875">
        <v>3300000</v>
      </c>
      <c r="W232" s="875">
        <v>1200000</v>
      </c>
      <c r="X232" s="875">
        <v>0</v>
      </c>
      <c r="Y232" s="875">
        <v>500000</v>
      </c>
      <c r="Z232" s="875">
        <v>0</v>
      </c>
      <c r="AA232" s="875">
        <v>0</v>
      </c>
      <c r="AB232" s="875">
        <v>75000000</v>
      </c>
      <c r="AC232" s="875">
        <v>0</v>
      </c>
    </row>
    <row r="233" spans="1:29">
      <c r="A233" s="1"/>
      <c r="B233" s="748"/>
      <c r="C233" s="876"/>
      <c r="D233" s="876"/>
      <c r="E233" s="876"/>
      <c r="F233" s="876"/>
      <c r="G233" s="876"/>
      <c r="H233" s="876"/>
      <c r="I233" s="876"/>
      <c r="J233" s="876"/>
      <c r="K233" s="876"/>
      <c r="L233" s="876"/>
      <c r="M233" s="876"/>
      <c r="N233" s="876"/>
      <c r="O233" s="876"/>
      <c r="P233" s="876"/>
      <c r="Q233" s="876"/>
      <c r="R233" s="876"/>
      <c r="S233" s="876"/>
      <c r="T233" s="876"/>
      <c r="U233" s="876"/>
      <c r="V233" s="876"/>
      <c r="W233" s="876"/>
      <c r="X233" s="876"/>
      <c r="Y233" s="876"/>
      <c r="Z233" s="876"/>
      <c r="AA233" s="876"/>
      <c r="AB233" s="876"/>
      <c r="AC233" s="876"/>
    </row>
    <row r="234" spans="1:29" ht="15" thickBot="1">
      <c r="A234" s="4"/>
      <c r="B234" s="753"/>
      <c r="C234" s="877"/>
      <c r="D234" s="877"/>
      <c r="E234" s="877"/>
      <c r="F234" s="877"/>
      <c r="G234" s="877"/>
      <c r="H234" s="877"/>
      <c r="I234" s="877"/>
      <c r="J234" s="877"/>
      <c r="K234" s="877"/>
      <c r="L234" s="877"/>
      <c r="M234" s="877"/>
      <c r="N234" s="877"/>
      <c r="O234" s="877"/>
      <c r="P234" s="877"/>
      <c r="Q234" s="877"/>
      <c r="R234" s="877"/>
      <c r="S234" s="877"/>
      <c r="T234" s="877"/>
      <c r="U234" s="877"/>
      <c r="V234" s="877"/>
      <c r="W234" s="877"/>
      <c r="X234" s="877"/>
      <c r="Y234" s="877"/>
      <c r="Z234" s="877"/>
      <c r="AA234" s="877"/>
      <c r="AB234" s="877"/>
      <c r="AC234" s="877"/>
    </row>
    <row r="235" spans="1:29" s="685" customFormat="1" ht="15" thickTop="1">
      <c r="A235" s="785" t="s">
        <v>173</v>
      </c>
      <c r="B235" s="786" t="s">
        <v>491</v>
      </c>
      <c r="C235" s="878">
        <v>796222</v>
      </c>
      <c r="D235" s="878">
        <v>349244</v>
      </c>
      <c r="E235" s="878">
        <v>423897</v>
      </c>
      <c r="F235" s="878">
        <v>497086</v>
      </c>
      <c r="G235" s="878">
        <v>400335</v>
      </c>
      <c r="H235" s="878">
        <v>510387</v>
      </c>
      <c r="I235" s="878">
        <v>486485</v>
      </c>
      <c r="J235" s="878">
        <v>1104167</v>
      </c>
      <c r="K235" s="878">
        <v>432082</v>
      </c>
      <c r="L235" s="878">
        <v>671685</v>
      </c>
      <c r="M235" s="878">
        <v>1573060</v>
      </c>
      <c r="N235" s="878">
        <v>510910</v>
      </c>
      <c r="O235" s="878">
        <v>472013</v>
      </c>
      <c r="P235" s="878">
        <v>390068</v>
      </c>
      <c r="Q235" s="878">
        <v>351580</v>
      </c>
      <c r="R235" s="878">
        <v>419310</v>
      </c>
      <c r="S235" s="878">
        <v>480110</v>
      </c>
      <c r="T235" s="878">
        <v>438162</v>
      </c>
      <c r="U235" s="878">
        <v>1151282</v>
      </c>
      <c r="V235" s="878">
        <v>480906</v>
      </c>
      <c r="W235" s="878">
        <v>335843</v>
      </c>
      <c r="X235" s="878">
        <v>429004</v>
      </c>
      <c r="Y235" s="878">
        <v>373963</v>
      </c>
      <c r="Z235" s="878">
        <v>258654</v>
      </c>
      <c r="AA235" s="878">
        <v>276614</v>
      </c>
      <c r="AB235" s="878">
        <v>445668</v>
      </c>
      <c r="AC235" s="878">
        <v>0</v>
      </c>
    </row>
    <row r="236" spans="1:29" s="685" customFormat="1">
      <c r="A236" s="787"/>
      <c r="B236" s="788"/>
      <c r="C236" s="702">
        <v>14058737</v>
      </c>
      <c r="D236" s="702">
        <v>13262515</v>
      </c>
      <c r="E236" s="702">
        <v>12913271</v>
      </c>
      <c r="F236" s="702">
        <v>12489374</v>
      </c>
      <c r="G236" s="702">
        <v>11992288</v>
      </c>
      <c r="H236" s="702">
        <v>11591953</v>
      </c>
      <c r="I236" s="702">
        <v>11081566</v>
      </c>
      <c r="J236" s="702">
        <v>10595081</v>
      </c>
      <c r="K236" s="702">
        <v>9490914</v>
      </c>
      <c r="L236" s="702">
        <v>9058832</v>
      </c>
      <c r="M236" s="702">
        <v>8387147</v>
      </c>
      <c r="N236" s="702">
        <v>6814087</v>
      </c>
      <c r="O236" s="702">
        <v>6303177</v>
      </c>
      <c r="P236" s="702">
        <v>5831164</v>
      </c>
      <c r="Q236" s="702">
        <v>5441096</v>
      </c>
      <c r="R236" s="702">
        <v>5089516</v>
      </c>
      <c r="S236" s="702">
        <v>4670206</v>
      </c>
      <c r="T236" s="702">
        <v>4190096</v>
      </c>
      <c r="U236" s="702">
        <v>3751934</v>
      </c>
      <c r="V236" s="702">
        <v>2600652</v>
      </c>
      <c r="W236" s="702">
        <v>2119746</v>
      </c>
      <c r="X236" s="702">
        <v>1783903</v>
      </c>
      <c r="Y236" s="702">
        <v>1354899</v>
      </c>
      <c r="Z236" s="702">
        <v>980936</v>
      </c>
      <c r="AA236" s="702">
        <v>722282</v>
      </c>
      <c r="AB236" s="702">
        <v>445668</v>
      </c>
      <c r="AC236" s="702">
        <v>0</v>
      </c>
    </row>
    <row r="237" spans="1:29" s="685" customFormat="1">
      <c r="A237" s="789" t="s">
        <v>100</v>
      </c>
      <c r="B237" s="790"/>
      <c r="C237" s="879"/>
      <c r="D237" s="879"/>
      <c r="E237" s="879"/>
      <c r="F237" s="879"/>
      <c r="G237" s="879"/>
      <c r="H237" s="879"/>
      <c r="I237" s="879"/>
      <c r="J237" s="879"/>
      <c r="K237" s="879"/>
      <c r="L237" s="879"/>
      <c r="M237" s="879"/>
      <c r="N237" s="879"/>
      <c r="O237" s="879"/>
      <c r="P237" s="879"/>
      <c r="Q237" s="879"/>
      <c r="R237" s="879"/>
      <c r="S237" s="879"/>
      <c r="T237" s="879"/>
      <c r="U237" s="879"/>
      <c r="V237" s="879"/>
      <c r="W237" s="879"/>
      <c r="X237" s="879"/>
      <c r="Y237" s="879"/>
      <c r="Z237" s="879"/>
      <c r="AA237" s="879"/>
      <c r="AB237" s="879"/>
      <c r="AC237" s="879"/>
    </row>
    <row r="238" spans="1:29" s="685" customFormat="1">
      <c r="A238" s="791" t="s">
        <v>337</v>
      </c>
      <c r="B238" s="792" t="s">
        <v>492</v>
      </c>
      <c r="C238" s="880">
        <v>0</v>
      </c>
      <c r="D238" s="880">
        <v>0</v>
      </c>
      <c r="E238" s="880">
        <v>0</v>
      </c>
      <c r="F238" s="880">
        <v>0</v>
      </c>
      <c r="G238" s="880">
        <v>0</v>
      </c>
      <c r="H238" s="880">
        <v>0</v>
      </c>
      <c r="I238" s="880">
        <v>0</v>
      </c>
      <c r="J238" s="880">
        <v>0</v>
      </c>
      <c r="K238" s="880">
        <v>0</v>
      </c>
      <c r="L238" s="880">
        <v>0</v>
      </c>
      <c r="M238" s="880">
        <v>0</v>
      </c>
      <c r="N238" s="880">
        <v>0</v>
      </c>
      <c r="O238" s="880">
        <v>0</v>
      </c>
      <c r="P238" s="880">
        <v>0</v>
      </c>
      <c r="Q238" s="880">
        <v>0</v>
      </c>
      <c r="R238" s="880">
        <v>0</v>
      </c>
      <c r="S238" s="880">
        <v>0</v>
      </c>
      <c r="T238" s="880">
        <v>0</v>
      </c>
      <c r="U238" s="880">
        <v>0</v>
      </c>
      <c r="V238" s="880">
        <v>0</v>
      </c>
      <c r="W238" s="880">
        <v>0</v>
      </c>
      <c r="X238" s="880">
        <v>0</v>
      </c>
      <c r="Y238" s="880">
        <v>0</v>
      </c>
      <c r="Z238" s="880">
        <v>0</v>
      </c>
      <c r="AA238" s="880">
        <v>0</v>
      </c>
      <c r="AB238" s="880">
        <v>0</v>
      </c>
      <c r="AC238" s="880">
        <v>0</v>
      </c>
    </row>
    <row r="239" spans="1:29" s="685" customFormat="1">
      <c r="A239" s="791"/>
      <c r="B239" s="792"/>
      <c r="C239" s="702">
        <v>0</v>
      </c>
      <c r="D239" s="702">
        <v>0</v>
      </c>
      <c r="E239" s="702">
        <v>0</v>
      </c>
      <c r="F239" s="702">
        <v>0</v>
      </c>
      <c r="G239" s="702">
        <v>0</v>
      </c>
      <c r="H239" s="702">
        <v>0</v>
      </c>
      <c r="I239" s="702">
        <v>0</v>
      </c>
      <c r="J239" s="702">
        <v>0</v>
      </c>
      <c r="K239" s="702">
        <v>0</v>
      </c>
      <c r="L239" s="702">
        <v>0</v>
      </c>
      <c r="M239" s="702">
        <v>0</v>
      </c>
      <c r="N239" s="702">
        <v>0</v>
      </c>
      <c r="O239" s="702">
        <v>0</v>
      </c>
      <c r="P239" s="702">
        <v>0</v>
      </c>
      <c r="Q239" s="702">
        <v>0</v>
      </c>
      <c r="R239" s="702">
        <v>0</v>
      </c>
      <c r="S239" s="702">
        <v>0</v>
      </c>
      <c r="T239" s="702">
        <v>0</v>
      </c>
      <c r="U239" s="702">
        <v>0</v>
      </c>
      <c r="V239" s="702">
        <v>0</v>
      </c>
      <c r="W239" s="702">
        <v>0</v>
      </c>
      <c r="X239" s="702">
        <v>0</v>
      </c>
      <c r="Y239" s="702">
        <v>0</v>
      </c>
      <c r="Z239" s="702">
        <v>0</v>
      </c>
      <c r="AA239" s="702">
        <v>0</v>
      </c>
      <c r="AB239" s="702">
        <v>0</v>
      </c>
      <c r="AC239" s="702">
        <v>0</v>
      </c>
    </row>
    <row r="240" spans="1:29" s="685" customFormat="1">
      <c r="A240" s="791" t="s">
        <v>353</v>
      </c>
      <c r="B240" s="792" t="s">
        <v>493</v>
      </c>
      <c r="C240" s="880">
        <v>0</v>
      </c>
      <c r="D240" s="880">
        <v>0</v>
      </c>
      <c r="E240" s="880">
        <v>0</v>
      </c>
      <c r="F240" s="880">
        <v>0</v>
      </c>
      <c r="G240" s="880">
        <v>0</v>
      </c>
      <c r="H240" s="880">
        <v>0</v>
      </c>
      <c r="I240" s="880">
        <v>0</v>
      </c>
      <c r="J240" s="880">
        <v>0</v>
      </c>
      <c r="K240" s="880">
        <v>0</v>
      </c>
      <c r="L240" s="880">
        <v>0</v>
      </c>
      <c r="M240" s="880">
        <v>0</v>
      </c>
      <c r="N240" s="880">
        <v>10000</v>
      </c>
      <c r="O240" s="880">
        <v>0</v>
      </c>
      <c r="P240" s="880">
        <v>0</v>
      </c>
      <c r="Q240" s="880">
        <v>0</v>
      </c>
      <c r="R240" s="880">
        <v>0</v>
      </c>
      <c r="S240" s="880">
        <v>0</v>
      </c>
      <c r="T240" s="880">
        <v>0</v>
      </c>
      <c r="U240" s="880">
        <v>0</v>
      </c>
      <c r="V240" s="880">
        <v>0</v>
      </c>
      <c r="W240" s="880">
        <v>0</v>
      </c>
      <c r="X240" s="880">
        <v>0</v>
      </c>
      <c r="Y240" s="880">
        <v>0</v>
      </c>
      <c r="Z240" s="880">
        <v>0</v>
      </c>
      <c r="AA240" s="880">
        <v>0</v>
      </c>
      <c r="AB240" s="880">
        <v>20000</v>
      </c>
      <c r="AC240" s="880">
        <v>0</v>
      </c>
    </row>
    <row r="241" spans="1:29" s="685" customFormat="1">
      <c r="A241" s="791"/>
      <c r="B241" s="792"/>
      <c r="C241" s="702">
        <v>30000</v>
      </c>
      <c r="D241" s="702">
        <v>30000</v>
      </c>
      <c r="E241" s="702">
        <v>30000</v>
      </c>
      <c r="F241" s="702">
        <v>30000</v>
      </c>
      <c r="G241" s="702">
        <v>30000</v>
      </c>
      <c r="H241" s="702">
        <v>30000</v>
      </c>
      <c r="I241" s="702">
        <v>30000</v>
      </c>
      <c r="J241" s="702">
        <v>30000</v>
      </c>
      <c r="K241" s="702">
        <v>30000</v>
      </c>
      <c r="L241" s="702">
        <v>30000</v>
      </c>
      <c r="M241" s="702">
        <v>30000</v>
      </c>
      <c r="N241" s="702">
        <v>30000</v>
      </c>
      <c r="O241" s="702">
        <v>20000</v>
      </c>
      <c r="P241" s="702">
        <v>20000</v>
      </c>
      <c r="Q241" s="702">
        <v>20000</v>
      </c>
      <c r="R241" s="702">
        <v>20000</v>
      </c>
      <c r="S241" s="702">
        <v>20000</v>
      </c>
      <c r="T241" s="702">
        <v>20000</v>
      </c>
      <c r="U241" s="702">
        <v>20000</v>
      </c>
      <c r="V241" s="702">
        <v>20000</v>
      </c>
      <c r="W241" s="702">
        <v>20000</v>
      </c>
      <c r="X241" s="702">
        <v>20000</v>
      </c>
      <c r="Y241" s="702">
        <v>20000</v>
      </c>
      <c r="Z241" s="702">
        <v>20000</v>
      </c>
      <c r="AA241" s="702">
        <v>20000</v>
      </c>
      <c r="AB241" s="702">
        <v>20000</v>
      </c>
      <c r="AC241" s="702">
        <v>0</v>
      </c>
    </row>
    <row r="242" spans="1:29" s="685" customFormat="1">
      <c r="A242" s="791" t="s">
        <v>245</v>
      </c>
      <c r="B242" s="792" t="s">
        <v>494</v>
      </c>
      <c r="C242" s="880">
        <v>0</v>
      </c>
      <c r="D242" s="880">
        <v>0</v>
      </c>
      <c r="E242" s="880">
        <v>0</v>
      </c>
      <c r="F242" s="880">
        <v>0</v>
      </c>
      <c r="G242" s="880">
        <v>0</v>
      </c>
      <c r="H242" s="880">
        <v>0</v>
      </c>
      <c r="I242" s="880">
        <v>0</v>
      </c>
      <c r="J242" s="880">
        <v>137500</v>
      </c>
      <c r="K242" s="880">
        <v>0</v>
      </c>
      <c r="L242" s="880">
        <v>0</v>
      </c>
      <c r="M242" s="880">
        <v>0</v>
      </c>
      <c r="N242" s="880">
        <v>0</v>
      </c>
      <c r="O242" s="880">
        <v>0</v>
      </c>
      <c r="P242" s="880">
        <v>0</v>
      </c>
      <c r="Q242" s="880">
        <v>0</v>
      </c>
      <c r="R242" s="880">
        <v>0</v>
      </c>
      <c r="S242" s="880">
        <v>0</v>
      </c>
      <c r="T242" s="880">
        <v>0</v>
      </c>
      <c r="U242" s="880">
        <v>0</v>
      </c>
      <c r="V242" s="880">
        <v>0</v>
      </c>
      <c r="W242" s="880">
        <v>0</v>
      </c>
      <c r="X242" s="880">
        <v>0</v>
      </c>
      <c r="Y242" s="880">
        <v>0</v>
      </c>
      <c r="Z242" s="880">
        <v>0</v>
      </c>
      <c r="AA242" s="880">
        <v>0</v>
      </c>
      <c r="AB242" s="880">
        <v>137500</v>
      </c>
      <c r="AC242" s="880">
        <v>0</v>
      </c>
    </row>
    <row r="243" spans="1:29" s="685" customFormat="1">
      <c r="A243" s="791"/>
      <c r="B243" s="792"/>
      <c r="C243" s="702">
        <v>275000</v>
      </c>
      <c r="D243" s="702">
        <v>275000</v>
      </c>
      <c r="E243" s="702">
        <v>275000</v>
      </c>
      <c r="F243" s="702">
        <v>275000</v>
      </c>
      <c r="G243" s="702">
        <v>275000</v>
      </c>
      <c r="H243" s="702">
        <v>275000</v>
      </c>
      <c r="I243" s="702">
        <v>275000</v>
      </c>
      <c r="J243" s="702">
        <v>275000</v>
      </c>
      <c r="K243" s="702">
        <v>137500</v>
      </c>
      <c r="L243" s="702">
        <v>137500</v>
      </c>
      <c r="M243" s="702">
        <v>137500</v>
      </c>
      <c r="N243" s="702">
        <v>137500</v>
      </c>
      <c r="O243" s="702">
        <v>137500</v>
      </c>
      <c r="P243" s="702">
        <v>137500</v>
      </c>
      <c r="Q243" s="702">
        <v>137500</v>
      </c>
      <c r="R243" s="702">
        <v>137500</v>
      </c>
      <c r="S243" s="702">
        <v>137500</v>
      </c>
      <c r="T243" s="702">
        <v>137500</v>
      </c>
      <c r="U243" s="702">
        <v>137500</v>
      </c>
      <c r="V243" s="702">
        <v>137500</v>
      </c>
      <c r="W243" s="702">
        <v>137500</v>
      </c>
      <c r="X243" s="702">
        <v>137500</v>
      </c>
      <c r="Y243" s="702">
        <v>137500</v>
      </c>
      <c r="Z243" s="702">
        <v>137500</v>
      </c>
      <c r="AA243" s="702">
        <v>137500</v>
      </c>
      <c r="AB243" s="702">
        <v>137500</v>
      </c>
      <c r="AC243" s="702">
        <v>0</v>
      </c>
    </row>
    <row r="244" spans="1:29" s="685" customFormat="1">
      <c r="A244" s="791" t="s">
        <v>349</v>
      </c>
      <c r="B244" s="792" t="s">
        <v>495</v>
      </c>
      <c r="C244" s="880">
        <v>0</v>
      </c>
      <c r="D244" s="880">
        <v>0</v>
      </c>
      <c r="E244" s="880">
        <v>0</v>
      </c>
      <c r="F244" s="880">
        <v>0</v>
      </c>
      <c r="G244" s="880">
        <v>0</v>
      </c>
      <c r="H244" s="880">
        <v>0</v>
      </c>
      <c r="I244" s="880">
        <v>0</v>
      </c>
      <c r="J244" s="880">
        <v>0</v>
      </c>
      <c r="K244" s="880">
        <v>0</v>
      </c>
      <c r="L244" s="880">
        <v>0</v>
      </c>
      <c r="M244" s="880">
        <v>0</v>
      </c>
      <c r="N244" s="880">
        <v>0</v>
      </c>
      <c r="O244" s="880">
        <v>0</v>
      </c>
      <c r="P244" s="880">
        <v>0</v>
      </c>
      <c r="Q244" s="880">
        <v>0</v>
      </c>
      <c r="R244" s="880">
        <v>0</v>
      </c>
      <c r="S244" s="880">
        <v>0</v>
      </c>
      <c r="T244" s="880">
        <v>0</v>
      </c>
      <c r="U244" s="880">
        <v>0</v>
      </c>
      <c r="V244" s="880">
        <v>0</v>
      </c>
      <c r="W244" s="880">
        <v>0</v>
      </c>
      <c r="X244" s="880">
        <v>0</v>
      </c>
      <c r="Y244" s="880">
        <v>0</v>
      </c>
      <c r="Z244" s="880">
        <v>0</v>
      </c>
      <c r="AA244" s="880">
        <v>0</v>
      </c>
      <c r="AB244" s="880">
        <v>0</v>
      </c>
      <c r="AC244" s="880">
        <v>0</v>
      </c>
    </row>
    <row r="245" spans="1:29" s="685" customFormat="1">
      <c r="A245" s="791"/>
      <c r="B245" s="792"/>
      <c r="C245" s="702">
        <v>0</v>
      </c>
      <c r="D245" s="702">
        <v>0</v>
      </c>
      <c r="E245" s="702">
        <v>0</v>
      </c>
      <c r="F245" s="702">
        <v>0</v>
      </c>
      <c r="G245" s="702">
        <v>0</v>
      </c>
      <c r="H245" s="702">
        <v>0</v>
      </c>
      <c r="I245" s="702">
        <v>0</v>
      </c>
      <c r="J245" s="702">
        <v>0</v>
      </c>
      <c r="K245" s="702">
        <v>0</v>
      </c>
      <c r="L245" s="702">
        <v>0</v>
      </c>
      <c r="M245" s="702">
        <v>0</v>
      </c>
      <c r="N245" s="702">
        <v>0</v>
      </c>
      <c r="O245" s="702">
        <v>0</v>
      </c>
      <c r="P245" s="702">
        <v>0</v>
      </c>
      <c r="Q245" s="702">
        <v>0</v>
      </c>
      <c r="R245" s="702">
        <v>0</v>
      </c>
      <c r="S245" s="702">
        <v>0</v>
      </c>
      <c r="T245" s="702">
        <v>0</v>
      </c>
      <c r="U245" s="702">
        <v>0</v>
      </c>
      <c r="V245" s="702">
        <v>0</v>
      </c>
      <c r="W245" s="702">
        <v>0</v>
      </c>
      <c r="X245" s="702">
        <v>0</v>
      </c>
      <c r="Y245" s="702">
        <v>0</v>
      </c>
      <c r="Z245" s="702">
        <v>0</v>
      </c>
      <c r="AA245" s="702">
        <v>0</v>
      </c>
      <c r="AB245" s="702">
        <v>0</v>
      </c>
      <c r="AC245" s="702">
        <v>0</v>
      </c>
    </row>
    <row r="246" spans="1:29" s="685" customFormat="1">
      <c r="A246" s="791" t="s">
        <v>247</v>
      </c>
      <c r="B246" s="792" t="s">
        <v>496</v>
      </c>
      <c r="C246" s="880">
        <v>0</v>
      </c>
      <c r="D246" s="880">
        <v>0</v>
      </c>
      <c r="E246" s="880">
        <v>0</v>
      </c>
      <c r="F246" s="880">
        <v>0</v>
      </c>
      <c r="G246" s="880">
        <v>0</v>
      </c>
      <c r="H246" s="880">
        <v>0</v>
      </c>
      <c r="I246" s="880">
        <v>0</v>
      </c>
      <c r="J246" s="880">
        <v>0</v>
      </c>
      <c r="K246" s="880">
        <v>0</v>
      </c>
      <c r="L246" s="880">
        <v>0</v>
      </c>
      <c r="M246" s="880">
        <v>0</v>
      </c>
      <c r="N246" s="880">
        <v>0</v>
      </c>
      <c r="O246" s="880">
        <v>0</v>
      </c>
      <c r="P246" s="880">
        <v>0</v>
      </c>
      <c r="Q246" s="880">
        <v>0</v>
      </c>
      <c r="R246" s="880">
        <v>0</v>
      </c>
      <c r="S246" s="880">
        <v>0</v>
      </c>
      <c r="T246" s="880">
        <v>0</v>
      </c>
      <c r="U246" s="880">
        <v>0</v>
      </c>
      <c r="V246" s="880">
        <v>0</v>
      </c>
      <c r="W246" s="880">
        <v>102400</v>
      </c>
      <c r="X246" s="880">
        <v>0</v>
      </c>
      <c r="Y246" s="880">
        <v>0</v>
      </c>
      <c r="Z246" s="880">
        <v>0</v>
      </c>
      <c r="AA246" s="880">
        <v>0</v>
      </c>
      <c r="AB246" s="880">
        <v>0</v>
      </c>
      <c r="AC246" s="880">
        <v>0</v>
      </c>
    </row>
    <row r="247" spans="1:29" s="685" customFormat="1">
      <c r="A247" s="791"/>
      <c r="B247" s="792"/>
      <c r="C247" s="702">
        <v>102400</v>
      </c>
      <c r="D247" s="702">
        <v>102400</v>
      </c>
      <c r="E247" s="702">
        <v>102400</v>
      </c>
      <c r="F247" s="702">
        <v>102400</v>
      </c>
      <c r="G247" s="702">
        <v>102400</v>
      </c>
      <c r="H247" s="702">
        <v>102400</v>
      </c>
      <c r="I247" s="702">
        <v>102400</v>
      </c>
      <c r="J247" s="702">
        <v>102400</v>
      </c>
      <c r="K247" s="702">
        <v>102400</v>
      </c>
      <c r="L247" s="702">
        <v>102400</v>
      </c>
      <c r="M247" s="702">
        <v>102400</v>
      </c>
      <c r="N247" s="702">
        <v>102400</v>
      </c>
      <c r="O247" s="702">
        <v>102400</v>
      </c>
      <c r="P247" s="702">
        <v>102400</v>
      </c>
      <c r="Q247" s="702">
        <v>102400</v>
      </c>
      <c r="R247" s="702">
        <v>102400</v>
      </c>
      <c r="S247" s="702">
        <v>102400</v>
      </c>
      <c r="T247" s="702">
        <v>102400</v>
      </c>
      <c r="U247" s="702">
        <v>102400</v>
      </c>
      <c r="V247" s="702">
        <v>102400</v>
      </c>
      <c r="W247" s="702">
        <v>102400</v>
      </c>
      <c r="X247" s="702">
        <v>0</v>
      </c>
      <c r="Y247" s="702">
        <v>0</v>
      </c>
      <c r="Z247" s="702">
        <v>0</v>
      </c>
      <c r="AA247" s="702">
        <v>0</v>
      </c>
      <c r="AB247" s="702">
        <v>0</v>
      </c>
      <c r="AC247" s="702">
        <v>0</v>
      </c>
    </row>
    <row r="248" spans="1:29" s="685" customFormat="1">
      <c r="A248" s="791" t="s">
        <v>187</v>
      </c>
      <c r="B248" s="792" t="s">
        <v>497</v>
      </c>
      <c r="C248" s="880">
        <v>100000</v>
      </c>
      <c r="D248" s="880">
        <v>1609334</v>
      </c>
      <c r="E248" s="880">
        <v>0</v>
      </c>
      <c r="F248" s="880">
        <v>0</v>
      </c>
      <c r="G248" s="880">
        <v>0</v>
      </c>
      <c r="H248" s="880">
        <v>0</v>
      </c>
      <c r="I248" s="880">
        <v>0</v>
      </c>
      <c r="J248" s="880">
        <v>100000</v>
      </c>
      <c r="K248" s="880">
        <v>0</v>
      </c>
      <c r="L248" s="880">
        <v>1000000</v>
      </c>
      <c r="M248" s="880">
        <v>100000</v>
      </c>
      <c r="N248" s="880">
        <v>0</v>
      </c>
      <c r="O248" s="880">
        <v>0</v>
      </c>
      <c r="P248" s="880">
        <v>0</v>
      </c>
      <c r="Q248" s="880">
        <v>0</v>
      </c>
      <c r="R248" s="880">
        <v>0</v>
      </c>
      <c r="S248" s="880">
        <v>0</v>
      </c>
      <c r="T248" s="880">
        <v>100000</v>
      </c>
      <c r="U248" s="880">
        <v>0</v>
      </c>
      <c r="V248" s="880">
        <v>0</v>
      </c>
      <c r="W248" s="880">
        <v>0</v>
      </c>
      <c r="X248" s="880">
        <v>0</v>
      </c>
      <c r="Y248" s="880">
        <v>0</v>
      </c>
      <c r="Z248" s="880">
        <v>100000</v>
      </c>
      <c r="AA248" s="880">
        <v>0</v>
      </c>
      <c r="AB248" s="880">
        <v>0</v>
      </c>
      <c r="AC248" s="880">
        <v>0</v>
      </c>
    </row>
    <row r="249" spans="1:29" s="685" customFormat="1">
      <c r="A249" s="791"/>
      <c r="B249" s="792"/>
      <c r="C249" s="702">
        <v>3109334</v>
      </c>
      <c r="D249" s="702">
        <v>3009334</v>
      </c>
      <c r="E249" s="702">
        <v>1400000</v>
      </c>
      <c r="F249" s="702">
        <v>1400000</v>
      </c>
      <c r="G249" s="702">
        <v>1400000</v>
      </c>
      <c r="H249" s="702">
        <v>1400000</v>
      </c>
      <c r="I249" s="702">
        <v>1400000</v>
      </c>
      <c r="J249" s="702">
        <v>1400000</v>
      </c>
      <c r="K249" s="702">
        <v>1300000</v>
      </c>
      <c r="L249" s="702">
        <v>1300000</v>
      </c>
      <c r="M249" s="702">
        <v>300000</v>
      </c>
      <c r="N249" s="702">
        <v>200000</v>
      </c>
      <c r="O249" s="702">
        <v>200000</v>
      </c>
      <c r="P249" s="702">
        <v>200000</v>
      </c>
      <c r="Q249" s="702">
        <v>200000</v>
      </c>
      <c r="R249" s="702">
        <v>200000</v>
      </c>
      <c r="S249" s="702">
        <v>200000</v>
      </c>
      <c r="T249" s="702">
        <v>200000</v>
      </c>
      <c r="U249" s="702">
        <v>100000</v>
      </c>
      <c r="V249" s="702">
        <v>100000</v>
      </c>
      <c r="W249" s="702">
        <v>100000</v>
      </c>
      <c r="X249" s="702">
        <v>100000</v>
      </c>
      <c r="Y249" s="702">
        <v>100000</v>
      </c>
      <c r="Z249" s="702">
        <v>100000</v>
      </c>
      <c r="AA249" s="702">
        <v>0</v>
      </c>
      <c r="AB249" s="702">
        <v>0</v>
      </c>
      <c r="AC249" s="702">
        <v>0</v>
      </c>
    </row>
    <row r="250" spans="1:29" s="685" customFormat="1">
      <c r="A250" s="791" t="s">
        <v>246</v>
      </c>
      <c r="B250" s="792" t="s">
        <v>498</v>
      </c>
      <c r="C250" s="880">
        <v>0</v>
      </c>
      <c r="D250" s="880">
        <v>0</v>
      </c>
      <c r="E250" s="880">
        <v>0</v>
      </c>
      <c r="F250" s="880">
        <v>0</v>
      </c>
      <c r="G250" s="880">
        <v>0</v>
      </c>
      <c r="H250" s="880">
        <v>0</v>
      </c>
      <c r="I250" s="880">
        <v>0</v>
      </c>
      <c r="J250" s="880">
        <v>0</v>
      </c>
      <c r="K250" s="880">
        <v>0</v>
      </c>
      <c r="L250" s="880">
        <v>0</v>
      </c>
      <c r="M250" s="880">
        <v>0</v>
      </c>
      <c r="N250" s="880">
        <v>0</v>
      </c>
      <c r="O250" s="880">
        <v>0</v>
      </c>
      <c r="P250" s="880">
        <v>0</v>
      </c>
      <c r="Q250" s="880">
        <v>0</v>
      </c>
      <c r="R250" s="880">
        <v>0</v>
      </c>
      <c r="S250" s="880">
        <v>0</v>
      </c>
      <c r="T250" s="880">
        <v>0</v>
      </c>
      <c r="U250" s="880">
        <v>0</v>
      </c>
      <c r="V250" s="880">
        <v>0</v>
      </c>
      <c r="W250" s="880">
        <v>0</v>
      </c>
      <c r="X250" s="880">
        <v>0</v>
      </c>
      <c r="Y250" s="880">
        <v>0</v>
      </c>
      <c r="Z250" s="880">
        <v>0</v>
      </c>
      <c r="AA250" s="880">
        <v>0</v>
      </c>
      <c r="AB250" s="880">
        <v>0</v>
      </c>
      <c r="AC250" s="880">
        <v>0</v>
      </c>
    </row>
    <row r="251" spans="1:29" s="685" customFormat="1">
      <c r="A251" s="791"/>
      <c r="B251" s="792"/>
      <c r="C251" s="702">
        <v>0</v>
      </c>
      <c r="D251" s="702">
        <v>0</v>
      </c>
      <c r="E251" s="702">
        <v>0</v>
      </c>
      <c r="F251" s="702">
        <v>0</v>
      </c>
      <c r="G251" s="702">
        <v>0</v>
      </c>
      <c r="H251" s="702">
        <v>0</v>
      </c>
      <c r="I251" s="702">
        <v>0</v>
      </c>
      <c r="J251" s="702">
        <v>0</v>
      </c>
      <c r="K251" s="702">
        <v>0</v>
      </c>
      <c r="L251" s="702">
        <v>0</v>
      </c>
      <c r="M251" s="702">
        <v>0</v>
      </c>
      <c r="N251" s="702">
        <v>0</v>
      </c>
      <c r="O251" s="702">
        <v>0</v>
      </c>
      <c r="P251" s="702">
        <v>0</v>
      </c>
      <c r="Q251" s="702">
        <v>0</v>
      </c>
      <c r="R251" s="702">
        <v>0</v>
      </c>
      <c r="S251" s="702">
        <v>0</v>
      </c>
      <c r="T251" s="702">
        <v>0</v>
      </c>
      <c r="U251" s="702">
        <v>0</v>
      </c>
      <c r="V251" s="702">
        <v>0</v>
      </c>
      <c r="W251" s="702">
        <v>0</v>
      </c>
      <c r="X251" s="702">
        <v>0</v>
      </c>
      <c r="Y251" s="702">
        <v>0</v>
      </c>
      <c r="Z251" s="702">
        <v>0</v>
      </c>
      <c r="AA251" s="702">
        <v>0</v>
      </c>
      <c r="AB251" s="702">
        <v>0</v>
      </c>
      <c r="AC251" s="702">
        <v>0</v>
      </c>
    </row>
    <row r="252" spans="1:29" s="685" customFormat="1">
      <c r="A252" s="791" t="s">
        <v>334</v>
      </c>
      <c r="B252" s="792" t="s">
        <v>499</v>
      </c>
      <c r="C252" s="880">
        <v>0</v>
      </c>
      <c r="D252" s="880">
        <v>0</v>
      </c>
      <c r="E252" s="880">
        <v>0</v>
      </c>
      <c r="F252" s="880">
        <v>0</v>
      </c>
      <c r="G252" s="880">
        <v>0</v>
      </c>
      <c r="H252" s="880">
        <v>0</v>
      </c>
      <c r="I252" s="880">
        <v>0</v>
      </c>
      <c r="J252" s="880">
        <v>0</v>
      </c>
      <c r="K252" s="880">
        <v>0</v>
      </c>
      <c r="L252" s="880">
        <v>0</v>
      </c>
      <c r="M252" s="880">
        <v>0</v>
      </c>
      <c r="N252" s="880">
        <v>0</v>
      </c>
      <c r="O252" s="880">
        <v>0</v>
      </c>
      <c r="P252" s="880">
        <v>0</v>
      </c>
      <c r="Q252" s="880">
        <v>0</v>
      </c>
      <c r="R252" s="880">
        <v>0</v>
      </c>
      <c r="S252" s="880">
        <v>0</v>
      </c>
      <c r="T252" s="880">
        <v>0</v>
      </c>
      <c r="U252" s="880">
        <v>0</v>
      </c>
      <c r="V252" s="880">
        <v>0</v>
      </c>
      <c r="W252" s="880">
        <v>0</v>
      </c>
      <c r="X252" s="880">
        <v>0</v>
      </c>
      <c r="Y252" s="880">
        <v>0</v>
      </c>
      <c r="Z252" s="880">
        <v>0</v>
      </c>
      <c r="AA252" s="880">
        <v>0</v>
      </c>
      <c r="AB252" s="880">
        <v>0</v>
      </c>
      <c r="AC252" s="880">
        <v>0</v>
      </c>
    </row>
    <row r="253" spans="1:29" s="685" customFormat="1">
      <c r="A253" s="791"/>
      <c r="B253" s="792"/>
      <c r="C253" s="702">
        <v>0</v>
      </c>
      <c r="D253" s="702">
        <v>0</v>
      </c>
      <c r="E253" s="702">
        <v>0</v>
      </c>
      <c r="F253" s="702">
        <v>0</v>
      </c>
      <c r="G253" s="702">
        <v>0</v>
      </c>
      <c r="H253" s="702">
        <v>0</v>
      </c>
      <c r="I253" s="702">
        <v>0</v>
      </c>
      <c r="J253" s="702">
        <v>0</v>
      </c>
      <c r="K253" s="702">
        <v>0</v>
      </c>
      <c r="L253" s="702">
        <v>0</v>
      </c>
      <c r="M253" s="702">
        <v>0</v>
      </c>
      <c r="N253" s="702">
        <v>0</v>
      </c>
      <c r="O253" s="702">
        <v>0</v>
      </c>
      <c r="P253" s="702">
        <v>0</v>
      </c>
      <c r="Q253" s="702">
        <v>0</v>
      </c>
      <c r="R253" s="702">
        <v>0</v>
      </c>
      <c r="S253" s="702">
        <v>0</v>
      </c>
      <c r="T253" s="702">
        <v>0</v>
      </c>
      <c r="U253" s="702">
        <v>0</v>
      </c>
      <c r="V253" s="702">
        <v>0</v>
      </c>
      <c r="W253" s="702">
        <v>0</v>
      </c>
      <c r="X253" s="702">
        <v>0</v>
      </c>
      <c r="Y253" s="702">
        <v>0</v>
      </c>
      <c r="Z253" s="702">
        <v>0</v>
      </c>
      <c r="AA253" s="702">
        <v>0</v>
      </c>
      <c r="AB253" s="702">
        <v>0</v>
      </c>
      <c r="AC253" s="702">
        <v>0</v>
      </c>
    </row>
    <row r="254" spans="1:29" s="685" customFormat="1">
      <c r="A254" s="791" t="s">
        <v>27</v>
      </c>
      <c r="B254" s="792" t="s">
        <v>500</v>
      </c>
      <c r="C254" s="880">
        <v>0</v>
      </c>
      <c r="D254" s="880">
        <v>0</v>
      </c>
      <c r="E254" s="880">
        <v>0</v>
      </c>
      <c r="F254" s="880">
        <v>5000</v>
      </c>
      <c r="G254" s="880">
        <v>0</v>
      </c>
      <c r="H254" s="880">
        <v>75875</v>
      </c>
      <c r="I254" s="880">
        <v>60000</v>
      </c>
      <c r="J254" s="880">
        <v>0</v>
      </c>
      <c r="K254" s="880">
        <v>0</v>
      </c>
      <c r="L254" s="880">
        <v>0</v>
      </c>
      <c r="M254" s="880">
        <v>75875</v>
      </c>
      <c r="N254" s="880">
        <v>0</v>
      </c>
      <c r="O254" s="880">
        <v>600000</v>
      </c>
      <c r="P254" s="880">
        <v>0</v>
      </c>
      <c r="Q254" s="880">
        <v>0</v>
      </c>
      <c r="R254" s="880">
        <v>1000000</v>
      </c>
      <c r="S254" s="880">
        <v>23500</v>
      </c>
      <c r="T254" s="880">
        <v>0</v>
      </c>
      <c r="U254" s="880">
        <v>0</v>
      </c>
      <c r="V254" s="880">
        <v>1500</v>
      </c>
      <c r="W254" s="880">
        <v>0</v>
      </c>
      <c r="X254" s="880">
        <v>0</v>
      </c>
      <c r="Y254" s="880">
        <v>30000</v>
      </c>
      <c r="Z254" s="880">
        <v>0</v>
      </c>
      <c r="AA254" s="880">
        <v>75000</v>
      </c>
      <c r="AB254" s="880">
        <v>49375</v>
      </c>
      <c r="AC254" s="880">
        <v>0</v>
      </c>
    </row>
    <row r="255" spans="1:29" s="685" customFormat="1">
      <c r="A255" s="791"/>
      <c r="B255" s="792"/>
      <c r="C255" s="702">
        <v>1996125</v>
      </c>
      <c r="D255" s="702">
        <v>1996125</v>
      </c>
      <c r="E255" s="702">
        <v>1996125</v>
      </c>
      <c r="F255" s="702">
        <v>1996125</v>
      </c>
      <c r="G255" s="702">
        <v>1991125</v>
      </c>
      <c r="H255" s="702">
        <v>1991125</v>
      </c>
      <c r="I255" s="702">
        <v>1915250</v>
      </c>
      <c r="J255" s="702">
        <v>1855250</v>
      </c>
      <c r="K255" s="702">
        <v>1855250</v>
      </c>
      <c r="L255" s="702">
        <v>1855250</v>
      </c>
      <c r="M255" s="702">
        <v>1855250</v>
      </c>
      <c r="N255" s="702">
        <v>1779375</v>
      </c>
      <c r="O255" s="702">
        <v>1779375</v>
      </c>
      <c r="P255" s="702">
        <v>1179375</v>
      </c>
      <c r="Q255" s="702">
        <v>1179375</v>
      </c>
      <c r="R255" s="702">
        <v>1179375</v>
      </c>
      <c r="S255" s="702">
        <v>179375</v>
      </c>
      <c r="T255" s="702">
        <v>155875</v>
      </c>
      <c r="U255" s="702">
        <v>155875</v>
      </c>
      <c r="V255" s="702">
        <v>155875</v>
      </c>
      <c r="W255" s="702">
        <v>154375</v>
      </c>
      <c r="X255" s="702">
        <v>154375</v>
      </c>
      <c r="Y255" s="702">
        <v>154375</v>
      </c>
      <c r="Z255" s="702">
        <v>124375</v>
      </c>
      <c r="AA255" s="702">
        <v>124375</v>
      </c>
      <c r="AB255" s="702">
        <v>49375</v>
      </c>
      <c r="AC255" s="702">
        <v>0</v>
      </c>
    </row>
    <row r="256" spans="1:29" s="685" customFormat="1">
      <c r="A256" s="791" t="s">
        <v>180</v>
      </c>
      <c r="B256" s="792"/>
      <c r="C256" s="1021">
        <v>0</v>
      </c>
      <c r="D256" s="1021">
        <v>0</v>
      </c>
      <c r="E256" s="1021">
        <v>0</v>
      </c>
      <c r="F256" s="1021">
        <v>0</v>
      </c>
      <c r="G256" s="1021">
        <v>0</v>
      </c>
      <c r="H256" s="1021">
        <v>0</v>
      </c>
      <c r="I256" s="1021">
        <v>0</v>
      </c>
      <c r="J256" s="1021">
        <v>0</v>
      </c>
      <c r="K256" s="1021">
        <v>0</v>
      </c>
      <c r="L256" s="1021">
        <v>0</v>
      </c>
      <c r="M256" s="1021">
        <v>0</v>
      </c>
      <c r="N256" s="1021">
        <v>0</v>
      </c>
      <c r="O256" s="1021">
        <v>10000</v>
      </c>
      <c r="P256" s="1021">
        <v>10000</v>
      </c>
      <c r="Q256" s="1021">
        <v>0</v>
      </c>
      <c r="R256" s="1021">
        <v>0</v>
      </c>
      <c r="S256" s="1021">
        <v>0</v>
      </c>
      <c r="T256" s="1021">
        <v>0</v>
      </c>
      <c r="U256" s="1021">
        <v>0</v>
      </c>
      <c r="V256" s="1021">
        <v>0</v>
      </c>
      <c r="W256" s="1021">
        <v>0</v>
      </c>
      <c r="X256" s="1021">
        <v>0</v>
      </c>
      <c r="Y256" s="1021">
        <v>0</v>
      </c>
      <c r="Z256" s="1021">
        <v>0</v>
      </c>
      <c r="AA256" s="1021">
        <v>0</v>
      </c>
      <c r="AB256" s="1021">
        <v>0</v>
      </c>
      <c r="AC256" s="1021">
        <v>0</v>
      </c>
    </row>
    <row r="257" spans="1:29" s="685" customFormat="1">
      <c r="A257" s="791"/>
      <c r="B257" s="792"/>
      <c r="C257" s="702">
        <v>20000</v>
      </c>
      <c r="D257" s="702">
        <v>20000</v>
      </c>
      <c r="E257" s="702">
        <v>20000</v>
      </c>
      <c r="F257" s="702">
        <v>20000</v>
      </c>
      <c r="G257" s="702">
        <v>20000</v>
      </c>
      <c r="H257" s="702">
        <v>20000</v>
      </c>
      <c r="I257" s="702">
        <v>20000</v>
      </c>
      <c r="J257" s="702">
        <v>20000</v>
      </c>
      <c r="K257" s="702">
        <v>20000</v>
      </c>
      <c r="L257" s="702">
        <v>20000</v>
      </c>
      <c r="M257" s="702">
        <v>20000</v>
      </c>
      <c r="N257" s="702">
        <v>20000</v>
      </c>
      <c r="O257" s="702">
        <v>20000</v>
      </c>
      <c r="P257" s="702">
        <v>10000</v>
      </c>
      <c r="Q257" s="702">
        <v>0</v>
      </c>
      <c r="R257" s="702">
        <v>0</v>
      </c>
      <c r="S257" s="702">
        <v>0</v>
      </c>
      <c r="T257" s="702">
        <v>0</v>
      </c>
      <c r="U257" s="702">
        <v>0</v>
      </c>
      <c r="V257" s="702">
        <v>0</v>
      </c>
      <c r="W257" s="702">
        <v>0</v>
      </c>
      <c r="X257" s="702">
        <v>0</v>
      </c>
      <c r="Y257" s="702">
        <v>0</v>
      </c>
      <c r="Z257" s="702">
        <v>0</v>
      </c>
      <c r="AA257" s="702">
        <v>0</v>
      </c>
      <c r="AB257" s="702">
        <v>0</v>
      </c>
      <c r="AC257" s="702">
        <v>0</v>
      </c>
    </row>
    <row r="258" spans="1:29" s="685" customFormat="1">
      <c r="A258" s="791" t="s">
        <v>59</v>
      </c>
      <c r="B258" s="792"/>
      <c r="C258" s="881">
        <v>100000</v>
      </c>
      <c r="D258" s="881">
        <v>1609334</v>
      </c>
      <c r="E258" s="881">
        <v>0</v>
      </c>
      <c r="F258" s="881">
        <v>5000</v>
      </c>
      <c r="G258" s="881">
        <v>0</v>
      </c>
      <c r="H258" s="881">
        <v>75875</v>
      </c>
      <c r="I258" s="881">
        <v>60000</v>
      </c>
      <c r="J258" s="881">
        <v>237500</v>
      </c>
      <c r="K258" s="881">
        <v>0</v>
      </c>
      <c r="L258" s="881">
        <v>1000000</v>
      </c>
      <c r="M258" s="881">
        <v>175875</v>
      </c>
      <c r="N258" s="881">
        <v>10000</v>
      </c>
      <c r="O258" s="881">
        <v>610000</v>
      </c>
      <c r="P258" s="881">
        <v>10000</v>
      </c>
      <c r="Q258" s="881">
        <v>0</v>
      </c>
      <c r="R258" s="881">
        <v>1000000</v>
      </c>
      <c r="S258" s="881">
        <v>23500</v>
      </c>
      <c r="T258" s="881">
        <v>100000</v>
      </c>
      <c r="U258" s="881">
        <v>0</v>
      </c>
      <c r="V258" s="881">
        <v>1500</v>
      </c>
      <c r="W258" s="881">
        <v>102400</v>
      </c>
      <c r="X258" s="881">
        <v>0</v>
      </c>
      <c r="Y258" s="881">
        <v>30000</v>
      </c>
      <c r="Z258" s="881">
        <v>100000</v>
      </c>
      <c r="AA258" s="881">
        <v>75000</v>
      </c>
      <c r="AB258" s="881">
        <v>206875</v>
      </c>
      <c r="AC258" s="881">
        <v>0</v>
      </c>
    </row>
    <row r="259" spans="1:29" s="685" customFormat="1">
      <c r="A259" s="791"/>
      <c r="B259" s="792"/>
      <c r="C259" s="702">
        <v>5532859</v>
      </c>
      <c r="D259" s="702">
        <v>5432859</v>
      </c>
      <c r="E259" s="702">
        <v>3823525</v>
      </c>
      <c r="F259" s="702">
        <v>3823525</v>
      </c>
      <c r="G259" s="702">
        <v>3818525</v>
      </c>
      <c r="H259" s="702">
        <v>3818525</v>
      </c>
      <c r="I259" s="702">
        <v>3742650</v>
      </c>
      <c r="J259" s="702">
        <v>3682650</v>
      </c>
      <c r="K259" s="702">
        <v>3445150</v>
      </c>
      <c r="L259" s="702">
        <v>3445150</v>
      </c>
      <c r="M259" s="702">
        <v>2445150</v>
      </c>
      <c r="N259" s="702">
        <v>2269275</v>
      </c>
      <c r="O259" s="702">
        <v>2259275</v>
      </c>
      <c r="P259" s="702">
        <v>1649275</v>
      </c>
      <c r="Q259" s="702">
        <v>1639275</v>
      </c>
      <c r="R259" s="702">
        <v>1639275</v>
      </c>
      <c r="S259" s="702">
        <v>639275</v>
      </c>
      <c r="T259" s="702">
        <v>615775</v>
      </c>
      <c r="U259" s="702">
        <v>515775</v>
      </c>
      <c r="V259" s="702">
        <v>515775</v>
      </c>
      <c r="W259" s="702">
        <v>514275</v>
      </c>
      <c r="X259" s="702">
        <v>411875</v>
      </c>
      <c r="Y259" s="702">
        <v>411875</v>
      </c>
      <c r="Z259" s="702">
        <v>381875</v>
      </c>
      <c r="AA259" s="702">
        <v>281875</v>
      </c>
      <c r="AB259" s="702">
        <v>206875</v>
      </c>
      <c r="AC259" s="702">
        <v>0</v>
      </c>
    </row>
    <row r="260" spans="1:29" s="685" customFormat="1">
      <c r="A260" s="793" t="s">
        <v>350</v>
      </c>
      <c r="B260" s="794"/>
      <c r="C260" s="882">
        <v>696222</v>
      </c>
      <c r="D260" s="882">
        <v>-1260090</v>
      </c>
      <c r="E260" s="882">
        <v>423897</v>
      </c>
      <c r="F260" s="882">
        <v>492086</v>
      </c>
      <c r="G260" s="882">
        <v>400335</v>
      </c>
      <c r="H260" s="882">
        <v>434512</v>
      </c>
      <c r="I260" s="882">
        <v>426485</v>
      </c>
      <c r="J260" s="882">
        <v>866667</v>
      </c>
      <c r="K260" s="882">
        <v>432082</v>
      </c>
      <c r="L260" s="882">
        <v>-328315</v>
      </c>
      <c r="M260" s="882">
        <v>1397185</v>
      </c>
      <c r="N260" s="882">
        <v>500910</v>
      </c>
      <c r="O260" s="882">
        <v>-137987</v>
      </c>
      <c r="P260" s="882">
        <v>380068</v>
      </c>
      <c r="Q260" s="882">
        <v>351580</v>
      </c>
      <c r="R260" s="882">
        <v>-580690</v>
      </c>
      <c r="S260" s="882">
        <v>456610</v>
      </c>
      <c r="T260" s="882">
        <v>338162</v>
      </c>
      <c r="U260" s="882">
        <v>1151282</v>
      </c>
      <c r="V260" s="882">
        <v>479406</v>
      </c>
      <c r="W260" s="882">
        <v>233443</v>
      </c>
      <c r="X260" s="882">
        <v>429004</v>
      </c>
      <c r="Y260" s="882">
        <v>343963</v>
      </c>
      <c r="Z260" s="882">
        <v>158654</v>
      </c>
      <c r="AA260" s="882">
        <v>201614</v>
      </c>
      <c r="AB260" s="882">
        <v>238793</v>
      </c>
      <c r="AC260" s="882">
        <v>0</v>
      </c>
    </row>
    <row r="261" spans="1:29" s="685" customFormat="1">
      <c r="A261" s="793"/>
      <c r="B261" s="794"/>
      <c r="C261" s="702">
        <v>8525878</v>
      </c>
      <c r="D261" s="702">
        <v>7829656</v>
      </c>
      <c r="E261" s="702">
        <v>9089746</v>
      </c>
      <c r="F261" s="702">
        <v>8665849</v>
      </c>
      <c r="G261" s="702">
        <v>8173763</v>
      </c>
      <c r="H261" s="702">
        <v>7773428</v>
      </c>
      <c r="I261" s="702">
        <v>7338916</v>
      </c>
      <c r="J261" s="702">
        <v>6912431</v>
      </c>
      <c r="K261" s="702">
        <v>6045764</v>
      </c>
      <c r="L261" s="702">
        <v>5613682</v>
      </c>
      <c r="M261" s="702">
        <v>5941997</v>
      </c>
      <c r="N261" s="702">
        <v>4544812</v>
      </c>
      <c r="O261" s="702">
        <v>4043902</v>
      </c>
      <c r="P261" s="702">
        <v>4181889</v>
      </c>
      <c r="Q261" s="702">
        <v>3801821</v>
      </c>
      <c r="R261" s="702">
        <v>3450241</v>
      </c>
      <c r="S261" s="702">
        <v>4030931</v>
      </c>
      <c r="T261" s="702">
        <v>3574321</v>
      </c>
      <c r="U261" s="702">
        <v>3236159</v>
      </c>
      <c r="V261" s="702">
        <v>2084877</v>
      </c>
      <c r="W261" s="702">
        <v>1605471</v>
      </c>
      <c r="X261" s="702">
        <v>1372028</v>
      </c>
      <c r="Y261" s="702">
        <v>943024</v>
      </c>
      <c r="Z261" s="702">
        <v>599061</v>
      </c>
      <c r="AA261" s="702">
        <v>440407</v>
      </c>
      <c r="AB261" s="702">
        <v>238793</v>
      </c>
      <c r="AC261" s="702">
        <v>0</v>
      </c>
    </row>
    <row r="262" spans="1:29" s="685" customFormat="1">
      <c r="A262" s="795"/>
      <c r="B262" s="748"/>
      <c r="C262" s="704"/>
      <c r="D262" s="704"/>
      <c r="E262" s="704"/>
      <c r="F262" s="704"/>
      <c r="G262" s="704"/>
      <c r="H262" s="704"/>
      <c r="I262" s="704"/>
      <c r="J262" s="704"/>
      <c r="K262" s="704"/>
      <c r="L262" s="704"/>
      <c r="M262" s="704"/>
      <c r="N262" s="704"/>
      <c r="O262" s="704"/>
      <c r="P262" s="704"/>
      <c r="Q262" s="704"/>
      <c r="R262" s="704"/>
      <c r="S262" s="704"/>
      <c r="T262" s="704"/>
      <c r="U262" s="704"/>
      <c r="V262" s="704"/>
      <c r="W262" s="704"/>
      <c r="X262" s="704"/>
      <c r="Y262" s="704"/>
      <c r="Z262" s="704"/>
      <c r="AA262" s="704"/>
      <c r="AB262" s="704"/>
      <c r="AC262" s="704"/>
    </row>
    <row r="263" spans="1:29" s="685" customFormat="1">
      <c r="A263" s="796" t="s">
        <v>174</v>
      </c>
      <c r="B263" s="788" t="s">
        <v>288</v>
      </c>
      <c r="C263" s="880">
        <v>352230</v>
      </c>
      <c r="D263" s="880">
        <v>526117</v>
      </c>
      <c r="E263" s="880">
        <v>477597</v>
      </c>
      <c r="F263" s="880">
        <v>451582</v>
      </c>
      <c r="G263" s="880">
        <v>514163</v>
      </c>
      <c r="H263" s="880">
        <v>565036</v>
      </c>
      <c r="I263" s="880">
        <v>828313</v>
      </c>
      <c r="J263" s="880">
        <v>812758</v>
      </c>
      <c r="K263" s="880">
        <v>547417</v>
      </c>
      <c r="L263" s="880">
        <v>652564</v>
      </c>
      <c r="M263" s="880">
        <v>2114320</v>
      </c>
      <c r="N263" s="880">
        <v>0</v>
      </c>
      <c r="O263" s="880">
        <v>750931</v>
      </c>
      <c r="P263" s="880">
        <v>265234</v>
      </c>
      <c r="Q263" s="880">
        <v>274705</v>
      </c>
      <c r="R263" s="880">
        <v>529017</v>
      </c>
      <c r="S263" s="880">
        <v>656972</v>
      </c>
      <c r="T263" s="880">
        <v>555117</v>
      </c>
      <c r="U263" s="880">
        <v>998882</v>
      </c>
      <c r="V263" s="880">
        <v>367616</v>
      </c>
      <c r="W263" s="880">
        <v>364219</v>
      </c>
      <c r="X263" s="880">
        <v>493257</v>
      </c>
      <c r="Y263" s="880">
        <v>446616</v>
      </c>
      <c r="Z263" s="880">
        <v>0</v>
      </c>
      <c r="AA263" s="880">
        <v>270030</v>
      </c>
      <c r="AB263" s="880">
        <v>450103</v>
      </c>
      <c r="AC263" s="880">
        <v>0</v>
      </c>
    </row>
    <row r="264" spans="1:29" s="685" customFormat="1">
      <c r="A264" s="787"/>
      <c r="B264" s="788"/>
      <c r="C264" s="702">
        <v>14264796</v>
      </c>
      <c r="D264" s="702">
        <v>13912566</v>
      </c>
      <c r="E264" s="702">
        <v>13386449</v>
      </c>
      <c r="F264" s="702">
        <v>12908852</v>
      </c>
      <c r="G264" s="702">
        <v>12457270</v>
      </c>
      <c r="H264" s="702">
        <v>11943107</v>
      </c>
      <c r="I264" s="702">
        <v>11378071</v>
      </c>
      <c r="J264" s="702">
        <v>10549758</v>
      </c>
      <c r="K264" s="702">
        <v>9737000</v>
      </c>
      <c r="L264" s="702">
        <v>9189583</v>
      </c>
      <c r="M264" s="702">
        <v>8537019</v>
      </c>
      <c r="N264" s="702">
        <v>6422699</v>
      </c>
      <c r="O264" s="702">
        <v>6422699</v>
      </c>
      <c r="P264" s="702">
        <v>5671768</v>
      </c>
      <c r="Q264" s="702">
        <v>5406534</v>
      </c>
      <c r="R264" s="702">
        <v>5131829</v>
      </c>
      <c r="S264" s="702">
        <v>4602812</v>
      </c>
      <c r="T264" s="702">
        <v>3945840</v>
      </c>
      <c r="U264" s="702">
        <v>3390723</v>
      </c>
      <c r="V264" s="702">
        <v>2391841</v>
      </c>
      <c r="W264" s="702">
        <v>2024225</v>
      </c>
      <c r="X264" s="702">
        <v>1660006</v>
      </c>
      <c r="Y264" s="702">
        <v>1166749</v>
      </c>
      <c r="Z264" s="702">
        <v>720133</v>
      </c>
      <c r="AA264" s="702">
        <v>720133</v>
      </c>
      <c r="AB264" s="702">
        <v>450103</v>
      </c>
      <c r="AC264" s="702">
        <v>0</v>
      </c>
    </row>
    <row r="265" spans="1:29" s="685" customFormat="1">
      <c r="A265" s="789" t="s">
        <v>100</v>
      </c>
      <c r="B265" s="790"/>
      <c r="C265" s="704"/>
      <c r="D265" s="704"/>
      <c r="E265" s="704"/>
      <c r="F265" s="704"/>
      <c r="G265" s="704"/>
      <c r="H265" s="704"/>
      <c r="I265" s="704"/>
      <c r="J265" s="704"/>
      <c r="K265" s="704"/>
      <c r="L265" s="704"/>
      <c r="M265" s="704"/>
      <c r="N265" s="704"/>
      <c r="O265" s="704"/>
      <c r="P265" s="704"/>
      <c r="Q265" s="704"/>
      <c r="R265" s="704"/>
      <c r="S265" s="704"/>
      <c r="T265" s="704"/>
      <c r="U265" s="704"/>
      <c r="V265" s="704"/>
      <c r="W265" s="704"/>
      <c r="X265" s="704"/>
      <c r="Y265" s="704"/>
      <c r="Z265" s="704"/>
      <c r="AA265" s="704"/>
      <c r="AB265" s="704"/>
      <c r="AC265" s="704"/>
    </row>
    <row r="266" spans="1:29" s="685" customFormat="1">
      <c r="A266" s="791" t="s">
        <v>337</v>
      </c>
      <c r="B266" s="792" t="s">
        <v>501</v>
      </c>
      <c r="C266" s="880">
        <v>0</v>
      </c>
      <c r="D266" s="880">
        <v>0</v>
      </c>
      <c r="E266" s="880">
        <v>0</v>
      </c>
      <c r="F266" s="880">
        <v>0</v>
      </c>
      <c r="G266" s="880">
        <v>0</v>
      </c>
      <c r="H266" s="880">
        <v>0</v>
      </c>
      <c r="I266" s="880">
        <v>0</v>
      </c>
      <c r="J266" s="880">
        <v>0</v>
      </c>
      <c r="K266" s="880">
        <v>0</v>
      </c>
      <c r="L266" s="880">
        <v>0</v>
      </c>
      <c r="M266" s="880">
        <v>0</v>
      </c>
      <c r="N266" s="880">
        <v>0</v>
      </c>
      <c r="O266" s="880">
        <v>0</v>
      </c>
      <c r="P266" s="880">
        <v>0</v>
      </c>
      <c r="Q266" s="880">
        <v>0</v>
      </c>
      <c r="R266" s="880">
        <v>0</v>
      </c>
      <c r="S266" s="880">
        <v>0</v>
      </c>
      <c r="T266" s="880">
        <v>0</v>
      </c>
      <c r="U266" s="880">
        <v>0</v>
      </c>
      <c r="V266" s="880">
        <v>0</v>
      </c>
      <c r="W266" s="880">
        <v>0</v>
      </c>
      <c r="X266" s="880">
        <v>0</v>
      </c>
      <c r="Y266" s="880">
        <v>0</v>
      </c>
      <c r="Z266" s="880">
        <v>0</v>
      </c>
      <c r="AA266" s="880">
        <v>0</v>
      </c>
      <c r="AB266" s="880">
        <v>0</v>
      </c>
      <c r="AC266" s="880">
        <v>0</v>
      </c>
    </row>
    <row r="267" spans="1:29" s="685" customFormat="1">
      <c r="A267" s="791"/>
      <c r="B267" s="792"/>
      <c r="C267" s="702">
        <v>0</v>
      </c>
      <c r="D267" s="702">
        <v>0</v>
      </c>
      <c r="E267" s="702">
        <v>0</v>
      </c>
      <c r="F267" s="702">
        <v>0</v>
      </c>
      <c r="G267" s="702">
        <v>0</v>
      </c>
      <c r="H267" s="702">
        <v>0</v>
      </c>
      <c r="I267" s="702">
        <v>0</v>
      </c>
      <c r="J267" s="702">
        <v>0</v>
      </c>
      <c r="K267" s="702">
        <v>0</v>
      </c>
      <c r="L267" s="702">
        <v>0</v>
      </c>
      <c r="M267" s="702">
        <v>0</v>
      </c>
      <c r="N267" s="702">
        <v>0</v>
      </c>
      <c r="O267" s="702">
        <v>0</v>
      </c>
      <c r="P267" s="702">
        <v>0</v>
      </c>
      <c r="Q267" s="702">
        <v>0</v>
      </c>
      <c r="R267" s="702">
        <v>0</v>
      </c>
      <c r="S267" s="702">
        <v>0</v>
      </c>
      <c r="T267" s="702">
        <v>0</v>
      </c>
      <c r="U267" s="702">
        <v>0</v>
      </c>
      <c r="V267" s="702">
        <v>0</v>
      </c>
      <c r="W267" s="702">
        <v>0</v>
      </c>
      <c r="X267" s="702">
        <v>0</v>
      </c>
      <c r="Y267" s="702">
        <v>0</v>
      </c>
      <c r="Z267" s="702">
        <v>0</v>
      </c>
      <c r="AA267" s="702">
        <v>0</v>
      </c>
      <c r="AB267" s="702">
        <v>0</v>
      </c>
      <c r="AC267" s="702">
        <v>0</v>
      </c>
    </row>
    <row r="268" spans="1:29" s="685" customFormat="1">
      <c r="A268" s="791" t="s">
        <v>353</v>
      </c>
      <c r="B268" s="792" t="s">
        <v>502</v>
      </c>
      <c r="C268" s="880">
        <v>0</v>
      </c>
      <c r="D268" s="880">
        <v>0</v>
      </c>
      <c r="E268" s="880">
        <v>0</v>
      </c>
      <c r="F268" s="880">
        <v>0</v>
      </c>
      <c r="G268" s="880">
        <v>0</v>
      </c>
      <c r="H268" s="880">
        <v>0</v>
      </c>
      <c r="I268" s="880">
        <v>0</v>
      </c>
      <c r="J268" s="880">
        <v>0</v>
      </c>
      <c r="K268" s="880">
        <v>0</v>
      </c>
      <c r="L268" s="880">
        <v>0</v>
      </c>
      <c r="M268" s="880">
        <v>0</v>
      </c>
      <c r="N268" s="880">
        <v>10000</v>
      </c>
      <c r="O268" s="880">
        <v>0</v>
      </c>
      <c r="P268" s="880">
        <v>0</v>
      </c>
      <c r="Q268" s="880">
        <v>0</v>
      </c>
      <c r="R268" s="880">
        <v>0</v>
      </c>
      <c r="S268" s="880">
        <v>0</v>
      </c>
      <c r="T268" s="880">
        <v>0</v>
      </c>
      <c r="U268" s="880">
        <v>0</v>
      </c>
      <c r="V268" s="880">
        <v>0</v>
      </c>
      <c r="W268" s="880">
        <v>0</v>
      </c>
      <c r="X268" s="880">
        <v>0</v>
      </c>
      <c r="Y268" s="880">
        <v>0</v>
      </c>
      <c r="Z268" s="880">
        <v>0</v>
      </c>
      <c r="AA268" s="880">
        <v>0</v>
      </c>
      <c r="AB268" s="880">
        <v>0</v>
      </c>
      <c r="AC268" s="880">
        <v>0</v>
      </c>
    </row>
    <row r="269" spans="1:29" s="685" customFormat="1">
      <c r="A269" s="791"/>
      <c r="B269" s="792"/>
      <c r="C269" s="702">
        <v>10000</v>
      </c>
      <c r="D269" s="702">
        <v>10000</v>
      </c>
      <c r="E269" s="702">
        <v>10000</v>
      </c>
      <c r="F269" s="702">
        <v>10000</v>
      </c>
      <c r="G269" s="702">
        <v>10000</v>
      </c>
      <c r="H269" s="702">
        <v>10000</v>
      </c>
      <c r="I269" s="702">
        <v>10000</v>
      </c>
      <c r="J269" s="702">
        <v>10000</v>
      </c>
      <c r="K269" s="702">
        <v>10000</v>
      </c>
      <c r="L269" s="702">
        <v>10000</v>
      </c>
      <c r="M269" s="702">
        <v>10000</v>
      </c>
      <c r="N269" s="702">
        <v>10000</v>
      </c>
      <c r="O269" s="702">
        <v>0</v>
      </c>
      <c r="P269" s="702">
        <v>0</v>
      </c>
      <c r="Q269" s="702">
        <v>0</v>
      </c>
      <c r="R269" s="702">
        <v>0</v>
      </c>
      <c r="S269" s="702">
        <v>0</v>
      </c>
      <c r="T269" s="702">
        <v>0</v>
      </c>
      <c r="U269" s="702">
        <v>0</v>
      </c>
      <c r="V269" s="702">
        <v>0</v>
      </c>
      <c r="W269" s="702">
        <v>0</v>
      </c>
      <c r="X269" s="702">
        <v>0</v>
      </c>
      <c r="Y269" s="702">
        <v>0</v>
      </c>
      <c r="Z269" s="702">
        <v>0</v>
      </c>
      <c r="AA269" s="702">
        <v>0</v>
      </c>
      <c r="AB269" s="702">
        <v>0</v>
      </c>
      <c r="AC269" s="702">
        <v>0</v>
      </c>
    </row>
    <row r="270" spans="1:29" s="685" customFormat="1">
      <c r="A270" s="791" t="s">
        <v>245</v>
      </c>
      <c r="B270" s="792" t="s">
        <v>503</v>
      </c>
      <c r="C270" s="880">
        <v>0</v>
      </c>
      <c r="D270" s="880">
        <v>0</v>
      </c>
      <c r="E270" s="880">
        <v>91000</v>
      </c>
      <c r="F270" s="880">
        <v>0</v>
      </c>
      <c r="G270" s="880">
        <v>0</v>
      </c>
      <c r="H270" s="880">
        <v>0</v>
      </c>
      <c r="I270" s="880">
        <v>0</v>
      </c>
      <c r="J270" s="880">
        <v>0</v>
      </c>
      <c r="K270" s="880">
        <v>0</v>
      </c>
      <c r="L270" s="880">
        <v>0</v>
      </c>
      <c r="M270" s="880">
        <v>0</v>
      </c>
      <c r="N270" s="880">
        <v>0</v>
      </c>
      <c r="O270" s="880">
        <v>0</v>
      </c>
      <c r="P270" s="880">
        <v>0</v>
      </c>
      <c r="Q270" s="880">
        <v>0</v>
      </c>
      <c r="R270" s="880">
        <v>0</v>
      </c>
      <c r="S270" s="880">
        <v>0</v>
      </c>
      <c r="T270" s="880">
        <v>0</v>
      </c>
      <c r="U270" s="880">
        <v>0</v>
      </c>
      <c r="V270" s="880">
        <v>0</v>
      </c>
      <c r="W270" s="880">
        <v>0</v>
      </c>
      <c r="X270" s="880">
        <v>0</v>
      </c>
      <c r="Y270" s="880">
        <v>0</v>
      </c>
      <c r="Z270" s="880">
        <v>0</v>
      </c>
      <c r="AA270" s="880">
        <v>0</v>
      </c>
      <c r="AB270" s="880">
        <v>0</v>
      </c>
      <c r="AC270" s="880">
        <v>0</v>
      </c>
    </row>
    <row r="271" spans="1:29" s="685" customFormat="1">
      <c r="A271" s="791"/>
      <c r="B271" s="792"/>
      <c r="C271" s="702">
        <v>91000</v>
      </c>
      <c r="D271" s="702">
        <v>91000</v>
      </c>
      <c r="E271" s="702">
        <v>91000</v>
      </c>
      <c r="F271" s="702">
        <v>0</v>
      </c>
      <c r="G271" s="702">
        <v>0</v>
      </c>
      <c r="H271" s="702">
        <v>0</v>
      </c>
      <c r="I271" s="702">
        <v>0</v>
      </c>
      <c r="J271" s="702">
        <v>0</v>
      </c>
      <c r="K271" s="702">
        <v>0</v>
      </c>
      <c r="L271" s="702">
        <v>0</v>
      </c>
      <c r="M271" s="702">
        <v>0</v>
      </c>
      <c r="N271" s="702">
        <v>0</v>
      </c>
      <c r="O271" s="702">
        <v>0</v>
      </c>
      <c r="P271" s="702">
        <v>0</v>
      </c>
      <c r="Q271" s="702">
        <v>0</v>
      </c>
      <c r="R271" s="702">
        <v>0</v>
      </c>
      <c r="S271" s="702">
        <v>0</v>
      </c>
      <c r="T271" s="702">
        <v>0</v>
      </c>
      <c r="U271" s="702">
        <v>0</v>
      </c>
      <c r="V271" s="702">
        <v>0</v>
      </c>
      <c r="W271" s="702">
        <v>0</v>
      </c>
      <c r="X271" s="702">
        <v>0</v>
      </c>
      <c r="Y271" s="702">
        <v>0</v>
      </c>
      <c r="Z271" s="702">
        <v>0</v>
      </c>
      <c r="AA271" s="702">
        <v>0</v>
      </c>
      <c r="AB271" s="702">
        <v>0</v>
      </c>
      <c r="AC271" s="702">
        <v>0</v>
      </c>
    </row>
    <row r="272" spans="1:29" s="685" customFormat="1">
      <c r="A272" s="791" t="s">
        <v>349</v>
      </c>
      <c r="B272" s="792" t="s">
        <v>504</v>
      </c>
      <c r="C272" s="880">
        <v>0</v>
      </c>
      <c r="D272" s="880">
        <v>0</v>
      </c>
      <c r="E272" s="880">
        <v>0</v>
      </c>
      <c r="F272" s="880">
        <v>5000</v>
      </c>
      <c r="G272" s="880">
        <v>0</v>
      </c>
      <c r="H272" s="880">
        <v>0</v>
      </c>
      <c r="I272" s="880">
        <v>5000</v>
      </c>
      <c r="J272" s="880">
        <v>0</v>
      </c>
      <c r="K272" s="880">
        <v>0</v>
      </c>
      <c r="L272" s="880">
        <v>0</v>
      </c>
      <c r="M272" s="880">
        <v>0</v>
      </c>
      <c r="N272" s="880">
        <v>0</v>
      </c>
      <c r="O272" s="880">
        <v>0</v>
      </c>
      <c r="P272" s="880">
        <v>0</v>
      </c>
      <c r="Q272" s="880">
        <v>0</v>
      </c>
      <c r="R272" s="880">
        <v>0</v>
      </c>
      <c r="S272" s="880">
        <v>0</v>
      </c>
      <c r="T272" s="880">
        <v>0</v>
      </c>
      <c r="U272" s="880">
        <v>0</v>
      </c>
      <c r="V272" s="880">
        <v>0</v>
      </c>
      <c r="W272" s="880">
        <v>0</v>
      </c>
      <c r="X272" s="880">
        <v>0</v>
      </c>
      <c r="Y272" s="880">
        <v>0</v>
      </c>
      <c r="Z272" s="880">
        <v>0</v>
      </c>
      <c r="AA272" s="880">
        <v>0</v>
      </c>
      <c r="AB272" s="880">
        <v>0</v>
      </c>
      <c r="AC272" s="880">
        <v>0</v>
      </c>
    </row>
    <row r="273" spans="1:29" s="685" customFormat="1">
      <c r="A273" s="791"/>
      <c r="B273" s="792"/>
      <c r="C273" s="702">
        <v>10000</v>
      </c>
      <c r="D273" s="702">
        <v>10000</v>
      </c>
      <c r="E273" s="702">
        <v>10000</v>
      </c>
      <c r="F273" s="702">
        <v>10000</v>
      </c>
      <c r="G273" s="702">
        <v>5000</v>
      </c>
      <c r="H273" s="702">
        <v>5000</v>
      </c>
      <c r="I273" s="702">
        <v>5000</v>
      </c>
      <c r="J273" s="702">
        <v>0</v>
      </c>
      <c r="K273" s="702">
        <v>0</v>
      </c>
      <c r="L273" s="702">
        <v>0</v>
      </c>
      <c r="M273" s="702">
        <v>0</v>
      </c>
      <c r="N273" s="702">
        <v>0</v>
      </c>
      <c r="O273" s="702">
        <v>0</v>
      </c>
      <c r="P273" s="702">
        <v>0</v>
      </c>
      <c r="Q273" s="702">
        <v>0</v>
      </c>
      <c r="R273" s="702">
        <v>0</v>
      </c>
      <c r="S273" s="702">
        <v>0</v>
      </c>
      <c r="T273" s="702">
        <v>0</v>
      </c>
      <c r="U273" s="702">
        <v>0</v>
      </c>
      <c r="V273" s="702">
        <v>0</v>
      </c>
      <c r="W273" s="702">
        <v>0</v>
      </c>
      <c r="X273" s="702">
        <v>0</v>
      </c>
      <c r="Y273" s="702">
        <v>0</v>
      </c>
      <c r="Z273" s="702">
        <v>0</v>
      </c>
      <c r="AA273" s="702">
        <v>0</v>
      </c>
      <c r="AB273" s="702">
        <v>0</v>
      </c>
      <c r="AC273" s="702">
        <v>0</v>
      </c>
    </row>
    <row r="274" spans="1:29" s="685" customFormat="1">
      <c r="A274" s="791" t="s">
        <v>247</v>
      </c>
      <c r="B274" s="792" t="s">
        <v>505</v>
      </c>
      <c r="C274" s="880">
        <v>0</v>
      </c>
      <c r="D274" s="880">
        <v>0</v>
      </c>
      <c r="E274" s="880">
        <v>0</v>
      </c>
      <c r="F274" s="880">
        <v>0</v>
      </c>
      <c r="G274" s="880">
        <v>0</v>
      </c>
      <c r="H274" s="880">
        <v>0</v>
      </c>
      <c r="I274" s="880">
        <v>0</v>
      </c>
      <c r="J274" s="880">
        <v>0</v>
      </c>
      <c r="K274" s="880">
        <v>0</v>
      </c>
      <c r="L274" s="880">
        <v>0</v>
      </c>
      <c r="M274" s="880">
        <v>0</v>
      </c>
      <c r="N274" s="880">
        <v>0</v>
      </c>
      <c r="O274" s="880">
        <v>0</v>
      </c>
      <c r="P274" s="880">
        <v>0</v>
      </c>
      <c r="Q274" s="880">
        <v>0</v>
      </c>
      <c r="R274" s="880">
        <v>0</v>
      </c>
      <c r="S274" s="880">
        <v>0</v>
      </c>
      <c r="T274" s="880">
        <v>0</v>
      </c>
      <c r="U274" s="880">
        <v>0</v>
      </c>
      <c r="V274" s="880">
        <v>0</v>
      </c>
      <c r="W274" s="880">
        <v>0</v>
      </c>
      <c r="X274" s="880">
        <v>102400</v>
      </c>
      <c r="Y274" s="880">
        <v>0</v>
      </c>
      <c r="Z274" s="880">
        <v>0</v>
      </c>
      <c r="AA274" s="880">
        <v>0</v>
      </c>
      <c r="AB274" s="880">
        <v>0</v>
      </c>
      <c r="AC274" s="880">
        <v>0</v>
      </c>
    </row>
    <row r="275" spans="1:29" s="685" customFormat="1">
      <c r="A275" s="791"/>
      <c r="B275" s="792"/>
      <c r="C275" s="702">
        <v>102400</v>
      </c>
      <c r="D275" s="702">
        <v>102400</v>
      </c>
      <c r="E275" s="702">
        <v>102400</v>
      </c>
      <c r="F275" s="702">
        <v>102400</v>
      </c>
      <c r="G275" s="702">
        <v>102400</v>
      </c>
      <c r="H275" s="702">
        <v>102400</v>
      </c>
      <c r="I275" s="702">
        <v>102400</v>
      </c>
      <c r="J275" s="702">
        <v>102400</v>
      </c>
      <c r="K275" s="702">
        <v>102400</v>
      </c>
      <c r="L275" s="702">
        <v>102400</v>
      </c>
      <c r="M275" s="702">
        <v>102400</v>
      </c>
      <c r="N275" s="702">
        <v>102400</v>
      </c>
      <c r="O275" s="702">
        <v>102400</v>
      </c>
      <c r="P275" s="702">
        <v>102400</v>
      </c>
      <c r="Q275" s="702">
        <v>102400</v>
      </c>
      <c r="R275" s="702">
        <v>102400</v>
      </c>
      <c r="S275" s="702">
        <v>102400</v>
      </c>
      <c r="T275" s="702">
        <v>102400</v>
      </c>
      <c r="U275" s="702">
        <v>102400</v>
      </c>
      <c r="V275" s="702">
        <v>102400</v>
      </c>
      <c r="W275" s="702">
        <v>102400</v>
      </c>
      <c r="X275" s="702">
        <v>102400</v>
      </c>
      <c r="Y275" s="702">
        <v>0</v>
      </c>
      <c r="Z275" s="702">
        <v>0</v>
      </c>
      <c r="AA275" s="702">
        <v>0</v>
      </c>
      <c r="AB275" s="702">
        <v>0</v>
      </c>
      <c r="AC275" s="702">
        <v>0</v>
      </c>
    </row>
    <row r="276" spans="1:29" s="685" customFormat="1">
      <c r="A276" s="791" t="s">
        <v>187</v>
      </c>
      <c r="B276" s="792" t="s">
        <v>506</v>
      </c>
      <c r="C276" s="880">
        <v>0</v>
      </c>
      <c r="D276" s="880">
        <v>1609334</v>
      </c>
      <c r="E276" s="880">
        <v>0</v>
      </c>
      <c r="F276" s="880">
        <v>0</v>
      </c>
      <c r="G276" s="880">
        <v>0</v>
      </c>
      <c r="H276" s="880">
        <v>0</v>
      </c>
      <c r="I276" s="880">
        <v>0</v>
      </c>
      <c r="J276" s="880">
        <v>0</v>
      </c>
      <c r="K276" s="880">
        <v>200000</v>
      </c>
      <c r="L276" s="880">
        <v>200000</v>
      </c>
      <c r="M276" s="880">
        <v>100000</v>
      </c>
      <c r="N276" s="880">
        <v>0</v>
      </c>
      <c r="O276" s="880">
        <v>0</v>
      </c>
      <c r="P276" s="880">
        <v>0</v>
      </c>
      <c r="Q276" s="880">
        <v>0</v>
      </c>
      <c r="R276" s="880">
        <v>0</v>
      </c>
      <c r="S276" s="880">
        <v>0</v>
      </c>
      <c r="T276" s="880">
        <v>0</v>
      </c>
      <c r="U276" s="880">
        <v>0</v>
      </c>
      <c r="V276" s="880">
        <v>0</v>
      </c>
      <c r="W276" s="880">
        <v>0</v>
      </c>
      <c r="X276" s="880">
        <v>0</v>
      </c>
      <c r="Y276" s="880">
        <v>0</v>
      </c>
      <c r="Z276" s="880">
        <v>0</v>
      </c>
      <c r="AA276" s="880">
        <v>0</v>
      </c>
      <c r="AB276" s="880">
        <v>0</v>
      </c>
      <c r="AC276" s="880">
        <v>0</v>
      </c>
    </row>
    <row r="277" spans="1:29" s="685" customFormat="1">
      <c r="A277" s="791"/>
      <c r="B277" s="792"/>
      <c r="C277" s="702">
        <v>2109334</v>
      </c>
      <c r="D277" s="702">
        <v>2109334</v>
      </c>
      <c r="E277" s="702">
        <v>500000</v>
      </c>
      <c r="F277" s="702">
        <v>500000</v>
      </c>
      <c r="G277" s="702">
        <v>500000</v>
      </c>
      <c r="H277" s="702">
        <v>500000</v>
      </c>
      <c r="I277" s="702">
        <v>500000</v>
      </c>
      <c r="J277" s="702">
        <v>500000</v>
      </c>
      <c r="K277" s="702">
        <v>500000</v>
      </c>
      <c r="L277" s="702">
        <v>300000</v>
      </c>
      <c r="M277" s="702">
        <v>100000</v>
      </c>
      <c r="N277" s="702">
        <v>0</v>
      </c>
      <c r="O277" s="702">
        <v>0</v>
      </c>
      <c r="P277" s="702">
        <v>0</v>
      </c>
      <c r="Q277" s="702">
        <v>0</v>
      </c>
      <c r="R277" s="702">
        <v>0</v>
      </c>
      <c r="S277" s="702">
        <v>0</v>
      </c>
      <c r="T277" s="702">
        <v>0</v>
      </c>
      <c r="U277" s="702">
        <v>0</v>
      </c>
      <c r="V277" s="702">
        <v>0</v>
      </c>
      <c r="W277" s="702">
        <v>0</v>
      </c>
      <c r="X277" s="702">
        <v>0</v>
      </c>
      <c r="Y277" s="702">
        <v>0</v>
      </c>
      <c r="Z277" s="702">
        <v>0</v>
      </c>
      <c r="AA277" s="702">
        <v>0</v>
      </c>
      <c r="AB277" s="702">
        <v>0</v>
      </c>
      <c r="AC277" s="702">
        <v>0</v>
      </c>
    </row>
    <row r="278" spans="1:29" s="685" customFormat="1">
      <c r="A278" s="791" t="s">
        <v>246</v>
      </c>
      <c r="B278" s="792" t="s">
        <v>507</v>
      </c>
      <c r="C278" s="880">
        <v>0</v>
      </c>
      <c r="D278" s="880">
        <v>0</v>
      </c>
      <c r="E278" s="880">
        <v>0</v>
      </c>
      <c r="F278" s="880">
        <v>0</v>
      </c>
      <c r="G278" s="880">
        <v>0</v>
      </c>
      <c r="H278" s="880">
        <v>0</v>
      </c>
      <c r="I278" s="880">
        <v>0</v>
      </c>
      <c r="J278" s="880">
        <v>0</v>
      </c>
      <c r="K278" s="880">
        <v>0</v>
      </c>
      <c r="L278" s="880">
        <v>0</v>
      </c>
      <c r="M278" s="880">
        <v>0</v>
      </c>
      <c r="N278" s="880">
        <v>0</v>
      </c>
      <c r="O278" s="880">
        <v>0</v>
      </c>
      <c r="P278" s="880">
        <v>0</v>
      </c>
      <c r="Q278" s="880">
        <v>0</v>
      </c>
      <c r="R278" s="880">
        <v>0</v>
      </c>
      <c r="S278" s="880">
        <v>0</v>
      </c>
      <c r="T278" s="880">
        <v>0</v>
      </c>
      <c r="U278" s="880">
        <v>0</v>
      </c>
      <c r="V278" s="880">
        <v>0</v>
      </c>
      <c r="W278" s="880">
        <v>0</v>
      </c>
      <c r="X278" s="880">
        <v>0</v>
      </c>
      <c r="Y278" s="880">
        <v>0</v>
      </c>
      <c r="Z278" s="880">
        <v>0</v>
      </c>
      <c r="AA278" s="880">
        <v>0</v>
      </c>
      <c r="AB278" s="880">
        <v>0</v>
      </c>
      <c r="AC278" s="880">
        <v>0</v>
      </c>
    </row>
    <row r="279" spans="1:29" s="685" customFormat="1">
      <c r="A279" s="791"/>
      <c r="B279" s="792"/>
      <c r="C279" s="702">
        <v>0</v>
      </c>
      <c r="D279" s="702">
        <v>0</v>
      </c>
      <c r="E279" s="702">
        <v>0</v>
      </c>
      <c r="F279" s="702">
        <v>0</v>
      </c>
      <c r="G279" s="702">
        <v>0</v>
      </c>
      <c r="H279" s="702">
        <v>0</v>
      </c>
      <c r="I279" s="702">
        <v>0</v>
      </c>
      <c r="J279" s="702">
        <v>0</v>
      </c>
      <c r="K279" s="702">
        <v>0</v>
      </c>
      <c r="L279" s="702">
        <v>0</v>
      </c>
      <c r="M279" s="702">
        <v>0</v>
      </c>
      <c r="N279" s="702">
        <v>0</v>
      </c>
      <c r="O279" s="702">
        <v>0</v>
      </c>
      <c r="P279" s="702">
        <v>0</v>
      </c>
      <c r="Q279" s="702">
        <v>0</v>
      </c>
      <c r="R279" s="702">
        <v>0</v>
      </c>
      <c r="S279" s="702">
        <v>0</v>
      </c>
      <c r="T279" s="702">
        <v>0</v>
      </c>
      <c r="U279" s="702">
        <v>0</v>
      </c>
      <c r="V279" s="702">
        <v>0</v>
      </c>
      <c r="W279" s="702">
        <v>0</v>
      </c>
      <c r="X279" s="702">
        <v>0</v>
      </c>
      <c r="Y279" s="702">
        <v>0</v>
      </c>
      <c r="Z279" s="702">
        <v>0</v>
      </c>
      <c r="AA279" s="702">
        <v>0</v>
      </c>
      <c r="AB279" s="702">
        <v>0</v>
      </c>
      <c r="AC279" s="702">
        <v>0</v>
      </c>
    </row>
    <row r="280" spans="1:29" s="685" customFormat="1">
      <c r="A280" s="791" t="s">
        <v>334</v>
      </c>
      <c r="B280" s="792" t="s">
        <v>508</v>
      </c>
      <c r="C280" s="880">
        <v>0</v>
      </c>
      <c r="D280" s="880">
        <v>0</v>
      </c>
      <c r="E280" s="880">
        <v>0</v>
      </c>
      <c r="F280" s="880">
        <v>0</v>
      </c>
      <c r="G280" s="880">
        <v>0</v>
      </c>
      <c r="H280" s="880">
        <v>0</v>
      </c>
      <c r="I280" s="880">
        <v>0</v>
      </c>
      <c r="J280" s="880">
        <v>0</v>
      </c>
      <c r="K280" s="880">
        <v>0</v>
      </c>
      <c r="L280" s="880">
        <v>0</v>
      </c>
      <c r="M280" s="880">
        <v>0</v>
      </c>
      <c r="N280" s="880">
        <v>0</v>
      </c>
      <c r="O280" s="880">
        <v>0</v>
      </c>
      <c r="P280" s="880">
        <v>0</v>
      </c>
      <c r="Q280" s="880">
        <v>0</v>
      </c>
      <c r="R280" s="880">
        <v>0</v>
      </c>
      <c r="S280" s="880">
        <v>0</v>
      </c>
      <c r="T280" s="880">
        <v>0</v>
      </c>
      <c r="U280" s="880">
        <v>0</v>
      </c>
      <c r="V280" s="880">
        <v>0</v>
      </c>
      <c r="W280" s="880">
        <v>0</v>
      </c>
      <c r="X280" s="880">
        <v>0</v>
      </c>
      <c r="Y280" s="880">
        <v>0</v>
      </c>
      <c r="Z280" s="880">
        <v>0</v>
      </c>
      <c r="AA280" s="880">
        <v>0</v>
      </c>
      <c r="AB280" s="880">
        <v>0</v>
      </c>
      <c r="AC280" s="880">
        <v>0</v>
      </c>
    </row>
    <row r="281" spans="1:29" s="685" customFormat="1">
      <c r="A281" s="791"/>
      <c r="B281" s="792"/>
      <c r="C281" s="702">
        <v>0</v>
      </c>
      <c r="D281" s="702">
        <v>0</v>
      </c>
      <c r="E281" s="702">
        <v>0</v>
      </c>
      <c r="F281" s="702">
        <v>0</v>
      </c>
      <c r="G281" s="702">
        <v>0</v>
      </c>
      <c r="H281" s="702">
        <v>0</v>
      </c>
      <c r="I281" s="702">
        <v>0</v>
      </c>
      <c r="J281" s="702">
        <v>0</v>
      </c>
      <c r="K281" s="702">
        <v>0</v>
      </c>
      <c r="L281" s="702">
        <v>0</v>
      </c>
      <c r="M281" s="702">
        <v>0</v>
      </c>
      <c r="N281" s="702">
        <v>0</v>
      </c>
      <c r="O281" s="702">
        <v>0</v>
      </c>
      <c r="P281" s="702">
        <v>0</v>
      </c>
      <c r="Q281" s="702">
        <v>0</v>
      </c>
      <c r="R281" s="702">
        <v>0</v>
      </c>
      <c r="S281" s="702">
        <v>0</v>
      </c>
      <c r="T281" s="702">
        <v>0</v>
      </c>
      <c r="U281" s="702">
        <v>0</v>
      </c>
      <c r="V281" s="702">
        <v>0</v>
      </c>
      <c r="W281" s="702">
        <v>0</v>
      </c>
      <c r="X281" s="702">
        <v>0</v>
      </c>
      <c r="Y281" s="702">
        <v>0</v>
      </c>
      <c r="Z281" s="702">
        <v>0</v>
      </c>
      <c r="AA281" s="702">
        <v>0</v>
      </c>
      <c r="AB281" s="702">
        <v>0</v>
      </c>
      <c r="AC281" s="702">
        <v>0</v>
      </c>
    </row>
    <row r="282" spans="1:29" s="685" customFormat="1">
      <c r="A282" s="791" t="s">
        <v>27</v>
      </c>
      <c r="B282" s="792" t="s">
        <v>509</v>
      </c>
      <c r="C282" s="880">
        <v>0</v>
      </c>
      <c r="D282" s="880">
        <v>0</v>
      </c>
      <c r="E282" s="880">
        <v>10000</v>
      </c>
      <c r="F282" s="880">
        <v>15000</v>
      </c>
      <c r="G282" s="880">
        <v>0</v>
      </c>
      <c r="H282" s="880">
        <v>75875</v>
      </c>
      <c r="I282" s="880">
        <v>60000</v>
      </c>
      <c r="J282" s="880">
        <v>20000</v>
      </c>
      <c r="K282" s="880">
        <v>0</v>
      </c>
      <c r="L282" s="880">
        <v>20000</v>
      </c>
      <c r="M282" s="880">
        <v>75875</v>
      </c>
      <c r="N282" s="880">
        <v>0</v>
      </c>
      <c r="O282" s="880">
        <v>0</v>
      </c>
      <c r="P282" s="880">
        <v>0</v>
      </c>
      <c r="Q282" s="880">
        <v>0</v>
      </c>
      <c r="R282" s="880">
        <v>0</v>
      </c>
      <c r="S282" s="880">
        <v>0</v>
      </c>
      <c r="T282" s="880">
        <v>0</v>
      </c>
      <c r="U282" s="880">
        <v>0</v>
      </c>
      <c r="V282" s="880">
        <v>0</v>
      </c>
      <c r="W282" s="880">
        <v>0</v>
      </c>
      <c r="X282" s="880">
        <v>0</v>
      </c>
      <c r="Y282" s="880">
        <v>0</v>
      </c>
      <c r="Z282" s="880">
        <v>0</v>
      </c>
      <c r="AA282" s="880">
        <v>0</v>
      </c>
      <c r="AB282" s="880">
        <v>49375</v>
      </c>
      <c r="AC282" s="880">
        <v>0</v>
      </c>
    </row>
    <row r="283" spans="1:29" s="685" customFormat="1">
      <c r="A283" s="791"/>
      <c r="B283" s="792"/>
      <c r="C283" s="968">
        <v>326125</v>
      </c>
      <c r="D283" s="968">
        <v>326125</v>
      </c>
      <c r="E283" s="968">
        <v>326125</v>
      </c>
      <c r="F283" s="968">
        <v>316125</v>
      </c>
      <c r="G283" s="968">
        <v>301125</v>
      </c>
      <c r="H283" s="968">
        <v>301125</v>
      </c>
      <c r="I283" s="968">
        <v>225250</v>
      </c>
      <c r="J283" s="968">
        <v>165250</v>
      </c>
      <c r="K283" s="968">
        <v>145250</v>
      </c>
      <c r="L283" s="968">
        <v>145250</v>
      </c>
      <c r="M283" s="968">
        <v>125250</v>
      </c>
      <c r="N283" s="968">
        <v>49375</v>
      </c>
      <c r="O283" s="968">
        <v>49375</v>
      </c>
      <c r="P283" s="968">
        <v>49375</v>
      </c>
      <c r="Q283" s="968">
        <v>49375</v>
      </c>
      <c r="R283" s="968">
        <v>49375</v>
      </c>
      <c r="S283" s="968">
        <v>49375</v>
      </c>
      <c r="T283" s="968">
        <v>49375</v>
      </c>
      <c r="U283" s="968">
        <v>49375</v>
      </c>
      <c r="V283" s="968">
        <v>49375</v>
      </c>
      <c r="W283" s="968">
        <v>49375</v>
      </c>
      <c r="X283" s="968">
        <v>49375</v>
      </c>
      <c r="Y283" s="968">
        <v>49375</v>
      </c>
      <c r="Z283" s="968">
        <v>49375</v>
      </c>
      <c r="AA283" s="968">
        <v>49375</v>
      </c>
      <c r="AB283" s="968">
        <v>49375</v>
      </c>
      <c r="AC283" s="968">
        <v>0</v>
      </c>
    </row>
    <row r="284" spans="1:29" s="685" customFormat="1">
      <c r="A284" s="791" t="s">
        <v>180</v>
      </c>
      <c r="B284" s="792"/>
      <c r="C284" s="1023">
        <v>0</v>
      </c>
      <c r="D284" s="1023">
        <v>0</v>
      </c>
      <c r="E284" s="1023">
        <v>0</v>
      </c>
      <c r="F284" s="1023">
        <v>0</v>
      </c>
      <c r="G284" s="1023">
        <v>0</v>
      </c>
      <c r="H284" s="1023">
        <v>0</v>
      </c>
      <c r="I284" s="1023">
        <v>0</v>
      </c>
      <c r="J284" s="1023">
        <v>0</v>
      </c>
      <c r="K284" s="1023">
        <v>0</v>
      </c>
      <c r="L284" s="1023">
        <v>0</v>
      </c>
      <c r="M284" s="1023">
        <v>0</v>
      </c>
      <c r="N284" s="1023">
        <v>0</v>
      </c>
      <c r="O284" s="1023">
        <v>10000</v>
      </c>
      <c r="P284" s="1023">
        <v>10000</v>
      </c>
      <c r="Q284" s="1023">
        <v>0</v>
      </c>
      <c r="R284" s="1023">
        <v>0</v>
      </c>
      <c r="S284" s="1023">
        <v>18000</v>
      </c>
      <c r="T284" s="1023">
        <v>0</v>
      </c>
      <c r="U284" s="1023">
        <v>0</v>
      </c>
      <c r="V284" s="1023">
        <v>0</v>
      </c>
      <c r="W284" s="1023">
        <v>0</v>
      </c>
      <c r="X284" s="1023">
        <v>0</v>
      </c>
      <c r="Y284" s="1023">
        <v>0</v>
      </c>
      <c r="Z284" s="1023">
        <v>0</v>
      </c>
      <c r="AA284" s="1023">
        <v>0</v>
      </c>
      <c r="AB284" s="1023">
        <v>0</v>
      </c>
      <c r="AC284" s="1023">
        <v>0</v>
      </c>
    </row>
    <row r="285" spans="1:29" s="685" customFormat="1">
      <c r="A285" s="791"/>
      <c r="B285" s="792"/>
      <c r="C285" s="968">
        <v>38000</v>
      </c>
      <c r="D285" s="968">
        <v>38000</v>
      </c>
      <c r="E285" s="968">
        <v>38000</v>
      </c>
      <c r="F285" s="968">
        <v>38000</v>
      </c>
      <c r="G285" s="968">
        <v>38000</v>
      </c>
      <c r="H285" s="968">
        <v>38000</v>
      </c>
      <c r="I285" s="968">
        <v>38000</v>
      </c>
      <c r="J285" s="968">
        <v>38000</v>
      </c>
      <c r="K285" s="968">
        <v>38000</v>
      </c>
      <c r="L285" s="968">
        <v>38000</v>
      </c>
      <c r="M285" s="968">
        <v>38000</v>
      </c>
      <c r="N285" s="968">
        <v>38000</v>
      </c>
      <c r="O285" s="968">
        <v>38000</v>
      </c>
      <c r="P285" s="968">
        <v>28000</v>
      </c>
      <c r="Q285" s="968">
        <v>18000</v>
      </c>
      <c r="R285" s="968">
        <v>18000</v>
      </c>
      <c r="S285" s="968">
        <v>18000</v>
      </c>
      <c r="T285" s="968">
        <v>0</v>
      </c>
      <c r="U285" s="968">
        <v>0</v>
      </c>
      <c r="V285" s="968">
        <v>0</v>
      </c>
      <c r="W285" s="968">
        <v>0</v>
      </c>
      <c r="X285" s="968">
        <v>0</v>
      </c>
      <c r="Y285" s="968">
        <v>0</v>
      </c>
      <c r="Z285" s="968">
        <v>0</v>
      </c>
      <c r="AA285" s="968">
        <v>0</v>
      </c>
      <c r="AB285" s="968">
        <v>0</v>
      </c>
      <c r="AC285" s="968">
        <v>0</v>
      </c>
    </row>
    <row r="286" spans="1:29" s="685" customFormat="1">
      <c r="A286" s="791" t="s">
        <v>59</v>
      </c>
      <c r="B286" s="792"/>
      <c r="C286" s="880">
        <v>0</v>
      </c>
      <c r="D286" s="880">
        <v>1609334</v>
      </c>
      <c r="E286" s="880">
        <v>101000</v>
      </c>
      <c r="F286" s="880">
        <v>20000</v>
      </c>
      <c r="G286" s="880">
        <v>0</v>
      </c>
      <c r="H286" s="880">
        <v>75875</v>
      </c>
      <c r="I286" s="880">
        <v>65000</v>
      </c>
      <c r="J286" s="880">
        <v>20000</v>
      </c>
      <c r="K286" s="880">
        <v>200000</v>
      </c>
      <c r="L286" s="880">
        <v>220000</v>
      </c>
      <c r="M286" s="880">
        <v>175875</v>
      </c>
      <c r="N286" s="880">
        <v>10000</v>
      </c>
      <c r="O286" s="880">
        <v>10000</v>
      </c>
      <c r="P286" s="880">
        <v>10000</v>
      </c>
      <c r="Q286" s="880">
        <v>0</v>
      </c>
      <c r="R286" s="880">
        <v>0</v>
      </c>
      <c r="S286" s="880">
        <v>18000</v>
      </c>
      <c r="T286" s="880">
        <v>0</v>
      </c>
      <c r="U286" s="880">
        <v>0</v>
      </c>
      <c r="V286" s="880">
        <v>0</v>
      </c>
      <c r="W286" s="880">
        <v>0</v>
      </c>
      <c r="X286" s="880">
        <v>102400</v>
      </c>
      <c r="Y286" s="880">
        <v>0</v>
      </c>
      <c r="Z286" s="880">
        <v>0</v>
      </c>
      <c r="AA286" s="880">
        <v>0</v>
      </c>
      <c r="AB286" s="880">
        <v>49375</v>
      </c>
      <c r="AC286" s="880">
        <v>0</v>
      </c>
    </row>
    <row r="287" spans="1:29" s="685" customFormat="1">
      <c r="A287" s="791"/>
      <c r="B287" s="792"/>
      <c r="C287" s="702">
        <v>2686859</v>
      </c>
      <c r="D287" s="702">
        <v>2686859</v>
      </c>
      <c r="E287" s="702">
        <v>1077525</v>
      </c>
      <c r="F287" s="702">
        <v>976525</v>
      </c>
      <c r="G287" s="702">
        <v>956525</v>
      </c>
      <c r="H287" s="702">
        <v>956525</v>
      </c>
      <c r="I287" s="702">
        <v>880650</v>
      </c>
      <c r="J287" s="702">
        <v>815650</v>
      </c>
      <c r="K287" s="702">
        <v>795650</v>
      </c>
      <c r="L287" s="702">
        <v>595650</v>
      </c>
      <c r="M287" s="702">
        <v>375650</v>
      </c>
      <c r="N287" s="702">
        <v>199775</v>
      </c>
      <c r="O287" s="702">
        <v>189775</v>
      </c>
      <c r="P287" s="702">
        <v>179775</v>
      </c>
      <c r="Q287" s="702">
        <v>169775</v>
      </c>
      <c r="R287" s="702">
        <v>169775</v>
      </c>
      <c r="S287" s="702">
        <v>169775</v>
      </c>
      <c r="T287" s="702">
        <v>151775</v>
      </c>
      <c r="U287" s="702">
        <v>151775</v>
      </c>
      <c r="V287" s="702">
        <v>151775</v>
      </c>
      <c r="W287" s="702">
        <v>151775</v>
      </c>
      <c r="X287" s="702">
        <v>151775</v>
      </c>
      <c r="Y287" s="702">
        <v>49375</v>
      </c>
      <c r="Z287" s="702">
        <v>49375</v>
      </c>
      <c r="AA287" s="702">
        <v>49375</v>
      </c>
      <c r="AB287" s="702">
        <v>49375</v>
      </c>
      <c r="AC287" s="702">
        <v>0</v>
      </c>
    </row>
    <row r="288" spans="1:29" s="685" customFormat="1">
      <c r="A288" s="793" t="s">
        <v>350</v>
      </c>
      <c r="B288" s="794"/>
      <c r="C288" s="882">
        <v>352230</v>
      </c>
      <c r="D288" s="882">
        <v>-1083217</v>
      </c>
      <c r="E288" s="882">
        <v>376597</v>
      </c>
      <c r="F288" s="882">
        <v>431582</v>
      </c>
      <c r="G288" s="882">
        <v>514163</v>
      </c>
      <c r="H288" s="882">
        <v>489161</v>
      </c>
      <c r="I288" s="882">
        <v>763313</v>
      </c>
      <c r="J288" s="882">
        <v>792758</v>
      </c>
      <c r="K288" s="882">
        <v>347417</v>
      </c>
      <c r="L288" s="882">
        <v>432564</v>
      </c>
      <c r="M288" s="882">
        <v>1938445</v>
      </c>
      <c r="N288" s="882">
        <v>-10000</v>
      </c>
      <c r="O288" s="882">
        <v>740931</v>
      </c>
      <c r="P288" s="882">
        <v>255234</v>
      </c>
      <c r="Q288" s="882">
        <v>274705</v>
      </c>
      <c r="R288" s="882">
        <v>529017</v>
      </c>
      <c r="S288" s="882">
        <v>638972</v>
      </c>
      <c r="T288" s="882">
        <v>555117</v>
      </c>
      <c r="U288" s="882">
        <v>998882</v>
      </c>
      <c r="V288" s="882">
        <v>367616</v>
      </c>
      <c r="W288" s="882">
        <v>364219</v>
      </c>
      <c r="X288" s="882">
        <v>390857</v>
      </c>
      <c r="Y288" s="882">
        <v>446616</v>
      </c>
      <c r="Z288" s="882">
        <v>0</v>
      </c>
      <c r="AA288" s="882">
        <v>270030</v>
      </c>
      <c r="AB288" s="882">
        <v>400728</v>
      </c>
      <c r="AC288" s="882">
        <v>0</v>
      </c>
    </row>
    <row r="289" spans="1:29" s="685" customFormat="1">
      <c r="A289" s="793"/>
      <c r="B289" s="794"/>
      <c r="C289" s="702">
        <v>11577937</v>
      </c>
      <c r="D289" s="702">
        <v>11225707</v>
      </c>
      <c r="E289" s="702">
        <v>12308924</v>
      </c>
      <c r="F289" s="702">
        <v>11932327</v>
      </c>
      <c r="G289" s="702">
        <v>11500745</v>
      </c>
      <c r="H289" s="702">
        <v>10986582</v>
      </c>
      <c r="I289" s="702">
        <v>10497421</v>
      </c>
      <c r="J289" s="702">
        <v>9734108</v>
      </c>
      <c r="K289" s="702">
        <v>8941350</v>
      </c>
      <c r="L289" s="702">
        <v>8593933</v>
      </c>
      <c r="M289" s="702">
        <v>8161369</v>
      </c>
      <c r="N289" s="702">
        <v>6222924</v>
      </c>
      <c r="O289" s="702">
        <v>6232924</v>
      </c>
      <c r="P289" s="702">
        <v>5491993</v>
      </c>
      <c r="Q289" s="702">
        <v>5236759</v>
      </c>
      <c r="R289" s="702">
        <v>4962054</v>
      </c>
      <c r="S289" s="702">
        <v>4433037</v>
      </c>
      <c r="T289" s="702">
        <v>3794065</v>
      </c>
      <c r="U289" s="702">
        <v>3238948</v>
      </c>
      <c r="V289" s="702">
        <v>2240066</v>
      </c>
      <c r="W289" s="702">
        <v>1872450</v>
      </c>
      <c r="X289" s="702">
        <v>1508231</v>
      </c>
      <c r="Y289" s="702">
        <v>1117374</v>
      </c>
      <c r="Z289" s="702">
        <v>670758</v>
      </c>
      <c r="AA289" s="702">
        <v>670758</v>
      </c>
      <c r="AB289" s="702">
        <v>400728</v>
      </c>
      <c r="AC289" s="702">
        <v>0</v>
      </c>
    </row>
    <row r="290" spans="1:29" s="685" customFormat="1">
      <c r="A290" s="795"/>
      <c r="B290" s="748"/>
      <c r="C290" s="704"/>
      <c r="D290" s="704"/>
      <c r="E290" s="704"/>
      <c r="F290" s="704"/>
      <c r="G290" s="704"/>
      <c r="H290" s="704"/>
      <c r="I290" s="704"/>
      <c r="J290" s="704"/>
      <c r="K290" s="704"/>
      <c r="L290" s="704"/>
      <c r="M290" s="704"/>
      <c r="N290" s="704"/>
      <c r="O290" s="704"/>
      <c r="P290" s="704"/>
      <c r="Q290" s="704"/>
      <c r="R290" s="704"/>
      <c r="S290" s="704"/>
      <c r="T290" s="704"/>
      <c r="U290" s="704"/>
      <c r="V290" s="704"/>
      <c r="W290" s="704"/>
      <c r="X290" s="704"/>
      <c r="Y290" s="704"/>
      <c r="Z290" s="704"/>
      <c r="AA290" s="704"/>
      <c r="AB290" s="704"/>
      <c r="AC290" s="704"/>
    </row>
    <row r="291" spans="1:29" s="685" customFormat="1">
      <c r="A291" s="796" t="s">
        <v>228</v>
      </c>
      <c r="B291" s="788" t="s">
        <v>289</v>
      </c>
      <c r="C291" s="880">
        <v>1166650</v>
      </c>
      <c r="D291" s="880">
        <v>467169</v>
      </c>
      <c r="E291" s="880">
        <v>257017</v>
      </c>
      <c r="F291" s="880">
        <v>550211</v>
      </c>
      <c r="G291" s="880">
        <v>421121</v>
      </c>
      <c r="H291" s="880">
        <v>326111</v>
      </c>
      <c r="I291" s="880">
        <v>662098</v>
      </c>
      <c r="J291" s="880">
        <v>639653</v>
      </c>
      <c r="K291" s="880">
        <v>442908</v>
      </c>
      <c r="L291" s="880">
        <v>856269</v>
      </c>
      <c r="M291" s="880">
        <v>1785508</v>
      </c>
      <c r="N291" s="880">
        <v>0</v>
      </c>
      <c r="O291" s="880">
        <v>548471</v>
      </c>
      <c r="P291" s="880">
        <v>442809</v>
      </c>
      <c r="Q291" s="880">
        <v>351212</v>
      </c>
      <c r="R291" s="880">
        <v>402111</v>
      </c>
      <c r="S291" s="880">
        <v>305616</v>
      </c>
      <c r="T291" s="880">
        <v>573709</v>
      </c>
      <c r="U291" s="880">
        <v>870640</v>
      </c>
      <c r="V291" s="880">
        <v>501411</v>
      </c>
      <c r="W291" s="880">
        <v>392266</v>
      </c>
      <c r="X291" s="880">
        <v>330910</v>
      </c>
      <c r="Y291" s="880">
        <v>321716</v>
      </c>
      <c r="Z291" s="880">
        <v>0</v>
      </c>
      <c r="AA291" s="880">
        <v>288597</v>
      </c>
      <c r="AB291" s="880">
        <v>212610</v>
      </c>
      <c r="AC291" s="880">
        <v>0</v>
      </c>
    </row>
    <row r="292" spans="1:29" s="685" customFormat="1">
      <c r="A292" s="787"/>
      <c r="B292" s="788"/>
      <c r="C292" s="702">
        <v>13116793</v>
      </c>
      <c r="D292" s="702">
        <v>11950143</v>
      </c>
      <c r="E292" s="702">
        <v>11482974</v>
      </c>
      <c r="F292" s="702">
        <v>11225957</v>
      </c>
      <c r="G292" s="702">
        <v>10675746</v>
      </c>
      <c r="H292" s="702">
        <v>10254625</v>
      </c>
      <c r="I292" s="702">
        <v>9928514</v>
      </c>
      <c r="J292" s="702">
        <v>9266416</v>
      </c>
      <c r="K292" s="702">
        <v>8626763</v>
      </c>
      <c r="L292" s="702">
        <v>8183855</v>
      </c>
      <c r="M292" s="702">
        <v>7327586</v>
      </c>
      <c r="N292" s="702">
        <v>5542078</v>
      </c>
      <c r="O292" s="702">
        <v>5542078</v>
      </c>
      <c r="P292" s="702">
        <v>4993607</v>
      </c>
      <c r="Q292" s="702">
        <v>4550798</v>
      </c>
      <c r="R292" s="702">
        <v>4199586</v>
      </c>
      <c r="S292" s="702">
        <v>3797475</v>
      </c>
      <c r="T292" s="702">
        <v>3491859</v>
      </c>
      <c r="U292" s="702">
        <v>2918150</v>
      </c>
      <c r="V292" s="702">
        <v>2047510</v>
      </c>
      <c r="W292" s="702">
        <v>1546099</v>
      </c>
      <c r="X292" s="702">
        <v>1153833</v>
      </c>
      <c r="Y292" s="702">
        <v>822923</v>
      </c>
      <c r="Z292" s="702">
        <v>501207</v>
      </c>
      <c r="AA292" s="702">
        <v>501207</v>
      </c>
      <c r="AB292" s="702">
        <v>212610</v>
      </c>
      <c r="AC292" s="702">
        <v>0</v>
      </c>
    </row>
    <row r="293" spans="1:29" s="685" customFormat="1">
      <c r="A293" s="789" t="s">
        <v>100</v>
      </c>
      <c r="B293" s="790"/>
      <c r="C293" s="879"/>
      <c r="D293" s="879"/>
      <c r="E293" s="879"/>
      <c r="F293" s="879"/>
      <c r="G293" s="879"/>
      <c r="H293" s="879"/>
      <c r="I293" s="879"/>
      <c r="J293" s="879"/>
      <c r="K293" s="879"/>
      <c r="L293" s="879"/>
      <c r="M293" s="879"/>
      <c r="N293" s="879"/>
      <c r="O293" s="879"/>
      <c r="P293" s="879"/>
      <c r="Q293" s="879"/>
      <c r="R293" s="879"/>
      <c r="S293" s="879"/>
      <c r="T293" s="879"/>
      <c r="U293" s="879"/>
      <c r="V293" s="879"/>
      <c r="W293" s="879"/>
      <c r="X293" s="879"/>
      <c r="Y293" s="879"/>
      <c r="Z293" s="879"/>
      <c r="AA293" s="879"/>
      <c r="AB293" s="879"/>
      <c r="AC293" s="879"/>
    </row>
    <row r="294" spans="1:29" s="685" customFormat="1">
      <c r="A294" s="791" t="s">
        <v>337</v>
      </c>
      <c r="B294" s="792" t="s">
        <v>510</v>
      </c>
      <c r="C294" s="880">
        <v>0</v>
      </c>
      <c r="D294" s="880">
        <v>0</v>
      </c>
      <c r="E294" s="880">
        <v>0</v>
      </c>
      <c r="F294" s="880">
        <v>0</v>
      </c>
      <c r="G294" s="880">
        <v>0</v>
      </c>
      <c r="H294" s="880">
        <v>0</v>
      </c>
      <c r="I294" s="880">
        <v>0</v>
      </c>
      <c r="J294" s="880">
        <v>0</v>
      </c>
      <c r="K294" s="880">
        <v>0</v>
      </c>
      <c r="L294" s="880">
        <v>0</v>
      </c>
      <c r="M294" s="880">
        <v>0</v>
      </c>
      <c r="N294" s="880">
        <v>0</v>
      </c>
      <c r="O294" s="880">
        <v>0</v>
      </c>
      <c r="P294" s="880">
        <v>0</v>
      </c>
      <c r="Q294" s="880">
        <v>0</v>
      </c>
      <c r="R294" s="880">
        <v>0</v>
      </c>
      <c r="S294" s="880">
        <v>0</v>
      </c>
      <c r="T294" s="880">
        <v>0</v>
      </c>
      <c r="U294" s="880">
        <v>0</v>
      </c>
      <c r="V294" s="880">
        <v>0</v>
      </c>
      <c r="W294" s="880">
        <v>0</v>
      </c>
      <c r="X294" s="880">
        <v>0</v>
      </c>
      <c r="Y294" s="880">
        <v>0</v>
      </c>
      <c r="Z294" s="880">
        <v>0</v>
      </c>
      <c r="AA294" s="880">
        <v>0</v>
      </c>
      <c r="AB294" s="880">
        <v>0</v>
      </c>
      <c r="AC294" s="880">
        <v>0</v>
      </c>
    </row>
    <row r="295" spans="1:29" s="685" customFormat="1">
      <c r="A295" s="791"/>
      <c r="B295" s="792"/>
      <c r="C295" s="702">
        <v>0</v>
      </c>
      <c r="D295" s="702">
        <v>0</v>
      </c>
      <c r="E295" s="702">
        <v>0</v>
      </c>
      <c r="F295" s="702">
        <v>0</v>
      </c>
      <c r="G295" s="702">
        <v>0</v>
      </c>
      <c r="H295" s="702">
        <v>0</v>
      </c>
      <c r="I295" s="702">
        <v>0</v>
      </c>
      <c r="J295" s="702">
        <v>0</v>
      </c>
      <c r="K295" s="702">
        <v>0</v>
      </c>
      <c r="L295" s="702">
        <v>0</v>
      </c>
      <c r="M295" s="702">
        <v>0</v>
      </c>
      <c r="N295" s="702">
        <v>0</v>
      </c>
      <c r="O295" s="702">
        <v>0</v>
      </c>
      <c r="P295" s="702">
        <v>0</v>
      </c>
      <c r="Q295" s="702">
        <v>0</v>
      </c>
      <c r="R295" s="702">
        <v>0</v>
      </c>
      <c r="S295" s="702">
        <v>0</v>
      </c>
      <c r="T295" s="702">
        <v>0</v>
      </c>
      <c r="U295" s="702">
        <v>0</v>
      </c>
      <c r="V295" s="702">
        <v>0</v>
      </c>
      <c r="W295" s="702">
        <v>0</v>
      </c>
      <c r="X295" s="702">
        <v>0</v>
      </c>
      <c r="Y295" s="702">
        <v>0</v>
      </c>
      <c r="Z295" s="702">
        <v>0</v>
      </c>
      <c r="AA295" s="702">
        <v>0</v>
      </c>
      <c r="AB295" s="702">
        <v>0</v>
      </c>
      <c r="AC295" s="702">
        <v>0</v>
      </c>
    </row>
    <row r="296" spans="1:29" s="685" customFormat="1">
      <c r="A296" s="791" t="s">
        <v>353</v>
      </c>
      <c r="B296" s="792" t="s">
        <v>511</v>
      </c>
      <c r="C296" s="880">
        <v>0</v>
      </c>
      <c r="D296" s="880">
        <v>0</v>
      </c>
      <c r="E296" s="880">
        <v>0</v>
      </c>
      <c r="F296" s="880">
        <v>0</v>
      </c>
      <c r="G296" s="880">
        <v>0</v>
      </c>
      <c r="H296" s="880">
        <v>0</v>
      </c>
      <c r="I296" s="880">
        <v>0</v>
      </c>
      <c r="J296" s="880">
        <v>0</v>
      </c>
      <c r="K296" s="880">
        <v>10000</v>
      </c>
      <c r="L296" s="880">
        <v>0</v>
      </c>
      <c r="M296" s="880">
        <v>10000</v>
      </c>
      <c r="N296" s="880">
        <v>0</v>
      </c>
      <c r="O296" s="880">
        <v>0</v>
      </c>
      <c r="P296" s="880">
        <v>0</v>
      </c>
      <c r="Q296" s="880">
        <v>0</v>
      </c>
      <c r="R296" s="880">
        <v>0</v>
      </c>
      <c r="S296" s="880">
        <v>0</v>
      </c>
      <c r="T296" s="880">
        <v>0</v>
      </c>
      <c r="U296" s="880">
        <v>0</v>
      </c>
      <c r="V296" s="880">
        <v>0</v>
      </c>
      <c r="W296" s="880">
        <v>0</v>
      </c>
      <c r="X296" s="880">
        <v>0</v>
      </c>
      <c r="Y296" s="880">
        <v>0</v>
      </c>
      <c r="Z296" s="880">
        <v>0</v>
      </c>
      <c r="AA296" s="880">
        <v>0</v>
      </c>
      <c r="AB296" s="880">
        <v>0</v>
      </c>
      <c r="AC296" s="880">
        <v>0</v>
      </c>
    </row>
    <row r="297" spans="1:29" s="685" customFormat="1">
      <c r="A297" s="791"/>
      <c r="B297" s="792"/>
      <c r="C297" s="702">
        <v>20000</v>
      </c>
      <c r="D297" s="702">
        <v>20000</v>
      </c>
      <c r="E297" s="702">
        <v>20000</v>
      </c>
      <c r="F297" s="702">
        <v>20000</v>
      </c>
      <c r="G297" s="702">
        <v>20000</v>
      </c>
      <c r="H297" s="702">
        <v>20000</v>
      </c>
      <c r="I297" s="702">
        <v>20000</v>
      </c>
      <c r="J297" s="702">
        <v>20000</v>
      </c>
      <c r="K297" s="702">
        <v>20000</v>
      </c>
      <c r="L297" s="702">
        <v>10000</v>
      </c>
      <c r="M297" s="702">
        <v>10000</v>
      </c>
      <c r="N297" s="702">
        <v>0</v>
      </c>
      <c r="O297" s="702">
        <v>0</v>
      </c>
      <c r="P297" s="702">
        <v>0</v>
      </c>
      <c r="Q297" s="702">
        <v>0</v>
      </c>
      <c r="R297" s="702">
        <v>0</v>
      </c>
      <c r="S297" s="702">
        <v>0</v>
      </c>
      <c r="T297" s="702">
        <v>0</v>
      </c>
      <c r="U297" s="702">
        <v>0</v>
      </c>
      <c r="V297" s="702">
        <v>0</v>
      </c>
      <c r="W297" s="702">
        <v>0</v>
      </c>
      <c r="X297" s="702">
        <v>0</v>
      </c>
      <c r="Y297" s="702">
        <v>0</v>
      </c>
      <c r="Z297" s="702">
        <v>0</v>
      </c>
      <c r="AA297" s="702">
        <v>0</v>
      </c>
      <c r="AB297" s="702">
        <v>0</v>
      </c>
      <c r="AC297" s="702">
        <v>0</v>
      </c>
    </row>
    <row r="298" spans="1:29" s="685" customFormat="1">
      <c r="A298" s="791" t="s">
        <v>245</v>
      </c>
      <c r="B298" s="792" t="s">
        <v>512</v>
      </c>
      <c r="C298" s="880">
        <v>0</v>
      </c>
      <c r="D298" s="880">
        <v>0</v>
      </c>
      <c r="E298" s="880">
        <v>0</v>
      </c>
      <c r="F298" s="880">
        <v>0</v>
      </c>
      <c r="G298" s="880">
        <v>0</v>
      </c>
      <c r="H298" s="880">
        <v>0</v>
      </c>
      <c r="I298" s="880">
        <v>0</v>
      </c>
      <c r="J298" s="880">
        <v>0</v>
      </c>
      <c r="K298" s="880">
        <v>0</v>
      </c>
      <c r="L298" s="880">
        <v>0</v>
      </c>
      <c r="M298" s="880">
        <v>0</v>
      </c>
      <c r="N298" s="880">
        <v>0</v>
      </c>
      <c r="O298" s="880">
        <v>0</v>
      </c>
      <c r="P298" s="880">
        <v>45999</v>
      </c>
      <c r="Q298" s="880">
        <v>0</v>
      </c>
      <c r="R298" s="880">
        <v>0</v>
      </c>
      <c r="S298" s="880">
        <v>0</v>
      </c>
      <c r="T298" s="880">
        <v>0</v>
      </c>
      <c r="U298" s="880">
        <v>0</v>
      </c>
      <c r="V298" s="880">
        <v>0</v>
      </c>
      <c r="W298" s="880">
        <v>0</v>
      </c>
      <c r="X298" s="880">
        <v>0</v>
      </c>
      <c r="Y298" s="880">
        <v>0</v>
      </c>
      <c r="Z298" s="880">
        <v>0</v>
      </c>
      <c r="AA298" s="880">
        <v>0</v>
      </c>
      <c r="AB298" s="880">
        <v>0</v>
      </c>
      <c r="AC298" s="880">
        <v>0</v>
      </c>
    </row>
    <row r="299" spans="1:29" s="685" customFormat="1">
      <c r="A299" s="791"/>
      <c r="B299" s="792"/>
      <c r="C299" s="702">
        <v>45999</v>
      </c>
      <c r="D299" s="702">
        <v>45999</v>
      </c>
      <c r="E299" s="702">
        <v>45999</v>
      </c>
      <c r="F299" s="702">
        <v>45999</v>
      </c>
      <c r="G299" s="702">
        <v>45999</v>
      </c>
      <c r="H299" s="702">
        <v>45999</v>
      </c>
      <c r="I299" s="702">
        <v>45999</v>
      </c>
      <c r="J299" s="702">
        <v>45999</v>
      </c>
      <c r="K299" s="702">
        <v>45999</v>
      </c>
      <c r="L299" s="702">
        <v>45999</v>
      </c>
      <c r="M299" s="702">
        <v>45999</v>
      </c>
      <c r="N299" s="702">
        <v>45999</v>
      </c>
      <c r="O299" s="702">
        <v>45999</v>
      </c>
      <c r="P299" s="702">
        <v>45999</v>
      </c>
      <c r="Q299" s="702">
        <v>0</v>
      </c>
      <c r="R299" s="702">
        <v>0</v>
      </c>
      <c r="S299" s="702">
        <v>0</v>
      </c>
      <c r="T299" s="702">
        <v>0</v>
      </c>
      <c r="U299" s="702">
        <v>0</v>
      </c>
      <c r="V299" s="702">
        <v>0</v>
      </c>
      <c r="W299" s="702">
        <v>0</v>
      </c>
      <c r="X299" s="702">
        <v>0</v>
      </c>
      <c r="Y299" s="702">
        <v>0</v>
      </c>
      <c r="Z299" s="702">
        <v>0</v>
      </c>
      <c r="AA299" s="702">
        <v>0</v>
      </c>
      <c r="AB299" s="702">
        <v>0</v>
      </c>
      <c r="AC299" s="702">
        <v>0</v>
      </c>
    </row>
    <row r="300" spans="1:29" s="685" customFormat="1">
      <c r="A300" s="791" t="s">
        <v>349</v>
      </c>
      <c r="B300" s="792" t="s">
        <v>513</v>
      </c>
      <c r="C300" s="880">
        <v>0</v>
      </c>
      <c r="D300" s="880">
        <v>0</v>
      </c>
      <c r="E300" s="880">
        <v>0</v>
      </c>
      <c r="F300" s="880">
        <v>0</v>
      </c>
      <c r="G300" s="880">
        <v>0</v>
      </c>
      <c r="H300" s="880">
        <v>0</v>
      </c>
      <c r="I300" s="880">
        <v>0</v>
      </c>
      <c r="J300" s="880">
        <v>0</v>
      </c>
      <c r="K300" s="880">
        <v>0</v>
      </c>
      <c r="L300" s="880">
        <v>0</v>
      </c>
      <c r="M300" s="880">
        <v>0</v>
      </c>
      <c r="N300" s="880">
        <v>0</v>
      </c>
      <c r="O300" s="880">
        <v>0</v>
      </c>
      <c r="P300" s="880">
        <v>0</v>
      </c>
      <c r="Q300" s="880">
        <v>0</v>
      </c>
      <c r="R300" s="880">
        <v>0</v>
      </c>
      <c r="S300" s="880">
        <v>0</v>
      </c>
      <c r="T300" s="880">
        <v>0</v>
      </c>
      <c r="U300" s="880">
        <v>0</v>
      </c>
      <c r="V300" s="880">
        <v>0</v>
      </c>
      <c r="W300" s="880">
        <v>0</v>
      </c>
      <c r="X300" s="880">
        <v>0</v>
      </c>
      <c r="Y300" s="880">
        <v>0</v>
      </c>
      <c r="Z300" s="880">
        <v>0</v>
      </c>
      <c r="AA300" s="880">
        <v>0</v>
      </c>
      <c r="AB300" s="880">
        <v>0</v>
      </c>
      <c r="AC300" s="880">
        <v>0</v>
      </c>
    </row>
    <row r="301" spans="1:29" s="685" customFormat="1">
      <c r="A301" s="791"/>
      <c r="B301" s="792"/>
      <c r="C301" s="702">
        <v>0</v>
      </c>
      <c r="D301" s="702">
        <v>0</v>
      </c>
      <c r="E301" s="702">
        <v>0</v>
      </c>
      <c r="F301" s="702">
        <v>0</v>
      </c>
      <c r="G301" s="702">
        <v>0</v>
      </c>
      <c r="H301" s="702">
        <v>0</v>
      </c>
      <c r="I301" s="702">
        <v>0</v>
      </c>
      <c r="J301" s="702">
        <v>0</v>
      </c>
      <c r="K301" s="702">
        <v>0</v>
      </c>
      <c r="L301" s="702">
        <v>0</v>
      </c>
      <c r="M301" s="702">
        <v>0</v>
      </c>
      <c r="N301" s="702">
        <v>0</v>
      </c>
      <c r="O301" s="702">
        <v>0</v>
      </c>
      <c r="P301" s="702">
        <v>0</v>
      </c>
      <c r="Q301" s="702">
        <v>0</v>
      </c>
      <c r="R301" s="702">
        <v>0</v>
      </c>
      <c r="S301" s="702">
        <v>0</v>
      </c>
      <c r="T301" s="702">
        <v>0</v>
      </c>
      <c r="U301" s="702">
        <v>0</v>
      </c>
      <c r="V301" s="702">
        <v>0</v>
      </c>
      <c r="W301" s="702">
        <v>0</v>
      </c>
      <c r="X301" s="702">
        <v>0</v>
      </c>
      <c r="Y301" s="702">
        <v>0</v>
      </c>
      <c r="Z301" s="702">
        <v>0</v>
      </c>
      <c r="AA301" s="702">
        <v>0</v>
      </c>
      <c r="AB301" s="702">
        <v>0</v>
      </c>
      <c r="AC301" s="702">
        <v>0</v>
      </c>
    </row>
    <row r="302" spans="1:29" s="685" customFormat="1">
      <c r="A302" s="791" t="s">
        <v>247</v>
      </c>
      <c r="B302" s="792" t="s">
        <v>514</v>
      </c>
      <c r="C302" s="880">
        <v>0</v>
      </c>
      <c r="D302" s="880">
        <v>0</v>
      </c>
      <c r="E302" s="880">
        <v>0</v>
      </c>
      <c r="F302" s="880">
        <v>0</v>
      </c>
      <c r="G302" s="880">
        <v>0</v>
      </c>
      <c r="H302" s="880">
        <v>0</v>
      </c>
      <c r="I302" s="880">
        <v>202400</v>
      </c>
      <c r="J302" s="880">
        <v>0</v>
      </c>
      <c r="K302" s="880">
        <v>0</v>
      </c>
      <c r="L302" s="880">
        <v>0</v>
      </c>
      <c r="M302" s="880">
        <v>0</v>
      </c>
      <c r="N302" s="880">
        <v>0</v>
      </c>
      <c r="O302" s="880">
        <v>0</v>
      </c>
      <c r="P302" s="880">
        <v>0</v>
      </c>
      <c r="Q302" s="880">
        <v>0</v>
      </c>
      <c r="R302" s="880">
        <v>0</v>
      </c>
      <c r="S302" s="880">
        <v>0</v>
      </c>
      <c r="T302" s="880">
        <v>0</v>
      </c>
      <c r="U302" s="880">
        <v>0</v>
      </c>
      <c r="V302" s="880">
        <v>0</v>
      </c>
      <c r="W302" s="880">
        <v>0</v>
      </c>
      <c r="X302" s="880">
        <v>0</v>
      </c>
      <c r="Y302" s="880">
        <v>0</v>
      </c>
      <c r="Z302" s="880">
        <v>0</v>
      </c>
      <c r="AA302" s="880">
        <v>0</v>
      </c>
      <c r="AB302" s="880">
        <v>0</v>
      </c>
      <c r="AC302" s="880">
        <v>0</v>
      </c>
    </row>
    <row r="303" spans="1:29" s="685" customFormat="1">
      <c r="A303" s="791"/>
      <c r="B303" s="792"/>
      <c r="C303" s="702">
        <v>202400</v>
      </c>
      <c r="D303" s="702">
        <v>202400</v>
      </c>
      <c r="E303" s="702">
        <v>202400</v>
      </c>
      <c r="F303" s="702">
        <v>202400</v>
      </c>
      <c r="G303" s="702">
        <v>202400</v>
      </c>
      <c r="H303" s="702">
        <v>202400</v>
      </c>
      <c r="I303" s="702">
        <v>202400</v>
      </c>
      <c r="J303" s="702">
        <v>0</v>
      </c>
      <c r="K303" s="702">
        <v>0</v>
      </c>
      <c r="L303" s="702">
        <v>0</v>
      </c>
      <c r="M303" s="702">
        <v>0</v>
      </c>
      <c r="N303" s="702">
        <v>0</v>
      </c>
      <c r="O303" s="702">
        <v>0</v>
      </c>
      <c r="P303" s="702">
        <v>0</v>
      </c>
      <c r="Q303" s="702">
        <v>0</v>
      </c>
      <c r="R303" s="702">
        <v>0</v>
      </c>
      <c r="S303" s="702">
        <v>0</v>
      </c>
      <c r="T303" s="702">
        <v>0</v>
      </c>
      <c r="U303" s="702">
        <v>0</v>
      </c>
      <c r="V303" s="702">
        <v>0</v>
      </c>
      <c r="W303" s="702">
        <v>0</v>
      </c>
      <c r="X303" s="702">
        <v>0</v>
      </c>
      <c r="Y303" s="702">
        <v>0</v>
      </c>
      <c r="Z303" s="702">
        <v>0</v>
      </c>
      <c r="AA303" s="702">
        <v>0</v>
      </c>
      <c r="AB303" s="702">
        <v>0</v>
      </c>
      <c r="AC303" s="702">
        <v>0</v>
      </c>
    </row>
    <row r="304" spans="1:29" s="685" customFormat="1">
      <c r="A304" s="791" t="s">
        <v>187</v>
      </c>
      <c r="B304" s="792" t="s">
        <v>515</v>
      </c>
      <c r="C304" s="880">
        <v>380000</v>
      </c>
      <c r="D304" s="880">
        <v>1541000</v>
      </c>
      <c r="E304" s="880">
        <v>0</v>
      </c>
      <c r="F304" s="880">
        <v>0</v>
      </c>
      <c r="G304" s="880">
        <v>0</v>
      </c>
      <c r="H304" s="880">
        <v>0</v>
      </c>
      <c r="I304" s="880">
        <v>0</v>
      </c>
      <c r="J304" s="880">
        <v>0</v>
      </c>
      <c r="K304" s="880">
        <v>400000</v>
      </c>
      <c r="L304" s="880">
        <v>0</v>
      </c>
      <c r="M304" s="880">
        <v>50000</v>
      </c>
      <c r="N304" s="880">
        <v>0</v>
      </c>
      <c r="O304" s="880">
        <v>0</v>
      </c>
      <c r="P304" s="880">
        <v>0</v>
      </c>
      <c r="Q304" s="880">
        <v>0</v>
      </c>
      <c r="R304" s="880">
        <v>0</v>
      </c>
      <c r="S304" s="880">
        <v>0</v>
      </c>
      <c r="T304" s="880">
        <v>0</v>
      </c>
      <c r="U304" s="880">
        <v>0</v>
      </c>
      <c r="V304" s="880">
        <v>0</v>
      </c>
      <c r="W304" s="880">
        <v>0</v>
      </c>
      <c r="X304" s="880">
        <v>0</v>
      </c>
      <c r="Y304" s="880">
        <v>0</v>
      </c>
      <c r="Z304" s="880">
        <v>0</v>
      </c>
      <c r="AA304" s="880">
        <v>0</v>
      </c>
      <c r="AB304" s="880">
        <v>0</v>
      </c>
      <c r="AC304" s="880">
        <v>0</v>
      </c>
    </row>
    <row r="305" spans="1:29" s="685" customFormat="1">
      <c r="A305" s="791"/>
      <c r="B305" s="792"/>
      <c r="C305" s="702">
        <v>2371000</v>
      </c>
      <c r="D305" s="702">
        <v>1991000</v>
      </c>
      <c r="E305" s="702">
        <v>450000</v>
      </c>
      <c r="F305" s="702">
        <v>450000</v>
      </c>
      <c r="G305" s="702">
        <v>450000</v>
      </c>
      <c r="H305" s="702">
        <v>450000</v>
      </c>
      <c r="I305" s="702">
        <v>450000</v>
      </c>
      <c r="J305" s="702">
        <v>450000</v>
      </c>
      <c r="K305" s="702">
        <v>450000</v>
      </c>
      <c r="L305" s="702">
        <v>50000</v>
      </c>
      <c r="M305" s="702">
        <v>50000</v>
      </c>
      <c r="N305" s="702">
        <v>0</v>
      </c>
      <c r="O305" s="702">
        <v>0</v>
      </c>
      <c r="P305" s="702">
        <v>0</v>
      </c>
      <c r="Q305" s="702">
        <v>0</v>
      </c>
      <c r="R305" s="702">
        <v>0</v>
      </c>
      <c r="S305" s="702">
        <v>0</v>
      </c>
      <c r="T305" s="702">
        <v>0</v>
      </c>
      <c r="U305" s="702">
        <v>0</v>
      </c>
      <c r="V305" s="702">
        <v>0</v>
      </c>
      <c r="W305" s="702">
        <v>0</v>
      </c>
      <c r="X305" s="702">
        <v>0</v>
      </c>
      <c r="Y305" s="702">
        <v>0</v>
      </c>
      <c r="Z305" s="702">
        <v>0</v>
      </c>
      <c r="AA305" s="702">
        <v>0</v>
      </c>
      <c r="AB305" s="702">
        <v>0</v>
      </c>
      <c r="AC305" s="702">
        <v>0</v>
      </c>
    </row>
    <row r="306" spans="1:29" s="685" customFormat="1">
      <c r="A306" s="791" t="s">
        <v>246</v>
      </c>
      <c r="B306" s="792" t="s">
        <v>516</v>
      </c>
      <c r="C306" s="880">
        <v>0</v>
      </c>
      <c r="D306" s="880">
        <v>0</v>
      </c>
      <c r="E306" s="880">
        <v>0</v>
      </c>
      <c r="F306" s="880">
        <v>0</v>
      </c>
      <c r="G306" s="880">
        <v>0</v>
      </c>
      <c r="H306" s="880">
        <v>0</v>
      </c>
      <c r="I306" s="880">
        <v>0</v>
      </c>
      <c r="J306" s="880">
        <v>0</v>
      </c>
      <c r="K306" s="880">
        <v>0</v>
      </c>
      <c r="L306" s="880">
        <v>0</v>
      </c>
      <c r="M306" s="880">
        <v>0</v>
      </c>
      <c r="N306" s="880">
        <v>0</v>
      </c>
      <c r="O306" s="880">
        <v>0</v>
      </c>
      <c r="P306" s="880">
        <v>0</v>
      </c>
      <c r="Q306" s="880">
        <v>0</v>
      </c>
      <c r="R306" s="880">
        <v>0</v>
      </c>
      <c r="S306" s="880">
        <v>0</v>
      </c>
      <c r="T306" s="880">
        <v>0</v>
      </c>
      <c r="U306" s="880">
        <v>0</v>
      </c>
      <c r="V306" s="880">
        <v>0</v>
      </c>
      <c r="W306" s="880">
        <v>0</v>
      </c>
      <c r="X306" s="880">
        <v>0</v>
      </c>
      <c r="Y306" s="880">
        <v>0</v>
      </c>
      <c r="Z306" s="880">
        <v>0</v>
      </c>
      <c r="AA306" s="880">
        <v>0</v>
      </c>
      <c r="AB306" s="880">
        <v>0</v>
      </c>
      <c r="AC306" s="880">
        <v>0</v>
      </c>
    </row>
    <row r="307" spans="1:29" s="685" customFormat="1">
      <c r="A307" s="791"/>
      <c r="B307" s="792"/>
      <c r="C307" s="702">
        <v>0</v>
      </c>
      <c r="D307" s="702">
        <v>0</v>
      </c>
      <c r="E307" s="702">
        <v>0</v>
      </c>
      <c r="F307" s="702">
        <v>0</v>
      </c>
      <c r="G307" s="702">
        <v>0</v>
      </c>
      <c r="H307" s="702">
        <v>0</v>
      </c>
      <c r="I307" s="702">
        <v>0</v>
      </c>
      <c r="J307" s="702">
        <v>0</v>
      </c>
      <c r="K307" s="702">
        <v>0</v>
      </c>
      <c r="L307" s="702">
        <v>0</v>
      </c>
      <c r="M307" s="702">
        <v>0</v>
      </c>
      <c r="N307" s="702">
        <v>0</v>
      </c>
      <c r="O307" s="702">
        <v>0</v>
      </c>
      <c r="P307" s="702">
        <v>0</v>
      </c>
      <c r="Q307" s="702">
        <v>0</v>
      </c>
      <c r="R307" s="702">
        <v>0</v>
      </c>
      <c r="S307" s="702">
        <v>0</v>
      </c>
      <c r="T307" s="702">
        <v>0</v>
      </c>
      <c r="U307" s="702">
        <v>0</v>
      </c>
      <c r="V307" s="702">
        <v>0</v>
      </c>
      <c r="W307" s="702">
        <v>0</v>
      </c>
      <c r="X307" s="702">
        <v>0</v>
      </c>
      <c r="Y307" s="702">
        <v>0</v>
      </c>
      <c r="Z307" s="702">
        <v>0</v>
      </c>
      <c r="AA307" s="702">
        <v>0</v>
      </c>
      <c r="AB307" s="702">
        <v>0</v>
      </c>
      <c r="AC307" s="702">
        <v>0</v>
      </c>
    </row>
    <row r="308" spans="1:29" s="685" customFormat="1">
      <c r="A308" s="791" t="s">
        <v>334</v>
      </c>
      <c r="B308" s="792" t="s">
        <v>517</v>
      </c>
      <c r="C308" s="880">
        <v>0</v>
      </c>
      <c r="D308" s="880">
        <v>0</v>
      </c>
      <c r="E308" s="880">
        <v>0</v>
      </c>
      <c r="F308" s="880">
        <v>0</v>
      </c>
      <c r="G308" s="880">
        <v>0</v>
      </c>
      <c r="H308" s="880">
        <v>0</v>
      </c>
      <c r="I308" s="880">
        <v>0</v>
      </c>
      <c r="J308" s="880">
        <v>0</v>
      </c>
      <c r="K308" s="880">
        <v>0</v>
      </c>
      <c r="L308" s="880">
        <v>0</v>
      </c>
      <c r="M308" s="880">
        <v>0</v>
      </c>
      <c r="N308" s="880">
        <v>0</v>
      </c>
      <c r="O308" s="880">
        <v>0</v>
      </c>
      <c r="P308" s="880">
        <v>0</v>
      </c>
      <c r="Q308" s="880">
        <v>0</v>
      </c>
      <c r="R308" s="880">
        <v>0</v>
      </c>
      <c r="S308" s="880">
        <v>0</v>
      </c>
      <c r="T308" s="880">
        <v>0</v>
      </c>
      <c r="U308" s="880">
        <v>0</v>
      </c>
      <c r="V308" s="880">
        <v>0</v>
      </c>
      <c r="W308" s="880">
        <v>0</v>
      </c>
      <c r="X308" s="880">
        <v>0</v>
      </c>
      <c r="Y308" s="880">
        <v>0</v>
      </c>
      <c r="Z308" s="880">
        <v>0</v>
      </c>
      <c r="AA308" s="880">
        <v>0</v>
      </c>
      <c r="AB308" s="880">
        <v>0</v>
      </c>
      <c r="AC308" s="880">
        <v>0</v>
      </c>
    </row>
    <row r="309" spans="1:29" s="685" customFormat="1">
      <c r="A309" s="791"/>
      <c r="B309" s="792"/>
      <c r="C309" s="702">
        <v>0</v>
      </c>
      <c r="D309" s="702">
        <v>0</v>
      </c>
      <c r="E309" s="702">
        <v>0</v>
      </c>
      <c r="F309" s="702">
        <v>0</v>
      </c>
      <c r="G309" s="702">
        <v>0</v>
      </c>
      <c r="H309" s="702">
        <v>0</v>
      </c>
      <c r="I309" s="702">
        <v>0</v>
      </c>
      <c r="J309" s="702">
        <v>0</v>
      </c>
      <c r="K309" s="702">
        <v>0</v>
      </c>
      <c r="L309" s="702">
        <v>0</v>
      </c>
      <c r="M309" s="702">
        <v>0</v>
      </c>
      <c r="N309" s="702">
        <v>0</v>
      </c>
      <c r="O309" s="702">
        <v>0</v>
      </c>
      <c r="P309" s="702">
        <v>0</v>
      </c>
      <c r="Q309" s="702">
        <v>0</v>
      </c>
      <c r="R309" s="702">
        <v>0</v>
      </c>
      <c r="S309" s="702">
        <v>0</v>
      </c>
      <c r="T309" s="702">
        <v>0</v>
      </c>
      <c r="U309" s="702">
        <v>0</v>
      </c>
      <c r="V309" s="702">
        <v>0</v>
      </c>
      <c r="W309" s="702">
        <v>0</v>
      </c>
      <c r="X309" s="702">
        <v>0</v>
      </c>
      <c r="Y309" s="702">
        <v>0</v>
      </c>
      <c r="Z309" s="702">
        <v>0</v>
      </c>
      <c r="AA309" s="702">
        <v>0</v>
      </c>
      <c r="AB309" s="702">
        <v>0</v>
      </c>
      <c r="AC309" s="702">
        <v>0</v>
      </c>
    </row>
    <row r="310" spans="1:29" s="685" customFormat="1">
      <c r="A310" s="791" t="s">
        <v>27</v>
      </c>
      <c r="B310" s="792" t="s">
        <v>303</v>
      </c>
      <c r="C310" s="880">
        <v>0</v>
      </c>
      <c r="D310" s="880">
        <v>0</v>
      </c>
      <c r="E310" s="880">
        <v>0</v>
      </c>
      <c r="F310" s="880">
        <v>0</v>
      </c>
      <c r="G310" s="880">
        <v>0</v>
      </c>
      <c r="H310" s="880">
        <v>75875</v>
      </c>
      <c r="I310" s="880">
        <v>80000</v>
      </c>
      <c r="J310" s="880">
        <v>0</v>
      </c>
      <c r="K310" s="880">
        <v>0</v>
      </c>
      <c r="L310" s="880">
        <v>20000</v>
      </c>
      <c r="M310" s="880">
        <v>115875</v>
      </c>
      <c r="N310" s="880">
        <v>0</v>
      </c>
      <c r="O310" s="880">
        <v>0</v>
      </c>
      <c r="P310" s="880">
        <v>20000</v>
      </c>
      <c r="Q310" s="880">
        <v>0</v>
      </c>
      <c r="R310" s="880">
        <v>0</v>
      </c>
      <c r="S310" s="880">
        <v>0</v>
      </c>
      <c r="T310" s="880">
        <v>0</v>
      </c>
      <c r="U310" s="880">
        <v>0</v>
      </c>
      <c r="V310" s="880">
        <v>0</v>
      </c>
      <c r="W310" s="880">
        <v>0</v>
      </c>
      <c r="X310" s="880">
        <v>20000</v>
      </c>
      <c r="Y310" s="880">
        <v>0</v>
      </c>
      <c r="Z310" s="880">
        <v>0</v>
      </c>
      <c r="AA310" s="880">
        <v>0</v>
      </c>
      <c r="AB310" s="880">
        <v>364375</v>
      </c>
      <c r="AC310" s="880">
        <v>0</v>
      </c>
    </row>
    <row r="311" spans="1:29" s="685" customFormat="1">
      <c r="A311" s="791"/>
      <c r="B311" s="792"/>
      <c r="C311" s="702">
        <v>696125</v>
      </c>
      <c r="D311" s="702">
        <v>696125</v>
      </c>
      <c r="E311" s="702">
        <v>696125</v>
      </c>
      <c r="F311" s="702">
        <v>696125</v>
      </c>
      <c r="G311" s="702">
        <v>696125</v>
      </c>
      <c r="H311" s="702">
        <v>696125</v>
      </c>
      <c r="I311" s="702">
        <v>620250</v>
      </c>
      <c r="J311" s="702">
        <v>540250</v>
      </c>
      <c r="K311" s="702">
        <v>540250</v>
      </c>
      <c r="L311" s="702">
        <v>540250</v>
      </c>
      <c r="M311" s="702">
        <v>520250</v>
      </c>
      <c r="N311" s="702">
        <v>404375</v>
      </c>
      <c r="O311" s="702">
        <v>404375</v>
      </c>
      <c r="P311" s="702">
        <v>404375</v>
      </c>
      <c r="Q311" s="702">
        <v>384375</v>
      </c>
      <c r="R311" s="702">
        <v>384375</v>
      </c>
      <c r="S311" s="702">
        <v>384375</v>
      </c>
      <c r="T311" s="702">
        <v>384375</v>
      </c>
      <c r="U311" s="702">
        <v>384375</v>
      </c>
      <c r="V311" s="702">
        <v>384375</v>
      </c>
      <c r="W311" s="702">
        <v>384375</v>
      </c>
      <c r="X311" s="702">
        <v>384375</v>
      </c>
      <c r="Y311" s="702">
        <v>364375</v>
      </c>
      <c r="Z311" s="702">
        <v>364375</v>
      </c>
      <c r="AA311" s="702">
        <v>364375</v>
      </c>
      <c r="AB311" s="702">
        <v>364375</v>
      </c>
      <c r="AC311" s="702">
        <v>0</v>
      </c>
    </row>
    <row r="312" spans="1:29" s="685" customFormat="1">
      <c r="A312" s="791" t="s">
        <v>180</v>
      </c>
      <c r="B312" s="792"/>
      <c r="C312" s="1021">
        <v>0</v>
      </c>
      <c r="D312" s="1021">
        <v>0</v>
      </c>
      <c r="E312" s="1021">
        <v>0</v>
      </c>
      <c r="F312" s="1021">
        <v>0</v>
      </c>
      <c r="G312" s="1021">
        <v>0</v>
      </c>
      <c r="H312" s="1021">
        <v>0</v>
      </c>
      <c r="I312" s="1021">
        <v>0</v>
      </c>
      <c r="J312" s="1021">
        <v>0</v>
      </c>
      <c r="K312" s="1021">
        <v>0</v>
      </c>
      <c r="L312" s="1021">
        <v>0</v>
      </c>
      <c r="M312" s="1021">
        <v>0</v>
      </c>
      <c r="N312" s="1021">
        <v>0</v>
      </c>
      <c r="O312" s="1021">
        <v>10000</v>
      </c>
      <c r="P312" s="1021">
        <v>10000</v>
      </c>
      <c r="Q312" s="1021">
        <v>0</v>
      </c>
      <c r="R312" s="1021">
        <v>0</v>
      </c>
      <c r="S312" s="1021">
        <v>0</v>
      </c>
      <c r="T312" s="1021">
        <v>0</v>
      </c>
      <c r="U312" s="1021">
        <v>0</v>
      </c>
      <c r="V312" s="1021">
        <v>0</v>
      </c>
      <c r="W312" s="1021">
        <v>0</v>
      </c>
      <c r="X312" s="1021">
        <v>0</v>
      </c>
      <c r="Y312" s="1021">
        <v>0</v>
      </c>
      <c r="Z312" s="1021">
        <v>0</v>
      </c>
      <c r="AA312" s="1021">
        <v>0</v>
      </c>
      <c r="AB312" s="1021">
        <v>0</v>
      </c>
      <c r="AC312" s="1021">
        <v>0</v>
      </c>
    </row>
    <row r="313" spans="1:29" s="685" customFormat="1">
      <c r="A313" s="791"/>
      <c r="B313" s="792"/>
      <c r="C313" s="702">
        <v>20000</v>
      </c>
      <c r="D313" s="702">
        <v>20000</v>
      </c>
      <c r="E313" s="702">
        <v>20000</v>
      </c>
      <c r="F313" s="702">
        <v>20000</v>
      </c>
      <c r="G313" s="702">
        <v>20000</v>
      </c>
      <c r="H313" s="702">
        <v>20000</v>
      </c>
      <c r="I313" s="702">
        <v>20000</v>
      </c>
      <c r="J313" s="702">
        <v>20000</v>
      </c>
      <c r="K313" s="702">
        <v>20000</v>
      </c>
      <c r="L313" s="702">
        <v>20000</v>
      </c>
      <c r="M313" s="702">
        <v>20000</v>
      </c>
      <c r="N313" s="702">
        <v>20000</v>
      </c>
      <c r="O313" s="702">
        <v>20000</v>
      </c>
      <c r="P313" s="702">
        <v>10000</v>
      </c>
      <c r="Q313" s="702">
        <v>0</v>
      </c>
      <c r="R313" s="702">
        <v>0</v>
      </c>
      <c r="S313" s="702">
        <v>0</v>
      </c>
      <c r="T313" s="702">
        <v>0</v>
      </c>
      <c r="U313" s="702">
        <v>0</v>
      </c>
      <c r="V313" s="702">
        <v>0</v>
      </c>
      <c r="W313" s="702">
        <v>0</v>
      </c>
      <c r="X313" s="702">
        <v>0</v>
      </c>
      <c r="Y313" s="702">
        <v>0</v>
      </c>
      <c r="Z313" s="702">
        <v>0</v>
      </c>
      <c r="AA313" s="702">
        <v>0</v>
      </c>
      <c r="AB313" s="702">
        <v>0</v>
      </c>
      <c r="AC313" s="702">
        <v>0</v>
      </c>
    </row>
    <row r="314" spans="1:29" s="685" customFormat="1">
      <c r="A314" s="791" t="s">
        <v>59</v>
      </c>
      <c r="B314" s="792"/>
      <c r="C314" s="880">
        <v>380000</v>
      </c>
      <c r="D314" s="880">
        <v>1541000</v>
      </c>
      <c r="E314" s="880">
        <v>0</v>
      </c>
      <c r="F314" s="880">
        <v>0</v>
      </c>
      <c r="G314" s="880">
        <v>0</v>
      </c>
      <c r="H314" s="880">
        <v>75875</v>
      </c>
      <c r="I314" s="880">
        <v>282400</v>
      </c>
      <c r="J314" s="880">
        <v>0</v>
      </c>
      <c r="K314" s="880">
        <v>410000</v>
      </c>
      <c r="L314" s="880">
        <v>20000</v>
      </c>
      <c r="M314" s="880">
        <v>175875</v>
      </c>
      <c r="N314" s="880">
        <v>0</v>
      </c>
      <c r="O314" s="880">
        <v>10000</v>
      </c>
      <c r="P314" s="880">
        <v>75999</v>
      </c>
      <c r="Q314" s="880">
        <v>0</v>
      </c>
      <c r="R314" s="880">
        <v>0</v>
      </c>
      <c r="S314" s="880">
        <v>0</v>
      </c>
      <c r="T314" s="880">
        <v>0</v>
      </c>
      <c r="U314" s="880">
        <v>0</v>
      </c>
      <c r="V314" s="880">
        <v>0</v>
      </c>
      <c r="W314" s="880">
        <v>0</v>
      </c>
      <c r="X314" s="880">
        <v>20000</v>
      </c>
      <c r="Y314" s="880">
        <v>0</v>
      </c>
      <c r="Z314" s="880">
        <v>0</v>
      </c>
      <c r="AA314" s="880">
        <v>0</v>
      </c>
      <c r="AB314" s="880">
        <v>364375</v>
      </c>
      <c r="AC314" s="880">
        <v>0</v>
      </c>
    </row>
    <row r="315" spans="1:29" s="685" customFormat="1">
      <c r="A315" s="791"/>
      <c r="B315" s="792"/>
      <c r="C315" s="702">
        <v>3355524</v>
      </c>
      <c r="D315" s="702">
        <v>2975524</v>
      </c>
      <c r="E315" s="702">
        <v>1434524</v>
      </c>
      <c r="F315" s="702">
        <v>1434524</v>
      </c>
      <c r="G315" s="702">
        <v>1434524</v>
      </c>
      <c r="H315" s="702">
        <v>1434524</v>
      </c>
      <c r="I315" s="702">
        <v>1358649</v>
      </c>
      <c r="J315" s="702">
        <v>1076249</v>
      </c>
      <c r="K315" s="702">
        <v>1076249</v>
      </c>
      <c r="L315" s="702">
        <v>666249</v>
      </c>
      <c r="M315" s="702">
        <v>646249</v>
      </c>
      <c r="N315" s="702">
        <v>470374</v>
      </c>
      <c r="O315" s="702">
        <v>470374</v>
      </c>
      <c r="P315" s="702">
        <v>460374</v>
      </c>
      <c r="Q315" s="702">
        <v>384375</v>
      </c>
      <c r="R315" s="702">
        <v>384375</v>
      </c>
      <c r="S315" s="702">
        <v>384375</v>
      </c>
      <c r="T315" s="702">
        <v>384375</v>
      </c>
      <c r="U315" s="702">
        <v>384375</v>
      </c>
      <c r="V315" s="702">
        <v>384375</v>
      </c>
      <c r="W315" s="702">
        <v>384375</v>
      </c>
      <c r="X315" s="702">
        <v>384375</v>
      </c>
      <c r="Y315" s="702">
        <v>364375</v>
      </c>
      <c r="Z315" s="702">
        <v>364375</v>
      </c>
      <c r="AA315" s="702">
        <v>364375</v>
      </c>
      <c r="AB315" s="702">
        <v>364375</v>
      </c>
      <c r="AC315" s="702">
        <v>0</v>
      </c>
    </row>
    <row r="316" spans="1:29" s="685" customFormat="1">
      <c r="A316" s="793" t="s">
        <v>350</v>
      </c>
      <c r="B316" s="794"/>
      <c r="C316" s="882">
        <v>786650</v>
      </c>
      <c r="D316" s="882">
        <v>-1073831</v>
      </c>
      <c r="E316" s="882">
        <v>257017</v>
      </c>
      <c r="F316" s="882">
        <v>550211</v>
      </c>
      <c r="G316" s="882">
        <v>421121</v>
      </c>
      <c r="H316" s="882">
        <v>250236</v>
      </c>
      <c r="I316" s="882">
        <v>379698</v>
      </c>
      <c r="J316" s="882">
        <v>639653</v>
      </c>
      <c r="K316" s="882">
        <v>32908</v>
      </c>
      <c r="L316" s="882">
        <v>836269</v>
      </c>
      <c r="M316" s="882">
        <v>1609633</v>
      </c>
      <c r="N316" s="882">
        <v>0</v>
      </c>
      <c r="O316" s="882">
        <v>538471</v>
      </c>
      <c r="P316" s="882">
        <v>366810</v>
      </c>
      <c r="Q316" s="882">
        <v>351212</v>
      </c>
      <c r="R316" s="882">
        <v>402111</v>
      </c>
      <c r="S316" s="882">
        <v>305616</v>
      </c>
      <c r="T316" s="882">
        <v>573709</v>
      </c>
      <c r="U316" s="882">
        <v>870640</v>
      </c>
      <c r="V316" s="882">
        <v>501411</v>
      </c>
      <c r="W316" s="882">
        <v>392266</v>
      </c>
      <c r="X316" s="882">
        <v>310910</v>
      </c>
      <c r="Y316" s="882">
        <v>321716</v>
      </c>
      <c r="Z316" s="882">
        <v>0</v>
      </c>
      <c r="AA316" s="882">
        <v>288597</v>
      </c>
      <c r="AB316" s="882">
        <v>-151765</v>
      </c>
      <c r="AC316" s="882">
        <v>0</v>
      </c>
    </row>
    <row r="317" spans="1:29" s="685" customFormat="1">
      <c r="A317" s="793"/>
      <c r="B317" s="794"/>
      <c r="C317" s="702">
        <v>9761269</v>
      </c>
      <c r="D317" s="702">
        <v>8974619</v>
      </c>
      <c r="E317" s="702">
        <v>10048450</v>
      </c>
      <c r="F317" s="702">
        <v>9791433</v>
      </c>
      <c r="G317" s="702">
        <v>9241222</v>
      </c>
      <c r="H317" s="702">
        <v>8820101</v>
      </c>
      <c r="I317" s="702">
        <v>8569865</v>
      </c>
      <c r="J317" s="702">
        <v>8190167</v>
      </c>
      <c r="K317" s="702">
        <v>7550514</v>
      </c>
      <c r="L317" s="702">
        <v>7517606</v>
      </c>
      <c r="M317" s="702">
        <v>6681337</v>
      </c>
      <c r="N317" s="702">
        <v>5071704</v>
      </c>
      <c r="O317" s="702">
        <v>5071704</v>
      </c>
      <c r="P317" s="702">
        <v>4533233</v>
      </c>
      <c r="Q317" s="702">
        <v>4166423</v>
      </c>
      <c r="R317" s="702">
        <v>3815211</v>
      </c>
      <c r="S317" s="702">
        <v>3413100</v>
      </c>
      <c r="T317" s="702">
        <v>3107484</v>
      </c>
      <c r="U317" s="702">
        <v>2533775</v>
      </c>
      <c r="V317" s="702">
        <v>1663135</v>
      </c>
      <c r="W317" s="702">
        <v>1161724</v>
      </c>
      <c r="X317" s="702">
        <v>769458</v>
      </c>
      <c r="Y317" s="702">
        <v>458548</v>
      </c>
      <c r="Z317" s="702">
        <v>136832</v>
      </c>
      <c r="AA317" s="702">
        <v>136832</v>
      </c>
      <c r="AB317" s="702">
        <v>-151765</v>
      </c>
      <c r="AC317" s="702">
        <v>0</v>
      </c>
    </row>
    <row r="318" spans="1:29" s="685" customFormat="1">
      <c r="A318" s="797"/>
      <c r="B318" s="748"/>
      <c r="C318" s="879"/>
      <c r="D318" s="879"/>
      <c r="E318" s="879"/>
      <c r="F318" s="879"/>
      <c r="G318" s="879"/>
      <c r="H318" s="879"/>
      <c r="I318" s="879"/>
      <c r="J318" s="879"/>
      <c r="K318" s="879"/>
      <c r="L318" s="879"/>
      <c r="M318" s="879"/>
      <c r="N318" s="879"/>
      <c r="O318" s="879"/>
      <c r="P318" s="879"/>
      <c r="Q318" s="879"/>
      <c r="R318" s="879"/>
      <c r="S318" s="879"/>
      <c r="T318" s="879"/>
      <c r="U318" s="879"/>
      <c r="V318" s="879"/>
      <c r="W318" s="879"/>
      <c r="X318" s="879"/>
      <c r="Y318" s="879"/>
      <c r="Z318" s="879"/>
      <c r="AA318" s="879"/>
      <c r="AB318" s="879"/>
      <c r="AC318" s="879"/>
    </row>
    <row r="319" spans="1:29" s="685" customFormat="1">
      <c r="A319" s="796" t="s">
        <v>345</v>
      </c>
      <c r="B319" s="788" t="s">
        <v>518</v>
      </c>
      <c r="C319" s="880">
        <v>268510</v>
      </c>
      <c r="D319" s="880">
        <v>376775</v>
      </c>
      <c r="E319" s="880">
        <v>457076</v>
      </c>
      <c r="F319" s="880">
        <v>570825</v>
      </c>
      <c r="G319" s="880">
        <v>573122</v>
      </c>
      <c r="H319" s="880">
        <v>429935</v>
      </c>
      <c r="I319" s="880">
        <v>841073</v>
      </c>
      <c r="J319" s="880">
        <v>797792</v>
      </c>
      <c r="K319" s="880">
        <v>330795</v>
      </c>
      <c r="L319" s="880">
        <v>669155</v>
      </c>
      <c r="M319" s="880">
        <v>1809443</v>
      </c>
      <c r="N319" s="880">
        <v>344107</v>
      </c>
      <c r="O319" s="880">
        <v>838659</v>
      </c>
      <c r="P319" s="880">
        <v>291792</v>
      </c>
      <c r="Q319" s="880">
        <v>283762</v>
      </c>
      <c r="R319" s="880">
        <v>328576</v>
      </c>
      <c r="S319" s="880">
        <v>374880</v>
      </c>
      <c r="T319" s="880">
        <v>384354</v>
      </c>
      <c r="U319" s="880">
        <v>719158</v>
      </c>
      <c r="V319" s="880">
        <v>393041</v>
      </c>
      <c r="W319" s="880">
        <v>377337</v>
      </c>
      <c r="X319" s="880">
        <v>563888</v>
      </c>
      <c r="Y319" s="880">
        <v>414624</v>
      </c>
      <c r="Z319" s="880">
        <v>0</v>
      </c>
      <c r="AA319" s="880">
        <v>440001</v>
      </c>
      <c r="AB319" s="880">
        <v>415312</v>
      </c>
      <c r="AC319" s="880">
        <v>0</v>
      </c>
    </row>
    <row r="320" spans="1:29" s="685" customFormat="1">
      <c r="A320" s="787"/>
      <c r="B320" s="788"/>
      <c r="C320" s="702">
        <v>13293992</v>
      </c>
      <c r="D320" s="702">
        <v>13025482</v>
      </c>
      <c r="E320" s="702">
        <v>12648707</v>
      </c>
      <c r="F320" s="702">
        <v>12191631</v>
      </c>
      <c r="G320" s="702">
        <v>11620806</v>
      </c>
      <c r="H320" s="702">
        <v>11047684</v>
      </c>
      <c r="I320" s="702">
        <v>10617749</v>
      </c>
      <c r="J320" s="702">
        <v>9776676</v>
      </c>
      <c r="K320" s="702">
        <v>8978884</v>
      </c>
      <c r="L320" s="702">
        <v>8648089</v>
      </c>
      <c r="M320" s="702">
        <v>7978934</v>
      </c>
      <c r="N320" s="702">
        <v>6169491</v>
      </c>
      <c r="O320" s="702">
        <v>5825384</v>
      </c>
      <c r="P320" s="702">
        <v>4986725</v>
      </c>
      <c r="Q320" s="702">
        <v>4694933</v>
      </c>
      <c r="R320" s="702">
        <v>4411171</v>
      </c>
      <c r="S320" s="702">
        <v>4082595</v>
      </c>
      <c r="T320" s="702">
        <v>3707715</v>
      </c>
      <c r="U320" s="702">
        <v>3323361</v>
      </c>
      <c r="V320" s="702">
        <v>2604203</v>
      </c>
      <c r="W320" s="702">
        <v>2211162</v>
      </c>
      <c r="X320" s="702">
        <v>1833825</v>
      </c>
      <c r="Y320" s="702">
        <v>1269937</v>
      </c>
      <c r="Z320" s="702">
        <v>855313</v>
      </c>
      <c r="AA320" s="702">
        <v>855313</v>
      </c>
      <c r="AB320" s="702">
        <v>415312</v>
      </c>
      <c r="AC320" s="702">
        <v>0</v>
      </c>
    </row>
    <row r="321" spans="1:29" s="685" customFormat="1">
      <c r="A321" s="789" t="s">
        <v>100</v>
      </c>
      <c r="B321" s="790"/>
      <c r="C321" s="879"/>
      <c r="D321" s="879"/>
      <c r="E321" s="879"/>
      <c r="F321" s="879"/>
      <c r="G321" s="879"/>
      <c r="H321" s="879"/>
      <c r="I321" s="879"/>
      <c r="J321" s="879"/>
      <c r="K321" s="879"/>
      <c r="L321" s="879"/>
      <c r="M321" s="879"/>
      <c r="N321" s="879"/>
      <c r="O321" s="879"/>
      <c r="P321" s="879"/>
      <c r="Q321" s="879"/>
      <c r="R321" s="879"/>
      <c r="S321" s="879"/>
      <c r="T321" s="879"/>
      <c r="U321" s="879"/>
      <c r="V321" s="879"/>
      <c r="W321" s="879"/>
      <c r="X321" s="879"/>
      <c r="Y321" s="879"/>
      <c r="Z321" s="879"/>
      <c r="AA321" s="879"/>
      <c r="AB321" s="879"/>
      <c r="AC321" s="879"/>
    </row>
    <row r="322" spans="1:29" s="685" customFormat="1">
      <c r="A322" s="791" t="s">
        <v>337</v>
      </c>
      <c r="B322" s="792" t="s">
        <v>519</v>
      </c>
      <c r="C322" s="880">
        <v>0</v>
      </c>
      <c r="D322" s="880">
        <v>0</v>
      </c>
      <c r="E322" s="880">
        <v>0</v>
      </c>
      <c r="F322" s="880">
        <v>0</v>
      </c>
      <c r="G322" s="880">
        <v>0</v>
      </c>
      <c r="H322" s="880">
        <v>0</v>
      </c>
      <c r="I322" s="880">
        <v>0</v>
      </c>
      <c r="J322" s="880">
        <v>0</v>
      </c>
      <c r="K322" s="880">
        <v>0</v>
      </c>
      <c r="L322" s="880">
        <v>0</v>
      </c>
      <c r="M322" s="880">
        <v>0</v>
      </c>
      <c r="N322" s="880">
        <v>0</v>
      </c>
      <c r="O322" s="880">
        <v>0</v>
      </c>
      <c r="P322" s="880">
        <v>0</v>
      </c>
      <c r="Q322" s="880">
        <v>0</v>
      </c>
      <c r="R322" s="880">
        <v>0</v>
      </c>
      <c r="S322" s="880">
        <v>0</v>
      </c>
      <c r="T322" s="880">
        <v>0</v>
      </c>
      <c r="U322" s="880">
        <v>0</v>
      </c>
      <c r="V322" s="880">
        <v>0</v>
      </c>
      <c r="W322" s="880">
        <v>0</v>
      </c>
      <c r="X322" s="880">
        <v>0</v>
      </c>
      <c r="Y322" s="880">
        <v>0</v>
      </c>
      <c r="Z322" s="880">
        <v>0</v>
      </c>
      <c r="AA322" s="880">
        <v>0</v>
      </c>
      <c r="AB322" s="880">
        <v>0</v>
      </c>
      <c r="AC322" s="880">
        <v>0</v>
      </c>
    </row>
    <row r="323" spans="1:29" s="685" customFormat="1">
      <c r="A323" s="791"/>
      <c r="B323" s="792"/>
      <c r="C323" s="702">
        <v>0</v>
      </c>
      <c r="D323" s="702">
        <v>0</v>
      </c>
      <c r="E323" s="702">
        <v>0</v>
      </c>
      <c r="F323" s="702">
        <v>0</v>
      </c>
      <c r="G323" s="702">
        <v>0</v>
      </c>
      <c r="H323" s="702">
        <v>0</v>
      </c>
      <c r="I323" s="702">
        <v>0</v>
      </c>
      <c r="J323" s="702">
        <v>0</v>
      </c>
      <c r="K323" s="702">
        <v>0</v>
      </c>
      <c r="L323" s="702">
        <v>0</v>
      </c>
      <c r="M323" s="702">
        <v>0</v>
      </c>
      <c r="N323" s="702">
        <v>0</v>
      </c>
      <c r="O323" s="702">
        <v>0</v>
      </c>
      <c r="P323" s="702">
        <v>0</v>
      </c>
      <c r="Q323" s="702">
        <v>0</v>
      </c>
      <c r="R323" s="702">
        <v>0</v>
      </c>
      <c r="S323" s="702">
        <v>0</v>
      </c>
      <c r="T323" s="702">
        <v>0</v>
      </c>
      <c r="U323" s="702">
        <v>0</v>
      </c>
      <c r="V323" s="702">
        <v>0</v>
      </c>
      <c r="W323" s="702">
        <v>0</v>
      </c>
      <c r="X323" s="702">
        <v>0</v>
      </c>
      <c r="Y323" s="702">
        <v>0</v>
      </c>
      <c r="Z323" s="702">
        <v>0</v>
      </c>
      <c r="AA323" s="702">
        <v>0</v>
      </c>
      <c r="AB323" s="702">
        <v>0</v>
      </c>
      <c r="AC323" s="702">
        <v>0</v>
      </c>
    </row>
    <row r="324" spans="1:29" s="685" customFormat="1">
      <c r="A324" s="791" t="s">
        <v>353</v>
      </c>
      <c r="B324" s="792" t="s">
        <v>520</v>
      </c>
      <c r="C324" s="880">
        <v>0</v>
      </c>
      <c r="D324" s="880">
        <v>0</v>
      </c>
      <c r="E324" s="880">
        <v>0</v>
      </c>
      <c r="F324" s="880">
        <v>0</v>
      </c>
      <c r="G324" s="880">
        <v>0</v>
      </c>
      <c r="H324" s="880">
        <v>0</v>
      </c>
      <c r="I324" s="880">
        <v>0</v>
      </c>
      <c r="J324" s="880">
        <v>0</v>
      </c>
      <c r="K324" s="880">
        <v>0</v>
      </c>
      <c r="L324" s="880">
        <v>0</v>
      </c>
      <c r="M324" s="880">
        <v>0</v>
      </c>
      <c r="N324" s="880">
        <v>0</v>
      </c>
      <c r="O324" s="880">
        <v>0</v>
      </c>
      <c r="P324" s="880">
        <v>0</v>
      </c>
      <c r="Q324" s="880">
        <v>0</v>
      </c>
      <c r="R324" s="880">
        <v>0</v>
      </c>
      <c r="S324" s="880">
        <v>0</v>
      </c>
      <c r="T324" s="880">
        <v>0</v>
      </c>
      <c r="U324" s="880">
        <v>0</v>
      </c>
      <c r="V324" s="880">
        <v>0</v>
      </c>
      <c r="W324" s="880">
        <v>0</v>
      </c>
      <c r="X324" s="880">
        <v>0</v>
      </c>
      <c r="Y324" s="880">
        <v>0</v>
      </c>
      <c r="Z324" s="880">
        <v>0</v>
      </c>
      <c r="AA324" s="880">
        <v>0</v>
      </c>
      <c r="AB324" s="880">
        <v>0</v>
      </c>
      <c r="AC324" s="880">
        <v>0</v>
      </c>
    </row>
    <row r="325" spans="1:29" s="685" customFormat="1">
      <c r="A325" s="791"/>
      <c r="B325" s="792"/>
      <c r="C325" s="702">
        <v>0</v>
      </c>
      <c r="D325" s="702">
        <v>0</v>
      </c>
      <c r="E325" s="702">
        <v>0</v>
      </c>
      <c r="F325" s="702">
        <v>0</v>
      </c>
      <c r="G325" s="702">
        <v>0</v>
      </c>
      <c r="H325" s="702">
        <v>0</v>
      </c>
      <c r="I325" s="702">
        <v>0</v>
      </c>
      <c r="J325" s="702">
        <v>0</v>
      </c>
      <c r="K325" s="702">
        <v>0</v>
      </c>
      <c r="L325" s="702">
        <v>0</v>
      </c>
      <c r="M325" s="702">
        <v>0</v>
      </c>
      <c r="N325" s="702">
        <v>0</v>
      </c>
      <c r="O325" s="702">
        <v>0</v>
      </c>
      <c r="P325" s="702">
        <v>0</v>
      </c>
      <c r="Q325" s="702">
        <v>0</v>
      </c>
      <c r="R325" s="702">
        <v>0</v>
      </c>
      <c r="S325" s="702">
        <v>0</v>
      </c>
      <c r="T325" s="702">
        <v>0</v>
      </c>
      <c r="U325" s="702">
        <v>0</v>
      </c>
      <c r="V325" s="702">
        <v>0</v>
      </c>
      <c r="W325" s="702">
        <v>0</v>
      </c>
      <c r="X325" s="702">
        <v>0</v>
      </c>
      <c r="Y325" s="702">
        <v>0</v>
      </c>
      <c r="Z325" s="702">
        <v>0</v>
      </c>
      <c r="AA325" s="702">
        <v>0</v>
      </c>
      <c r="AB325" s="702">
        <v>0</v>
      </c>
      <c r="AC325" s="702">
        <v>0</v>
      </c>
    </row>
    <row r="326" spans="1:29" s="685" customFormat="1">
      <c r="A326" s="791" t="s">
        <v>245</v>
      </c>
      <c r="B326" s="792" t="s">
        <v>521</v>
      </c>
      <c r="C326" s="880">
        <v>0</v>
      </c>
      <c r="D326" s="880">
        <v>0</v>
      </c>
      <c r="E326" s="880">
        <v>0</v>
      </c>
      <c r="F326" s="880">
        <v>0</v>
      </c>
      <c r="G326" s="880">
        <v>0</v>
      </c>
      <c r="H326" s="880">
        <v>0</v>
      </c>
      <c r="I326" s="880">
        <v>0</v>
      </c>
      <c r="J326" s="880">
        <v>0</v>
      </c>
      <c r="K326" s="880">
        <v>0</v>
      </c>
      <c r="L326" s="880">
        <v>0</v>
      </c>
      <c r="M326" s="880">
        <v>0</v>
      </c>
      <c r="N326" s="880">
        <v>0</v>
      </c>
      <c r="O326" s="880">
        <v>0</v>
      </c>
      <c r="P326" s="880">
        <v>0</v>
      </c>
      <c r="Q326" s="880">
        <v>0</v>
      </c>
      <c r="R326" s="880">
        <v>91000</v>
      </c>
      <c r="S326" s="880">
        <v>0</v>
      </c>
      <c r="T326" s="880">
        <v>0</v>
      </c>
      <c r="U326" s="880">
        <v>0</v>
      </c>
      <c r="V326" s="880">
        <v>0</v>
      </c>
      <c r="W326" s="880">
        <v>0</v>
      </c>
      <c r="X326" s="880">
        <v>0</v>
      </c>
      <c r="Y326" s="880">
        <v>0</v>
      </c>
      <c r="Z326" s="880">
        <v>0</v>
      </c>
      <c r="AA326" s="880">
        <v>0</v>
      </c>
      <c r="AB326" s="880">
        <v>0</v>
      </c>
      <c r="AC326" s="880">
        <v>0</v>
      </c>
    </row>
    <row r="327" spans="1:29" s="685" customFormat="1">
      <c r="A327" s="791"/>
      <c r="B327" s="792"/>
      <c r="C327" s="702">
        <v>91000</v>
      </c>
      <c r="D327" s="702">
        <v>91000</v>
      </c>
      <c r="E327" s="702">
        <v>91000</v>
      </c>
      <c r="F327" s="702">
        <v>91000</v>
      </c>
      <c r="G327" s="702">
        <v>91000</v>
      </c>
      <c r="H327" s="702">
        <v>91000</v>
      </c>
      <c r="I327" s="702">
        <v>91000</v>
      </c>
      <c r="J327" s="702">
        <v>91000</v>
      </c>
      <c r="K327" s="702">
        <v>91000</v>
      </c>
      <c r="L327" s="702">
        <v>91000</v>
      </c>
      <c r="M327" s="702">
        <v>91000</v>
      </c>
      <c r="N327" s="702">
        <v>91000</v>
      </c>
      <c r="O327" s="702">
        <v>91000</v>
      </c>
      <c r="P327" s="702">
        <v>91000</v>
      </c>
      <c r="Q327" s="702">
        <v>91000</v>
      </c>
      <c r="R327" s="702">
        <v>91000</v>
      </c>
      <c r="S327" s="702">
        <v>0</v>
      </c>
      <c r="T327" s="702">
        <v>0</v>
      </c>
      <c r="U327" s="702">
        <v>0</v>
      </c>
      <c r="V327" s="702">
        <v>0</v>
      </c>
      <c r="W327" s="702">
        <v>0</v>
      </c>
      <c r="X327" s="702">
        <v>0</v>
      </c>
      <c r="Y327" s="702">
        <v>0</v>
      </c>
      <c r="Z327" s="702">
        <v>0</v>
      </c>
      <c r="AA327" s="702">
        <v>0</v>
      </c>
      <c r="AB327" s="702">
        <v>0</v>
      </c>
      <c r="AC327" s="702">
        <v>0</v>
      </c>
    </row>
    <row r="328" spans="1:29" s="685" customFormat="1">
      <c r="A328" s="791" t="s">
        <v>349</v>
      </c>
      <c r="B328" s="792" t="s">
        <v>522</v>
      </c>
      <c r="C328" s="880">
        <v>0</v>
      </c>
      <c r="D328" s="880">
        <v>0</v>
      </c>
      <c r="E328" s="880">
        <v>0</v>
      </c>
      <c r="F328" s="880">
        <v>0</v>
      </c>
      <c r="G328" s="880">
        <v>0</v>
      </c>
      <c r="H328" s="880">
        <v>0</v>
      </c>
      <c r="I328" s="880">
        <v>0</v>
      </c>
      <c r="J328" s="880">
        <v>0</v>
      </c>
      <c r="K328" s="880">
        <v>0</v>
      </c>
      <c r="L328" s="880">
        <v>0</v>
      </c>
      <c r="M328" s="880">
        <v>0</v>
      </c>
      <c r="N328" s="880">
        <v>0</v>
      </c>
      <c r="O328" s="880">
        <v>0</v>
      </c>
      <c r="P328" s="880">
        <v>0</v>
      </c>
      <c r="Q328" s="880">
        <v>0</v>
      </c>
      <c r="R328" s="880">
        <v>0</v>
      </c>
      <c r="S328" s="880">
        <v>0</v>
      </c>
      <c r="T328" s="880">
        <v>0</v>
      </c>
      <c r="U328" s="880">
        <v>0</v>
      </c>
      <c r="V328" s="880">
        <v>0</v>
      </c>
      <c r="W328" s="880">
        <v>0</v>
      </c>
      <c r="X328" s="880">
        <v>0</v>
      </c>
      <c r="Y328" s="880">
        <v>0</v>
      </c>
      <c r="Z328" s="880">
        <v>0</v>
      </c>
      <c r="AA328" s="880">
        <v>0</v>
      </c>
      <c r="AB328" s="880">
        <v>0</v>
      </c>
      <c r="AC328" s="880">
        <v>0</v>
      </c>
    </row>
    <row r="329" spans="1:29" s="685" customFormat="1">
      <c r="A329" s="791"/>
      <c r="B329" s="792"/>
      <c r="C329" s="702">
        <v>0</v>
      </c>
      <c r="D329" s="702">
        <v>0</v>
      </c>
      <c r="E329" s="702">
        <v>0</v>
      </c>
      <c r="F329" s="702">
        <v>0</v>
      </c>
      <c r="G329" s="702">
        <v>0</v>
      </c>
      <c r="H329" s="702">
        <v>0</v>
      </c>
      <c r="I329" s="702">
        <v>0</v>
      </c>
      <c r="J329" s="702">
        <v>0</v>
      </c>
      <c r="K329" s="702">
        <v>0</v>
      </c>
      <c r="L329" s="702">
        <v>0</v>
      </c>
      <c r="M329" s="702">
        <v>0</v>
      </c>
      <c r="N329" s="702">
        <v>0</v>
      </c>
      <c r="O329" s="702">
        <v>0</v>
      </c>
      <c r="P329" s="702">
        <v>0</v>
      </c>
      <c r="Q329" s="702">
        <v>0</v>
      </c>
      <c r="R329" s="702">
        <v>0</v>
      </c>
      <c r="S329" s="702">
        <v>0</v>
      </c>
      <c r="T329" s="702">
        <v>0</v>
      </c>
      <c r="U329" s="702">
        <v>0</v>
      </c>
      <c r="V329" s="702">
        <v>0</v>
      </c>
      <c r="W329" s="702">
        <v>0</v>
      </c>
      <c r="X329" s="702">
        <v>0</v>
      </c>
      <c r="Y329" s="702">
        <v>0</v>
      </c>
      <c r="Z329" s="702">
        <v>0</v>
      </c>
      <c r="AA329" s="702">
        <v>0</v>
      </c>
      <c r="AB329" s="702">
        <v>0</v>
      </c>
      <c r="AC329" s="702">
        <v>0</v>
      </c>
    </row>
    <row r="330" spans="1:29" s="685" customFormat="1">
      <c r="A330" s="791" t="s">
        <v>247</v>
      </c>
      <c r="B330" s="792" t="s">
        <v>523</v>
      </c>
      <c r="C330" s="880">
        <v>0</v>
      </c>
      <c r="D330" s="880">
        <v>0</v>
      </c>
      <c r="E330" s="880">
        <v>0</v>
      </c>
      <c r="F330" s="880">
        <v>0</v>
      </c>
      <c r="G330" s="880">
        <v>0</v>
      </c>
      <c r="H330" s="880">
        <v>0</v>
      </c>
      <c r="I330" s="880">
        <v>0</v>
      </c>
      <c r="J330" s="880">
        <v>0</v>
      </c>
      <c r="K330" s="880">
        <v>0</v>
      </c>
      <c r="L330" s="880">
        <v>0</v>
      </c>
      <c r="M330" s="880">
        <v>0</v>
      </c>
      <c r="N330" s="880">
        <v>0</v>
      </c>
      <c r="O330" s="880">
        <v>0</v>
      </c>
      <c r="P330" s="880">
        <v>0</v>
      </c>
      <c r="Q330" s="880">
        <v>0</v>
      </c>
      <c r="R330" s="880">
        <v>0</v>
      </c>
      <c r="S330" s="880">
        <v>0</v>
      </c>
      <c r="T330" s="880">
        <v>0</v>
      </c>
      <c r="U330" s="880">
        <v>0</v>
      </c>
      <c r="V330" s="880">
        <v>0</v>
      </c>
      <c r="W330" s="880">
        <v>0</v>
      </c>
      <c r="X330" s="880">
        <v>99100</v>
      </c>
      <c r="Y330" s="880">
        <v>0</v>
      </c>
      <c r="Z330" s="880">
        <v>0</v>
      </c>
      <c r="AA330" s="880">
        <v>0</v>
      </c>
      <c r="AB330" s="880">
        <v>0</v>
      </c>
      <c r="AC330" s="880">
        <v>0</v>
      </c>
    </row>
    <row r="331" spans="1:29" s="685" customFormat="1">
      <c r="A331" s="791"/>
      <c r="B331" s="792"/>
      <c r="C331" s="702">
        <v>99100</v>
      </c>
      <c r="D331" s="702">
        <v>99100</v>
      </c>
      <c r="E331" s="702">
        <v>99100</v>
      </c>
      <c r="F331" s="702">
        <v>99100</v>
      </c>
      <c r="G331" s="702">
        <v>99100</v>
      </c>
      <c r="H331" s="702">
        <v>99100</v>
      </c>
      <c r="I331" s="702">
        <v>99100</v>
      </c>
      <c r="J331" s="702">
        <v>99100</v>
      </c>
      <c r="K331" s="702">
        <v>99100</v>
      </c>
      <c r="L331" s="702">
        <v>99100</v>
      </c>
      <c r="M331" s="702">
        <v>99100</v>
      </c>
      <c r="N331" s="702">
        <v>99100</v>
      </c>
      <c r="O331" s="702">
        <v>99100</v>
      </c>
      <c r="P331" s="702">
        <v>99100</v>
      </c>
      <c r="Q331" s="702">
        <v>99100</v>
      </c>
      <c r="R331" s="702">
        <v>99100</v>
      </c>
      <c r="S331" s="702">
        <v>99100</v>
      </c>
      <c r="T331" s="702">
        <v>99100</v>
      </c>
      <c r="U331" s="702">
        <v>99100</v>
      </c>
      <c r="V331" s="702">
        <v>99100</v>
      </c>
      <c r="W331" s="702">
        <v>99100</v>
      </c>
      <c r="X331" s="702">
        <v>99100</v>
      </c>
      <c r="Y331" s="702">
        <v>0</v>
      </c>
      <c r="Z331" s="702">
        <v>0</v>
      </c>
      <c r="AA331" s="702">
        <v>0</v>
      </c>
      <c r="AB331" s="702">
        <v>0</v>
      </c>
      <c r="AC331" s="702">
        <v>0</v>
      </c>
    </row>
    <row r="332" spans="1:29" s="685" customFormat="1">
      <c r="A332" s="791" t="s">
        <v>187</v>
      </c>
      <c r="B332" s="792" t="s">
        <v>524</v>
      </c>
      <c r="C332" s="880">
        <v>0</v>
      </c>
      <c r="D332" s="880">
        <v>1609334</v>
      </c>
      <c r="E332" s="880">
        <v>0</v>
      </c>
      <c r="F332" s="880">
        <v>0</v>
      </c>
      <c r="G332" s="880">
        <v>0</v>
      </c>
      <c r="H332" s="880">
        <v>0</v>
      </c>
      <c r="I332" s="880">
        <v>0</v>
      </c>
      <c r="J332" s="880">
        <v>0</v>
      </c>
      <c r="K332" s="880">
        <v>0</v>
      </c>
      <c r="L332" s="880">
        <v>400000</v>
      </c>
      <c r="M332" s="880">
        <v>100000</v>
      </c>
      <c r="N332" s="880">
        <v>0</v>
      </c>
      <c r="O332" s="880">
        <v>0</v>
      </c>
      <c r="P332" s="880">
        <v>0</v>
      </c>
      <c r="Q332" s="880">
        <v>0</v>
      </c>
      <c r="R332" s="880">
        <v>0</v>
      </c>
      <c r="S332" s="880">
        <v>0</v>
      </c>
      <c r="T332" s="880">
        <v>0</v>
      </c>
      <c r="U332" s="880">
        <v>0</v>
      </c>
      <c r="V332" s="880">
        <v>0</v>
      </c>
      <c r="W332" s="880">
        <v>0</v>
      </c>
      <c r="X332" s="880">
        <v>0</v>
      </c>
      <c r="Y332" s="880">
        <v>0</v>
      </c>
      <c r="Z332" s="880">
        <v>0</v>
      </c>
      <c r="AA332" s="880">
        <v>0</v>
      </c>
      <c r="AB332" s="880">
        <v>0</v>
      </c>
      <c r="AC332" s="880">
        <v>0</v>
      </c>
    </row>
    <row r="333" spans="1:29" s="685" customFormat="1">
      <c r="A333" s="791"/>
      <c r="B333" s="792"/>
      <c r="C333" s="702">
        <v>2109334</v>
      </c>
      <c r="D333" s="702">
        <v>2109334</v>
      </c>
      <c r="E333" s="702">
        <v>500000</v>
      </c>
      <c r="F333" s="702">
        <v>500000</v>
      </c>
      <c r="G333" s="702">
        <v>500000</v>
      </c>
      <c r="H333" s="702">
        <v>500000</v>
      </c>
      <c r="I333" s="702">
        <v>500000</v>
      </c>
      <c r="J333" s="702">
        <v>500000</v>
      </c>
      <c r="K333" s="702">
        <v>500000</v>
      </c>
      <c r="L333" s="702">
        <v>500000</v>
      </c>
      <c r="M333" s="702">
        <v>100000</v>
      </c>
      <c r="N333" s="702">
        <v>0</v>
      </c>
      <c r="O333" s="702">
        <v>0</v>
      </c>
      <c r="P333" s="702">
        <v>0</v>
      </c>
      <c r="Q333" s="702">
        <v>0</v>
      </c>
      <c r="R333" s="702">
        <v>0</v>
      </c>
      <c r="S333" s="702">
        <v>0</v>
      </c>
      <c r="T333" s="702">
        <v>0</v>
      </c>
      <c r="U333" s="702">
        <v>0</v>
      </c>
      <c r="V333" s="702">
        <v>0</v>
      </c>
      <c r="W333" s="702">
        <v>0</v>
      </c>
      <c r="X333" s="702">
        <v>0</v>
      </c>
      <c r="Y333" s="702">
        <v>0</v>
      </c>
      <c r="Z333" s="702">
        <v>0</v>
      </c>
      <c r="AA333" s="702">
        <v>0</v>
      </c>
      <c r="AB333" s="702">
        <v>0</v>
      </c>
      <c r="AC333" s="702">
        <v>0</v>
      </c>
    </row>
    <row r="334" spans="1:29" s="685" customFormat="1">
      <c r="A334" s="791" t="s">
        <v>246</v>
      </c>
      <c r="B334" s="792" t="s">
        <v>525</v>
      </c>
      <c r="C334" s="880">
        <v>0</v>
      </c>
      <c r="D334" s="880">
        <v>0</v>
      </c>
      <c r="E334" s="880">
        <v>0</v>
      </c>
      <c r="F334" s="880">
        <v>0</v>
      </c>
      <c r="G334" s="880">
        <v>0</v>
      </c>
      <c r="H334" s="880">
        <v>0</v>
      </c>
      <c r="I334" s="880">
        <v>0</v>
      </c>
      <c r="J334" s="880">
        <v>0</v>
      </c>
      <c r="K334" s="880">
        <v>0</v>
      </c>
      <c r="L334" s="880">
        <v>0</v>
      </c>
      <c r="M334" s="880">
        <v>0</v>
      </c>
      <c r="N334" s="880">
        <v>0</v>
      </c>
      <c r="O334" s="880">
        <v>0</v>
      </c>
      <c r="P334" s="880">
        <v>0</v>
      </c>
      <c r="Q334" s="880">
        <v>0</v>
      </c>
      <c r="R334" s="880">
        <v>0</v>
      </c>
      <c r="S334" s="880">
        <v>0</v>
      </c>
      <c r="T334" s="880">
        <v>0</v>
      </c>
      <c r="U334" s="880">
        <v>0</v>
      </c>
      <c r="V334" s="880">
        <v>0</v>
      </c>
      <c r="W334" s="880">
        <v>0</v>
      </c>
      <c r="X334" s="880">
        <v>0</v>
      </c>
      <c r="Y334" s="880">
        <v>0</v>
      </c>
      <c r="Z334" s="880">
        <v>0</v>
      </c>
      <c r="AA334" s="880">
        <v>0</v>
      </c>
      <c r="AB334" s="880">
        <v>0</v>
      </c>
      <c r="AC334" s="880">
        <v>0</v>
      </c>
    </row>
    <row r="335" spans="1:29" s="685" customFormat="1">
      <c r="A335" s="791"/>
      <c r="B335" s="792"/>
      <c r="C335" s="702">
        <v>0</v>
      </c>
      <c r="D335" s="702">
        <v>0</v>
      </c>
      <c r="E335" s="702">
        <v>0</v>
      </c>
      <c r="F335" s="702">
        <v>0</v>
      </c>
      <c r="G335" s="702">
        <v>0</v>
      </c>
      <c r="H335" s="702">
        <v>0</v>
      </c>
      <c r="I335" s="702">
        <v>0</v>
      </c>
      <c r="J335" s="702">
        <v>0</v>
      </c>
      <c r="K335" s="702">
        <v>0</v>
      </c>
      <c r="L335" s="702">
        <v>0</v>
      </c>
      <c r="M335" s="702">
        <v>0</v>
      </c>
      <c r="N335" s="702">
        <v>0</v>
      </c>
      <c r="O335" s="702">
        <v>0</v>
      </c>
      <c r="P335" s="702">
        <v>0</v>
      </c>
      <c r="Q335" s="702">
        <v>0</v>
      </c>
      <c r="R335" s="702">
        <v>0</v>
      </c>
      <c r="S335" s="702">
        <v>0</v>
      </c>
      <c r="T335" s="702">
        <v>0</v>
      </c>
      <c r="U335" s="702">
        <v>0</v>
      </c>
      <c r="V335" s="702">
        <v>0</v>
      </c>
      <c r="W335" s="702">
        <v>0</v>
      </c>
      <c r="X335" s="702">
        <v>0</v>
      </c>
      <c r="Y335" s="702">
        <v>0</v>
      </c>
      <c r="Z335" s="702">
        <v>0</v>
      </c>
      <c r="AA335" s="702">
        <v>0</v>
      </c>
      <c r="AB335" s="702">
        <v>0</v>
      </c>
      <c r="AC335" s="702">
        <v>0</v>
      </c>
    </row>
    <row r="336" spans="1:29" s="685" customFormat="1">
      <c r="A336" s="791" t="s">
        <v>334</v>
      </c>
      <c r="B336" s="792" t="s">
        <v>526</v>
      </c>
      <c r="C336" s="880">
        <v>0</v>
      </c>
      <c r="D336" s="880">
        <v>0</v>
      </c>
      <c r="E336" s="880">
        <v>0</v>
      </c>
      <c r="F336" s="880">
        <v>0</v>
      </c>
      <c r="G336" s="880">
        <v>0</v>
      </c>
      <c r="H336" s="880">
        <v>0</v>
      </c>
      <c r="I336" s="880">
        <v>0</v>
      </c>
      <c r="J336" s="880">
        <v>0</v>
      </c>
      <c r="K336" s="880">
        <v>0</v>
      </c>
      <c r="L336" s="880">
        <v>0</v>
      </c>
      <c r="M336" s="880">
        <v>0</v>
      </c>
      <c r="N336" s="880">
        <v>0</v>
      </c>
      <c r="O336" s="880">
        <v>0</v>
      </c>
      <c r="P336" s="880">
        <v>0</v>
      </c>
      <c r="Q336" s="880">
        <v>0</v>
      </c>
      <c r="R336" s="880">
        <v>0</v>
      </c>
      <c r="S336" s="880">
        <v>0</v>
      </c>
      <c r="T336" s="880">
        <v>0</v>
      </c>
      <c r="U336" s="880">
        <v>0</v>
      </c>
      <c r="V336" s="880">
        <v>0</v>
      </c>
      <c r="W336" s="880">
        <v>0</v>
      </c>
      <c r="X336" s="880">
        <v>0</v>
      </c>
      <c r="Y336" s="880">
        <v>0</v>
      </c>
      <c r="Z336" s="880">
        <v>0</v>
      </c>
      <c r="AA336" s="880">
        <v>0</v>
      </c>
      <c r="AB336" s="880">
        <v>0</v>
      </c>
      <c r="AC336" s="880">
        <v>0</v>
      </c>
    </row>
    <row r="337" spans="1:29" s="685" customFormat="1">
      <c r="A337" s="791"/>
      <c r="B337" s="792"/>
      <c r="C337" s="702">
        <v>0</v>
      </c>
      <c r="D337" s="702">
        <v>0</v>
      </c>
      <c r="E337" s="702">
        <v>0</v>
      </c>
      <c r="F337" s="702">
        <v>0</v>
      </c>
      <c r="G337" s="702">
        <v>0</v>
      </c>
      <c r="H337" s="702">
        <v>0</v>
      </c>
      <c r="I337" s="702">
        <v>0</v>
      </c>
      <c r="J337" s="702">
        <v>0</v>
      </c>
      <c r="K337" s="702">
        <v>0</v>
      </c>
      <c r="L337" s="702">
        <v>0</v>
      </c>
      <c r="M337" s="702">
        <v>0</v>
      </c>
      <c r="N337" s="702">
        <v>0</v>
      </c>
      <c r="O337" s="702">
        <v>0</v>
      </c>
      <c r="P337" s="702">
        <v>0</v>
      </c>
      <c r="Q337" s="702">
        <v>0</v>
      </c>
      <c r="R337" s="702">
        <v>0</v>
      </c>
      <c r="S337" s="702">
        <v>0</v>
      </c>
      <c r="T337" s="702">
        <v>0</v>
      </c>
      <c r="U337" s="702">
        <v>0</v>
      </c>
      <c r="V337" s="702">
        <v>0</v>
      </c>
      <c r="W337" s="702">
        <v>0</v>
      </c>
      <c r="X337" s="702">
        <v>0</v>
      </c>
      <c r="Y337" s="702">
        <v>0</v>
      </c>
      <c r="Z337" s="702">
        <v>0</v>
      </c>
      <c r="AA337" s="702">
        <v>0</v>
      </c>
      <c r="AB337" s="702">
        <v>0</v>
      </c>
      <c r="AC337" s="702">
        <v>0</v>
      </c>
    </row>
    <row r="338" spans="1:29" s="685" customFormat="1">
      <c r="A338" s="791" t="s">
        <v>27</v>
      </c>
      <c r="B338" s="792" t="s">
        <v>527</v>
      </c>
      <c r="C338" s="880">
        <v>0</v>
      </c>
      <c r="D338" s="880">
        <v>0</v>
      </c>
      <c r="E338" s="880">
        <v>0</v>
      </c>
      <c r="F338" s="880">
        <v>0</v>
      </c>
      <c r="G338" s="880">
        <v>0</v>
      </c>
      <c r="H338" s="880">
        <v>75875</v>
      </c>
      <c r="I338" s="880">
        <v>60000</v>
      </c>
      <c r="J338" s="880">
        <v>0</v>
      </c>
      <c r="K338" s="880">
        <v>0</v>
      </c>
      <c r="L338" s="880">
        <v>20000</v>
      </c>
      <c r="M338" s="880">
        <v>75875</v>
      </c>
      <c r="N338" s="880">
        <v>0</v>
      </c>
      <c r="O338" s="880">
        <v>0</v>
      </c>
      <c r="P338" s="880">
        <v>0</v>
      </c>
      <c r="Q338" s="880">
        <v>0</v>
      </c>
      <c r="R338" s="880">
        <v>0</v>
      </c>
      <c r="S338" s="880">
        <v>0</v>
      </c>
      <c r="T338" s="880">
        <v>0</v>
      </c>
      <c r="U338" s="880">
        <v>0</v>
      </c>
      <c r="V338" s="880">
        <v>0</v>
      </c>
      <c r="W338" s="880">
        <v>0</v>
      </c>
      <c r="X338" s="880">
        <v>0</v>
      </c>
      <c r="Y338" s="880">
        <v>0</v>
      </c>
      <c r="Z338" s="880">
        <v>0</v>
      </c>
      <c r="AA338" s="880">
        <v>0</v>
      </c>
      <c r="AB338" s="880">
        <v>49375</v>
      </c>
      <c r="AC338" s="880">
        <v>0</v>
      </c>
    </row>
    <row r="339" spans="1:29" s="685" customFormat="1">
      <c r="A339" s="791"/>
      <c r="B339" s="792"/>
      <c r="C339" s="702">
        <v>281125</v>
      </c>
      <c r="D339" s="702">
        <v>281125</v>
      </c>
      <c r="E339" s="702">
        <v>281125</v>
      </c>
      <c r="F339" s="702">
        <v>281125</v>
      </c>
      <c r="G339" s="702">
        <v>281125</v>
      </c>
      <c r="H339" s="702">
        <v>281125</v>
      </c>
      <c r="I339" s="702">
        <v>205250</v>
      </c>
      <c r="J339" s="702">
        <v>145250</v>
      </c>
      <c r="K339" s="702">
        <v>145250</v>
      </c>
      <c r="L339" s="702">
        <v>145250</v>
      </c>
      <c r="M339" s="702">
        <v>125250</v>
      </c>
      <c r="N339" s="702">
        <v>49375</v>
      </c>
      <c r="O339" s="702">
        <v>49375</v>
      </c>
      <c r="P339" s="702">
        <v>49375</v>
      </c>
      <c r="Q339" s="702">
        <v>49375</v>
      </c>
      <c r="R339" s="702">
        <v>49375</v>
      </c>
      <c r="S339" s="702">
        <v>49375</v>
      </c>
      <c r="T339" s="702">
        <v>49375</v>
      </c>
      <c r="U339" s="702">
        <v>49375</v>
      </c>
      <c r="V339" s="702">
        <v>49375</v>
      </c>
      <c r="W339" s="702">
        <v>49375</v>
      </c>
      <c r="X339" s="702">
        <v>49375</v>
      </c>
      <c r="Y339" s="702">
        <v>49375</v>
      </c>
      <c r="Z339" s="702">
        <v>49375</v>
      </c>
      <c r="AA339" s="702">
        <v>49375</v>
      </c>
      <c r="AB339" s="702">
        <v>49375</v>
      </c>
      <c r="AC339" s="702">
        <v>0</v>
      </c>
    </row>
    <row r="340" spans="1:29" s="685" customFormat="1">
      <c r="A340" s="791" t="s">
        <v>180</v>
      </c>
      <c r="B340" s="792"/>
      <c r="C340" s="1021">
        <v>0</v>
      </c>
      <c r="D340" s="1021">
        <v>0</v>
      </c>
      <c r="E340" s="1021">
        <v>0</v>
      </c>
      <c r="F340" s="1021">
        <v>0</v>
      </c>
      <c r="G340" s="1021">
        <v>0</v>
      </c>
      <c r="H340" s="1021">
        <v>0</v>
      </c>
      <c r="I340" s="1021">
        <v>0</v>
      </c>
      <c r="J340" s="1021">
        <v>0</v>
      </c>
      <c r="K340" s="1021">
        <v>0</v>
      </c>
      <c r="L340" s="1021">
        <v>0</v>
      </c>
      <c r="M340" s="1021">
        <v>0</v>
      </c>
      <c r="N340" s="1021">
        <v>0</v>
      </c>
      <c r="O340" s="1021">
        <v>10000</v>
      </c>
      <c r="P340" s="1021">
        <v>10000</v>
      </c>
      <c r="Q340" s="1021">
        <v>0</v>
      </c>
      <c r="R340" s="1021">
        <v>0</v>
      </c>
      <c r="S340" s="1021">
        <v>0</v>
      </c>
      <c r="T340" s="1021">
        <v>0</v>
      </c>
      <c r="U340" s="1021">
        <v>0</v>
      </c>
      <c r="V340" s="1021">
        <v>0</v>
      </c>
      <c r="W340" s="1021">
        <v>0</v>
      </c>
      <c r="X340" s="1021">
        <v>0</v>
      </c>
      <c r="Y340" s="1021">
        <v>0</v>
      </c>
      <c r="Z340" s="1021">
        <v>0</v>
      </c>
      <c r="AA340" s="1021">
        <v>0</v>
      </c>
      <c r="AB340" s="1021">
        <v>0</v>
      </c>
      <c r="AC340" s="1021">
        <v>0</v>
      </c>
    </row>
    <row r="341" spans="1:29" s="685" customFormat="1">
      <c r="A341" s="791"/>
      <c r="B341" s="792"/>
      <c r="C341" s="702">
        <v>20000</v>
      </c>
      <c r="D341" s="702">
        <v>20000</v>
      </c>
      <c r="E341" s="702">
        <v>20000</v>
      </c>
      <c r="F341" s="702">
        <v>20000</v>
      </c>
      <c r="G341" s="702">
        <v>20000</v>
      </c>
      <c r="H341" s="702">
        <v>20000</v>
      </c>
      <c r="I341" s="702">
        <v>20000</v>
      </c>
      <c r="J341" s="702">
        <v>20000</v>
      </c>
      <c r="K341" s="702">
        <v>20000</v>
      </c>
      <c r="L341" s="702">
        <v>20000</v>
      </c>
      <c r="M341" s="702">
        <v>20000</v>
      </c>
      <c r="N341" s="702">
        <v>20000</v>
      </c>
      <c r="O341" s="702">
        <v>20000</v>
      </c>
      <c r="P341" s="702">
        <v>10000</v>
      </c>
      <c r="Q341" s="702">
        <v>0</v>
      </c>
      <c r="R341" s="702">
        <v>0</v>
      </c>
      <c r="S341" s="702">
        <v>0</v>
      </c>
      <c r="T341" s="702">
        <v>0</v>
      </c>
      <c r="U341" s="702">
        <v>0</v>
      </c>
      <c r="V341" s="702">
        <v>0</v>
      </c>
      <c r="W341" s="702">
        <v>0</v>
      </c>
      <c r="X341" s="702">
        <v>0</v>
      </c>
      <c r="Y341" s="702">
        <v>0</v>
      </c>
      <c r="Z341" s="702">
        <v>0</v>
      </c>
      <c r="AA341" s="702">
        <v>0</v>
      </c>
      <c r="AB341" s="702">
        <v>0</v>
      </c>
      <c r="AC341" s="702">
        <v>0</v>
      </c>
    </row>
    <row r="342" spans="1:29" s="685" customFormat="1">
      <c r="A342" s="791" t="s">
        <v>59</v>
      </c>
      <c r="B342" s="792"/>
      <c r="C342" s="880">
        <v>0</v>
      </c>
      <c r="D342" s="880">
        <v>1609334</v>
      </c>
      <c r="E342" s="880">
        <v>0</v>
      </c>
      <c r="F342" s="880">
        <v>0</v>
      </c>
      <c r="G342" s="880">
        <v>0</v>
      </c>
      <c r="H342" s="880">
        <v>75875</v>
      </c>
      <c r="I342" s="880">
        <v>60000</v>
      </c>
      <c r="J342" s="880">
        <v>0</v>
      </c>
      <c r="K342" s="880">
        <v>0</v>
      </c>
      <c r="L342" s="880">
        <v>420000</v>
      </c>
      <c r="M342" s="880">
        <v>175875</v>
      </c>
      <c r="N342" s="880">
        <v>0</v>
      </c>
      <c r="O342" s="880">
        <v>10000</v>
      </c>
      <c r="P342" s="880">
        <v>10000</v>
      </c>
      <c r="Q342" s="880">
        <v>0</v>
      </c>
      <c r="R342" s="880">
        <v>91000</v>
      </c>
      <c r="S342" s="880">
        <v>0</v>
      </c>
      <c r="T342" s="880">
        <v>0</v>
      </c>
      <c r="U342" s="880">
        <v>0</v>
      </c>
      <c r="V342" s="880">
        <v>0</v>
      </c>
      <c r="W342" s="880">
        <v>0</v>
      </c>
      <c r="X342" s="880">
        <v>99100</v>
      </c>
      <c r="Y342" s="880">
        <v>0</v>
      </c>
      <c r="Z342" s="880">
        <v>0</v>
      </c>
      <c r="AA342" s="880">
        <v>0</v>
      </c>
      <c r="AB342" s="880">
        <v>49375</v>
      </c>
      <c r="AC342" s="880">
        <v>0</v>
      </c>
    </row>
    <row r="343" spans="1:29" s="685" customFormat="1">
      <c r="A343" s="791"/>
      <c r="B343" s="792"/>
      <c r="C343" s="702">
        <v>2600559</v>
      </c>
      <c r="D343" s="702">
        <v>2600559</v>
      </c>
      <c r="E343" s="702">
        <v>991225</v>
      </c>
      <c r="F343" s="702">
        <v>991225</v>
      </c>
      <c r="G343" s="702">
        <v>991225</v>
      </c>
      <c r="H343" s="702">
        <v>991225</v>
      </c>
      <c r="I343" s="702">
        <v>915350</v>
      </c>
      <c r="J343" s="702">
        <v>855350</v>
      </c>
      <c r="K343" s="702">
        <v>855350</v>
      </c>
      <c r="L343" s="702">
        <v>855350</v>
      </c>
      <c r="M343" s="702">
        <v>435350</v>
      </c>
      <c r="N343" s="702">
        <v>259475</v>
      </c>
      <c r="O343" s="702">
        <v>259475</v>
      </c>
      <c r="P343" s="702">
        <v>249475</v>
      </c>
      <c r="Q343" s="702">
        <v>239475</v>
      </c>
      <c r="R343" s="702">
        <v>239475</v>
      </c>
      <c r="S343" s="702">
        <v>148475</v>
      </c>
      <c r="T343" s="702">
        <v>148475</v>
      </c>
      <c r="U343" s="702">
        <v>148475</v>
      </c>
      <c r="V343" s="702">
        <v>148475</v>
      </c>
      <c r="W343" s="702">
        <v>148475</v>
      </c>
      <c r="X343" s="702">
        <v>148475</v>
      </c>
      <c r="Y343" s="702">
        <v>49375</v>
      </c>
      <c r="Z343" s="702">
        <v>49375</v>
      </c>
      <c r="AA343" s="702">
        <v>49375</v>
      </c>
      <c r="AB343" s="702">
        <v>49375</v>
      </c>
      <c r="AC343" s="702">
        <v>0</v>
      </c>
    </row>
    <row r="344" spans="1:29" s="685" customFormat="1">
      <c r="A344" s="793" t="s">
        <v>350</v>
      </c>
      <c r="B344" s="794"/>
      <c r="C344" s="882">
        <v>268510</v>
      </c>
      <c r="D344" s="882">
        <v>-1232559</v>
      </c>
      <c r="E344" s="882">
        <v>457076</v>
      </c>
      <c r="F344" s="882">
        <v>570825</v>
      </c>
      <c r="G344" s="882">
        <v>573122</v>
      </c>
      <c r="H344" s="882">
        <v>354060</v>
      </c>
      <c r="I344" s="882">
        <v>781073</v>
      </c>
      <c r="J344" s="882">
        <v>797792</v>
      </c>
      <c r="K344" s="882">
        <v>330795</v>
      </c>
      <c r="L344" s="882">
        <v>249155</v>
      </c>
      <c r="M344" s="882">
        <v>1633568</v>
      </c>
      <c r="N344" s="882">
        <v>344107</v>
      </c>
      <c r="O344" s="882">
        <v>828659</v>
      </c>
      <c r="P344" s="882">
        <v>281792</v>
      </c>
      <c r="Q344" s="882">
        <v>283762</v>
      </c>
      <c r="R344" s="882">
        <v>237576</v>
      </c>
      <c r="S344" s="882">
        <v>374880</v>
      </c>
      <c r="T344" s="882">
        <v>384354</v>
      </c>
      <c r="U344" s="882">
        <v>719158</v>
      </c>
      <c r="V344" s="882">
        <v>393041</v>
      </c>
      <c r="W344" s="882">
        <v>377337</v>
      </c>
      <c r="X344" s="882">
        <v>464788</v>
      </c>
      <c r="Y344" s="882">
        <v>414624</v>
      </c>
      <c r="Z344" s="882">
        <v>0</v>
      </c>
      <c r="AA344" s="882">
        <v>440001</v>
      </c>
      <c r="AB344" s="882">
        <v>365937</v>
      </c>
      <c r="AC344" s="882">
        <v>0</v>
      </c>
    </row>
    <row r="345" spans="1:29" s="685" customFormat="1">
      <c r="A345" s="793"/>
      <c r="B345" s="794"/>
      <c r="C345" s="702">
        <v>10693433</v>
      </c>
      <c r="D345" s="702">
        <v>10424923</v>
      </c>
      <c r="E345" s="702">
        <v>11657482</v>
      </c>
      <c r="F345" s="702">
        <v>11200406</v>
      </c>
      <c r="G345" s="702">
        <v>10629581</v>
      </c>
      <c r="H345" s="702">
        <v>10056459</v>
      </c>
      <c r="I345" s="702">
        <v>9702399</v>
      </c>
      <c r="J345" s="702">
        <v>8921326</v>
      </c>
      <c r="K345" s="702">
        <v>8123534</v>
      </c>
      <c r="L345" s="702">
        <v>7792739</v>
      </c>
      <c r="M345" s="702">
        <v>7543584</v>
      </c>
      <c r="N345" s="702">
        <v>5910016</v>
      </c>
      <c r="O345" s="702">
        <v>5565909</v>
      </c>
      <c r="P345" s="702">
        <v>4737250</v>
      </c>
      <c r="Q345" s="702">
        <v>4455458</v>
      </c>
      <c r="R345" s="702">
        <v>4171696</v>
      </c>
      <c r="S345" s="702">
        <v>3934120</v>
      </c>
      <c r="T345" s="702">
        <v>3559240</v>
      </c>
      <c r="U345" s="702">
        <v>3174886</v>
      </c>
      <c r="V345" s="702">
        <v>2455728</v>
      </c>
      <c r="W345" s="702">
        <v>2062687</v>
      </c>
      <c r="X345" s="702">
        <v>1685350</v>
      </c>
      <c r="Y345" s="702">
        <v>1220562</v>
      </c>
      <c r="Z345" s="702">
        <v>805938</v>
      </c>
      <c r="AA345" s="702">
        <v>805938</v>
      </c>
      <c r="AB345" s="702">
        <v>365937</v>
      </c>
      <c r="AC345" s="702">
        <v>0</v>
      </c>
    </row>
    <row r="346" spans="1:29" s="685" customFormat="1">
      <c r="A346" s="797"/>
      <c r="B346" s="748"/>
      <c r="C346" s="704"/>
      <c r="D346" s="704"/>
      <c r="E346" s="704"/>
      <c r="F346" s="704"/>
      <c r="G346" s="704"/>
      <c r="H346" s="704"/>
      <c r="I346" s="704"/>
      <c r="J346" s="704"/>
      <c r="K346" s="704"/>
      <c r="L346" s="704"/>
      <c r="M346" s="704"/>
      <c r="N346" s="704"/>
      <c r="O346" s="704"/>
      <c r="P346" s="704"/>
      <c r="Q346" s="704"/>
      <c r="R346" s="704"/>
      <c r="S346" s="704"/>
      <c r="T346" s="704"/>
      <c r="U346" s="704"/>
      <c r="V346" s="704"/>
      <c r="W346" s="704"/>
      <c r="X346" s="704"/>
      <c r="Y346" s="704"/>
      <c r="Z346" s="704"/>
      <c r="AA346" s="704"/>
      <c r="AB346" s="704"/>
      <c r="AC346" s="704"/>
    </row>
    <row r="347" spans="1:29" s="685" customFormat="1">
      <c r="A347" s="1040" t="s">
        <v>24</v>
      </c>
      <c r="B347" s="792"/>
      <c r="C347" s="1021">
        <v>0</v>
      </c>
      <c r="D347" s="1021">
        <v>0</v>
      </c>
      <c r="E347" s="1021">
        <v>-1500</v>
      </c>
      <c r="F347" s="1021">
        <v>-1500</v>
      </c>
      <c r="G347" s="1021">
        <v>0</v>
      </c>
      <c r="H347" s="1021">
        <v>-2500</v>
      </c>
      <c r="I347" s="1021">
        <v>-3000</v>
      </c>
      <c r="J347" s="1021">
        <v>-4000</v>
      </c>
      <c r="K347" s="1021">
        <v>-10500</v>
      </c>
      <c r="L347" s="1021">
        <v>-3000</v>
      </c>
      <c r="M347" s="1021">
        <v>-11000</v>
      </c>
      <c r="N347" s="1021">
        <v>0</v>
      </c>
      <c r="O347" s="1021">
        <v>-18500</v>
      </c>
      <c r="P347" s="1021">
        <v>-4000</v>
      </c>
      <c r="Q347" s="1021">
        <v>0</v>
      </c>
      <c r="R347" s="1021">
        <v>-1500</v>
      </c>
      <c r="S347" s="1021">
        <v>-5500</v>
      </c>
      <c r="T347" s="1021">
        <v>-1500</v>
      </c>
      <c r="U347" s="1021">
        <v>3500</v>
      </c>
      <c r="V347" s="1021">
        <v>-3000</v>
      </c>
      <c r="W347" s="1021">
        <v>-2500</v>
      </c>
      <c r="X347" s="1021">
        <v>-7000</v>
      </c>
      <c r="Y347" s="1021">
        <v>0</v>
      </c>
      <c r="Z347" s="1021">
        <v>0</v>
      </c>
      <c r="AA347" s="1021">
        <v>-4000</v>
      </c>
      <c r="AB347" s="1021">
        <v>0</v>
      </c>
      <c r="AC347" s="1021">
        <v>0</v>
      </c>
    </row>
    <row r="348" spans="1:29" s="685" customFormat="1">
      <c r="A348" s="1040"/>
      <c r="B348" s="792"/>
      <c r="C348" s="702">
        <v>-81000</v>
      </c>
      <c r="D348" s="702">
        <v>-81000</v>
      </c>
      <c r="E348" s="702">
        <v>-81000</v>
      </c>
      <c r="F348" s="702">
        <v>-79500</v>
      </c>
      <c r="G348" s="702">
        <v>-78000</v>
      </c>
      <c r="H348" s="702">
        <v>-78000</v>
      </c>
      <c r="I348" s="702">
        <v>-75500</v>
      </c>
      <c r="J348" s="702">
        <v>-72500</v>
      </c>
      <c r="K348" s="702">
        <v>-68500</v>
      </c>
      <c r="L348" s="702">
        <v>-58000</v>
      </c>
      <c r="M348" s="702">
        <v>-55000</v>
      </c>
      <c r="N348" s="702">
        <v>-44000</v>
      </c>
      <c r="O348" s="702">
        <v>-44000</v>
      </c>
      <c r="P348" s="702">
        <v>-25500</v>
      </c>
      <c r="Q348" s="702">
        <v>-21500</v>
      </c>
      <c r="R348" s="702">
        <v>-21500</v>
      </c>
      <c r="S348" s="702">
        <v>-20000</v>
      </c>
      <c r="T348" s="702">
        <v>-14500</v>
      </c>
      <c r="U348" s="702">
        <v>-13000</v>
      </c>
      <c r="V348" s="702">
        <v>-16500</v>
      </c>
      <c r="W348" s="702">
        <v>-13500</v>
      </c>
      <c r="X348" s="702">
        <v>-11000</v>
      </c>
      <c r="Y348" s="702">
        <v>-4000</v>
      </c>
      <c r="Z348" s="702">
        <v>-4000</v>
      </c>
      <c r="AA348" s="702">
        <v>-4000</v>
      </c>
      <c r="AB348" s="702">
        <v>0</v>
      </c>
      <c r="AC348" s="702">
        <v>0</v>
      </c>
    </row>
    <row r="349" spans="1:29" s="685" customFormat="1">
      <c r="A349" s="797"/>
      <c r="B349" s="748"/>
      <c r="C349" s="879"/>
      <c r="D349" s="879"/>
      <c r="E349" s="879"/>
      <c r="F349" s="879"/>
      <c r="G349" s="879"/>
      <c r="H349" s="879"/>
      <c r="I349" s="879"/>
      <c r="J349" s="879"/>
      <c r="K349" s="879"/>
      <c r="L349" s="879"/>
      <c r="M349" s="879"/>
      <c r="N349" s="879"/>
      <c r="O349" s="879"/>
      <c r="P349" s="879"/>
      <c r="Q349" s="879"/>
      <c r="R349" s="879"/>
      <c r="S349" s="879"/>
      <c r="T349" s="879"/>
      <c r="U349" s="879"/>
      <c r="V349" s="879"/>
      <c r="W349" s="879"/>
      <c r="X349" s="879"/>
      <c r="Y349" s="879"/>
      <c r="Z349" s="879"/>
      <c r="AA349" s="879"/>
      <c r="AB349" s="879"/>
      <c r="AC349" s="879"/>
    </row>
    <row r="350" spans="1:29" s="685" customFormat="1" ht="18">
      <c r="A350" s="787" t="s">
        <v>151</v>
      </c>
      <c r="B350" s="788"/>
      <c r="C350" s="883">
        <v>2583612</v>
      </c>
      <c r="D350" s="883">
        <v>1719305</v>
      </c>
      <c r="E350" s="883">
        <v>1614087</v>
      </c>
      <c r="F350" s="883">
        <v>2068204</v>
      </c>
      <c r="G350" s="883">
        <v>1908741</v>
      </c>
      <c r="H350" s="883">
        <v>1828969</v>
      </c>
      <c r="I350" s="883">
        <v>2814969</v>
      </c>
      <c r="J350" s="883">
        <v>3350370</v>
      </c>
      <c r="K350" s="883">
        <v>1742702</v>
      </c>
      <c r="L350" s="883">
        <v>2846673</v>
      </c>
      <c r="M350" s="883">
        <v>7271331</v>
      </c>
      <c r="N350" s="883">
        <v>855017</v>
      </c>
      <c r="O350" s="883">
        <v>2591574</v>
      </c>
      <c r="P350" s="883">
        <v>1385903</v>
      </c>
      <c r="Q350" s="883">
        <v>1261259</v>
      </c>
      <c r="R350" s="883">
        <v>1677514</v>
      </c>
      <c r="S350" s="883">
        <v>1812078</v>
      </c>
      <c r="T350" s="883">
        <v>1949842</v>
      </c>
      <c r="U350" s="883">
        <v>3743462</v>
      </c>
      <c r="V350" s="883">
        <v>1739974</v>
      </c>
      <c r="W350" s="883">
        <v>1467165</v>
      </c>
      <c r="X350" s="883">
        <v>1810059</v>
      </c>
      <c r="Y350" s="883">
        <v>1556919</v>
      </c>
      <c r="Z350" s="883">
        <v>258654</v>
      </c>
      <c r="AA350" s="883">
        <v>1271242</v>
      </c>
      <c r="AB350" s="883">
        <v>1523693</v>
      </c>
      <c r="AC350" s="883">
        <v>0</v>
      </c>
    </row>
    <row r="351" spans="1:29" s="707" customFormat="1" ht="21.6" thickBot="1">
      <c r="A351" s="798" t="s">
        <v>48</v>
      </c>
      <c r="B351" s="799"/>
      <c r="C351" s="706">
        <v>54653318</v>
      </c>
      <c r="D351" s="706">
        <v>52069706</v>
      </c>
      <c r="E351" s="706">
        <v>50350401</v>
      </c>
      <c r="F351" s="706">
        <v>48736314</v>
      </c>
      <c r="G351" s="706">
        <v>46668110</v>
      </c>
      <c r="H351" s="706">
        <v>44759369</v>
      </c>
      <c r="I351" s="706">
        <v>42930400</v>
      </c>
      <c r="J351" s="706">
        <v>40115431</v>
      </c>
      <c r="K351" s="706">
        <v>36765061</v>
      </c>
      <c r="L351" s="706">
        <v>35022359</v>
      </c>
      <c r="M351" s="706">
        <v>32175686</v>
      </c>
      <c r="N351" s="706">
        <v>24904355</v>
      </c>
      <c r="O351" s="706">
        <v>24049338</v>
      </c>
      <c r="P351" s="706">
        <v>21457764</v>
      </c>
      <c r="Q351" s="706">
        <v>20071861</v>
      </c>
      <c r="R351" s="706">
        <v>18810602</v>
      </c>
      <c r="S351" s="706">
        <v>17133088</v>
      </c>
      <c r="T351" s="706">
        <v>15321010</v>
      </c>
      <c r="U351" s="706">
        <v>13371168</v>
      </c>
      <c r="V351" s="706">
        <v>9627706</v>
      </c>
      <c r="W351" s="706">
        <v>7887732</v>
      </c>
      <c r="X351" s="706">
        <v>6420567</v>
      </c>
      <c r="Y351" s="706">
        <v>4610508</v>
      </c>
      <c r="Z351" s="706">
        <v>3053589</v>
      </c>
      <c r="AA351" s="706">
        <v>2794935</v>
      </c>
      <c r="AB351" s="706">
        <v>1523693</v>
      </c>
      <c r="AC351" s="706">
        <v>0</v>
      </c>
    </row>
    <row r="352" spans="1:29" ht="15" thickTop="1">
      <c r="A352" s="25"/>
      <c r="B352" s="735"/>
      <c r="C352" s="884"/>
      <c r="D352" s="884"/>
      <c r="E352" s="884"/>
      <c r="F352" s="884"/>
      <c r="G352" s="884"/>
      <c r="H352" s="884"/>
      <c r="I352" s="884"/>
      <c r="J352" s="884"/>
      <c r="K352" s="884"/>
      <c r="L352" s="884"/>
      <c r="M352" s="884"/>
      <c r="N352" s="884"/>
      <c r="O352" s="884"/>
      <c r="P352" s="884"/>
      <c r="Q352" s="884"/>
      <c r="R352" s="884"/>
      <c r="S352" s="884"/>
      <c r="T352" s="884"/>
      <c r="U352" s="884"/>
      <c r="V352" s="884"/>
      <c r="W352" s="884"/>
      <c r="X352" s="884"/>
      <c r="Y352" s="884"/>
      <c r="Z352" s="884"/>
      <c r="AA352" s="884"/>
      <c r="AB352" s="884"/>
      <c r="AC352" s="884"/>
    </row>
    <row r="353" spans="1:29">
      <c r="A353" s="800" t="s">
        <v>351</v>
      </c>
      <c r="B353" s="801"/>
      <c r="C353" s="885">
        <v>480000</v>
      </c>
      <c r="D353" s="885">
        <v>6369002</v>
      </c>
      <c r="E353" s="885">
        <v>101000</v>
      </c>
      <c r="F353" s="885">
        <v>25000</v>
      </c>
      <c r="G353" s="885">
        <v>0</v>
      </c>
      <c r="H353" s="885">
        <v>303500</v>
      </c>
      <c r="I353" s="885">
        <v>467400</v>
      </c>
      <c r="J353" s="885">
        <v>257500</v>
      </c>
      <c r="K353" s="885">
        <v>610000</v>
      </c>
      <c r="L353" s="885">
        <v>1660000</v>
      </c>
      <c r="M353" s="885">
        <v>703500</v>
      </c>
      <c r="N353" s="885">
        <v>20000</v>
      </c>
      <c r="O353" s="885">
        <v>640000</v>
      </c>
      <c r="P353" s="885">
        <v>105999</v>
      </c>
      <c r="Q353" s="885">
        <v>0</v>
      </c>
      <c r="R353" s="885">
        <v>1091000</v>
      </c>
      <c r="S353" s="885">
        <v>41500</v>
      </c>
      <c r="T353" s="885">
        <v>100000</v>
      </c>
      <c r="U353" s="885">
        <v>0</v>
      </c>
      <c r="V353" s="885">
        <v>1500</v>
      </c>
      <c r="W353" s="885">
        <v>102400</v>
      </c>
      <c r="X353" s="885">
        <v>221500</v>
      </c>
      <c r="Y353" s="885">
        <v>30000</v>
      </c>
      <c r="Z353" s="885">
        <v>100000</v>
      </c>
      <c r="AA353" s="885">
        <v>75000</v>
      </c>
      <c r="AB353" s="885">
        <v>670000</v>
      </c>
      <c r="AC353" s="885">
        <v>0</v>
      </c>
    </row>
    <row r="354" spans="1:29">
      <c r="A354" s="800"/>
      <c r="B354" s="801"/>
      <c r="C354" s="708">
        <v>14175801</v>
      </c>
      <c r="D354" s="708">
        <v>13695801</v>
      </c>
      <c r="E354" s="708">
        <v>7326799</v>
      </c>
      <c r="F354" s="708">
        <v>7225799</v>
      </c>
      <c r="G354" s="708">
        <v>7200799</v>
      </c>
      <c r="H354" s="708">
        <v>7200799</v>
      </c>
      <c r="I354" s="708">
        <v>6897299</v>
      </c>
      <c r="J354" s="708">
        <v>6429899</v>
      </c>
      <c r="K354" s="708">
        <v>6172399</v>
      </c>
      <c r="L354" s="708">
        <v>5562399</v>
      </c>
      <c r="M354" s="708">
        <v>3902399</v>
      </c>
      <c r="N354" s="708">
        <v>3198899</v>
      </c>
      <c r="O354" s="708">
        <v>3178899</v>
      </c>
      <c r="P354" s="708">
        <v>2538899</v>
      </c>
      <c r="Q354" s="708">
        <v>2432900</v>
      </c>
      <c r="R354" s="708">
        <v>2432900</v>
      </c>
      <c r="S354" s="708">
        <v>1341900</v>
      </c>
      <c r="T354" s="708">
        <v>1300400</v>
      </c>
      <c r="U354" s="708">
        <v>1200400</v>
      </c>
      <c r="V354" s="708">
        <v>1200400</v>
      </c>
      <c r="W354" s="708">
        <v>1198900</v>
      </c>
      <c r="X354" s="708">
        <v>1096500</v>
      </c>
      <c r="Y354" s="708">
        <v>875000</v>
      </c>
      <c r="Z354" s="708">
        <v>845000</v>
      </c>
      <c r="AA354" s="708">
        <v>745000</v>
      </c>
      <c r="AB354" s="708">
        <v>670000</v>
      </c>
      <c r="AC354" s="708">
        <v>0</v>
      </c>
    </row>
    <row r="355" spans="1:29">
      <c r="A355" s="25"/>
      <c r="B355" s="735"/>
      <c r="C355" s="884"/>
      <c r="D355" s="884"/>
      <c r="E355" s="884"/>
      <c r="F355" s="884"/>
      <c r="G355" s="884"/>
      <c r="H355" s="884"/>
      <c r="I355" s="884"/>
      <c r="J355" s="884"/>
      <c r="K355" s="884"/>
      <c r="L355" s="884"/>
      <c r="M355" s="884"/>
      <c r="N355" s="884"/>
      <c r="O355" s="884"/>
      <c r="P355" s="884"/>
      <c r="Q355" s="884"/>
      <c r="R355" s="884"/>
      <c r="S355" s="884"/>
      <c r="T355" s="884"/>
      <c r="U355" s="884"/>
      <c r="V355" s="884"/>
      <c r="W355" s="884"/>
      <c r="X355" s="884"/>
      <c r="Y355" s="884"/>
      <c r="Z355" s="884"/>
      <c r="AA355" s="884"/>
      <c r="AB355" s="884"/>
      <c r="AC355" s="884"/>
    </row>
    <row r="356" spans="1:29" ht="21">
      <c r="A356" s="802" t="s">
        <v>352</v>
      </c>
      <c r="B356" s="803"/>
      <c r="C356" s="886">
        <v>2103612</v>
      </c>
      <c r="D356" s="886">
        <v>-4649697</v>
      </c>
      <c r="E356" s="886">
        <v>1513087</v>
      </c>
      <c r="F356" s="886">
        <v>2043204</v>
      </c>
      <c r="G356" s="886">
        <v>1908741</v>
      </c>
      <c r="H356" s="886">
        <v>1525469</v>
      </c>
      <c r="I356" s="886">
        <v>2347569</v>
      </c>
      <c r="J356" s="886">
        <v>3092870</v>
      </c>
      <c r="K356" s="886">
        <v>1132702</v>
      </c>
      <c r="L356" s="886">
        <v>1186673</v>
      </c>
      <c r="M356" s="886">
        <v>6567831</v>
      </c>
      <c r="N356" s="886">
        <v>835017</v>
      </c>
      <c r="O356" s="886">
        <v>1951574</v>
      </c>
      <c r="P356" s="886">
        <v>1279904</v>
      </c>
      <c r="Q356" s="886">
        <v>1261259</v>
      </c>
      <c r="R356" s="886">
        <v>586514</v>
      </c>
      <c r="S356" s="886">
        <v>1770578</v>
      </c>
      <c r="T356" s="886">
        <v>1849842</v>
      </c>
      <c r="U356" s="886">
        <v>3743462</v>
      </c>
      <c r="V356" s="886">
        <v>1738474</v>
      </c>
      <c r="W356" s="886">
        <v>1364765</v>
      </c>
      <c r="X356" s="886">
        <v>1588559</v>
      </c>
      <c r="Y356" s="886">
        <v>1526919</v>
      </c>
      <c r="Z356" s="886">
        <v>158654</v>
      </c>
      <c r="AA356" s="886">
        <v>1196242</v>
      </c>
      <c r="AB356" s="886">
        <v>853693</v>
      </c>
      <c r="AC356" s="886">
        <v>0</v>
      </c>
    </row>
    <row r="357" spans="1:29" ht="21">
      <c r="A357" s="804"/>
      <c r="B357" s="803"/>
      <c r="C357" s="709">
        <v>40477517</v>
      </c>
      <c r="D357" s="709">
        <v>38373905</v>
      </c>
      <c r="E357" s="709">
        <v>43023602</v>
      </c>
      <c r="F357" s="709">
        <v>41510515</v>
      </c>
      <c r="G357" s="709">
        <v>39467311</v>
      </c>
      <c r="H357" s="709">
        <v>37558570</v>
      </c>
      <c r="I357" s="709">
        <v>36033101</v>
      </c>
      <c r="J357" s="709">
        <v>33685532</v>
      </c>
      <c r="K357" s="709">
        <v>30592662</v>
      </c>
      <c r="L357" s="709">
        <v>29459960</v>
      </c>
      <c r="M357" s="709">
        <v>28273287</v>
      </c>
      <c r="N357" s="709">
        <v>21705456</v>
      </c>
      <c r="O357" s="709">
        <v>20870439</v>
      </c>
      <c r="P357" s="709">
        <v>18918865</v>
      </c>
      <c r="Q357" s="709">
        <v>17638961</v>
      </c>
      <c r="R357" s="709">
        <v>16377702</v>
      </c>
      <c r="S357" s="709">
        <v>15791188</v>
      </c>
      <c r="T357" s="709">
        <v>14020610</v>
      </c>
      <c r="U357" s="709">
        <v>12170768</v>
      </c>
      <c r="V357" s="709">
        <v>8427306</v>
      </c>
      <c r="W357" s="709">
        <v>6688832</v>
      </c>
      <c r="X357" s="709">
        <v>5324067</v>
      </c>
      <c r="Y357" s="709">
        <v>3735508</v>
      </c>
      <c r="Z357" s="709">
        <v>2208589</v>
      </c>
      <c r="AA357" s="709">
        <v>2049935</v>
      </c>
      <c r="AB357" s="709">
        <v>853693</v>
      </c>
      <c r="AC357" s="709">
        <v>0</v>
      </c>
    </row>
    <row r="358" spans="1:29" ht="15" thickBot="1">
      <c r="A358" s="5"/>
      <c r="B358" s="16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710"/>
      <c r="AB358" s="710"/>
      <c r="AC358" s="710"/>
    </row>
    <row r="359" spans="1:29" s="685" customFormat="1">
      <c r="A359" s="805" t="s">
        <v>194</v>
      </c>
      <c r="B359" s="806" t="s">
        <v>290</v>
      </c>
      <c r="C359" s="887">
        <v>0</v>
      </c>
      <c r="D359" s="887">
        <v>0</v>
      </c>
      <c r="E359" s="887">
        <v>0</v>
      </c>
      <c r="F359" s="887">
        <v>0</v>
      </c>
      <c r="G359" s="887">
        <v>0</v>
      </c>
      <c r="H359" s="887">
        <v>0</v>
      </c>
      <c r="I359" s="887">
        <v>0</v>
      </c>
      <c r="J359" s="887">
        <v>0</v>
      </c>
      <c r="K359" s="887">
        <v>0</v>
      </c>
      <c r="L359" s="887">
        <v>0</v>
      </c>
      <c r="M359" s="887">
        <v>0</v>
      </c>
      <c r="N359" s="887">
        <v>0</v>
      </c>
      <c r="O359" s="887">
        <v>0</v>
      </c>
      <c r="P359" s="887">
        <v>0</v>
      </c>
      <c r="Q359" s="887">
        <v>0</v>
      </c>
      <c r="R359" s="887">
        <v>0</v>
      </c>
      <c r="S359" s="887">
        <v>0</v>
      </c>
      <c r="T359" s="887">
        <v>0</v>
      </c>
      <c r="U359" s="887">
        <v>0</v>
      </c>
      <c r="V359" s="887">
        <v>0</v>
      </c>
      <c r="W359" s="887">
        <v>0</v>
      </c>
      <c r="X359" s="887">
        <v>0</v>
      </c>
      <c r="Y359" s="887">
        <v>0</v>
      </c>
      <c r="Z359" s="887">
        <v>0</v>
      </c>
      <c r="AA359" s="887">
        <v>0</v>
      </c>
      <c r="AB359" s="887">
        <v>0</v>
      </c>
      <c r="AC359" s="887">
        <v>0</v>
      </c>
    </row>
    <row r="360" spans="1:29" s="685" customFormat="1">
      <c r="A360" s="807" t="s">
        <v>196</v>
      </c>
      <c r="B360" s="808"/>
      <c r="C360" s="705">
        <v>0</v>
      </c>
      <c r="D360" s="705">
        <v>0</v>
      </c>
      <c r="E360" s="705">
        <v>0</v>
      </c>
      <c r="F360" s="705">
        <v>0</v>
      </c>
      <c r="G360" s="705">
        <v>0</v>
      </c>
      <c r="H360" s="705">
        <v>0</v>
      </c>
      <c r="I360" s="705">
        <v>0</v>
      </c>
      <c r="J360" s="705">
        <v>0</v>
      </c>
      <c r="K360" s="705">
        <v>0</v>
      </c>
      <c r="L360" s="705">
        <v>0</v>
      </c>
      <c r="M360" s="705">
        <v>0</v>
      </c>
      <c r="N360" s="705">
        <v>0</v>
      </c>
      <c r="O360" s="705">
        <v>0</v>
      </c>
      <c r="P360" s="705">
        <v>0</v>
      </c>
      <c r="Q360" s="705">
        <v>0</v>
      </c>
      <c r="R360" s="705">
        <v>0</v>
      </c>
      <c r="S360" s="705">
        <v>0</v>
      </c>
      <c r="T360" s="705">
        <v>0</v>
      </c>
      <c r="U360" s="705">
        <v>0</v>
      </c>
      <c r="V360" s="705">
        <v>0</v>
      </c>
      <c r="W360" s="705">
        <v>0</v>
      </c>
      <c r="X360" s="705">
        <v>0</v>
      </c>
      <c r="Y360" s="705">
        <v>0</v>
      </c>
      <c r="Z360" s="705">
        <v>0</v>
      </c>
      <c r="AA360" s="705">
        <v>0</v>
      </c>
      <c r="AB360" s="705">
        <v>67600</v>
      </c>
      <c r="AC360" s="705">
        <v>0</v>
      </c>
    </row>
    <row r="361" spans="1:29" s="712" customFormat="1" ht="15" thickBot="1">
      <c r="A361" s="809"/>
      <c r="B361" s="810"/>
      <c r="C361" s="711">
        <v>67600</v>
      </c>
      <c r="D361" s="711">
        <v>67600</v>
      </c>
      <c r="E361" s="711">
        <v>67600</v>
      </c>
      <c r="F361" s="711">
        <v>67600</v>
      </c>
      <c r="G361" s="711">
        <v>67600</v>
      </c>
      <c r="H361" s="711">
        <v>67600</v>
      </c>
      <c r="I361" s="711">
        <v>67600</v>
      </c>
      <c r="J361" s="711">
        <v>67600</v>
      </c>
      <c r="K361" s="711">
        <v>67600</v>
      </c>
      <c r="L361" s="711">
        <v>67600</v>
      </c>
      <c r="M361" s="711">
        <v>67600</v>
      </c>
      <c r="N361" s="711">
        <v>67600</v>
      </c>
      <c r="O361" s="711">
        <v>67600</v>
      </c>
      <c r="P361" s="711">
        <v>67600</v>
      </c>
      <c r="Q361" s="711">
        <v>67600</v>
      </c>
      <c r="R361" s="711">
        <v>67600</v>
      </c>
      <c r="S361" s="711">
        <v>67600</v>
      </c>
      <c r="T361" s="711">
        <v>67600</v>
      </c>
      <c r="U361" s="711">
        <v>67600</v>
      </c>
      <c r="V361" s="711">
        <v>67600</v>
      </c>
      <c r="W361" s="711">
        <v>67600</v>
      </c>
      <c r="X361" s="711">
        <v>67600</v>
      </c>
      <c r="Y361" s="711">
        <v>67600</v>
      </c>
      <c r="Z361" s="711">
        <v>67600</v>
      </c>
      <c r="AA361" s="711">
        <v>67600</v>
      </c>
      <c r="AB361" s="711">
        <v>67600</v>
      </c>
      <c r="AC361" s="711">
        <v>0</v>
      </c>
    </row>
    <row r="362" spans="1:29" s="685" customFormat="1">
      <c r="A362" s="805" t="s">
        <v>195</v>
      </c>
      <c r="B362" s="806" t="s">
        <v>277</v>
      </c>
      <c r="C362" s="887">
        <v>0</v>
      </c>
      <c r="D362" s="887">
        <v>0</v>
      </c>
      <c r="E362" s="887">
        <v>0</v>
      </c>
      <c r="F362" s="887">
        <v>0</v>
      </c>
      <c r="G362" s="887">
        <v>0</v>
      </c>
      <c r="H362" s="887">
        <v>0</v>
      </c>
      <c r="I362" s="887">
        <v>0</v>
      </c>
      <c r="J362" s="887">
        <v>0</v>
      </c>
      <c r="K362" s="887">
        <v>0</v>
      </c>
      <c r="L362" s="887">
        <v>0</v>
      </c>
      <c r="M362" s="887">
        <v>0</v>
      </c>
      <c r="N362" s="887">
        <v>0</v>
      </c>
      <c r="O362" s="887">
        <v>0</v>
      </c>
      <c r="P362" s="887">
        <v>0</v>
      </c>
      <c r="Q362" s="887">
        <v>0</v>
      </c>
      <c r="R362" s="887">
        <v>0</v>
      </c>
      <c r="S362" s="887">
        <v>0</v>
      </c>
      <c r="T362" s="887">
        <v>0</v>
      </c>
      <c r="U362" s="887">
        <v>0</v>
      </c>
      <c r="V362" s="887">
        <v>0</v>
      </c>
      <c r="W362" s="887">
        <v>0</v>
      </c>
      <c r="X362" s="887">
        <v>0</v>
      </c>
      <c r="Y362" s="887">
        <v>0</v>
      </c>
      <c r="Z362" s="887">
        <v>0</v>
      </c>
      <c r="AA362" s="887">
        <v>0</v>
      </c>
      <c r="AB362" s="887">
        <v>0</v>
      </c>
      <c r="AC362" s="887">
        <v>0</v>
      </c>
    </row>
    <row r="363" spans="1:29" s="685" customFormat="1">
      <c r="A363" s="807" t="s">
        <v>196</v>
      </c>
      <c r="B363" s="808"/>
      <c r="C363" s="705">
        <v>0</v>
      </c>
      <c r="D363" s="705">
        <v>0</v>
      </c>
      <c r="E363" s="705">
        <v>0</v>
      </c>
      <c r="F363" s="705">
        <v>0</v>
      </c>
      <c r="G363" s="705">
        <v>0</v>
      </c>
      <c r="H363" s="705">
        <v>0</v>
      </c>
      <c r="I363" s="705">
        <v>0</v>
      </c>
      <c r="J363" s="705">
        <v>0</v>
      </c>
      <c r="K363" s="705">
        <v>0</v>
      </c>
      <c r="L363" s="705">
        <v>0</v>
      </c>
      <c r="M363" s="705">
        <v>0</v>
      </c>
      <c r="N363" s="705">
        <v>0</v>
      </c>
      <c r="O363" s="705">
        <v>0</v>
      </c>
      <c r="P363" s="705">
        <v>0</v>
      </c>
      <c r="Q363" s="705">
        <v>0</v>
      </c>
      <c r="R363" s="705">
        <v>0</v>
      </c>
      <c r="S363" s="705">
        <v>0</v>
      </c>
      <c r="T363" s="705">
        <v>0</v>
      </c>
      <c r="U363" s="705">
        <v>0</v>
      </c>
      <c r="V363" s="705">
        <v>0</v>
      </c>
      <c r="W363" s="705">
        <v>0</v>
      </c>
      <c r="X363" s="705">
        <v>0</v>
      </c>
      <c r="Y363" s="705">
        <v>0</v>
      </c>
      <c r="Z363" s="705">
        <v>0</v>
      </c>
      <c r="AA363" s="705">
        <v>0</v>
      </c>
      <c r="AB363" s="705">
        <v>104650</v>
      </c>
      <c r="AC363" s="705">
        <v>0</v>
      </c>
    </row>
    <row r="364" spans="1:29" s="712" customFormat="1" ht="15" thickBot="1">
      <c r="A364" s="809"/>
      <c r="B364" s="810"/>
      <c r="C364" s="711">
        <v>104650</v>
      </c>
      <c r="D364" s="711">
        <v>104650</v>
      </c>
      <c r="E364" s="711">
        <v>104650</v>
      </c>
      <c r="F364" s="711">
        <v>104650</v>
      </c>
      <c r="G364" s="711">
        <v>104650</v>
      </c>
      <c r="H364" s="711">
        <v>104650</v>
      </c>
      <c r="I364" s="711">
        <v>104650</v>
      </c>
      <c r="J364" s="711">
        <v>104650</v>
      </c>
      <c r="K364" s="711">
        <v>104650</v>
      </c>
      <c r="L364" s="711">
        <v>104650</v>
      </c>
      <c r="M364" s="711">
        <v>104650</v>
      </c>
      <c r="N364" s="711">
        <v>104650</v>
      </c>
      <c r="O364" s="711">
        <v>104650</v>
      </c>
      <c r="P364" s="711">
        <v>104650</v>
      </c>
      <c r="Q364" s="711">
        <v>104650</v>
      </c>
      <c r="R364" s="711">
        <v>104650</v>
      </c>
      <c r="S364" s="711">
        <v>104650</v>
      </c>
      <c r="T364" s="711">
        <v>104650</v>
      </c>
      <c r="U364" s="711">
        <v>104650</v>
      </c>
      <c r="V364" s="711">
        <v>104650</v>
      </c>
      <c r="W364" s="711">
        <v>104650</v>
      </c>
      <c r="X364" s="711">
        <v>104650</v>
      </c>
      <c r="Y364" s="711">
        <v>104650</v>
      </c>
      <c r="Z364" s="711">
        <v>104650</v>
      </c>
      <c r="AA364" s="711">
        <v>104650</v>
      </c>
      <c r="AB364" s="711">
        <v>104650</v>
      </c>
      <c r="AC364" s="711">
        <v>0</v>
      </c>
    </row>
    <row r="365" spans="1:29" s="685" customFormat="1">
      <c r="A365" s="811" t="s">
        <v>341</v>
      </c>
      <c r="B365" s="806" t="s">
        <v>342</v>
      </c>
      <c r="C365" s="887">
        <v>0</v>
      </c>
      <c r="D365" s="887">
        <v>0</v>
      </c>
      <c r="E365" s="887">
        <v>0</v>
      </c>
      <c r="F365" s="887">
        <v>0</v>
      </c>
      <c r="G365" s="887">
        <v>0</v>
      </c>
      <c r="H365" s="887">
        <v>0</v>
      </c>
      <c r="I365" s="887">
        <v>0</v>
      </c>
      <c r="J365" s="887">
        <v>0</v>
      </c>
      <c r="K365" s="887">
        <v>0</v>
      </c>
      <c r="L365" s="887">
        <v>0</v>
      </c>
      <c r="M365" s="887">
        <v>0</v>
      </c>
      <c r="N365" s="887">
        <v>0</v>
      </c>
      <c r="O365" s="887">
        <v>0</v>
      </c>
      <c r="P365" s="887">
        <v>0</v>
      </c>
      <c r="Q365" s="887">
        <v>0</v>
      </c>
      <c r="R365" s="887">
        <v>0</v>
      </c>
      <c r="S365" s="887">
        <v>0</v>
      </c>
      <c r="T365" s="887">
        <v>0</v>
      </c>
      <c r="U365" s="887">
        <v>0</v>
      </c>
      <c r="V365" s="887">
        <v>0</v>
      </c>
      <c r="W365" s="887">
        <v>0</v>
      </c>
      <c r="X365" s="887">
        <v>0</v>
      </c>
      <c r="Y365" s="887">
        <v>0</v>
      </c>
      <c r="Z365" s="887">
        <v>0</v>
      </c>
      <c r="AA365" s="887">
        <v>0</v>
      </c>
      <c r="AB365" s="887">
        <v>0</v>
      </c>
      <c r="AC365" s="887">
        <v>0</v>
      </c>
    </row>
    <row r="366" spans="1:29" s="685" customFormat="1">
      <c r="A366" s="807" t="s">
        <v>196</v>
      </c>
      <c r="B366" s="808"/>
      <c r="C366" s="705">
        <v>0</v>
      </c>
      <c r="D366" s="705">
        <v>0</v>
      </c>
      <c r="E366" s="705">
        <v>0</v>
      </c>
      <c r="F366" s="705">
        <v>0</v>
      </c>
      <c r="G366" s="705">
        <v>0</v>
      </c>
      <c r="H366" s="705">
        <v>0</v>
      </c>
      <c r="I366" s="705">
        <v>0</v>
      </c>
      <c r="J366" s="705">
        <v>0</v>
      </c>
      <c r="K366" s="705">
        <v>0</v>
      </c>
      <c r="L366" s="705">
        <v>0</v>
      </c>
      <c r="M366" s="705">
        <v>0</v>
      </c>
      <c r="N366" s="705">
        <v>0</v>
      </c>
      <c r="O366" s="705">
        <v>0</v>
      </c>
      <c r="P366" s="705">
        <v>0</v>
      </c>
      <c r="Q366" s="705">
        <v>0</v>
      </c>
      <c r="R366" s="705">
        <v>0</v>
      </c>
      <c r="S366" s="705">
        <v>0</v>
      </c>
      <c r="T366" s="705">
        <v>0</v>
      </c>
      <c r="U366" s="705">
        <v>0</v>
      </c>
      <c r="V366" s="705">
        <v>0</v>
      </c>
      <c r="W366" s="705">
        <v>0</v>
      </c>
      <c r="X366" s="705">
        <v>0</v>
      </c>
      <c r="Y366" s="705">
        <v>0</v>
      </c>
      <c r="Z366" s="705">
        <v>0</v>
      </c>
      <c r="AA366" s="705">
        <v>0</v>
      </c>
      <c r="AB366" s="705">
        <v>88750</v>
      </c>
      <c r="AC366" s="705">
        <v>0</v>
      </c>
    </row>
    <row r="367" spans="1:29" s="712" customFormat="1" ht="15" thickBot="1">
      <c r="A367" s="809"/>
      <c r="B367" s="810"/>
      <c r="C367" s="711">
        <v>88750</v>
      </c>
      <c r="D367" s="711">
        <v>88750</v>
      </c>
      <c r="E367" s="711">
        <v>88750</v>
      </c>
      <c r="F367" s="711">
        <v>88750</v>
      </c>
      <c r="G367" s="711">
        <v>88750</v>
      </c>
      <c r="H367" s="711">
        <v>88750</v>
      </c>
      <c r="I367" s="711">
        <v>88750</v>
      </c>
      <c r="J367" s="711">
        <v>88750</v>
      </c>
      <c r="K367" s="711">
        <v>88750</v>
      </c>
      <c r="L367" s="711">
        <v>88750</v>
      </c>
      <c r="M367" s="711">
        <v>88750</v>
      </c>
      <c r="N367" s="711">
        <v>88750</v>
      </c>
      <c r="O367" s="711">
        <v>88750</v>
      </c>
      <c r="P367" s="711">
        <v>88750</v>
      </c>
      <c r="Q367" s="711">
        <v>88750</v>
      </c>
      <c r="R367" s="711">
        <v>88750</v>
      </c>
      <c r="S367" s="711">
        <v>88750</v>
      </c>
      <c r="T367" s="711">
        <v>88750</v>
      </c>
      <c r="U367" s="711">
        <v>88750</v>
      </c>
      <c r="V367" s="711">
        <v>88750</v>
      </c>
      <c r="W367" s="711">
        <v>88750</v>
      </c>
      <c r="X367" s="711">
        <v>88750</v>
      </c>
      <c r="Y367" s="711">
        <v>88750</v>
      </c>
      <c r="Z367" s="711">
        <v>88750</v>
      </c>
      <c r="AA367" s="711">
        <v>88750</v>
      </c>
      <c r="AB367" s="711">
        <v>88750</v>
      </c>
      <c r="AC367" s="711">
        <v>0</v>
      </c>
    </row>
    <row r="368" spans="1:29" s="713" customFormat="1" ht="18">
      <c r="A368" s="812" t="s">
        <v>362</v>
      </c>
      <c r="B368" s="813"/>
      <c r="C368" s="958">
        <v>0</v>
      </c>
      <c r="D368" s="958">
        <v>0</v>
      </c>
      <c r="E368" s="958">
        <v>0</v>
      </c>
      <c r="F368" s="958">
        <v>0</v>
      </c>
      <c r="G368" s="958">
        <v>0</v>
      </c>
      <c r="H368" s="958">
        <v>0</v>
      </c>
      <c r="I368" s="958">
        <v>0</v>
      </c>
      <c r="J368" s="958">
        <v>0</v>
      </c>
      <c r="K368" s="958">
        <v>0</v>
      </c>
      <c r="L368" s="958">
        <v>0</v>
      </c>
      <c r="M368" s="958">
        <v>0</v>
      </c>
      <c r="N368" s="958">
        <v>0</v>
      </c>
      <c r="O368" s="958">
        <v>0</v>
      </c>
      <c r="P368" s="958">
        <v>0</v>
      </c>
      <c r="Q368" s="958">
        <v>0</v>
      </c>
      <c r="R368" s="958">
        <v>0</v>
      </c>
      <c r="S368" s="958">
        <v>0</v>
      </c>
      <c r="T368" s="958">
        <v>0</v>
      </c>
      <c r="U368" s="958">
        <v>0</v>
      </c>
      <c r="V368" s="958">
        <v>0</v>
      </c>
      <c r="W368" s="958">
        <v>0</v>
      </c>
      <c r="X368" s="958">
        <v>0</v>
      </c>
      <c r="Y368" s="958">
        <v>0</v>
      </c>
      <c r="Z368" s="958">
        <v>0</v>
      </c>
      <c r="AA368" s="958">
        <v>0</v>
      </c>
      <c r="AB368" s="958">
        <f>AB359+AB360+AB362+AB363+AB365+AB366</f>
        <v>261000</v>
      </c>
      <c r="AC368" s="958">
        <v>0</v>
      </c>
    </row>
    <row r="369" spans="1:29" s="715" customFormat="1" ht="18">
      <c r="A369" s="814" t="s">
        <v>85</v>
      </c>
      <c r="B369" s="815"/>
      <c r="C369" s="714">
        <v>261000</v>
      </c>
      <c r="D369" s="714">
        <v>261000</v>
      </c>
      <c r="E369" s="714">
        <v>261000</v>
      </c>
      <c r="F369" s="714">
        <v>261000</v>
      </c>
      <c r="G369" s="714">
        <v>261000</v>
      </c>
      <c r="H369" s="714">
        <v>261000</v>
      </c>
      <c r="I369" s="714">
        <v>261000</v>
      </c>
      <c r="J369" s="714">
        <v>261000</v>
      </c>
      <c r="K369" s="714">
        <v>261000</v>
      </c>
      <c r="L369" s="714">
        <v>261000</v>
      </c>
      <c r="M369" s="714">
        <v>261000</v>
      </c>
      <c r="N369" s="714">
        <v>261000</v>
      </c>
      <c r="O369" s="714">
        <v>261000</v>
      </c>
      <c r="P369" s="714">
        <v>261000</v>
      </c>
      <c r="Q369" s="714">
        <v>261000</v>
      </c>
      <c r="R369" s="714">
        <v>261000</v>
      </c>
      <c r="S369" s="714">
        <v>261000</v>
      </c>
      <c r="T369" s="714">
        <v>261000</v>
      </c>
      <c r="U369" s="714">
        <v>261000</v>
      </c>
      <c r="V369" s="714">
        <v>261000</v>
      </c>
      <c r="W369" s="714">
        <v>261000</v>
      </c>
      <c r="X369" s="714">
        <v>261000</v>
      </c>
      <c r="Y369" s="714">
        <v>261000</v>
      </c>
      <c r="Z369" s="714">
        <v>261000</v>
      </c>
      <c r="AA369" s="714">
        <v>261000</v>
      </c>
      <c r="AB369" s="714">
        <v>261000</v>
      </c>
      <c r="AC369" s="714">
        <v>0</v>
      </c>
    </row>
    <row r="370" spans="1:29" s="426" customFormat="1" ht="15" thickBot="1">
      <c r="A370" s="65"/>
      <c r="B370" s="753"/>
      <c r="C370" s="971"/>
      <c r="D370" s="971"/>
      <c r="E370" s="971"/>
      <c r="F370" s="971"/>
      <c r="G370" s="971"/>
      <c r="H370" s="971"/>
      <c r="I370" s="971"/>
      <c r="J370" s="971"/>
      <c r="K370" s="971"/>
      <c r="L370" s="971"/>
      <c r="M370" s="971"/>
      <c r="N370" s="971"/>
      <c r="O370" s="971"/>
      <c r="P370" s="971"/>
      <c r="Q370" s="971"/>
      <c r="R370" s="971"/>
      <c r="S370" s="971"/>
      <c r="T370" s="971"/>
      <c r="U370" s="971"/>
      <c r="V370" s="971"/>
      <c r="W370" s="971"/>
      <c r="X370" s="971"/>
      <c r="Y370" s="971"/>
      <c r="Z370" s="971"/>
      <c r="AA370" s="971"/>
      <c r="AB370" s="971"/>
      <c r="AC370" s="971"/>
    </row>
    <row r="371" spans="1:29" s="426" customFormat="1">
      <c r="A371" s="3" t="s">
        <v>576</v>
      </c>
      <c r="B371" s="734"/>
      <c r="C371" s="974"/>
      <c r="D371" s="974"/>
      <c r="E371" s="974"/>
      <c r="F371" s="974"/>
      <c r="G371" s="974"/>
      <c r="H371" s="974"/>
      <c r="I371" s="974"/>
      <c r="J371" s="974"/>
      <c r="K371" s="974"/>
      <c r="L371" s="974"/>
      <c r="M371" s="974"/>
      <c r="N371" s="974"/>
      <c r="O371" s="974"/>
      <c r="P371" s="974"/>
      <c r="Q371" s="974"/>
      <c r="R371" s="974"/>
      <c r="S371" s="974"/>
      <c r="T371" s="974"/>
      <c r="U371" s="974"/>
      <c r="V371" s="974"/>
      <c r="W371" s="974"/>
      <c r="X371" s="974"/>
      <c r="Y371" s="974"/>
      <c r="Z371" s="974"/>
      <c r="AA371" s="974"/>
      <c r="AB371" s="974"/>
      <c r="AC371" s="974"/>
    </row>
    <row r="372" spans="1:29">
      <c r="A372" s="1" t="s">
        <v>573</v>
      </c>
      <c r="B372" s="736"/>
      <c r="C372" s="876">
        <v>0</v>
      </c>
      <c r="D372" s="876">
        <v>250000</v>
      </c>
      <c r="E372" s="876">
        <v>0</v>
      </c>
      <c r="F372" s="876">
        <v>65000</v>
      </c>
      <c r="G372" s="876">
        <v>900000</v>
      </c>
      <c r="H372" s="876">
        <v>0</v>
      </c>
      <c r="I372" s="876">
        <v>60000</v>
      </c>
      <c r="J372" s="876">
        <v>0</v>
      </c>
      <c r="K372" s="876">
        <v>0</v>
      </c>
      <c r="L372" s="876">
        <v>0</v>
      </c>
      <c r="M372" s="876">
        <v>0</v>
      </c>
      <c r="N372" s="876">
        <v>0</v>
      </c>
      <c r="O372" s="876">
        <v>0</v>
      </c>
      <c r="P372" s="876">
        <v>0</v>
      </c>
      <c r="Q372" s="876">
        <v>0</v>
      </c>
      <c r="R372" s="876">
        <v>0</v>
      </c>
      <c r="S372" s="876">
        <v>1391000</v>
      </c>
      <c r="T372" s="876">
        <v>136000</v>
      </c>
      <c r="U372" s="876">
        <v>238000</v>
      </c>
      <c r="V372" s="876">
        <v>2020000</v>
      </c>
      <c r="W372" s="876">
        <v>0</v>
      </c>
      <c r="X372" s="876">
        <v>82000</v>
      </c>
      <c r="Y372" s="876">
        <v>0</v>
      </c>
      <c r="Z372" s="876">
        <v>0</v>
      </c>
      <c r="AA372" s="876">
        <v>0</v>
      </c>
      <c r="AB372" s="876">
        <v>0</v>
      </c>
      <c r="AC372" s="876">
        <v>0</v>
      </c>
    </row>
    <row r="373" spans="1:29" s="426" customFormat="1">
      <c r="A373" s="969" t="s">
        <v>13</v>
      </c>
      <c r="B373" s="748"/>
      <c r="C373" s="970">
        <v>5142000</v>
      </c>
      <c r="D373" s="970">
        <v>5142000</v>
      </c>
      <c r="E373" s="970">
        <v>4892000</v>
      </c>
      <c r="F373" s="970">
        <v>4892000</v>
      </c>
      <c r="G373" s="970">
        <v>4827000</v>
      </c>
      <c r="H373" s="970">
        <v>3927000</v>
      </c>
      <c r="I373" s="970">
        <v>3927000</v>
      </c>
      <c r="J373" s="970">
        <v>3867000</v>
      </c>
      <c r="K373" s="970">
        <v>3867000</v>
      </c>
      <c r="L373" s="970">
        <v>3867000</v>
      </c>
      <c r="M373" s="970">
        <v>3867000</v>
      </c>
      <c r="N373" s="970">
        <v>3867000</v>
      </c>
      <c r="O373" s="970">
        <v>3867000</v>
      </c>
      <c r="P373" s="970">
        <v>3867000</v>
      </c>
      <c r="Q373" s="970">
        <v>3867000</v>
      </c>
      <c r="R373" s="970">
        <v>3867000</v>
      </c>
      <c r="S373" s="970">
        <v>3867000</v>
      </c>
      <c r="T373" s="970">
        <v>2476000</v>
      </c>
      <c r="U373" s="970">
        <v>2340000</v>
      </c>
      <c r="V373" s="970">
        <v>2102000</v>
      </c>
      <c r="W373" s="970">
        <v>82000</v>
      </c>
      <c r="X373" s="970">
        <v>82000</v>
      </c>
      <c r="Y373" s="970">
        <v>0</v>
      </c>
      <c r="Z373" s="970">
        <v>0</v>
      </c>
      <c r="AA373" s="970">
        <v>0</v>
      </c>
      <c r="AB373" s="970">
        <v>0</v>
      </c>
      <c r="AC373" s="970">
        <v>0</v>
      </c>
    </row>
    <row r="374" spans="1:29">
      <c r="A374" s="1" t="s">
        <v>574</v>
      </c>
      <c r="B374" s="736"/>
      <c r="C374" s="876">
        <v>0</v>
      </c>
      <c r="D374" s="876">
        <v>0</v>
      </c>
      <c r="E374" s="876">
        <v>0</v>
      </c>
      <c r="F374" s="876">
        <v>0</v>
      </c>
      <c r="G374" s="876">
        <v>0</v>
      </c>
      <c r="H374" s="876">
        <v>0</v>
      </c>
      <c r="I374" s="876">
        <v>0</v>
      </c>
      <c r="J374" s="876">
        <v>0</v>
      </c>
      <c r="K374" s="876">
        <v>0</v>
      </c>
      <c r="L374" s="876">
        <v>0</v>
      </c>
      <c r="M374" s="876">
        <v>0</v>
      </c>
      <c r="N374" s="876">
        <v>0</v>
      </c>
      <c r="O374" s="876">
        <v>0</v>
      </c>
      <c r="P374" s="876">
        <v>0</v>
      </c>
      <c r="Q374" s="876">
        <v>0</v>
      </c>
      <c r="R374" s="876">
        <v>0</v>
      </c>
      <c r="S374" s="876">
        <v>0</v>
      </c>
      <c r="T374" s="876">
        <v>0</v>
      </c>
      <c r="U374" s="876">
        <v>0</v>
      </c>
      <c r="V374" s="876">
        <v>0</v>
      </c>
      <c r="W374" s="876">
        <v>0</v>
      </c>
      <c r="X374" s="876">
        <v>0</v>
      </c>
      <c r="Y374" s="876">
        <v>0</v>
      </c>
      <c r="Z374" s="876">
        <v>0</v>
      </c>
      <c r="AA374" s="876">
        <v>0</v>
      </c>
      <c r="AB374" s="876">
        <v>0</v>
      </c>
      <c r="AC374" s="876">
        <v>0</v>
      </c>
    </row>
    <row r="375" spans="1:29" s="426" customFormat="1">
      <c r="A375" s="969" t="s">
        <v>13</v>
      </c>
      <c r="B375" s="748"/>
      <c r="C375" s="970">
        <v>0</v>
      </c>
      <c r="D375" s="970">
        <v>0</v>
      </c>
      <c r="E375" s="970">
        <v>0</v>
      </c>
      <c r="F375" s="970">
        <v>0</v>
      </c>
      <c r="G375" s="970">
        <v>0</v>
      </c>
      <c r="H375" s="970">
        <v>0</v>
      </c>
      <c r="I375" s="970">
        <v>0</v>
      </c>
      <c r="J375" s="970">
        <v>0</v>
      </c>
      <c r="K375" s="970">
        <v>0</v>
      </c>
      <c r="L375" s="970">
        <v>0</v>
      </c>
      <c r="M375" s="970">
        <v>0</v>
      </c>
      <c r="N375" s="970">
        <v>0</v>
      </c>
      <c r="O375" s="970">
        <v>0</v>
      </c>
      <c r="P375" s="970">
        <v>0</v>
      </c>
      <c r="Q375" s="970">
        <v>0</v>
      </c>
      <c r="R375" s="970">
        <v>0</v>
      </c>
      <c r="S375" s="970">
        <v>0</v>
      </c>
      <c r="T375" s="970">
        <v>0</v>
      </c>
      <c r="U375" s="970">
        <v>0</v>
      </c>
      <c r="V375" s="970">
        <v>0</v>
      </c>
      <c r="W375" s="970">
        <v>0</v>
      </c>
      <c r="X375" s="970">
        <v>0</v>
      </c>
      <c r="Y375" s="970">
        <v>0</v>
      </c>
      <c r="Z375" s="970">
        <v>0</v>
      </c>
      <c r="AA375" s="970">
        <v>0</v>
      </c>
      <c r="AB375" s="970">
        <v>0</v>
      </c>
      <c r="AC375" s="970">
        <v>0</v>
      </c>
    </row>
    <row r="376" spans="1:29">
      <c r="A376" s="1" t="s">
        <v>575</v>
      </c>
      <c r="B376" s="736"/>
      <c r="C376" s="876">
        <v>0</v>
      </c>
      <c r="D376" s="876">
        <v>0</v>
      </c>
      <c r="E376" s="876">
        <v>0</v>
      </c>
      <c r="F376" s="876">
        <v>0</v>
      </c>
      <c r="G376" s="876">
        <v>0</v>
      </c>
      <c r="H376" s="876">
        <v>0</v>
      </c>
      <c r="I376" s="876">
        <v>0</v>
      </c>
      <c r="J376" s="876">
        <v>0</v>
      </c>
      <c r="K376" s="876">
        <v>0</v>
      </c>
      <c r="L376" s="876">
        <v>0</v>
      </c>
      <c r="M376" s="876">
        <v>0</v>
      </c>
      <c r="N376" s="876">
        <v>0</v>
      </c>
      <c r="O376" s="876">
        <v>0</v>
      </c>
      <c r="P376" s="876">
        <v>0</v>
      </c>
      <c r="Q376" s="876">
        <v>0</v>
      </c>
      <c r="R376" s="876">
        <v>0</v>
      </c>
      <c r="S376" s="876">
        <v>0</v>
      </c>
      <c r="T376" s="876">
        <v>0</v>
      </c>
      <c r="U376" s="876">
        <v>0</v>
      </c>
      <c r="V376" s="876">
        <v>0</v>
      </c>
      <c r="W376" s="876">
        <v>0</v>
      </c>
      <c r="X376" s="876">
        <v>0</v>
      </c>
      <c r="Y376" s="876">
        <v>0</v>
      </c>
      <c r="Z376" s="876">
        <v>0</v>
      </c>
      <c r="AA376" s="876">
        <v>0</v>
      </c>
      <c r="AB376" s="876">
        <v>0</v>
      </c>
      <c r="AC376" s="876">
        <v>0</v>
      </c>
    </row>
    <row r="377" spans="1:29" s="426" customFormat="1">
      <c r="A377" s="969" t="s">
        <v>13</v>
      </c>
      <c r="B377" s="748"/>
      <c r="C377" s="970">
        <v>0</v>
      </c>
      <c r="D377" s="970">
        <v>0</v>
      </c>
      <c r="E377" s="970">
        <v>0</v>
      </c>
      <c r="F377" s="970">
        <v>0</v>
      </c>
      <c r="G377" s="970">
        <v>0</v>
      </c>
      <c r="H377" s="970">
        <v>0</v>
      </c>
      <c r="I377" s="970">
        <v>0</v>
      </c>
      <c r="J377" s="970">
        <v>0</v>
      </c>
      <c r="K377" s="970">
        <v>0</v>
      </c>
      <c r="L377" s="970">
        <v>0</v>
      </c>
      <c r="M377" s="970">
        <v>0</v>
      </c>
      <c r="N377" s="970">
        <v>0</v>
      </c>
      <c r="O377" s="970">
        <v>0</v>
      </c>
      <c r="P377" s="970">
        <v>0</v>
      </c>
      <c r="Q377" s="970">
        <v>0</v>
      </c>
      <c r="R377" s="970">
        <v>0</v>
      </c>
      <c r="S377" s="970">
        <v>0</v>
      </c>
      <c r="T377" s="970">
        <v>0</v>
      </c>
      <c r="U377" s="970">
        <v>0</v>
      </c>
      <c r="V377" s="970">
        <v>0</v>
      </c>
      <c r="W377" s="970">
        <v>0</v>
      </c>
      <c r="X377" s="970">
        <v>0</v>
      </c>
      <c r="Y377" s="970">
        <v>0</v>
      </c>
      <c r="Z377" s="970">
        <v>0</v>
      </c>
      <c r="AA377" s="970">
        <v>0</v>
      </c>
      <c r="AB377" s="970">
        <v>0</v>
      </c>
      <c r="AC377" s="970">
        <v>0</v>
      </c>
    </row>
    <row r="378" spans="1:29">
      <c r="A378" s="965" t="s">
        <v>27</v>
      </c>
      <c r="B378" s="736"/>
      <c r="C378" s="876">
        <v>0</v>
      </c>
      <c r="D378" s="876">
        <v>0</v>
      </c>
      <c r="E378" s="876">
        <v>0</v>
      </c>
      <c r="F378" s="876">
        <v>0</v>
      </c>
      <c r="G378" s="876">
        <v>60000</v>
      </c>
      <c r="H378" s="876">
        <v>0</v>
      </c>
      <c r="I378" s="876">
        <v>1074243</v>
      </c>
      <c r="J378" s="876">
        <v>0</v>
      </c>
      <c r="K378" s="876">
        <v>0</v>
      </c>
      <c r="L378" s="876">
        <v>0</v>
      </c>
      <c r="M378" s="876">
        <v>0</v>
      </c>
      <c r="N378" s="876">
        <v>1000000</v>
      </c>
      <c r="O378" s="876">
        <v>0</v>
      </c>
      <c r="P378" s="876">
        <v>0</v>
      </c>
      <c r="Q378" s="876">
        <v>0</v>
      </c>
      <c r="R378" s="876">
        <v>0</v>
      </c>
      <c r="S378" s="876">
        <v>20000</v>
      </c>
      <c r="T378" s="876">
        <v>0</v>
      </c>
      <c r="U378" s="876">
        <v>0</v>
      </c>
      <c r="V378" s="876">
        <v>0</v>
      </c>
      <c r="W378" s="876">
        <v>0</v>
      </c>
      <c r="X378" s="876">
        <v>0</v>
      </c>
      <c r="Y378" s="876">
        <v>0</v>
      </c>
      <c r="Z378" s="876">
        <v>0</v>
      </c>
      <c r="AA378" s="876">
        <v>0</v>
      </c>
      <c r="AB378" s="876">
        <v>0</v>
      </c>
      <c r="AC378" s="876">
        <v>0</v>
      </c>
    </row>
    <row r="379" spans="1:29" s="426" customFormat="1">
      <c r="A379" s="969" t="s">
        <v>13</v>
      </c>
      <c r="B379" s="748"/>
      <c r="C379" s="970">
        <v>2154243</v>
      </c>
      <c r="D379" s="970">
        <v>2154243</v>
      </c>
      <c r="E379" s="970">
        <v>2154243</v>
      </c>
      <c r="F379" s="970">
        <v>2154243</v>
      </c>
      <c r="G379" s="970">
        <v>2154243</v>
      </c>
      <c r="H379" s="970">
        <v>2094243</v>
      </c>
      <c r="I379" s="970">
        <v>2094243</v>
      </c>
      <c r="J379" s="970">
        <v>1020000</v>
      </c>
      <c r="K379" s="970">
        <v>1020000</v>
      </c>
      <c r="L379" s="970">
        <v>1020000</v>
      </c>
      <c r="M379" s="970">
        <v>1020000</v>
      </c>
      <c r="N379" s="970">
        <v>1020000</v>
      </c>
      <c r="O379" s="970">
        <v>20000</v>
      </c>
      <c r="P379" s="970">
        <v>20000</v>
      </c>
      <c r="Q379" s="970">
        <v>20000</v>
      </c>
      <c r="R379" s="970">
        <v>20000</v>
      </c>
      <c r="S379" s="970">
        <v>20000</v>
      </c>
      <c r="T379" s="970">
        <v>0</v>
      </c>
      <c r="U379" s="970">
        <v>0</v>
      </c>
      <c r="V379" s="970">
        <v>0</v>
      </c>
      <c r="W379" s="970">
        <v>0</v>
      </c>
      <c r="X379" s="970">
        <v>0</v>
      </c>
      <c r="Y379" s="970">
        <v>0</v>
      </c>
      <c r="Z379" s="970">
        <v>0</v>
      </c>
      <c r="AA379" s="970">
        <v>0</v>
      </c>
      <c r="AB379" s="970">
        <v>0</v>
      </c>
      <c r="AC379" s="970">
        <v>0</v>
      </c>
    </row>
    <row r="380" spans="1:29" s="426" customFormat="1">
      <c r="A380" s="965" t="s">
        <v>180</v>
      </c>
      <c r="B380" s="748"/>
      <c r="C380" s="892">
        <v>0</v>
      </c>
      <c r="D380" s="892">
        <v>58000</v>
      </c>
      <c r="E380" s="892">
        <v>0</v>
      </c>
      <c r="F380" s="892">
        <v>40000</v>
      </c>
      <c r="G380" s="892">
        <v>58000</v>
      </c>
      <c r="H380" s="892">
        <v>40000</v>
      </c>
      <c r="I380" s="892">
        <v>0</v>
      </c>
      <c r="J380" s="892">
        <v>0</v>
      </c>
      <c r="K380" s="892">
        <v>0</v>
      </c>
      <c r="L380" s="892">
        <v>0</v>
      </c>
      <c r="M380" s="892">
        <v>0</v>
      </c>
      <c r="N380" s="892">
        <v>0</v>
      </c>
      <c r="O380" s="892">
        <v>40000</v>
      </c>
      <c r="P380" s="892">
        <v>20000</v>
      </c>
      <c r="Q380" s="892">
        <v>0</v>
      </c>
      <c r="R380" s="892">
        <v>78000</v>
      </c>
      <c r="S380" s="892">
        <v>38000</v>
      </c>
      <c r="T380" s="892">
        <v>20000</v>
      </c>
      <c r="U380" s="892">
        <v>58000</v>
      </c>
      <c r="V380" s="892">
        <v>40000</v>
      </c>
      <c r="W380" s="892">
        <v>0</v>
      </c>
      <c r="X380" s="892">
        <v>40000</v>
      </c>
      <c r="Y380" s="892">
        <v>0</v>
      </c>
      <c r="Z380" s="892">
        <v>0</v>
      </c>
      <c r="AA380" s="892">
        <v>0</v>
      </c>
      <c r="AB380" s="892">
        <v>0</v>
      </c>
      <c r="AC380" s="892">
        <v>0</v>
      </c>
    </row>
    <row r="381" spans="1:29" s="426" customFormat="1">
      <c r="A381" s="969" t="s">
        <v>13</v>
      </c>
      <c r="B381" s="748"/>
      <c r="C381" s="970">
        <v>530000</v>
      </c>
      <c r="D381" s="970">
        <v>530000</v>
      </c>
      <c r="E381" s="970">
        <v>472000</v>
      </c>
      <c r="F381" s="970">
        <v>472000</v>
      </c>
      <c r="G381" s="970">
        <v>432000</v>
      </c>
      <c r="H381" s="970">
        <v>374000</v>
      </c>
      <c r="I381" s="970">
        <v>334000</v>
      </c>
      <c r="J381" s="970">
        <v>334000</v>
      </c>
      <c r="K381" s="970">
        <v>334000</v>
      </c>
      <c r="L381" s="970">
        <v>334000</v>
      </c>
      <c r="M381" s="970">
        <v>334000</v>
      </c>
      <c r="N381" s="970">
        <v>334000</v>
      </c>
      <c r="O381" s="970">
        <v>334000</v>
      </c>
      <c r="P381" s="970">
        <v>294000</v>
      </c>
      <c r="Q381" s="970">
        <v>274000</v>
      </c>
      <c r="R381" s="970">
        <v>274000</v>
      </c>
      <c r="S381" s="970">
        <v>196000</v>
      </c>
      <c r="T381" s="970">
        <v>158000</v>
      </c>
      <c r="U381" s="970">
        <v>138000</v>
      </c>
      <c r="V381" s="970">
        <v>80000</v>
      </c>
      <c r="W381" s="970">
        <v>40000</v>
      </c>
      <c r="X381" s="970">
        <v>40000</v>
      </c>
      <c r="Y381" s="970">
        <v>0</v>
      </c>
      <c r="Z381" s="970">
        <v>0</v>
      </c>
      <c r="AA381" s="970">
        <v>0</v>
      </c>
      <c r="AB381" s="970">
        <v>0</v>
      </c>
      <c r="AC381" s="970">
        <v>0</v>
      </c>
    </row>
    <row r="382" spans="1:29" s="426" customFormat="1">
      <c r="A382" s="29" t="s">
        <v>151</v>
      </c>
      <c r="B382" s="748"/>
      <c r="C382" s="892">
        <v>0</v>
      </c>
      <c r="D382" s="892">
        <v>308000</v>
      </c>
      <c r="E382" s="892">
        <v>0</v>
      </c>
      <c r="F382" s="892">
        <v>105000</v>
      </c>
      <c r="G382" s="892">
        <v>1018000</v>
      </c>
      <c r="H382" s="892">
        <v>40000</v>
      </c>
      <c r="I382" s="892">
        <v>1134243</v>
      </c>
      <c r="J382" s="892">
        <v>0</v>
      </c>
      <c r="K382" s="892">
        <v>0</v>
      </c>
      <c r="L382" s="892">
        <v>0</v>
      </c>
      <c r="M382" s="892">
        <v>0</v>
      </c>
      <c r="N382" s="892">
        <v>1000000</v>
      </c>
      <c r="O382" s="892">
        <v>40000</v>
      </c>
      <c r="P382" s="892">
        <v>20000</v>
      </c>
      <c r="Q382" s="892">
        <v>0</v>
      </c>
      <c r="R382" s="892">
        <v>78000</v>
      </c>
      <c r="S382" s="892">
        <v>1449000</v>
      </c>
      <c r="T382" s="892">
        <v>156000</v>
      </c>
      <c r="U382" s="892">
        <v>296000</v>
      </c>
      <c r="V382" s="892">
        <v>2060000</v>
      </c>
      <c r="W382" s="892">
        <v>0</v>
      </c>
      <c r="X382" s="892">
        <v>122000</v>
      </c>
      <c r="Y382" s="892">
        <v>0</v>
      </c>
      <c r="Z382" s="892">
        <v>0</v>
      </c>
      <c r="AA382" s="892">
        <v>0</v>
      </c>
      <c r="AB382" s="892">
        <v>0</v>
      </c>
      <c r="AC382" s="892">
        <v>0</v>
      </c>
    </row>
    <row r="383" spans="1:29" s="426" customFormat="1" ht="15" thickBot="1">
      <c r="A383" s="975" t="s">
        <v>13</v>
      </c>
      <c r="B383" s="976"/>
      <c r="C383" s="977">
        <v>7826243</v>
      </c>
      <c r="D383" s="977">
        <v>7826243</v>
      </c>
      <c r="E383" s="977">
        <v>7518243</v>
      </c>
      <c r="F383" s="977">
        <v>7518243</v>
      </c>
      <c r="G383" s="977">
        <v>7413243</v>
      </c>
      <c r="H383" s="977">
        <v>6395243</v>
      </c>
      <c r="I383" s="977">
        <v>6355243</v>
      </c>
      <c r="J383" s="977">
        <v>5221000</v>
      </c>
      <c r="K383" s="977">
        <v>5221000</v>
      </c>
      <c r="L383" s="977">
        <v>5221000</v>
      </c>
      <c r="M383" s="977">
        <v>5221000</v>
      </c>
      <c r="N383" s="977">
        <v>5221000</v>
      </c>
      <c r="O383" s="977">
        <v>4221000</v>
      </c>
      <c r="P383" s="977">
        <v>4181000</v>
      </c>
      <c r="Q383" s="977">
        <v>4161000</v>
      </c>
      <c r="R383" s="977">
        <v>4161000</v>
      </c>
      <c r="S383" s="977">
        <v>4083000</v>
      </c>
      <c r="T383" s="977">
        <v>2634000</v>
      </c>
      <c r="U383" s="977">
        <v>2478000</v>
      </c>
      <c r="V383" s="977">
        <v>2182000</v>
      </c>
      <c r="W383" s="977">
        <v>122000</v>
      </c>
      <c r="X383" s="977">
        <v>122000</v>
      </c>
      <c r="Y383" s="977">
        <v>0</v>
      </c>
      <c r="Z383" s="977">
        <v>0</v>
      </c>
      <c r="AA383" s="977">
        <v>0</v>
      </c>
      <c r="AB383" s="977">
        <v>0</v>
      </c>
      <c r="AC383" s="977">
        <v>0</v>
      </c>
    </row>
    <row r="384" spans="1:29" s="426" customFormat="1">
      <c r="A384" s="972"/>
      <c r="B384" s="735"/>
      <c r="C384" s="973"/>
      <c r="D384" s="973"/>
      <c r="E384" s="973"/>
      <c r="F384" s="973"/>
      <c r="G384" s="973"/>
      <c r="H384" s="973"/>
      <c r="I384" s="973"/>
      <c r="J384" s="973"/>
      <c r="K384" s="973"/>
      <c r="L384" s="973"/>
      <c r="M384" s="973"/>
      <c r="N384" s="973"/>
      <c r="O384" s="973"/>
      <c r="P384" s="973"/>
      <c r="Q384" s="973"/>
      <c r="R384" s="973"/>
      <c r="S384" s="973"/>
      <c r="T384" s="973"/>
      <c r="U384" s="973"/>
      <c r="V384" s="973"/>
      <c r="W384" s="973"/>
      <c r="X384" s="973"/>
      <c r="Y384" s="973"/>
      <c r="Z384" s="973"/>
      <c r="AA384" s="973"/>
      <c r="AB384" s="973"/>
      <c r="AC384" s="973"/>
    </row>
    <row r="385" spans="1:29" s="685" customFormat="1">
      <c r="A385" s="73" t="s">
        <v>49</v>
      </c>
      <c r="B385" s="808" t="s">
        <v>291</v>
      </c>
      <c r="C385" s="875">
        <v>250000</v>
      </c>
      <c r="D385" s="875">
        <v>99000</v>
      </c>
      <c r="E385" s="875">
        <v>310000</v>
      </c>
      <c r="F385" s="875">
        <v>634979</v>
      </c>
      <c r="G385" s="875">
        <v>290000</v>
      </c>
      <c r="H385" s="875">
        <v>307000</v>
      </c>
      <c r="I385" s="875">
        <v>80000</v>
      </c>
      <c r="J385" s="875">
        <v>410000</v>
      </c>
      <c r="K385" s="875">
        <v>20000</v>
      </c>
      <c r="L385" s="875">
        <v>205000</v>
      </c>
      <c r="M385" s="875">
        <v>1960000</v>
      </c>
      <c r="N385" s="875">
        <v>500000</v>
      </c>
      <c r="O385" s="875">
        <v>30000</v>
      </c>
      <c r="P385" s="875">
        <v>50000</v>
      </c>
      <c r="Q385" s="875">
        <v>0</v>
      </c>
      <c r="R385" s="875">
        <v>255000</v>
      </c>
      <c r="S385" s="875">
        <v>290000</v>
      </c>
      <c r="T385" s="875">
        <v>794500</v>
      </c>
      <c r="U385" s="875">
        <v>810000</v>
      </c>
      <c r="V385" s="875">
        <v>723000</v>
      </c>
      <c r="W385" s="875">
        <v>53000</v>
      </c>
      <c r="X385" s="875">
        <v>118000</v>
      </c>
      <c r="Y385" s="875">
        <v>39000</v>
      </c>
      <c r="Z385" s="875">
        <v>50000</v>
      </c>
      <c r="AA385" s="875">
        <v>50000</v>
      </c>
      <c r="AB385" s="875">
        <v>205120</v>
      </c>
      <c r="AC385" s="875">
        <v>0</v>
      </c>
    </row>
    <row r="386" spans="1:29" s="426" customFormat="1">
      <c r="A386" s="816" t="s">
        <v>109</v>
      </c>
      <c r="B386" s="746"/>
      <c r="C386" s="702">
        <v>8533599</v>
      </c>
      <c r="D386" s="702">
        <v>8283599</v>
      </c>
      <c r="E386" s="702">
        <v>8184599</v>
      </c>
      <c r="F386" s="702">
        <v>7874599</v>
      </c>
      <c r="G386" s="702">
        <v>7239620</v>
      </c>
      <c r="H386" s="702">
        <v>6949620</v>
      </c>
      <c r="I386" s="702">
        <v>6642620</v>
      </c>
      <c r="J386" s="702">
        <v>6562620</v>
      </c>
      <c r="K386" s="702">
        <v>6152620</v>
      </c>
      <c r="L386" s="702">
        <v>6132620</v>
      </c>
      <c r="M386" s="702">
        <v>5927620</v>
      </c>
      <c r="N386" s="702">
        <v>3967620</v>
      </c>
      <c r="O386" s="702">
        <v>3467620</v>
      </c>
      <c r="P386" s="702">
        <v>3437620</v>
      </c>
      <c r="Q386" s="702">
        <v>3387620</v>
      </c>
      <c r="R386" s="702">
        <v>3387620</v>
      </c>
      <c r="S386" s="702">
        <v>3132620</v>
      </c>
      <c r="T386" s="702">
        <v>2842620</v>
      </c>
      <c r="U386" s="702">
        <v>2048120</v>
      </c>
      <c r="V386" s="702">
        <v>1238120</v>
      </c>
      <c r="W386" s="702">
        <v>515120</v>
      </c>
      <c r="X386" s="702">
        <v>462120</v>
      </c>
      <c r="Y386" s="702">
        <v>344120</v>
      </c>
      <c r="Z386" s="702">
        <v>305120</v>
      </c>
      <c r="AA386" s="702">
        <v>255120</v>
      </c>
      <c r="AB386" s="702">
        <v>205120</v>
      </c>
      <c r="AC386" s="702">
        <v>0</v>
      </c>
    </row>
    <row r="387" spans="1:29" s="426" customFormat="1">
      <c r="A387" s="817"/>
      <c r="B387" s="748"/>
      <c r="C387" s="879"/>
      <c r="D387" s="879"/>
      <c r="E387" s="879"/>
      <c r="F387" s="879"/>
      <c r="G387" s="879"/>
      <c r="H387" s="879"/>
      <c r="I387" s="879"/>
      <c r="J387" s="879"/>
      <c r="K387" s="879"/>
      <c r="L387" s="879"/>
      <c r="M387" s="879"/>
      <c r="N387" s="879"/>
      <c r="O387" s="879"/>
      <c r="P387" s="879"/>
      <c r="Q387" s="879"/>
      <c r="R387" s="879"/>
      <c r="S387" s="879"/>
      <c r="T387" s="879"/>
      <c r="U387" s="879"/>
      <c r="V387" s="879"/>
      <c r="W387" s="879"/>
      <c r="X387" s="879"/>
      <c r="Y387" s="879"/>
      <c r="Z387" s="879"/>
      <c r="AA387" s="879"/>
      <c r="AB387" s="879"/>
      <c r="AC387" s="879"/>
    </row>
    <row r="388" spans="1:29" s="426" customFormat="1">
      <c r="A388" s="817" t="s">
        <v>154</v>
      </c>
      <c r="B388" s="748"/>
      <c r="C388" s="879"/>
      <c r="D388" s="879"/>
      <c r="E388" s="879"/>
      <c r="F388" s="879"/>
      <c r="G388" s="879"/>
      <c r="H388" s="879"/>
      <c r="I388" s="879"/>
      <c r="J388" s="879"/>
      <c r="K388" s="879"/>
      <c r="L388" s="879"/>
      <c r="M388" s="879"/>
      <c r="N388" s="879"/>
      <c r="O388" s="879"/>
      <c r="P388" s="879"/>
      <c r="Q388" s="879"/>
      <c r="R388" s="879"/>
      <c r="S388" s="879"/>
      <c r="T388" s="879"/>
      <c r="U388" s="879"/>
      <c r="V388" s="879"/>
      <c r="W388" s="879"/>
      <c r="X388" s="879"/>
      <c r="Y388" s="879"/>
      <c r="Z388" s="879"/>
      <c r="AA388" s="879"/>
      <c r="AB388" s="879"/>
      <c r="AC388" s="879"/>
    </row>
    <row r="389" spans="1:29" s="426" customFormat="1">
      <c r="A389" s="818" t="s">
        <v>138</v>
      </c>
      <c r="B389" s="746" t="s">
        <v>292</v>
      </c>
      <c r="C389" s="888">
        <v>0</v>
      </c>
      <c r="D389" s="888">
        <v>0</v>
      </c>
      <c r="E389" s="888">
        <v>0</v>
      </c>
      <c r="F389" s="888">
        <v>250000</v>
      </c>
      <c r="G389" s="888">
        <v>0</v>
      </c>
      <c r="H389" s="888">
        <v>0</v>
      </c>
      <c r="I389" s="888">
        <v>0</v>
      </c>
      <c r="J389" s="888">
        <v>0</v>
      </c>
      <c r="K389" s="888">
        <v>0</v>
      </c>
      <c r="L389" s="888">
        <v>0</v>
      </c>
      <c r="M389" s="888">
        <v>0</v>
      </c>
      <c r="N389" s="888">
        <v>0</v>
      </c>
      <c r="O389" s="888">
        <v>0</v>
      </c>
      <c r="P389" s="888">
        <v>0</v>
      </c>
      <c r="Q389" s="888">
        <v>0</v>
      </c>
      <c r="R389" s="888">
        <v>0</v>
      </c>
      <c r="S389" s="888">
        <v>0</v>
      </c>
      <c r="T389" s="888">
        <v>0</v>
      </c>
      <c r="U389" s="888">
        <v>2500000</v>
      </c>
      <c r="V389" s="888">
        <v>0</v>
      </c>
      <c r="W389" s="888">
        <v>0</v>
      </c>
      <c r="X389" s="888">
        <v>0</v>
      </c>
      <c r="Y389" s="888">
        <v>0</v>
      </c>
      <c r="Z389" s="888">
        <v>0</v>
      </c>
      <c r="AA389" s="888">
        <v>0</v>
      </c>
      <c r="AB389" s="888">
        <v>0</v>
      </c>
      <c r="AC389" s="888">
        <v>0</v>
      </c>
    </row>
    <row r="390" spans="1:29" s="426" customFormat="1">
      <c r="A390" s="819" t="s">
        <v>13</v>
      </c>
      <c r="B390" s="746"/>
      <c r="C390" s="702">
        <v>2750000</v>
      </c>
      <c r="D390" s="702">
        <v>2750000</v>
      </c>
      <c r="E390" s="702">
        <v>2750000</v>
      </c>
      <c r="F390" s="702">
        <v>2750000</v>
      </c>
      <c r="G390" s="702">
        <v>2500000</v>
      </c>
      <c r="H390" s="702">
        <v>2500000</v>
      </c>
      <c r="I390" s="702">
        <v>2500000</v>
      </c>
      <c r="J390" s="702">
        <v>2500000</v>
      </c>
      <c r="K390" s="702">
        <v>2500000</v>
      </c>
      <c r="L390" s="702">
        <v>2500000</v>
      </c>
      <c r="M390" s="702">
        <v>2500000</v>
      </c>
      <c r="N390" s="702">
        <v>2500000</v>
      </c>
      <c r="O390" s="702">
        <v>2500000</v>
      </c>
      <c r="P390" s="702">
        <v>2500000</v>
      </c>
      <c r="Q390" s="702">
        <v>2500000</v>
      </c>
      <c r="R390" s="702">
        <v>2500000</v>
      </c>
      <c r="S390" s="702">
        <v>2500000</v>
      </c>
      <c r="T390" s="702">
        <v>2500000</v>
      </c>
      <c r="U390" s="702">
        <v>2500000</v>
      </c>
      <c r="V390" s="702">
        <v>0</v>
      </c>
      <c r="W390" s="702">
        <v>0</v>
      </c>
      <c r="X390" s="702">
        <v>0</v>
      </c>
      <c r="Y390" s="702">
        <v>0</v>
      </c>
      <c r="Z390" s="702">
        <v>0</v>
      </c>
      <c r="AA390" s="702">
        <v>0</v>
      </c>
      <c r="AB390" s="702">
        <v>0</v>
      </c>
      <c r="AC390" s="702">
        <v>0</v>
      </c>
    </row>
    <row r="391" spans="1:29" s="426" customFormat="1">
      <c r="A391" s="818" t="s">
        <v>139</v>
      </c>
      <c r="B391" s="746" t="s">
        <v>293</v>
      </c>
      <c r="C391" s="889">
        <v>0</v>
      </c>
      <c r="D391" s="889">
        <v>0</v>
      </c>
      <c r="E391" s="889">
        <v>0</v>
      </c>
      <c r="F391" s="889">
        <v>0</v>
      </c>
      <c r="G391" s="889">
        <v>0</v>
      </c>
      <c r="H391" s="889">
        <v>0</v>
      </c>
      <c r="I391" s="889">
        <v>0</v>
      </c>
      <c r="J391" s="889">
        <v>0</v>
      </c>
      <c r="K391" s="889">
        <v>0</v>
      </c>
      <c r="L391" s="889">
        <v>0</v>
      </c>
      <c r="M391" s="889">
        <v>0</v>
      </c>
      <c r="N391" s="889">
        <v>0</v>
      </c>
      <c r="O391" s="889">
        <v>0</v>
      </c>
      <c r="P391" s="889">
        <v>0</v>
      </c>
      <c r="Q391" s="889">
        <v>0</v>
      </c>
      <c r="R391" s="889">
        <v>0</v>
      </c>
      <c r="S391" s="889">
        <v>0</v>
      </c>
      <c r="T391" s="889">
        <v>0</v>
      </c>
      <c r="U391" s="889">
        <v>0</v>
      </c>
      <c r="V391" s="889">
        <v>0</v>
      </c>
      <c r="W391" s="889">
        <v>0</v>
      </c>
      <c r="X391" s="889">
        <v>0</v>
      </c>
      <c r="Y391" s="889">
        <v>0</v>
      </c>
      <c r="Z391" s="889">
        <v>0</v>
      </c>
      <c r="AA391" s="889">
        <v>0</v>
      </c>
      <c r="AB391" s="889">
        <v>0</v>
      </c>
      <c r="AC391" s="889">
        <v>0</v>
      </c>
    </row>
    <row r="392" spans="1:29" s="426" customFormat="1">
      <c r="A392" s="819" t="s">
        <v>13</v>
      </c>
      <c r="B392" s="746"/>
      <c r="C392" s="702">
        <v>0</v>
      </c>
      <c r="D392" s="702">
        <v>0</v>
      </c>
      <c r="E392" s="702">
        <v>0</v>
      </c>
      <c r="F392" s="702">
        <v>0</v>
      </c>
      <c r="G392" s="702">
        <v>0</v>
      </c>
      <c r="H392" s="702">
        <v>0</v>
      </c>
      <c r="I392" s="702">
        <v>0</v>
      </c>
      <c r="J392" s="702">
        <v>0</v>
      </c>
      <c r="K392" s="702">
        <v>0</v>
      </c>
      <c r="L392" s="702">
        <v>0</v>
      </c>
      <c r="M392" s="702">
        <v>0</v>
      </c>
      <c r="N392" s="702">
        <v>0</v>
      </c>
      <c r="O392" s="702">
        <v>0</v>
      </c>
      <c r="P392" s="702">
        <v>0</v>
      </c>
      <c r="Q392" s="702">
        <v>0</v>
      </c>
      <c r="R392" s="702">
        <v>0</v>
      </c>
      <c r="S392" s="702">
        <v>0</v>
      </c>
      <c r="T392" s="702">
        <v>0</v>
      </c>
      <c r="U392" s="702">
        <v>0</v>
      </c>
      <c r="V392" s="702">
        <v>0</v>
      </c>
      <c r="W392" s="702">
        <v>0</v>
      </c>
      <c r="X392" s="702">
        <v>0</v>
      </c>
      <c r="Y392" s="702">
        <v>0</v>
      </c>
      <c r="Z392" s="702">
        <v>0</v>
      </c>
      <c r="AA392" s="702">
        <v>0</v>
      </c>
      <c r="AB392" s="702">
        <v>0</v>
      </c>
      <c r="AC392" s="702">
        <v>0</v>
      </c>
    </row>
    <row r="393" spans="1:29" s="426" customFormat="1">
      <c r="A393" s="818" t="s">
        <v>27</v>
      </c>
      <c r="B393" s="746" t="s">
        <v>294</v>
      </c>
      <c r="C393" s="889">
        <v>0</v>
      </c>
      <c r="D393" s="889">
        <v>0</v>
      </c>
      <c r="E393" s="889">
        <v>0</v>
      </c>
      <c r="F393" s="889">
        <v>0</v>
      </c>
      <c r="G393" s="889">
        <v>0</v>
      </c>
      <c r="H393" s="889">
        <v>250000</v>
      </c>
      <c r="I393" s="889">
        <v>0</v>
      </c>
      <c r="J393" s="889">
        <v>0</v>
      </c>
      <c r="K393" s="889">
        <v>0</v>
      </c>
      <c r="L393" s="889">
        <v>0</v>
      </c>
      <c r="M393" s="889">
        <v>1000000</v>
      </c>
      <c r="N393" s="889">
        <v>0</v>
      </c>
      <c r="O393" s="889">
        <v>0</v>
      </c>
      <c r="P393" s="889">
        <v>0</v>
      </c>
      <c r="Q393" s="889">
        <v>0</v>
      </c>
      <c r="R393" s="889">
        <v>0</v>
      </c>
      <c r="S393" s="889">
        <v>0</v>
      </c>
      <c r="T393" s="889">
        <v>0</v>
      </c>
      <c r="U393" s="889">
        <v>0</v>
      </c>
      <c r="V393" s="889">
        <v>0</v>
      </c>
      <c r="W393" s="889">
        <v>0</v>
      </c>
      <c r="X393" s="889">
        <v>0</v>
      </c>
      <c r="Y393" s="889">
        <v>0</v>
      </c>
      <c r="Z393" s="889">
        <v>0</v>
      </c>
      <c r="AA393" s="889">
        <v>0</v>
      </c>
      <c r="AB393" s="889">
        <v>0</v>
      </c>
      <c r="AC393" s="889">
        <v>0</v>
      </c>
    </row>
    <row r="394" spans="1:29" s="426" customFormat="1">
      <c r="A394" s="819" t="s">
        <v>13</v>
      </c>
      <c r="B394" s="746"/>
      <c r="C394" s="702">
        <v>1250000</v>
      </c>
      <c r="D394" s="702">
        <v>1250000</v>
      </c>
      <c r="E394" s="702">
        <v>1250000</v>
      </c>
      <c r="F394" s="702">
        <v>1250000</v>
      </c>
      <c r="G394" s="702">
        <v>1250000</v>
      </c>
      <c r="H394" s="702">
        <v>1250000</v>
      </c>
      <c r="I394" s="702">
        <v>1000000</v>
      </c>
      <c r="J394" s="702">
        <v>1000000</v>
      </c>
      <c r="K394" s="702">
        <v>1000000</v>
      </c>
      <c r="L394" s="702">
        <v>1000000</v>
      </c>
      <c r="M394" s="702">
        <v>1000000</v>
      </c>
      <c r="N394" s="702">
        <v>0</v>
      </c>
      <c r="O394" s="702">
        <v>0</v>
      </c>
      <c r="P394" s="702">
        <v>0</v>
      </c>
      <c r="Q394" s="702">
        <v>0</v>
      </c>
      <c r="R394" s="702">
        <v>0</v>
      </c>
      <c r="S394" s="702">
        <v>0</v>
      </c>
      <c r="T394" s="702">
        <v>0</v>
      </c>
      <c r="U394" s="702">
        <v>0</v>
      </c>
      <c r="V394" s="702">
        <v>0</v>
      </c>
      <c r="W394" s="702">
        <v>0</v>
      </c>
      <c r="X394" s="702">
        <v>0</v>
      </c>
      <c r="Y394" s="702">
        <v>0</v>
      </c>
      <c r="Z394" s="702">
        <v>0</v>
      </c>
      <c r="AA394" s="702">
        <v>0</v>
      </c>
      <c r="AB394" s="702">
        <v>0</v>
      </c>
      <c r="AC394" s="702">
        <v>0</v>
      </c>
    </row>
    <row r="395" spans="1:29" s="426" customFormat="1">
      <c r="A395" s="820" t="s">
        <v>151</v>
      </c>
      <c r="B395" s="746"/>
      <c r="C395" s="889">
        <v>0</v>
      </c>
      <c r="D395" s="889">
        <v>0</v>
      </c>
      <c r="E395" s="889">
        <v>0</v>
      </c>
      <c r="F395" s="889">
        <v>250000</v>
      </c>
      <c r="G395" s="889">
        <v>0</v>
      </c>
      <c r="H395" s="889">
        <v>250000</v>
      </c>
      <c r="I395" s="889">
        <v>0</v>
      </c>
      <c r="J395" s="889">
        <v>0</v>
      </c>
      <c r="K395" s="889">
        <v>0</v>
      </c>
      <c r="L395" s="889">
        <v>0</v>
      </c>
      <c r="M395" s="889">
        <v>1000000</v>
      </c>
      <c r="N395" s="889">
        <v>0</v>
      </c>
      <c r="O395" s="889">
        <v>0</v>
      </c>
      <c r="P395" s="889">
        <v>0</v>
      </c>
      <c r="Q395" s="889">
        <v>0</v>
      </c>
      <c r="R395" s="889">
        <v>0</v>
      </c>
      <c r="S395" s="889">
        <v>0</v>
      </c>
      <c r="T395" s="889">
        <v>0</v>
      </c>
      <c r="U395" s="889">
        <v>2500000</v>
      </c>
      <c r="V395" s="889">
        <v>0</v>
      </c>
      <c r="W395" s="889">
        <v>0</v>
      </c>
      <c r="X395" s="889">
        <v>0</v>
      </c>
      <c r="Y395" s="889">
        <v>0</v>
      </c>
      <c r="Z395" s="889">
        <v>0</v>
      </c>
      <c r="AA395" s="889">
        <v>0</v>
      </c>
      <c r="AB395" s="889">
        <v>0</v>
      </c>
      <c r="AC395" s="889">
        <v>0</v>
      </c>
    </row>
    <row r="396" spans="1:29" s="426" customFormat="1">
      <c r="A396" s="821" t="s">
        <v>13</v>
      </c>
      <c r="B396" s="792"/>
      <c r="C396" s="702">
        <v>4000000</v>
      </c>
      <c r="D396" s="702">
        <v>4000000</v>
      </c>
      <c r="E396" s="702">
        <v>4000000</v>
      </c>
      <c r="F396" s="702">
        <v>4000000</v>
      </c>
      <c r="G396" s="702">
        <v>3750000</v>
      </c>
      <c r="H396" s="702">
        <v>3750000</v>
      </c>
      <c r="I396" s="702">
        <v>3500000</v>
      </c>
      <c r="J396" s="702">
        <v>3500000</v>
      </c>
      <c r="K396" s="702">
        <v>3500000</v>
      </c>
      <c r="L396" s="702">
        <v>3500000</v>
      </c>
      <c r="M396" s="702">
        <v>3500000</v>
      </c>
      <c r="N396" s="702">
        <v>2500000</v>
      </c>
      <c r="O396" s="702">
        <v>2500000</v>
      </c>
      <c r="P396" s="702">
        <v>2500000</v>
      </c>
      <c r="Q396" s="702">
        <v>2500000</v>
      </c>
      <c r="R396" s="702">
        <v>2500000</v>
      </c>
      <c r="S396" s="702">
        <v>2500000</v>
      </c>
      <c r="T396" s="702">
        <v>2500000</v>
      </c>
      <c r="U396" s="702">
        <v>2500000</v>
      </c>
      <c r="V396" s="702">
        <v>0</v>
      </c>
      <c r="W396" s="702">
        <v>0</v>
      </c>
      <c r="X396" s="702">
        <v>0</v>
      </c>
      <c r="Y396" s="702">
        <v>0</v>
      </c>
      <c r="Z396" s="702">
        <v>0</v>
      </c>
      <c r="AA396" s="702">
        <v>0</v>
      </c>
      <c r="AB396" s="702">
        <v>0</v>
      </c>
      <c r="AC396" s="702">
        <v>0</v>
      </c>
    </row>
    <row r="397" spans="1:29">
      <c r="A397" s="1"/>
      <c r="B397" s="748"/>
      <c r="C397" s="890"/>
      <c r="D397" s="890"/>
      <c r="E397" s="890"/>
      <c r="F397" s="890"/>
      <c r="G397" s="890"/>
      <c r="H397" s="890"/>
      <c r="I397" s="890"/>
      <c r="J397" s="890"/>
      <c r="K397" s="890"/>
      <c r="L397" s="890"/>
      <c r="M397" s="890"/>
      <c r="N397" s="890"/>
      <c r="O397" s="890"/>
      <c r="P397" s="890"/>
      <c r="Q397" s="890"/>
      <c r="R397" s="890"/>
      <c r="S397" s="890"/>
      <c r="T397" s="890"/>
      <c r="U397" s="890"/>
      <c r="V397" s="890"/>
      <c r="W397" s="890"/>
      <c r="X397" s="890"/>
      <c r="Y397" s="890"/>
      <c r="Z397" s="890"/>
      <c r="AA397" s="890"/>
      <c r="AB397" s="890"/>
      <c r="AC397" s="890"/>
    </row>
    <row r="398" spans="1:29">
      <c r="A398" s="822" t="s">
        <v>61</v>
      </c>
      <c r="B398" s="748"/>
      <c r="C398" s="890"/>
      <c r="D398" s="890"/>
      <c r="E398" s="890"/>
      <c r="F398" s="890"/>
      <c r="G398" s="890"/>
      <c r="H398" s="890"/>
      <c r="I398" s="890"/>
      <c r="J398" s="890"/>
      <c r="K398" s="890"/>
      <c r="L398" s="890"/>
      <c r="M398" s="890"/>
      <c r="N398" s="890"/>
      <c r="O398" s="890"/>
      <c r="P398" s="890"/>
      <c r="Q398" s="890"/>
      <c r="R398" s="890"/>
      <c r="S398" s="890"/>
      <c r="T398" s="890"/>
      <c r="U398" s="890"/>
      <c r="V398" s="890"/>
      <c r="W398" s="890"/>
      <c r="X398" s="890"/>
      <c r="Y398" s="890"/>
      <c r="Z398" s="890"/>
      <c r="AA398" s="890"/>
      <c r="AB398" s="890"/>
      <c r="AC398" s="890"/>
    </row>
    <row r="399" spans="1:29">
      <c r="A399" s="28" t="s">
        <v>135</v>
      </c>
      <c r="B399" s="746" t="s">
        <v>295</v>
      </c>
      <c r="C399" s="875">
        <v>0</v>
      </c>
      <c r="D399" s="875">
        <v>46500</v>
      </c>
      <c r="E399" s="875">
        <v>0</v>
      </c>
      <c r="F399" s="875">
        <v>0</v>
      </c>
      <c r="G399" s="875">
        <v>0</v>
      </c>
      <c r="H399" s="875">
        <v>0</v>
      </c>
      <c r="I399" s="875">
        <v>0</v>
      </c>
      <c r="J399" s="875">
        <v>0</v>
      </c>
      <c r="K399" s="875">
        <v>0</v>
      </c>
      <c r="L399" s="875">
        <v>0</v>
      </c>
      <c r="M399" s="875">
        <v>0</v>
      </c>
      <c r="N399" s="875">
        <v>0</v>
      </c>
      <c r="O399" s="875">
        <v>50999</v>
      </c>
      <c r="P399" s="875">
        <v>46500</v>
      </c>
      <c r="Q399" s="875">
        <v>0</v>
      </c>
      <c r="R399" s="875">
        <v>0</v>
      </c>
      <c r="S399" s="875">
        <v>0</v>
      </c>
      <c r="T399" s="875">
        <v>0</v>
      </c>
      <c r="U399" s="875">
        <v>8998</v>
      </c>
      <c r="V399" s="875">
        <v>0</v>
      </c>
      <c r="W399" s="875">
        <v>0</v>
      </c>
      <c r="X399" s="875">
        <v>0</v>
      </c>
      <c r="Y399" s="875">
        <v>0</v>
      </c>
      <c r="Z399" s="875">
        <v>0</v>
      </c>
      <c r="AA399" s="875">
        <v>0</v>
      </c>
      <c r="AB399" s="875">
        <v>46500</v>
      </c>
      <c r="AC399" s="875">
        <v>0</v>
      </c>
    </row>
    <row r="400" spans="1:29" s="717" customFormat="1" ht="15.6">
      <c r="A400" s="823" t="s">
        <v>13</v>
      </c>
      <c r="B400" s="824"/>
      <c r="C400" s="716">
        <v>199497</v>
      </c>
      <c r="D400" s="716">
        <v>199497</v>
      </c>
      <c r="E400" s="716">
        <v>152997</v>
      </c>
      <c r="F400" s="716">
        <v>152997</v>
      </c>
      <c r="G400" s="716">
        <v>152997</v>
      </c>
      <c r="H400" s="716">
        <v>152997</v>
      </c>
      <c r="I400" s="716">
        <v>152997</v>
      </c>
      <c r="J400" s="716">
        <v>152997</v>
      </c>
      <c r="K400" s="716">
        <v>152997</v>
      </c>
      <c r="L400" s="716">
        <v>152997</v>
      </c>
      <c r="M400" s="716">
        <v>152997</v>
      </c>
      <c r="N400" s="716">
        <v>152997</v>
      </c>
      <c r="O400" s="716">
        <v>152997</v>
      </c>
      <c r="P400" s="716">
        <v>101998</v>
      </c>
      <c r="Q400" s="716">
        <v>55498</v>
      </c>
      <c r="R400" s="716">
        <v>55498</v>
      </c>
      <c r="S400" s="716">
        <v>55498</v>
      </c>
      <c r="T400" s="716">
        <v>55498</v>
      </c>
      <c r="U400" s="716">
        <v>55498</v>
      </c>
      <c r="V400" s="716">
        <v>46500</v>
      </c>
      <c r="W400" s="716">
        <v>46500</v>
      </c>
      <c r="X400" s="716">
        <v>46500</v>
      </c>
      <c r="Y400" s="716">
        <v>46500</v>
      </c>
      <c r="Z400" s="716">
        <v>46500</v>
      </c>
      <c r="AA400" s="716">
        <v>46500</v>
      </c>
      <c r="AB400" s="716">
        <v>46500</v>
      </c>
      <c r="AC400" s="716">
        <v>0</v>
      </c>
    </row>
    <row r="401" spans="1:29">
      <c r="A401" s="28" t="s">
        <v>4</v>
      </c>
      <c r="B401" s="746" t="s">
        <v>296</v>
      </c>
      <c r="C401" s="875">
        <v>0</v>
      </c>
      <c r="D401" s="875">
        <v>0</v>
      </c>
      <c r="E401" s="875">
        <v>0</v>
      </c>
      <c r="F401" s="875">
        <v>0</v>
      </c>
      <c r="G401" s="875">
        <v>0</v>
      </c>
      <c r="H401" s="875">
        <v>94000</v>
      </c>
      <c r="I401" s="875">
        <v>0</v>
      </c>
      <c r="J401" s="875">
        <v>0</v>
      </c>
      <c r="K401" s="875">
        <v>49997</v>
      </c>
      <c r="L401" s="875">
        <v>0</v>
      </c>
      <c r="M401" s="875">
        <v>0</v>
      </c>
      <c r="N401" s="875">
        <v>0</v>
      </c>
      <c r="O401" s="875">
        <v>0</v>
      </c>
      <c r="P401" s="875">
        <v>0</v>
      </c>
      <c r="Q401" s="875">
        <v>19498</v>
      </c>
      <c r="R401" s="875">
        <v>20999</v>
      </c>
      <c r="S401" s="875">
        <v>0</v>
      </c>
      <c r="T401" s="875">
        <v>0</v>
      </c>
      <c r="U401" s="875">
        <v>0</v>
      </c>
      <c r="V401" s="875">
        <v>0</v>
      </c>
      <c r="W401" s="875">
        <v>0</v>
      </c>
      <c r="X401" s="875">
        <v>0</v>
      </c>
      <c r="Y401" s="875">
        <v>0</v>
      </c>
      <c r="Z401" s="875">
        <v>0</v>
      </c>
      <c r="AA401" s="875">
        <v>0</v>
      </c>
      <c r="AB401" s="875">
        <v>10999</v>
      </c>
      <c r="AC401" s="875">
        <v>0</v>
      </c>
    </row>
    <row r="402" spans="1:29" s="717" customFormat="1" ht="15.6">
      <c r="A402" s="823" t="s">
        <v>13</v>
      </c>
      <c r="B402" s="824"/>
      <c r="C402" s="716">
        <v>195493</v>
      </c>
      <c r="D402" s="716">
        <v>195493</v>
      </c>
      <c r="E402" s="716">
        <v>195493</v>
      </c>
      <c r="F402" s="716">
        <v>195493</v>
      </c>
      <c r="G402" s="716">
        <v>195493</v>
      </c>
      <c r="H402" s="716">
        <v>195493</v>
      </c>
      <c r="I402" s="716">
        <v>101493</v>
      </c>
      <c r="J402" s="716">
        <v>101493</v>
      </c>
      <c r="K402" s="716">
        <v>101493</v>
      </c>
      <c r="L402" s="716">
        <v>51496</v>
      </c>
      <c r="M402" s="716">
        <v>51496</v>
      </c>
      <c r="N402" s="716">
        <v>51496</v>
      </c>
      <c r="O402" s="716">
        <v>51496</v>
      </c>
      <c r="P402" s="716">
        <v>51496</v>
      </c>
      <c r="Q402" s="716">
        <v>51496</v>
      </c>
      <c r="R402" s="716">
        <v>31998</v>
      </c>
      <c r="S402" s="716">
        <v>10999</v>
      </c>
      <c r="T402" s="716">
        <v>10999</v>
      </c>
      <c r="U402" s="716">
        <v>10999</v>
      </c>
      <c r="V402" s="716">
        <v>10999</v>
      </c>
      <c r="W402" s="716">
        <v>10999</v>
      </c>
      <c r="X402" s="716">
        <v>10999</v>
      </c>
      <c r="Y402" s="716">
        <v>10999</v>
      </c>
      <c r="Z402" s="716">
        <v>10999</v>
      </c>
      <c r="AA402" s="716">
        <v>10999</v>
      </c>
      <c r="AB402" s="716">
        <v>10999</v>
      </c>
      <c r="AC402" s="716">
        <v>0</v>
      </c>
    </row>
    <row r="403" spans="1:29">
      <c r="A403" s="28" t="s">
        <v>136</v>
      </c>
      <c r="B403" s="746" t="s">
        <v>297</v>
      </c>
      <c r="C403" s="875">
        <v>0</v>
      </c>
      <c r="D403" s="875">
        <v>0</v>
      </c>
      <c r="E403" s="875">
        <v>0</v>
      </c>
      <c r="F403" s="875">
        <v>0</v>
      </c>
      <c r="G403" s="875">
        <v>0</v>
      </c>
      <c r="H403" s="875">
        <v>0</v>
      </c>
      <c r="I403" s="875">
        <v>0</v>
      </c>
      <c r="J403" s="875">
        <v>0</v>
      </c>
      <c r="K403" s="875">
        <v>0</v>
      </c>
      <c r="L403" s="875">
        <v>0</v>
      </c>
      <c r="M403" s="875">
        <v>0</v>
      </c>
      <c r="N403" s="875">
        <v>0</v>
      </c>
      <c r="O403" s="875">
        <v>0</v>
      </c>
      <c r="P403" s="875">
        <v>0</v>
      </c>
      <c r="Q403" s="875">
        <v>0</v>
      </c>
      <c r="R403" s="875">
        <v>0</v>
      </c>
      <c r="S403" s="875">
        <v>0</v>
      </c>
      <c r="T403" s="875">
        <v>0</v>
      </c>
      <c r="U403" s="875">
        <v>0</v>
      </c>
      <c r="V403" s="875">
        <v>0</v>
      </c>
      <c r="W403" s="875">
        <v>0</v>
      </c>
      <c r="X403" s="875">
        <v>0</v>
      </c>
      <c r="Y403" s="875">
        <v>0</v>
      </c>
      <c r="Z403" s="875">
        <v>0</v>
      </c>
      <c r="AA403" s="875">
        <v>0</v>
      </c>
      <c r="AB403" s="875">
        <v>0</v>
      </c>
      <c r="AC403" s="875">
        <v>0</v>
      </c>
    </row>
    <row r="404" spans="1:29" s="717" customFormat="1" ht="15.6">
      <c r="A404" s="823" t="s">
        <v>13</v>
      </c>
      <c r="B404" s="824"/>
      <c r="C404" s="716">
        <v>0</v>
      </c>
      <c r="D404" s="716">
        <v>0</v>
      </c>
      <c r="E404" s="716">
        <v>0</v>
      </c>
      <c r="F404" s="716">
        <v>0</v>
      </c>
      <c r="G404" s="716">
        <v>0</v>
      </c>
      <c r="H404" s="716">
        <v>0</v>
      </c>
      <c r="I404" s="716">
        <v>0</v>
      </c>
      <c r="J404" s="716">
        <v>0</v>
      </c>
      <c r="K404" s="716">
        <v>0</v>
      </c>
      <c r="L404" s="716">
        <v>0</v>
      </c>
      <c r="M404" s="716">
        <v>0</v>
      </c>
      <c r="N404" s="716">
        <v>0</v>
      </c>
      <c r="O404" s="716">
        <v>0</v>
      </c>
      <c r="P404" s="716">
        <v>0</v>
      </c>
      <c r="Q404" s="716">
        <v>0</v>
      </c>
      <c r="R404" s="716">
        <v>0</v>
      </c>
      <c r="S404" s="716">
        <v>0</v>
      </c>
      <c r="T404" s="716">
        <v>0</v>
      </c>
      <c r="U404" s="716">
        <v>0</v>
      </c>
      <c r="V404" s="716">
        <v>0</v>
      </c>
      <c r="W404" s="716">
        <v>0</v>
      </c>
      <c r="X404" s="716">
        <v>0</v>
      </c>
      <c r="Y404" s="716">
        <v>0</v>
      </c>
      <c r="Z404" s="716">
        <v>0</v>
      </c>
      <c r="AA404" s="716">
        <v>0</v>
      </c>
      <c r="AB404" s="716">
        <v>0</v>
      </c>
      <c r="AC404" s="716">
        <v>0</v>
      </c>
    </row>
    <row r="405" spans="1:29">
      <c r="A405" s="28" t="s">
        <v>137</v>
      </c>
      <c r="B405" s="746" t="s">
        <v>298</v>
      </c>
      <c r="C405" s="875">
        <v>0</v>
      </c>
      <c r="D405" s="875">
        <v>0</v>
      </c>
      <c r="E405" s="875">
        <v>0</v>
      </c>
      <c r="F405" s="875">
        <v>0</v>
      </c>
      <c r="G405" s="875">
        <v>0</v>
      </c>
      <c r="H405" s="875">
        <v>0</v>
      </c>
      <c r="I405" s="875">
        <v>0</v>
      </c>
      <c r="J405" s="875">
        <v>0</v>
      </c>
      <c r="K405" s="875">
        <v>0</v>
      </c>
      <c r="L405" s="875">
        <v>0</v>
      </c>
      <c r="M405" s="875">
        <v>0</v>
      </c>
      <c r="N405" s="875">
        <v>0</v>
      </c>
      <c r="O405" s="875">
        <v>0</v>
      </c>
      <c r="P405" s="875">
        <v>0</v>
      </c>
      <c r="Q405" s="875">
        <v>0</v>
      </c>
      <c r="R405" s="875">
        <v>0</v>
      </c>
      <c r="S405" s="875">
        <v>0</v>
      </c>
      <c r="T405" s="875">
        <v>0</v>
      </c>
      <c r="U405" s="875">
        <v>0</v>
      </c>
      <c r="V405" s="875">
        <v>0</v>
      </c>
      <c r="W405" s="875">
        <v>0</v>
      </c>
      <c r="X405" s="875">
        <v>0</v>
      </c>
      <c r="Y405" s="875">
        <v>0</v>
      </c>
      <c r="Z405" s="875">
        <v>0</v>
      </c>
      <c r="AA405" s="875">
        <v>0</v>
      </c>
      <c r="AB405" s="875">
        <v>0</v>
      </c>
      <c r="AC405" s="875">
        <v>0</v>
      </c>
    </row>
    <row r="406" spans="1:29" s="717" customFormat="1" ht="15.6">
      <c r="A406" s="823" t="s">
        <v>13</v>
      </c>
      <c r="B406" s="824"/>
      <c r="C406" s="716">
        <v>0</v>
      </c>
      <c r="D406" s="716">
        <v>0</v>
      </c>
      <c r="E406" s="716">
        <v>0</v>
      </c>
      <c r="F406" s="716">
        <v>0</v>
      </c>
      <c r="G406" s="716">
        <v>0</v>
      </c>
      <c r="H406" s="716">
        <v>0</v>
      </c>
      <c r="I406" s="716">
        <v>0</v>
      </c>
      <c r="J406" s="716">
        <v>0</v>
      </c>
      <c r="K406" s="716">
        <v>0</v>
      </c>
      <c r="L406" s="716">
        <v>0</v>
      </c>
      <c r="M406" s="716">
        <v>0</v>
      </c>
      <c r="N406" s="716">
        <v>0</v>
      </c>
      <c r="O406" s="716">
        <v>0</v>
      </c>
      <c r="P406" s="716">
        <v>0</v>
      </c>
      <c r="Q406" s="716">
        <v>0</v>
      </c>
      <c r="R406" s="716">
        <v>0</v>
      </c>
      <c r="S406" s="716">
        <v>0</v>
      </c>
      <c r="T406" s="716">
        <v>0</v>
      </c>
      <c r="U406" s="716">
        <v>0</v>
      </c>
      <c r="V406" s="716">
        <v>0</v>
      </c>
      <c r="W406" s="716">
        <v>0</v>
      </c>
      <c r="X406" s="716">
        <v>0</v>
      </c>
      <c r="Y406" s="716">
        <v>0</v>
      </c>
      <c r="Z406" s="716">
        <v>0</v>
      </c>
      <c r="AA406" s="716">
        <v>0</v>
      </c>
      <c r="AB406" s="716">
        <v>0</v>
      </c>
      <c r="AC406" s="716">
        <v>0</v>
      </c>
    </row>
    <row r="407" spans="1:29">
      <c r="A407" s="28" t="s">
        <v>27</v>
      </c>
      <c r="B407" s="746" t="s">
        <v>299</v>
      </c>
      <c r="C407" s="875">
        <v>0</v>
      </c>
      <c r="D407" s="875">
        <v>0</v>
      </c>
      <c r="E407" s="875">
        <v>0</v>
      </c>
      <c r="F407" s="875">
        <v>0</v>
      </c>
      <c r="G407" s="875">
        <v>0</v>
      </c>
      <c r="H407" s="875">
        <v>0</v>
      </c>
      <c r="I407" s="875">
        <v>0</v>
      </c>
      <c r="J407" s="875">
        <v>0</v>
      </c>
      <c r="K407" s="875">
        <v>0</v>
      </c>
      <c r="L407" s="875">
        <v>0</v>
      </c>
      <c r="M407" s="875">
        <v>66499</v>
      </c>
      <c r="N407" s="875">
        <v>0</v>
      </c>
      <c r="O407" s="875">
        <v>0</v>
      </c>
      <c r="P407" s="875">
        <v>0</v>
      </c>
      <c r="Q407" s="875">
        <v>0</v>
      </c>
      <c r="R407" s="875">
        <v>0</v>
      </c>
      <c r="S407" s="875">
        <v>0</v>
      </c>
      <c r="T407" s="875">
        <v>0</v>
      </c>
      <c r="U407" s="875">
        <v>0</v>
      </c>
      <c r="V407" s="875">
        <v>0</v>
      </c>
      <c r="W407" s="875">
        <v>0</v>
      </c>
      <c r="X407" s="875">
        <v>0</v>
      </c>
      <c r="Y407" s="875">
        <v>0</v>
      </c>
      <c r="Z407" s="875">
        <v>0</v>
      </c>
      <c r="AA407" s="875">
        <v>0</v>
      </c>
      <c r="AB407" s="875">
        <v>0</v>
      </c>
      <c r="AC407" s="875">
        <v>0</v>
      </c>
    </row>
    <row r="408" spans="1:29" s="717" customFormat="1" ht="15.6">
      <c r="A408" s="823" t="s">
        <v>13</v>
      </c>
      <c r="B408" s="824"/>
      <c r="C408" s="716">
        <v>66499</v>
      </c>
      <c r="D408" s="716">
        <v>66499</v>
      </c>
      <c r="E408" s="716">
        <v>66499</v>
      </c>
      <c r="F408" s="716">
        <v>66499</v>
      </c>
      <c r="G408" s="716">
        <v>66499</v>
      </c>
      <c r="H408" s="716">
        <v>66499</v>
      </c>
      <c r="I408" s="716">
        <v>66499</v>
      </c>
      <c r="J408" s="716">
        <v>66499</v>
      </c>
      <c r="K408" s="716">
        <v>66499</v>
      </c>
      <c r="L408" s="716">
        <v>66499</v>
      </c>
      <c r="M408" s="716">
        <v>66499</v>
      </c>
      <c r="N408" s="716">
        <v>0</v>
      </c>
      <c r="O408" s="716">
        <v>0</v>
      </c>
      <c r="P408" s="716">
        <v>0</v>
      </c>
      <c r="Q408" s="716">
        <v>0</v>
      </c>
      <c r="R408" s="716">
        <v>0</v>
      </c>
      <c r="S408" s="716">
        <v>0</v>
      </c>
      <c r="T408" s="716">
        <v>0</v>
      </c>
      <c r="U408" s="716">
        <v>0</v>
      </c>
      <c r="V408" s="716">
        <v>0</v>
      </c>
      <c r="W408" s="716">
        <v>0</v>
      </c>
      <c r="X408" s="716">
        <v>0</v>
      </c>
      <c r="Y408" s="716">
        <v>0</v>
      </c>
      <c r="Z408" s="716">
        <v>0</v>
      </c>
      <c r="AA408" s="716">
        <v>0</v>
      </c>
      <c r="AB408" s="716">
        <v>0</v>
      </c>
      <c r="AC408" s="716">
        <v>0</v>
      </c>
    </row>
    <row r="409" spans="1:29">
      <c r="A409" s="825" t="s">
        <v>151</v>
      </c>
      <c r="B409" s="746"/>
      <c r="C409" s="875">
        <v>0</v>
      </c>
      <c r="D409" s="875">
        <v>46500</v>
      </c>
      <c r="E409" s="875">
        <v>0</v>
      </c>
      <c r="F409" s="875">
        <v>0</v>
      </c>
      <c r="G409" s="875">
        <v>0</v>
      </c>
      <c r="H409" s="875">
        <v>94000</v>
      </c>
      <c r="I409" s="875">
        <v>0</v>
      </c>
      <c r="J409" s="875">
        <v>0</v>
      </c>
      <c r="K409" s="875">
        <v>49997</v>
      </c>
      <c r="L409" s="875">
        <v>0</v>
      </c>
      <c r="M409" s="875">
        <v>66499</v>
      </c>
      <c r="N409" s="875">
        <v>0</v>
      </c>
      <c r="O409" s="875">
        <v>50999</v>
      </c>
      <c r="P409" s="875">
        <v>46500</v>
      </c>
      <c r="Q409" s="875">
        <v>19498</v>
      </c>
      <c r="R409" s="875">
        <v>20999</v>
      </c>
      <c r="S409" s="875">
        <v>0</v>
      </c>
      <c r="T409" s="875">
        <v>0</v>
      </c>
      <c r="U409" s="875">
        <v>8998</v>
      </c>
      <c r="V409" s="875">
        <v>0</v>
      </c>
      <c r="W409" s="875">
        <v>0</v>
      </c>
      <c r="X409" s="875">
        <v>0</v>
      </c>
      <c r="Y409" s="875">
        <v>0</v>
      </c>
      <c r="Z409" s="875">
        <v>0</v>
      </c>
      <c r="AA409" s="875">
        <v>0</v>
      </c>
      <c r="AB409" s="875">
        <v>57499</v>
      </c>
      <c r="AC409" s="875">
        <v>0</v>
      </c>
    </row>
    <row r="410" spans="1:29" s="718" customFormat="1" ht="15.6">
      <c r="A410" s="826" t="s">
        <v>13</v>
      </c>
      <c r="B410" s="827"/>
      <c r="C410" s="716">
        <v>461489</v>
      </c>
      <c r="D410" s="716">
        <v>461489</v>
      </c>
      <c r="E410" s="716">
        <v>414989</v>
      </c>
      <c r="F410" s="716">
        <v>414989</v>
      </c>
      <c r="G410" s="716">
        <v>414989</v>
      </c>
      <c r="H410" s="716">
        <v>414989</v>
      </c>
      <c r="I410" s="716">
        <v>320989</v>
      </c>
      <c r="J410" s="716">
        <v>320989</v>
      </c>
      <c r="K410" s="716">
        <v>320989</v>
      </c>
      <c r="L410" s="716">
        <v>270992</v>
      </c>
      <c r="M410" s="716">
        <v>270992</v>
      </c>
      <c r="N410" s="716">
        <v>204493</v>
      </c>
      <c r="O410" s="716">
        <v>204493</v>
      </c>
      <c r="P410" s="716">
        <v>153494</v>
      </c>
      <c r="Q410" s="716">
        <v>106994</v>
      </c>
      <c r="R410" s="716">
        <v>87496</v>
      </c>
      <c r="S410" s="716">
        <v>66497</v>
      </c>
      <c r="T410" s="716">
        <v>66497</v>
      </c>
      <c r="U410" s="716">
        <v>66497</v>
      </c>
      <c r="V410" s="716">
        <v>57499</v>
      </c>
      <c r="W410" s="716">
        <v>57499</v>
      </c>
      <c r="X410" s="716">
        <v>57499</v>
      </c>
      <c r="Y410" s="716">
        <v>57499</v>
      </c>
      <c r="Z410" s="716">
        <v>57499</v>
      </c>
      <c r="AA410" s="716">
        <v>57499</v>
      </c>
      <c r="AB410" s="716">
        <v>57499</v>
      </c>
      <c r="AC410" s="716">
        <v>0</v>
      </c>
    </row>
    <row r="411" spans="1:29" s="426" customFormat="1">
      <c r="A411" s="29"/>
      <c r="B411" s="748"/>
      <c r="C411" s="719"/>
      <c r="D411" s="719"/>
      <c r="E411" s="719"/>
      <c r="F411" s="719"/>
      <c r="G411" s="719"/>
      <c r="H411" s="719"/>
      <c r="I411" s="719"/>
      <c r="J411" s="719"/>
      <c r="K411" s="719"/>
      <c r="L411" s="719"/>
      <c r="M411" s="719"/>
      <c r="N411" s="719"/>
      <c r="O411" s="719"/>
      <c r="P411" s="719"/>
      <c r="Q411" s="719"/>
      <c r="R411" s="719"/>
      <c r="S411" s="719"/>
      <c r="T411" s="719"/>
      <c r="U411" s="719"/>
      <c r="V411" s="719"/>
      <c r="W411" s="719"/>
      <c r="X411" s="719"/>
      <c r="Y411" s="719"/>
      <c r="Z411" s="719"/>
      <c r="AA411" s="719"/>
      <c r="AB411" s="719"/>
      <c r="AC411" s="719"/>
    </row>
    <row r="412" spans="1:29">
      <c r="A412" s="28" t="s">
        <v>107</v>
      </c>
      <c r="B412" s="746" t="s">
        <v>300</v>
      </c>
      <c r="C412" s="875">
        <v>0</v>
      </c>
      <c r="D412" s="875">
        <v>0</v>
      </c>
      <c r="E412" s="875">
        <v>0</v>
      </c>
      <c r="F412" s="875">
        <v>0</v>
      </c>
      <c r="G412" s="875">
        <v>0</v>
      </c>
      <c r="H412" s="875">
        <v>0</v>
      </c>
      <c r="I412" s="875">
        <v>0</v>
      </c>
      <c r="J412" s="875">
        <v>0</v>
      </c>
      <c r="K412" s="875">
        <v>0</v>
      </c>
      <c r="L412" s="875">
        <v>0</v>
      </c>
      <c r="M412" s="875">
        <v>0</v>
      </c>
      <c r="N412" s="875">
        <v>0</v>
      </c>
      <c r="O412" s="875">
        <v>0</v>
      </c>
      <c r="P412" s="875">
        <v>0</v>
      </c>
      <c r="Q412" s="875">
        <v>0</v>
      </c>
      <c r="R412" s="875">
        <v>0</v>
      </c>
      <c r="S412" s="875">
        <v>0</v>
      </c>
      <c r="T412" s="875">
        <v>0</v>
      </c>
      <c r="U412" s="875">
        <v>225000</v>
      </c>
      <c r="V412" s="875">
        <v>0</v>
      </c>
      <c r="W412" s="875">
        <v>0</v>
      </c>
      <c r="X412" s="875">
        <v>0</v>
      </c>
      <c r="Y412" s="875">
        <v>0</v>
      </c>
      <c r="Z412" s="875">
        <v>0</v>
      </c>
      <c r="AA412" s="875">
        <v>0</v>
      </c>
      <c r="AB412" s="875">
        <v>0</v>
      </c>
      <c r="AC412" s="875">
        <v>0</v>
      </c>
    </row>
    <row r="413" spans="1:29" s="426" customFormat="1">
      <c r="A413" s="828" t="s">
        <v>108</v>
      </c>
      <c r="B413" s="792"/>
      <c r="C413" s="702">
        <v>225000</v>
      </c>
      <c r="D413" s="702">
        <v>225000</v>
      </c>
      <c r="E413" s="702">
        <v>225000</v>
      </c>
      <c r="F413" s="702">
        <v>225000</v>
      </c>
      <c r="G413" s="702">
        <v>225000</v>
      </c>
      <c r="H413" s="702">
        <v>225000</v>
      </c>
      <c r="I413" s="702">
        <v>225000</v>
      </c>
      <c r="J413" s="702">
        <v>225000</v>
      </c>
      <c r="K413" s="702">
        <v>225000</v>
      </c>
      <c r="L413" s="702">
        <v>225000</v>
      </c>
      <c r="M413" s="702">
        <v>225000</v>
      </c>
      <c r="N413" s="702">
        <v>225000</v>
      </c>
      <c r="O413" s="702">
        <v>225000</v>
      </c>
      <c r="P413" s="702">
        <v>225000</v>
      </c>
      <c r="Q413" s="702">
        <v>225000</v>
      </c>
      <c r="R413" s="702">
        <v>225000</v>
      </c>
      <c r="S413" s="702">
        <v>225000</v>
      </c>
      <c r="T413" s="702">
        <v>225000</v>
      </c>
      <c r="U413" s="702">
        <v>225000</v>
      </c>
      <c r="V413" s="702">
        <v>0</v>
      </c>
      <c r="W413" s="702">
        <v>0</v>
      </c>
      <c r="X413" s="702">
        <v>0</v>
      </c>
      <c r="Y413" s="702">
        <v>0</v>
      </c>
      <c r="Z413" s="702">
        <v>0</v>
      </c>
      <c r="AA413" s="702">
        <v>0</v>
      </c>
      <c r="AB413" s="702">
        <v>0</v>
      </c>
      <c r="AC413" s="702">
        <v>0</v>
      </c>
    </row>
    <row r="414" spans="1:29" s="426" customFormat="1">
      <c r="A414" s="29"/>
      <c r="B414" s="748"/>
      <c r="C414" s="891"/>
      <c r="D414" s="891"/>
      <c r="E414" s="891"/>
      <c r="F414" s="891"/>
      <c r="G414" s="891"/>
      <c r="H414" s="891"/>
      <c r="I414" s="891"/>
      <c r="J414" s="891"/>
      <c r="K414" s="891"/>
      <c r="L414" s="891"/>
      <c r="M414" s="891"/>
      <c r="N414" s="891"/>
      <c r="O414" s="891"/>
      <c r="P414" s="891"/>
      <c r="Q414" s="891"/>
      <c r="R414" s="891"/>
      <c r="S414" s="891"/>
      <c r="T414" s="891"/>
      <c r="U414" s="891"/>
      <c r="V414" s="891"/>
      <c r="W414" s="891"/>
      <c r="X414" s="891"/>
      <c r="Y414" s="891"/>
      <c r="Z414" s="891"/>
      <c r="AA414" s="891"/>
      <c r="AB414" s="891"/>
      <c r="AC414" s="891"/>
    </row>
    <row r="415" spans="1:29" s="426" customFormat="1">
      <c r="A415" s="29" t="s">
        <v>97</v>
      </c>
      <c r="B415" s="748"/>
      <c r="C415" s="891"/>
      <c r="D415" s="891"/>
      <c r="E415" s="891"/>
      <c r="F415" s="891"/>
      <c r="G415" s="891"/>
      <c r="H415" s="891"/>
      <c r="I415" s="891"/>
      <c r="J415" s="891"/>
      <c r="K415" s="891"/>
      <c r="L415" s="891"/>
      <c r="M415" s="891"/>
      <c r="N415" s="891"/>
      <c r="O415" s="891"/>
      <c r="P415" s="891"/>
      <c r="Q415" s="891"/>
      <c r="R415" s="891"/>
      <c r="S415" s="891"/>
      <c r="T415" s="891"/>
      <c r="U415" s="891"/>
      <c r="V415" s="891"/>
      <c r="W415" s="891"/>
      <c r="X415" s="891"/>
      <c r="Y415" s="891"/>
      <c r="Z415" s="891"/>
      <c r="AA415" s="891"/>
      <c r="AB415" s="891"/>
      <c r="AC415" s="891"/>
    </row>
    <row r="416" spans="1:29">
      <c r="A416" s="28" t="s">
        <v>24</v>
      </c>
      <c r="B416" s="746" t="s">
        <v>301</v>
      </c>
      <c r="C416" s="875">
        <v>0</v>
      </c>
      <c r="D416" s="875">
        <v>0</v>
      </c>
      <c r="E416" s="875">
        <v>0</v>
      </c>
      <c r="F416" s="875">
        <v>0</v>
      </c>
      <c r="G416" s="875">
        <v>0</v>
      </c>
      <c r="H416" s="875">
        <v>0</v>
      </c>
      <c r="I416" s="875">
        <v>0</v>
      </c>
      <c r="J416" s="875">
        <v>0</v>
      </c>
      <c r="K416" s="875">
        <v>0</v>
      </c>
      <c r="L416" s="875">
        <v>0</v>
      </c>
      <c r="M416" s="875">
        <v>0</v>
      </c>
      <c r="N416" s="875">
        <v>0</v>
      </c>
      <c r="O416" s="875">
        <v>0</v>
      </c>
      <c r="P416" s="875">
        <v>0</v>
      </c>
      <c r="Q416" s="875">
        <v>0</v>
      </c>
      <c r="R416" s="875">
        <v>0</v>
      </c>
      <c r="S416" s="875">
        <v>0</v>
      </c>
      <c r="T416" s="875">
        <v>0</v>
      </c>
      <c r="U416" s="875">
        <v>0</v>
      </c>
      <c r="V416" s="875">
        <v>0</v>
      </c>
      <c r="W416" s="875">
        <v>0</v>
      </c>
      <c r="X416" s="875">
        <v>0</v>
      </c>
      <c r="Y416" s="875">
        <v>0</v>
      </c>
      <c r="Z416" s="875">
        <v>0</v>
      </c>
      <c r="AA416" s="875">
        <v>0</v>
      </c>
      <c r="AB416" s="875">
        <v>0</v>
      </c>
      <c r="AC416" s="875">
        <v>0</v>
      </c>
    </row>
    <row r="417" spans="1:29" s="712" customFormat="1">
      <c r="A417" s="819" t="s">
        <v>13</v>
      </c>
      <c r="B417" s="780"/>
      <c r="C417" s="702">
        <v>0</v>
      </c>
      <c r="D417" s="702">
        <v>0</v>
      </c>
      <c r="E417" s="702">
        <v>0</v>
      </c>
      <c r="F417" s="702">
        <v>0</v>
      </c>
      <c r="G417" s="702">
        <v>0</v>
      </c>
      <c r="H417" s="702">
        <v>0</v>
      </c>
      <c r="I417" s="702">
        <v>0</v>
      </c>
      <c r="J417" s="702">
        <v>0</v>
      </c>
      <c r="K417" s="702">
        <v>0</v>
      </c>
      <c r="L417" s="702">
        <v>0</v>
      </c>
      <c r="M417" s="702">
        <v>0</v>
      </c>
      <c r="N417" s="702">
        <v>0</v>
      </c>
      <c r="O417" s="702">
        <v>0</v>
      </c>
      <c r="P417" s="702">
        <v>0</v>
      </c>
      <c r="Q417" s="702">
        <v>0</v>
      </c>
      <c r="R417" s="702">
        <v>0</v>
      </c>
      <c r="S417" s="702">
        <v>0</v>
      </c>
      <c r="T417" s="702">
        <v>0</v>
      </c>
      <c r="U417" s="702">
        <v>0</v>
      </c>
      <c r="V417" s="702">
        <v>0</v>
      </c>
      <c r="W417" s="702">
        <v>0</v>
      </c>
      <c r="X417" s="702">
        <v>0</v>
      </c>
      <c r="Y417" s="702">
        <v>0</v>
      </c>
      <c r="Z417" s="702">
        <v>0</v>
      </c>
      <c r="AA417" s="702">
        <v>0</v>
      </c>
      <c r="AB417" s="702">
        <v>0</v>
      </c>
      <c r="AC417" s="702">
        <v>0</v>
      </c>
    </row>
    <row r="418" spans="1:29">
      <c r="A418" s="28" t="s">
        <v>138</v>
      </c>
      <c r="B418" s="746" t="s">
        <v>302</v>
      </c>
      <c r="C418" s="875">
        <v>52400</v>
      </c>
      <c r="D418" s="875">
        <v>0</v>
      </c>
      <c r="E418" s="875">
        <v>250000</v>
      </c>
      <c r="F418" s="875">
        <v>0</v>
      </c>
      <c r="G418" s="875">
        <v>0</v>
      </c>
      <c r="H418" s="875">
        <v>0</v>
      </c>
      <c r="I418" s="875">
        <v>0</v>
      </c>
      <c r="J418" s="875">
        <v>102400</v>
      </c>
      <c r="K418" s="875">
        <v>0</v>
      </c>
      <c r="L418" s="875">
        <v>0</v>
      </c>
      <c r="M418" s="875">
        <v>0</v>
      </c>
      <c r="N418" s="875">
        <v>0</v>
      </c>
      <c r="O418" s="875">
        <v>0</v>
      </c>
      <c r="P418" s="875">
        <v>0</v>
      </c>
      <c r="Q418" s="875">
        <v>0</v>
      </c>
      <c r="R418" s="875">
        <v>0</v>
      </c>
      <c r="S418" s="875">
        <v>0</v>
      </c>
      <c r="T418" s="875">
        <v>0</v>
      </c>
      <c r="U418" s="875">
        <v>103000</v>
      </c>
      <c r="V418" s="875">
        <v>0</v>
      </c>
      <c r="W418" s="875">
        <v>0</v>
      </c>
      <c r="X418" s="875">
        <v>0</v>
      </c>
      <c r="Y418" s="875">
        <v>0</v>
      </c>
      <c r="Z418" s="875">
        <v>0</v>
      </c>
      <c r="AA418" s="875">
        <v>0</v>
      </c>
      <c r="AB418" s="875">
        <v>0</v>
      </c>
      <c r="AC418" s="875">
        <v>0</v>
      </c>
    </row>
    <row r="419" spans="1:29" s="712" customFormat="1">
      <c r="A419" s="819" t="s">
        <v>13</v>
      </c>
      <c r="B419" s="780"/>
      <c r="C419" s="702">
        <v>507800</v>
      </c>
      <c r="D419" s="702">
        <v>455400</v>
      </c>
      <c r="E419" s="702">
        <v>455400</v>
      </c>
      <c r="F419" s="702">
        <v>205400</v>
      </c>
      <c r="G419" s="702">
        <v>205400</v>
      </c>
      <c r="H419" s="702">
        <v>205400</v>
      </c>
      <c r="I419" s="702">
        <v>205400</v>
      </c>
      <c r="J419" s="702">
        <v>205400</v>
      </c>
      <c r="K419" s="702">
        <v>103000</v>
      </c>
      <c r="L419" s="702">
        <v>103000</v>
      </c>
      <c r="M419" s="702">
        <v>103000</v>
      </c>
      <c r="N419" s="702">
        <v>103000</v>
      </c>
      <c r="O419" s="702">
        <v>103000</v>
      </c>
      <c r="P419" s="702">
        <v>103000</v>
      </c>
      <c r="Q419" s="702">
        <v>103000</v>
      </c>
      <c r="R419" s="702">
        <v>103000</v>
      </c>
      <c r="S419" s="702">
        <v>103000</v>
      </c>
      <c r="T419" s="702">
        <v>103000</v>
      </c>
      <c r="U419" s="702">
        <v>103000</v>
      </c>
      <c r="V419" s="702">
        <v>0</v>
      </c>
      <c r="W419" s="702">
        <v>0</v>
      </c>
      <c r="X419" s="702">
        <v>0</v>
      </c>
      <c r="Y419" s="702">
        <v>0</v>
      </c>
      <c r="Z419" s="702">
        <v>0</v>
      </c>
      <c r="AA419" s="702">
        <v>0</v>
      </c>
      <c r="AB419" s="702">
        <v>0</v>
      </c>
      <c r="AC419" s="702">
        <v>0</v>
      </c>
    </row>
    <row r="420" spans="1:29">
      <c r="A420" s="28" t="s">
        <v>139</v>
      </c>
      <c r="B420" s="746" t="s">
        <v>303</v>
      </c>
      <c r="C420" s="875">
        <v>0</v>
      </c>
      <c r="D420" s="875">
        <v>0</v>
      </c>
      <c r="E420" s="875">
        <v>0</v>
      </c>
      <c r="F420" s="875">
        <v>0</v>
      </c>
      <c r="G420" s="875">
        <v>0</v>
      </c>
      <c r="H420" s="875">
        <v>0</v>
      </c>
      <c r="I420" s="875">
        <v>0</v>
      </c>
      <c r="J420" s="875">
        <v>0</v>
      </c>
      <c r="K420" s="875">
        <v>0</v>
      </c>
      <c r="L420" s="875">
        <v>0</v>
      </c>
      <c r="M420" s="875">
        <v>0</v>
      </c>
      <c r="N420" s="875">
        <v>0</v>
      </c>
      <c r="O420" s="875">
        <v>0</v>
      </c>
      <c r="P420" s="875">
        <v>0</v>
      </c>
      <c r="Q420" s="875">
        <v>0</v>
      </c>
      <c r="R420" s="875">
        <v>0</v>
      </c>
      <c r="S420" s="875">
        <v>0</v>
      </c>
      <c r="T420" s="875">
        <v>0</v>
      </c>
      <c r="U420" s="875">
        <v>0</v>
      </c>
      <c r="V420" s="875">
        <v>0</v>
      </c>
      <c r="W420" s="875">
        <v>0</v>
      </c>
      <c r="X420" s="875">
        <v>0</v>
      </c>
      <c r="Y420" s="875">
        <v>0</v>
      </c>
      <c r="Z420" s="875">
        <v>0</v>
      </c>
      <c r="AA420" s="875">
        <v>0</v>
      </c>
      <c r="AB420" s="875">
        <v>0</v>
      </c>
      <c r="AC420" s="875">
        <v>0</v>
      </c>
    </row>
    <row r="421" spans="1:29" s="712" customFormat="1">
      <c r="A421" s="819" t="s">
        <v>13</v>
      </c>
      <c r="B421" s="780"/>
      <c r="C421" s="702">
        <v>0</v>
      </c>
      <c r="D421" s="702">
        <v>0</v>
      </c>
      <c r="E421" s="702">
        <v>0</v>
      </c>
      <c r="F421" s="702">
        <v>0</v>
      </c>
      <c r="G421" s="702">
        <v>0</v>
      </c>
      <c r="H421" s="702">
        <v>0</v>
      </c>
      <c r="I421" s="702">
        <v>0</v>
      </c>
      <c r="J421" s="702">
        <v>0</v>
      </c>
      <c r="K421" s="702">
        <v>0</v>
      </c>
      <c r="L421" s="702">
        <v>0</v>
      </c>
      <c r="M421" s="702">
        <v>0</v>
      </c>
      <c r="N421" s="702">
        <v>0</v>
      </c>
      <c r="O421" s="702">
        <v>0</v>
      </c>
      <c r="P421" s="702">
        <v>0</v>
      </c>
      <c r="Q421" s="702">
        <v>0</v>
      </c>
      <c r="R421" s="702">
        <v>0</v>
      </c>
      <c r="S421" s="702">
        <v>0</v>
      </c>
      <c r="T421" s="702">
        <v>0</v>
      </c>
      <c r="U421" s="702">
        <v>0</v>
      </c>
      <c r="V421" s="702">
        <v>0</v>
      </c>
      <c r="W421" s="702">
        <v>0</v>
      </c>
      <c r="X421" s="702">
        <v>0</v>
      </c>
      <c r="Y421" s="702">
        <v>0</v>
      </c>
      <c r="Z421" s="702">
        <v>0</v>
      </c>
      <c r="AA421" s="702">
        <v>0</v>
      </c>
      <c r="AB421" s="702">
        <v>0</v>
      </c>
      <c r="AC421" s="702">
        <v>0</v>
      </c>
    </row>
    <row r="422" spans="1:29" s="712" customFormat="1">
      <c r="A422" s="820" t="s">
        <v>172</v>
      </c>
      <c r="B422" s="780" t="s">
        <v>304</v>
      </c>
      <c r="C422" s="889">
        <v>0</v>
      </c>
      <c r="D422" s="889">
        <v>0</v>
      </c>
      <c r="E422" s="889">
        <v>0</v>
      </c>
      <c r="F422" s="889">
        <v>0</v>
      </c>
      <c r="G422" s="889">
        <v>0</v>
      </c>
      <c r="H422" s="889">
        <v>0</v>
      </c>
      <c r="I422" s="889">
        <v>0</v>
      </c>
      <c r="J422" s="889">
        <v>0</v>
      </c>
      <c r="K422" s="889">
        <v>0</v>
      </c>
      <c r="L422" s="889">
        <v>0</v>
      </c>
      <c r="M422" s="889">
        <v>0</v>
      </c>
      <c r="N422" s="889">
        <v>0</v>
      </c>
      <c r="O422" s="889">
        <v>0</v>
      </c>
      <c r="P422" s="889">
        <v>0</v>
      </c>
      <c r="Q422" s="889">
        <v>0</v>
      </c>
      <c r="R422" s="889">
        <v>0</v>
      </c>
      <c r="S422" s="889">
        <v>0</v>
      </c>
      <c r="T422" s="889">
        <v>0</v>
      </c>
      <c r="U422" s="889">
        <v>0</v>
      </c>
      <c r="V422" s="889">
        <v>0</v>
      </c>
      <c r="W422" s="889">
        <v>0</v>
      </c>
      <c r="X422" s="889">
        <v>0</v>
      </c>
      <c r="Y422" s="889">
        <v>0</v>
      </c>
      <c r="Z422" s="889">
        <v>0</v>
      </c>
      <c r="AA422" s="889">
        <v>0</v>
      </c>
      <c r="AB422" s="889">
        <v>0</v>
      </c>
      <c r="AC422" s="889">
        <v>0</v>
      </c>
    </row>
    <row r="423" spans="1:29" s="712" customFormat="1">
      <c r="A423" s="819" t="s">
        <v>13</v>
      </c>
      <c r="B423" s="780"/>
      <c r="C423" s="702">
        <v>0</v>
      </c>
      <c r="D423" s="702">
        <v>0</v>
      </c>
      <c r="E423" s="702">
        <v>0</v>
      </c>
      <c r="F423" s="702">
        <v>0</v>
      </c>
      <c r="G423" s="702">
        <v>0</v>
      </c>
      <c r="H423" s="702">
        <v>0</v>
      </c>
      <c r="I423" s="702">
        <v>0</v>
      </c>
      <c r="J423" s="702">
        <v>0</v>
      </c>
      <c r="K423" s="702">
        <v>0</v>
      </c>
      <c r="L423" s="702">
        <v>0</v>
      </c>
      <c r="M423" s="702">
        <v>0</v>
      </c>
      <c r="N423" s="702">
        <v>0</v>
      </c>
      <c r="O423" s="702">
        <v>0</v>
      </c>
      <c r="P423" s="702">
        <v>0</v>
      </c>
      <c r="Q423" s="702">
        <v>0</v>
      </c>
      <c r="R423" s="702">
        <v>0</v>
      </c>
      <c r="S423" s="702">
        <v>0</v>
      </c>
      <c r="T423" s="702">
        <v>0</v>
      </c>
      <c r="U423" s="702">
        <v>0</v>
      </c>
      <c r="V423" s="702">
        <v>0</v>
      </c>
      <c r="W423" s="702">
        <v>0</v>
      </c>
      <c r="X423" s="702">
        <v>0</v>
      </c>
      <c r="Y423" s="702">
        <v>0</v>
      </c>
      <c r="Z423" s="702">
        <v>0</v>
      </c>
      <c r="AA423" s="702">
        <v>0</v>
      </c>
      <c r="AB423" s="702">
        <v>0</v>
      </c>
      <c r="AC423" s="702">
        <v>0</v>
      </c>
    </row>
    <row r="424" spans="1:29" s="712" customFormat="1">
      <c r="A424" s="820" t="s">
        <v>193</v>
      </c>
      <c r="B424" s="780" t="s">
        <v>305</v>
      </c>
      <c r="C424" s="889">
        <v>0</v>
      </c>
      <c r="D424" s="889">
        <v>0</v>
      </c>
      <c r="E424" s="889">
        <v>0</v>
      </c>
      <c r="F424" s="889">
        <v>0</v>
      </c>
      <c r="G424" s="889">
        <v>0</v>
      </c>
      <c r="H424" s="889">
        <v>0</v>
      </c>
      <c r="I424" s="889">
        <v>0</v>
      </c>
      <c r="J424" s="889">
        <v>0</v>
      </c>
      <c r="K424" s="889">
        <v>0</v>
      </c>
      <c r="L424" s="889">
        <v>0</v>
      </c>
      <c r="M424" s="889">
        <v>0</v>
      </c>
      <c r="N424" s="889">
        <v>0</v>
      </c>
      <c r="O424" s="889">
        <v>0</v>
      </c>
      <c r="P424" s="889">
        <v>0</v>
      </c>
      <c r="Q424" s="889">
        <v>0</v>
      </c>
      <c r="R424" s="889">
        <v>0</v>
      </c>
      <c r="S424" s="889">
        <v>0</v>
      </c>
      <c r="T424" s="889">
        <v>0</v>
      </c>
      <c r="U424" s="889">
        <v>0</v>
      </c>
      <c r="V424" s="889">
        <v>0</v>
      </c>
      <c r="W424" s="889">
        <v>0</v>
      </c>
      <c r="X424" s="889">
        <v>0</v>
      </c>
      <c r="Y424" s="889">
        <v>0</v>
      </c>
      <c r="Z424" s="889">
        <v>0</v>
      </c>
      <c r="AA424" s="889">
        <v>0</v>
      </c>
      <c r="AB424" s="889">
        <v>0</v>
      </c>
      <c r="AC424" s="889">
        <v>0</v>
      </c>
    </row>
    <row r="425" spans="1:29" s="712" customFormat="1">
      <c r="A425" s="819" t="s">
        <v>13</v>
      </c>
      <c r="B425" s="780"/>
      <c r="C425" s="702">
        <v>0</v>
      </c>
      <c r="D425" s="702">
        <v>0</v>
      </c>
      <c r="E425" s="702">
        <v>0</v>
      </c>
      <c r="F425" s="702">
        <v>0</v>
      </c>
      <c r="G425" s="702">
        <v>0</v>
      </c>
      <c r="H425" s="702">
        <v>0</v>
      </c>
      <c r="I425" s="702">
        <v>0</v>
      </c>
      <c r="J425" s="702">
        <v>0</v>
      </c>
      <c r="K425" s="702">
        <v>0</v>
      </c>
      <c r="L425" s="702">
        <v>0</v>
      </c>
      <c r="M425" s="702">
        <v>0</v>
      </c>
      <c r="N425" s="702">
        <v>0</v>
      </c>
      <c r="O425" s="702">
        <v>0</v>
      </c>
      <c r="P425" s="702">
        <v>0</v>
      </c>
      <c r="Q425" s="702">
        <v>0</v>
      </c>
      <c r="R425" s="702">
        <v>0</v>
      </c>
      <c r="S425" s="702">
        <v>0</v>
      </c>
      <c r="T425" s="702">
        <v>0</v>
      </c>
      <c r="U425" s="702">
        <v>0</v>
      </c>
      <c r="V425" s="702">
        <v>0</v>
      </c>
      <c r="W425" s="702">
        <v>0</v>
      </c>
      <c r="X425" s="702">
        <v>0</v>
      </c>
      <c r="Y425" s="702">
        <v>0</v>
      </c>
      <c r="Z425" s="702">
        <v>0</v>
      </c>
      <c r="AA425" s="702">
        <v>0</v>
      </c>
      <c r="AB425" s="702">
        <v>0</v>
      </c>
      <c r="AC425" s="702">
        <v>0</v>
      </c>
    </row>
    <row r="426" spans="1:29">
      <c r="A426" s="825" t="s">
        <v>151</v>
      </c>
      <c r="B426" s="746"/>
      <c r="C426" s="875">
        <v>52400</v>
      </c>
      <c r="D426" s="875">
        <v>0</v>
      </c>
      <c r="E426" s="875">
        <v>250000</v>
      </c>
      <c r="F426" s="875">
        <v>0</v>
      </c>
      <c r="G426" s="875">
        <v>0</v>
      </c>
      <c r="H426" s="875">
        <v>0</v>
      </c>
      <c r="I426" s="875">
        <v>0</v>
      </c>
      <c r="J426" s="875">
        <v>102400</v>
      </c>
      <c r="K426" s="875">
        <v>0</v>
      </c>
      <c r="L426" s="875">
        <v>0</v>
      </c>
      <c r="M426" s="875">
        <v>0</v>
      </c>
      <c r="N426" s="875">
        <v>0</v>
      </c>
      <c r="O426" s="875">
        <v>0</v>
      </c>
      <c r="P426" s="875">
        <v>0</v>
      </c>
      <c r="Q426" s="875">
        <v>0</v>
      </c>
      <c r="R426" s="875">
        <v>0</v>
      </c>
      <c r="S426" s="875">
        <v>0</v>
      </c>
      <c r="T426" s="875">
        <v>0</v>
      </c>
      <c r="U426" s="875">
        <v>103000</v>
      </c>
      <c r="V426" s="875">
        <v>0</v>
      </c>
      <c r="W426" s="875">
        <v>0</v>
      </c>
      <c r="X426" s="875">
        <v>0</v>
      </c>
      <c r="Y426" s="875">
        <v>0</v>
      </c>
      <c r="Z426" s="875">
        <v>0</v>
      </c>
      <c r="AA426" s="875">
        <v>0</v>
      </c>
      <c r="AB426" s="875">
        <v>0</v>
      </c>
      <c r="AC426" s="875">
        <v>0</v>
      </c>
    </row>
    <row r="427" spans="1:29" s="426" customFormat="1">
      <c r="A427" s="821" t="s">
        <v>13</v>
      </c>
      <c r="B427" s="792"/>
      <c r="C427" s="702">
        <v>507800</v>
      </c>
      <c r="D427" s="702">
        <v>455400</v>
      </c>
      <c r="E427" s="702">
        <v>455400</v>
      </c>
      <c r="F427" s="702">
        <v>205400</v>
      </c>
      <c r="G427" s="702">
        <v>205400</v>
      </c>
      <c r="H427" s="702">
        <v>205400</v>
      </c>
      <c r="I427" s="702">
        <v>205400</v>
      </c>
      <c r="J427" s="702">
        <v>205400</v>
      </c>
      <c r="K427" s="702">
        <v>103000</v>
      </c>
      <c r="L427" s="702">
        <v>103000</v>
      </c>
      <c r="M427" s="702">
        <v>103000</v>
      </c>
      <c r="N427" s="702">
        <v>103000</v>
      </c>
      <c r="O427" s="702">
        <v>103000</v>
      </c>
      <c r="P427" s="702">
        <v>103000</v>
      </c>
      <c r="Q427" s="702">
        <v>103000</v>
      </c>
      <c r="R427" s="702">
        <v>103000</v>
      </c>
      <c r="S427" s="702">
        <v>103000</v>
      </c>
      <c r="T427" s="702">
        <v>103000</v>
      </c>
      <c r="U427" s="702">
        <v>103000</v>
      </c>
      <c r="V427" s="702">
        <v>0</v>
      </c>
      <c r="W427" s="702">
        <v>0</v>
      </c>
      <c r="X427" s="702">
        <v>0</v>
      </c>
      <c r="Y427" s="702">
        <v>0</v>
      </c>
      <c r="Z427" s="702">
        <v>0</v>
      </c>
      <c r="AA427" s="702">
        <v>0</v>
      </c>
      <c r="AB427" s="702">
        <v>0</v>
      </c>
      <c r="AC427" s="702">
        <v>0</v>
      </c>
    </row>
    <row r="428" spans="1:29" s="426" customFormat="1">
      <c r="A428" s="817"/>
      <c r="B428" s="748"/>
      <c r="C428" s="879"/>
      <c r="D428" s="879"/>
      <c r="E428" s="879"/>
      <c r="F428" s="879"/>
      <c r="G428" s="879"/>
      <c r="H428" s="879"/>
      <c r="I428" s="879"/>
      <c r="J428" s="879"/>
      <c r="K428" s="879"/>
      <c r="L428" s="879"/>
      <c r="M428" s="879"/>
      <c r="N428" s="879"/>
      <c r="O428" s="879"/>
      <c r="P428" s="879"/>
      <c r="Q428" s="879"/>
      <c r="R428" s="879"/>
      <c r="S428" s="879"/>
      <c r="T428" s="879"/>
      <c r="U428" s="879"/>
      <c r="V428" s="879"/>
      <c r="W428" s="879"/>
      <c r="X428" s="879"/>
      <c r="Y428" s="879"/>
      <c r="Z428" s="879"/>
      <c r="AA428" s="879"/>
      <c r="AB428" s="879"/>
      <c r="AC428" s="879"/>
    </row>
    <row r="429" spans="1:29" s="426" customFormat="1">
      <c r="A429" s="817" t="s">
        <v>140</v>
      </c>
      <c r="B429" s="748"/>
      <c r="C429" s="879"/>
      <c r="D429" s="879"/>
      <c r="E429" s="879"/>
      <c r="F429" s="879"/>
      <c r="G429" s="879"/>
      <c r="H429" s="879"/>
      <c r="I429" s="879"/>
      <c r="J429" s="879"/>
      <c r="K429" s="879"/>
      <c r="L429" s="879"/>
      <c r="M429" s="879"/>
      <c r="N429" s="879"/>
      <c r="O429" s="879"/>
      <c r="P429" s="879"/>
      <c r="Q429" s="879"/>
      <c r="R429" s="879"/>
      <c r="S429" s="879"/>
      <c r="T429" s="879"/>
      <c r="U429" s="879"/>
      <c r="V429" s="879"/>
      <c r="W429" s="879"/>
      <c r="X429" s="879"/>
      <c r="Y429" s="879"/>
      <c r="Z429" s="879"/>
      <c r="AA429" s="879"/>
      <c r="AB429" s="879"/>
      <c r="AC429" s="879"/>
    </row>
    <row r="430" spans="1:29" s="426" customFormat="1">
      <c r="A430" s="818" t="s">
        <v>141</v>
      </c>
      <c r="B430" s="746" t="s">
        <v>306</v>
      </c>
      <c r="C430" s="888">
        <v>0</v>
      </c>
      <c r="D430" s="888">
        <v>0</v>
      </c>
      <c r="E430" s="888">
        <v>0</v>
      </c>
      <c r="F430" s="888">
        <v>0</v>
      </c>
      <c r="G430" s="888">
        <v>0</v>
      </c>
      <c r="H430" s="888">
        <v>0</v>
      </c>
      <c r="I430" s="888">
        <v>0</v>
      </c>
      <c r="J430" s="888">
        <v>0</v>
      </c>
      <c r="K430" s="888">
        <v>0</v>
      </c>
      <c r="L430" s="888">
        <v>0</v>
      </c>
      <c r="M430" s="888">
        <v>0</v>
      </c>
      <c r="N430" s="888">
        <v>0</v>
      </c>
      <c r="O430" s="888">
        <v>0</v>
      </c>
      <c r="P430" s="888">
        <v>0</v>
      </c>
      <c r="Q430" s="888">
        <v>0</v>
      </c>
      <c r="R430" s="888">
        <v>0</v>
      </c>
      <c r="S430" s="888">
        <v>0</v>
      </c>
      <c r="T430" s="888">
        <v>0</v>
      </c>
      <c r="U430" s="888">
        <v>0</v>
      </c>
      <c r="V430" s="888">
        <v>0</v>
      </c>
      <c r="W430" s="888">
        <v>0</v>
      </c>
      <c r="X430" s="888">
        <v>0</v>
      </c>
      <c r="Y430" s="888">
        <v>0</v>
      </c>
      <c r="Z430" s="888">
        <v>0</v>
      </c>
      <c r="AA430" s="888">
        <v>0</v>
      </c>
      <c r="AB430" s="888">
        <v>0</v>
      </c>
      <c r="AC430" s="888">
        <v>0</v>
      </c>
    </row>
    <row r="431" spans="1:29" s="426" customFormat="1">
      <c r="A431" s="829" t="s">
        <v>13</v>
      </c>
      <c r="B431" s="746"/>
      <c r="C431" s="702">
        <v>0</v>
      </c>
      <c r="D431" s="702">
        <v>0</v>
      </c>
      <c r="E431" s="702">
        <v>0</v>
      </c>
      <c r="F431" s="702">
        <v>0</v>
      </c>
      <c r="G431" s="702">
        <v>0</v>
      </c>
      <c r="H431" s="702">
        <v>0</v>
      </c>
      <c r="I431" s="702">
        <v>0</v>
      </c>
      <c r="J431" s="702">
        <v>0</v>
      </c>
      <c r="K431" s="702">
        <v>0</v>
      </c>
      <c r="L431" s="702">
        <v>0</v>
      </c>
      <c r="M431" s="702">
        <v>0</v>
      </c>
      <c r="N431" s="702">
        <v>0</v>
      </c>
      <c r="O431" s="702">
        <v>0</v>
      </c>
      <c r="P431" s="702">
        <v>0</v>
      </c>
      <c r="Q431" s="702">
        <v>0</v>
      </c>
      <c r="R431" s="702">
        <v>0</v>
      </c>
      <c r="S431" s="702">
        <v>0</v>
      </c>
      <c r="T431" s="702">
        <v>0</v>
      </c>
      <c r="U431" s="702">
        <v>0</v>
      </c>
      <c r="V431" s="702">
        <v>0</v>
      </c>
      <c r="W431" s="702">
        <v>0</v>
      </c>
      <c r="X431" s="702">
        <v>0</v>
      </c>
      <c r="Y431" s="702">
        <v>0</v>
      </c>
      <c r="Z431" s="702">
        <v>0</v>
      </c>
      <c r="AA431" s="702">
        <v>0</v>
      </c>
      <c r="AB431" s="702">
        <v>0</v>
      </c>
      <c r="AC431" s="702">
        <v>0</v>
      </c>
    </row>
    <row r="432" spans="1:29" s="426" customFormat="1">
      <c r="A432" s="818" t="s">
        <v>142</v>
      </c>
      <c r="B432" s="746" t="s">
        <v>307</v>
      </c>
      <c r="C432" s="888">
        <v>0</v>
      </c>
      <c r="D432" s="888">
        <v>0</v>
      </c>
      <c r="E432" s="888">
        <v>0</v>
      </c>
      <c r="F432" s="888">
        <v>0</v>
      </c>
      <c r="G432" s="888">
        <v>0</v>
      </c>
      <c r="H432" s="888">
        <v>0</v>
      </c>
      <c r="I432" s="888">
        <v>0</v>
      </c>
      <c r="J432" s="888">
        <v>0</v>
      </c>
      <c r="K432" s="888">
        <v>0</v>
      </c>
      <c r="L432" s="888">
        <v>0</v>
      </c>
      <c r="M432" s="888">
        <v>17930</v>
      </c>
      <c r="N432" s="888">
        <v>0</v>
      </c>
      <c r="O432" s="888">
        <v>0</v>
      </c>
      <c r="P432" s="888">
        <v>0</v>
      </c>
      <c r="Q432" s="888">
        <v>0</v>
      </c>
      <c r="R432" s="888">
        <v>0</v>
      </c>
      <c r="S432" s="888">
        <v>0</v>
      </c>
      <c r="T432" s="888">
        <v>0</v>
      </c>
      <c r="U432" s="888">
        <v>0</v>
      </c>
      <c r="V432" s="888">
        <v>0</v>
      </c>
      <c r="W432" s="888">
        <v>0</v>
      </c>
      <c r="X432" s="888">
        <v>0</v>
      </c>
      <c r="Y432" s="888">
        <v>0</v>
      </c>
      <c r="Z432" s="888">
        <v>0</v>
      </c>
      <c r="AA432" s="888">
        <v>0</v>
      </c>
      <c r="AB432" s="888">
        <v>0</v>
      </c>
      <c r="AC432" s="888">
        <v>0</v>
      </c>
    </row>
    <row r="433" spans="1:29" s="426" customFormat="1">
      <c r="A433" s="829" t="s">
        <v>13</v>
      </c>
      <c r="B433" s="746"/>
      <c r="C433" s="702">
        <v>17930</v>
      </c>
      <c r="D433" s="702">
        <v>17930</v>
      </c>
      <c r="E433" s="702">
        <v>17930</v>
      </c>
      <c r="F433" s="702">
        <v>17930</v>
      </c>
      <c r="G433" s="702">
        <v>17930</v>
      </c>
      <c r="H433" s="702">
        <v>17930</v>
      </c>
      <c r="I433" s="702">
        <v>17930</v>
      </c>
      <c r="J433" s="702">
        <v>17930</v>
      </c>
      <c r="K433" s="702">
        <v>17930</v>
      </c>
      <c r="L433" s="702">
        <v>17930</v>
      </c>
      <c r="M433" s="702">
        <v>17930</v>
      </c>
      <c r="N433" s="702">
        <v>0</v>
      </c>
      <c r="O433" s="702">
        <v>0</v>
      </c>
      <c r="P433" s="702">
        <v>0</v>
      </c>
      <c r="Q433" s="702">
        <v>0</v>
      </c>
      <c r="R433" s="702">
        <v>0</v>
      </c>
      <c r="S433" s="702">
        <v>0</v>
      </c>
      <c r="T433" s="702">
        <v>0</v>
      </c>
      <c r="U433" s="702">
        <v>0</v>
      </c>
      <c r="V433" s="702">
        <v>0</v>
      </c>
      <c r="W433" s="702">
        <v>0</v>
      </c>
      <c r="X433" s="702">
        <v>0</v>
      </c>
      <c r="Y433" s="702">
        <v>0</v>
      </c>
      <c r="Z433" s="702">
        <v>0</v>
      </c>
      <c r="AA433" s="702">
        <v>0</v>
      </c>
      <c r="AB433" s="702">
        <v>0</v>
      </c>
      <c r="AC433" s="702">
        <v>0</v>
      </c>
    </row>
    <row r="434" spans="1:29" s="426" customFormat="1">
      <c r="A434" s="818" t="s">
        <v>143</v>
      </c>
      <c r="B434" s="746" t="s">
        <v>308</v>
      </c>
      <c r="C434" s="888">
        <v>0</v>
      </c>
      <c r="D434" s="888">
        <v>0</v>
      </c>
      <c r="E434" s="888">
        <v>0</v>
      </c>
      <c r="F434" s="888">
        <v>0</v>
      </c>
      <c r="G434" s="888">
        <v>0</v>
      </c>
      <c r="H434" s="888">
        <v>0</v>
      </c>
      <c r="I434" s="888">
        <v>0</v>
      </c>
      <c r="J434" s="888">
        <v>0</v>
      </c>
      <c r="K434" s="888">
        <v>0</v>
      </c>
      <c r="L434" s="888">
        <v>0</v>
      </c>
      <c r="M434" s="888">
        <v>0</v>
      </c>
      <c r="N434" s="888">
        <v>0</v>
      </c>
      <c r="O434" s="888">
        <v>0</v>
      </c>
      <c r="P434" s="888">
        <v>0</v>
      </c>
      <c r="Q434" s="888">
        <v>0</v>
      </c>
      <c r="R434" s="888">
        <v>0</v>
      </c>
      <c r="S434" s="888">
        <v>0</v>
      </c>
      <c r="T434" s="888">
        <v>0</v>
      </c>
      <c r="U434" s="888">
        <v>0</v>
      </c>
      <c r="V434" s="888">
        <v>0</v>
      </c>
      <c r="W434" s="888">
        <v>0</v>
      </c>
      <c r="X434" s="888">
        <v>0</v>
      </c>
      <c r="Y434" s="888">
        <v>0</v>
      </c>
      <c r="Z434" s="888">
        <v>0</v>
      </c>
      <c r="AA434" s="888">
        <v>0</v>
      </c>
      <c r="AB434" s="888">
        <v>0</v>
      </c>
      <c r="AC434" s="888">
        <v>0</v>
      </c>
    </row>
    <row r="435" spans="1:29" s="426" customFormat="1">
      <c r="A435" s="829" t="s">
        <v>13</v>
      </c>
      <c r="B435" s="746"/>
      <c r="C435" s="702">
        <v>0</v>
      </c>
      <c r="D435" s="702">
        <v>0</v>
      </c>
      <c r="E435" s="702">
        <v>0</v>
      </c>
      <c r="F435" s="702">
        <v>0</v>
      </c>
      <c r="G435" s="702">
        <v>0</v>
      </c>
      <c r="H435" s="702">
        <v>0</v>
      </c>
      <c r="I435" s="702">
        <v>0</v>
      </c>
      <c r="J435" s="702">
        <v>0</v>
      </c>
      <c r="K435" s="702">
        <v>0</v>
      </c>
      <c r="L435" s="702">
        <v>0</v>
      </c>
      <c r="M435" s="702">
        <v>0</v>
      </c>
      <c r="N435" s="702">
        <v>0</v>
      </c>
      <c r="O435" s="702">
        <v>0</v>
      </c>
      <c r="P435" s="702">
        <v>0</v>
      </c>
      <c r="Q435" s="702">
        <v>0</v>
      </c>
      <c r="R435" s="702">
        <v>0</v>
      </c>
      <c r="S435" s="702">
        <v>0</v>
      </c>
      <c r="T435" s="702">
        <v>0</v>
      </c>
      <c r="U435" s="702">
        <v>0</v>
      </c>
      <c r="V435" s="702">
        <v>0</v>
      </c>
      <c r="W435" s="702">
        <v>0</v>
      </c>
      <c r="X435" s="702">
        <v>0</v>
      </c>
      <c r="Y435" s="702">
        <v>0</v>
      </c>
      <c r="Z435" s="702">
        <v>0</v>
      </c>
      <c r="AA435" s="702">
        <v>0</v>
      </c>
      <c r="AB435" s="702">
        <v>0</v>
      </c>
      <c r="AC435" s="702">
        <v>0</v>
      </c>
    </row>
    <row r="436" spans="1:29" s="426" customFormat="1">
      <c r="A436" s="820" t="s">
        <v>242</v>
      </c>
      <c r="B436" s="746" t="s">
        <v>309</v>
      </c>
      <c r="C436" s="889">
        <v>0</v>
      </c>
      <c r="D436" s="889">
        <v>0</v>
      </c>
      <c r="E436" s="889">
        <v>0</v>
      </c>
      <c r="F436" s="889">
        <v>0</v>
      </c>
      <c r="G436" s="889">
        <v>0</v>
      </c>
      <c r="H436" s="889">
        <v>0</v>
      </c>
      <c r="I436" s="889">
        <v>0</v>
      </c>
      <c r="J436" s="889">
        <v>0</v>
      </c>
      <c r="K436" s="889">
        <v>0</v>
      </c>
      <c r="L436" s="889">
        <v>0</v>
      </c>
      <c r="M436" s="889">
        <v>0</v>
      </c>
      <c r="N436" s="889">
        <v>0</v>
      </c>
      <c r="O436" s="889">
        <v>0</v>
      </c>
      <c r="P436" s="889">
        <v>0</v>
      </c>
      <c r="Q436" s="889">
        <v>0</v>
      </c>
      <c r="R436" s="889">
        <v>0</v>
      </c>
      <c r="S436" s="889">
        <v>0</v>
      </c>
      <c r="T436" s="889">
        <v>0</v>
      </c>
      <c r="U436" s="889">
        <v>0</v>
      </c>
      <c r="V436" s="889">
        <v>0</v>
      </c>
      <c r="W436" s="889">
        <v>0</v>
      </c>
      <c r="X436" s="889">
        <v>0</v>
      </c>
      <c r="Y436" s="889">
        <v>0</v>
      </c>
      <c r="Z436" s="889">
        <v>0</v>
      </c>
      <c r="AA436" s="889">
        <v>0</v>
      </c>
      <c r="AB436" s="889">
        <v>0</v>
      </c>
      <c r="AC436" s="889">
        <v>0</v>
      </c>
    </row>
    <row r="437" spans="1:29" s="426" customFormat="1">
      <c r="A437" s="829" t="s">
        <v>13</v>
      </c>
      <c r="B437" s="746"/>
      <c r="C437" s="702">
        <v>0</v>
      </c>
      <c r="D437" s="702">
        <v>0</v>
      </c>
      <c r="E437" s="702">
        <v>0</v>
      </c>
      <c r="F437" s="702">
        <v>0</v>
      </c>
      <c r="G437" s="702">
        <v>0</v>
      </c>
      <c r="H437" s="702">
        <v>0</v>
      </c>
      <c r="I437" s="702">
        <v>0</v>
      </c>
      <c r="J437" s="702">
        <v>0</v>
      </c>
      <c r="K437" s="702">
        <v>0</v>
      </c>
      <c r="L437" s="702">
        <v>0</v>
      </c>
      <c r="M437" s="702">
        <v>0</v>
      </c>
      <c r="N437" s="702">
        <v>0</v>
      </c>
      <c r="O437" s="702">
        <v>0</v>
      </c>
      <c r="P437" s="702">
        <v>0</v>
      </c>
      <c r="Q437" s="702">
        <v>0</v>
      </c>
      <c r="R437" s="702">
        <v>0</v>
      </c>
      <c r="S437" s="702">
        <v>0</v>
      </c>
      <c r="T437" s="702">
        <v>0</v>
      </c>
      <c r="U437" s="702">
        <v>0</v>
      </c>
      <c r="V437" s="702">
        <v>0</v>
      </c>
      <c r="W437" s="702">
        <v>0</v>
      </c>
      <c r="X437" s="702">
        <v>0</v>
      </c>
      <c r="Y437" s="702">
        <v>0</v>
      </c>
      <c r="Z437" s="702">
        <v>0</v>
      </c>
      <c r="AA437" s="702">
        <v>0</v>
      </c>
      <c r="AB437" s="702">
        <v>0</v>
      </c>
      <c r="AC437" s="702">
        <v>0</v>
      </c>
    </row>
    <row r="438" spans="1:29" s="426" customFormat="1">
      <c r="A438" s="820" t="s">
        <v>241</v>
      </c>
      <c r="B438" s="746" t="s">
        <v>310</v>
      </c>
      <c r="C438" s="889">
        <v>0</v>
      </c>
      <c r="D438" s="889">
        <v>0</v>
      </c>
      <c r="E438" s="889">
        <v>0</v>
      </c>
      <c r="F438" s="889">
        <v>0</v>
      </c>
      <c r="G438" s="889">
        <v>0</v>
      </c>
      <c r="H438" s="889">
        <v>0</v>
      </c>
      <c r="I438" s="889">
        <v>0</v>
      </c>
      <c r="J438" s="889">
        <v>0</v>
      </c>
      <c r="K438" s="889">
        <v>0</v>
      </c>
      <c r="L438" s="889">
        <v>0</v>
      </c>
      <c r="M438" s="889">
        <v>0</v>
      </c>
      <c r="N438" s="889">
        <v>0</v>
      </c>
      <c r="O438" s="889">
        <v>0</v>
      </c>
      <c r="P438" s="889">
        <v>0</v>
      </c>
      <c r="Q438" s="889">
        <v>0</v>
      </c>
      <c r="R438" s="889">
        <v>0</v>
      </c>
      <c r="S438" s="889">
        <v>0</v>
      </c>
      <c r="T438" s="889">
        <v>0</v>
      </c>
      <c r="U438" s="889">
        <v>0</v>
      </c>
      <c r="V438" s="889">
        <v>0</v>
      </c>
      <c r="W438" s="889">
        <v>0</v>
      </c>
      <c r="X438" s="889">
        <v>0</v>
      </c>
      <c r="Y438" s="889">
        <v>0</v>
      </c>
      <c r="Z438" s="889">
        <v>0</v>
      </c>
      <c r="AA438" s="889">
        <v>0</v>
      </c>
      <c r="AB438" s="889">
        <v>0</v>
      </c>
      <c r="AC438" s="889">
        <v>0</v>
      </c>
    </row>
    <row r="439" spans="1:29" s="426" customFormat="1">
      <c r="A439" s="829" t="s">
        <v>13</v>
      </c>
      <c r="B439" s="746"/>
      <c r="C439" s="702">
        <v>0</v>
      </c>
      <c r="D439" s="702">
        <v>0</v>
      </c>
      <c r="E439" s="702">
        <v>0</v>
      </c>
      <c r="F439" s="702">
        <v>0</v>
      </c>
      <c r="G439" s="702">
        <v>0</v>
      </c>
      <c r="H439" s="702">
        <v>0</v>
      </c>
      <c r="I439" s="702">
        <v>0</v>
      </c>
      <c r="J439" s="702">
        <v>0</v>
      </c>
      <c r="K439" s="702">
        <v>0</v>
      </c>
      <c r="L439" s="702">
        <v>0</v>
      </c>
      <c r="M439" s="702">
        <v>0</v>
      </c>
      <c r="N439" s="702">
        <v>0</v>
      </c>
      <c r="O439" s="702">
        <v>0</v>
      </c>
      <c r="P439" s="702">
        <v>0</v>
      </c>
      <c r="Q439" s="702">
        <v>0</v>
      </c>
      <c r="R439" s="702">
        <v>0</v>
      </c>
      <c r="S439" s="702">
        <v>0</v>
      </c>
      <c r="T439" s="702">
        <v>0</v>
      </c>
      <c r="U439" s="702">
        <v>0</v>
      </c>
      <c r="V439" s="702">
        <v>0</v>
      </c>
      <c r="W439" s="702">
        <v>0</v>
      </c>
      <c r="X439" s="702">
        <v>0</v>
      </c>
      <c r="Y439" s="702">
        <v>0</v>
      </c>
      <c r="Z439" s="702">
        <v>0</v>
      </c>
      <c r="AA439" s="702">
        <v>0</v>
      </c>
      <c r="AB439" s="702">
        <v>0</v>
      </c>
      <c r="AC439" s="702">
        <v>0</v>
      </c>
    </row>
    <row r="440" spans="1:29" s="426" customFormat="1">
      <c r="A440" s="818" t="s">
        <v>144</v>
      </c>
      <c r="B440" s="746" t="s">
        <v>311</v>
      </c>
      <c r="C440" s="875">
        <v>0</v>
      </c>
      <c r="D440" s="875">
        <v>0</v>
      </c>
      <c r="E440" s="875">
        <v>0</v>
      </c>
      <c r="F440" s="875">
        <v>0</v>
      </c>
      <c r="G440" s="875">
        <v>0</v>
      </c>
      <c r="H440" s="875">
        <v>0</v>
      </c>
      <c r="I440" s="875">
        <v>0</v>
      </c>
      <c r="J440" s="875">
        <v>0</v>
      </c>
      <c r="K440" s="875">
        <v>0</v>
      </c>
      <c r="L440" s="875">
        <v>0</v>
      </c>
      <c r="M440" s="875">
        <v>0</v>
      </c>
      <c r="N440" s="875">
        <v>0</v>
      </c>
      <c r="O440" s="875">
        <v>0</v>
      </c>
      <c r="P440" s="875">
        <v>0</v>
      </c>
      <c r="Q440" s="875">
        <v>0</v>
      </c>
      <c r="R440" s="875">
        <v>0</v>
      </c>
      <c r="S440" s="875">
        <v>0</v>
      </c>
      <c r="T440" s="875">
        <v>0</v>
      </c>
      <c r="U440" s="875">
        <v>0</v>
      </c>
      <c r="V440" s="875">
        <v>0</v>
      </c>
      <c r="W440" s="875">
        <v>0</v>
      </c>
      <c r="X440" s="875">
        <v>0</v>
      </c>
      <c r="Y440" s="875">
        <v>0</v>
      </c>
      <c r="Z440" s="875">
        <v>0</v>
      </c>
      <c r="AA440" s="875">
        <v>0</v>
      </c>
      <c r="AB440" s="875">
        <v>0</v>
      </c>
      <c r="AC440" s="875">
        <v>0</v>
      </c>
    </row>
    <row r="441" spans="1:29" s="426" customFormat="1">
      <c r="A441" s="829" t="s">
        <v>13</v>
      </c>
      <c r="B441" s="746"/>
      <c r="C441" s="702">
        <v>0</v>
      </c>
      <c r="D441" s="702">
        <v>0</v>
      </c>
      <c r="E441" s="702">
        <v>0</v>
      </c>
      <c r="F441" s="702">
        <v>0</v>
      </c>
      <c r="G441" s="702">
        <v>0</v>
      </c>
      <c r="H441" s="702">
        <v>0</v>
      </c>
      <c r="I441" s="702">
        <v>0</v>
      </c>
      <c r="J441" s="702">
        <v>0</v>
      </c>
      <c r="K441" s="702">
        <v>0</v>
      </c>
      <c r="L441" s="702">
        <v>0</v>
      </c>
      <c r="M441" s="702">
        <v>0</v>
      </c>
      <c r="N441" s="702">
        <v>0</v>
      </c>
      <c r="O441" s="702">
        <v>0</v>
      </c>
      <c r="P441" s="702">
        <v>0</v>
      </c>
      <c r="Q441" s="702">
        <v>0</v>
      </c>
      <c r="R441" s="702">
        <v>0</v>
      </c>
      <c r="S441" s="702">
        <v>0</v>
      </c>
      <c r="T441" s="702">
        <v>0</v>
      </c>
      <c r="U441" s="702">
        <v>0</v>
      </c>
      <c r="V441" s="702">
        <v>0</v>
      </c>
      <c r="W441" s="702">
        <v>0</v>
      </c>
      <c r="X441" s="702">
        <v>0</v>
      </c>
      <c r="Y441" s="702">
        <v>0</v>
      </c>
      <c r="Z441" s="702">
        <v>0</v>
      </c>
      <c r="AA441" s="702">
        <v>0</v>
      </c>
      <c r="AB441" s="702">
        <v>0</v>
      </c>
      <c r="AC441" s="702">
        <v>0</v>
      </c>
    </row>
    <row r="442" spans="1:29" s="426" customFormat="1">
      <c r="A442" s="818" t="s">
        <v>145</v>
      </c>
      <c r="B442" s="746" t="s">
        <v>312</v>
      </c>
      <c r="C442" s="875">
        <v>0</v>
      </c>
      <c r="D442" s="875">
        <v>0</v>
      </c>
      <c r="E442" s="875">
        <v>0</v>
      </c>
      <c r="F442" s="875">
        <v>0</v>
      </c>
      <c r="G442" s="875">
        <v>0</v>
      </c>
      <c r="H442" s="875">
        <v>0</v>
      </c>
      <c r="I442" s="875">
        <v>0</v>
      </c>
      <c r="J442" s="875">
        <v>0</v>
      </c>
      <c r="K442" s="875">
        <v>0</v>
      </c>
      <c r="L442" s="875">
        <v>0</v>
      </c>
      <c r="M442" s="875">
        <v>15500</v>
      </c>
      <c r="N442" s="875">
        <v>0</v>
      </c>
      <c r="O442" s="875">
        <v>0</v>
      </c>
      <c r="P442" s="875">
        <v>0</v>
      </c>
      <c r="Q442" s="875">
        <v>0</v>
      </c>
      <c r="R442" s="875">
        <v>0</v>
      </c>
      <c r="S442" s="875">
        <v>0</v>
      </c>
      <c r="T442" s="875">
        <v>0</v>
      </c>
      <c r="U442" s="875">
        <v>0</v>
      </c>
      <c r="V442" s="875">
        <v>0</v>
      </c>
      <c r="W442" s="875">
        <v>0</v>
      </c>
      <c r="X442" s="875">
        <v>0</v>
      </c>
      <c r="Y442" s="875">
        <v>0</v>
      </c>
      <c r="Z442" s="875">
        <v>0</v>
      </c>
      <c r="AA442" s="875">
        <v>0</v>
      </c>
      <c r="AB442" s="875">
        <v>0</v>
      </c>
      <c r="AC442" s="875">
        <v>0</v>
      </c>
    </row>
    <row r="443" spans="1:29" s="426" customFormat="1">
      <c r="A443" s="829" t="s">
        <v>13</v>
      </c>
      <c r="B443" s="746"/>
      <c r="C443" s="702">
        <v>15500</v>
      </c>
      <c r="D443" s="702">
        <v>15500</v>
      </c>
      <c r="E443" s="702">
        <v>15500</v>
      </c>
      <c r="F443" s="702">
        <v>15500</v>
      </c>
      <c r="G443" s="702">
        <v>15500</v>
      </c>
      <c r="H443" s="702">
        <v>15500</v>
      </c>
      <c r="I443" s="702">
        <v>15500</v>
      </c>
      <c r="J443" s="702">
        <v>15500</v>
      </c>
      <c r="K443" s="702">
        <v>15500</v>
      </c>
      <c r="L443" s="702">
        <v>15500</v>
      </c>
      <c r="M443" s="702">
        <v>15500</v>
      </c>
      <c r="N443" s="702">
        <v>0</v>
      </c>
      <c r="O443" s="702">
        <v>0</v>
      </c>
      <c r="P443" s="702">
        <v>0</v>
      </c>
      <c r="Q443" s="702">
        <v>0</v>
      </c>
      <c r="R443" s="702">
        <v>0</v>
      </c>
      <c r="S443" s="702">
        <v>0</v>
      </c>
      <c r="T443" s="702">
        <v>0</v>
      </c>
      <c r="U443" s="702">
        <v>0</v>
      </c>
      <c r="V443" s="702">
        <v>0</v>
      </c>
      <c r="W443" s="702">
        <v>0</v>
      </c>
      <c r="X443" s="702">
        <v>0</v>
      </c>
      <c r="Y443" s="702">
        <v>0</v>
      </c>
      <c r="Z443" s="702">
        <v>0</v>
      </c>
      <c r="AA443" s="702">
        <v>0</v>
      </c>
      <c r="AB443" s="702">
        <v>0</v>
      </c>
      <c r="AC443" s="702">
        <v>0</v>
      </c>
    </row>
    <row r="444" spans="1:29" s="426" customFormat="1">
      <c r="A444" s="820" t="s">
        <v>346</v>
      </c>
      <c r="B444" s="746" t="s">
        <v>528</v>
      </c>
      <c r="C444" s="875">
        <v>0</v>
      </c>
      <c r="D444" s="875">
        <v>0</v>
      </c>
      <c r="E444" s="875">
        <v>0</v>
      </c>
      <c r="F444" s="875">
        <v>0</v>
      </c>
      <c r="G444" s="875">
        <v>0</v>
      </c>
      <c r="H444" s="875">
        <v>0</v>
      </c>
      <c r="I444" s="875">
        <v>0</v>
      </c>
      <c r="J444" s="875">
        <v>0</v>
      </c>
      <c r="K444" s="875">
        <v>0</v>
      </c>
      <c r="L444" s="875">
        <v>0</v>
      </c>
      <c r="M444" s="875">
        <v>0</v>
      </c>
      <c r="N444" s="875">
        <v>0</v>
      </c>
      <c r="O444" s="875">
        <v>0</v>
      </c>
      <c r="P444" s="875">
        <v>0</v>
      </c>
      <c r="Q444" s="875">
        <v>0</v>
      </c>
      <c r="R444" s="875">
        <v>0</v>
      </c>
      <c r="S444" s="875">
        <v>0</v>
      </c>
      <c r="T444" s="875">
        <v>0</v>
      </c>
      <c r="U444" s="875">
        <v>0</v>
      </c>
      <c r="V444" s="875">
        <v>0</v>
      </c>
      <c r="W444" s="875">
        <v>0</v>
      </c>
      <c r="X444" s="875">
        <v>0</v>
      </c>
      <c r="Y444" s="875">
        <v>0</v>
      </c>
      <c r="Z444" s="875">
        <v>0</v>
      </c>
      <c r="AA444" s="875">
        <v>0</v>
      </c>
      <c r="AB444" s="875">
        <v>0</v>
      </c>
      <c r="AC444" s="875">
        <v>0</v>
      </c>
    </row>
    <row r="445" spans="1:29" s="426" customFormat="1">
      <c r="A445" s="829" t="s">
        <v>13</v>
      </c>
      <c r="B445" s="746"/>
      <c r="C445" s="702">
        <v>0</v>
      </c>
      <c r="D445" s="702">
        <v>0</v>
      </c>
      <c r="E445" s="702">
        <v>0</v>
      </c>
      <c r="F445" s="702">
        <v>0</v>
      </c>
      <c r="G445" s="702">
        <v>0</v>
      </c>
      <c r="H445" s="702">
        <v>0</v>
      </c>
      <c r="I445" s="702">
        <v>0</v>
      </c>
      <c r="J445" s="702">
        <v>0</v>
      </c>
      <c r="K445" s="702">
        <v>0</v>
      </c>
      <c r="L445" s="702">
        <v>0</v>
      </c>
      <c r="M445" s="702">
        <v>0</v>
      </c>
      <c r="N445" s="702">
        <v>0</v>
      </c>
      <c r="O445" s="702">
        <v>0</v>
      </c>
      <c r="P445" s="702">
        <v>0</v>
      </c>
      <c r="Q445" s="702">
        <v>0</v>
      </c>
      <c r="R445" s="702">
        <v>0</v>
      </c>
      <c r="S445" s="702">
        <v>0</v>
      </c>
      <c r="T445" s="702">
        <v>0</v>
      </c>
      <c r="U445" s="702">
        <v>0</v>
      </c>
      <c r="V445" s="702">
        <v>0</v>
      </c>
      <c r="W445" s="702">
        <v>0</v>
      </c>
      <c r="X445" s="702">
        <v>0</v>
      </c>
      <c r="Y445" s="702">
        <v>0</v>
      </c>
      <c r="Z445" s="702">
        <v>0</v>
      </c>
      <c r="AA445" s="702">
        <v>0</v>
      </c>
      <c r="AB445" s="702">
        <v>0</v>
      </c>
      <c r="AC445" s="702">
        <v>0</v>
      </c>
    </row>
    <row r="446" spans="1:29" s="426" customFormat="1">
      <c r="A446" s="818" t="s">
        <v>146</v>
      </c>
      <c r="B446" s="746" t="s">
        <v>313</v>
      </c>
      <c r="C446" s="875">
        <v>0</v>
      </c>
      <c r="D446" s="875">
        <v>0</v>
      </c>
      <c r="E446" s="875">
        <v>0</v>
      </c>
      <c r="F446" s="875">
        <v>0</v>
      </c>
      <c r="G446" s="875">
        <v>0</v>
      </c>
      <c r="H446" s="875">
        <v>0</v>
      </c>
      <c r="I446" s="875">
        <v>0</v>
      </c>
      <c r="J446" s="875">
        <v>0</v>
      </c>
      <c r="K446" s="875">
        <v>0</v>
      </c>
      <c r="L446" s="875">
        <v>0</v>
      </c>
      <c r="M446" s="875">
        <v>0</v>
      </c>
      <c r="N446" s="875">
        <v>0</v>
      </c>
      <c r="O446" s="875">
        <v>0</v>
      </c>
      <c r="P446" s="875">
        <v>0</v>
      </c>
      <c r="Q446" s="875">
        <v>0</v>
      </c>
      <c r="R446" s="875">
        <v>0</v>
      </c>
      <c r="S446" s="875">
        <v>0</v>
      </c>
      <c r="T446" s="875">
        <v>0</v>
      </c>
      <c r="U446" s="875">
        <v>0</v>
      </c>
      <c r="V446" s="875">
        <v>0</v>
      </c>
      <c r="W446" s="875">
        <v>0</v>
      </c>
      <c r="X446" s="875">
        <v>0</v>
      </c>
      <c r="Y446" s="875">
        <v>0</v>
      </c>
      <c r="Z446" s="875">
        <v>0</v>
      </c>
      <c r="AA446" s="875">
        <v>0</v>
      </c>
      <c r="AB446" s="875">
        <v>0</v>
      </c>
      <c r="AC446" s="875">
        <v>0</v>
      </c>
    </row>
    <row r="447" spans="1:29" s="426" customFormat="1">
      <c r="A447" s="830" t="s">
        <v>13</v>
      </c>
      <c r="B447" s="746"/>
      <c r="C447" s="720">
        <v>0</v>
      </c>
      <c r="D447" s="720">
        <v>0</v>
      </c>
      <c r="E447" s="720">
        <v>0</v>
      </c>
      <c r="F447" s="720">
        <v>0</v>
      </c>
      <c r="G447" s="720">
        <v>0</v>
      </c>
      <c r="H447" s="720">
        <v>0</v>
      </c>
      <c r="I447" s="720">
        <v>0</v>
      </c>
      <c r="J447" s="720">
        <v>0</v>
      </c>
      <c r="K447" s="720">
        <v>0</v>
      </c>
      <c r="L447" s="720">
        <v>0</v>
      </c>
      <c r="M447" s="720">
        <v>0</v>
      </c>
      <c r="N447" s="720">
        <v>0</v>
      </c>
      <c r="O447" s="720">
        <v>0</v>
      </c>
      <c r="P447" s="720">
        <v>0</v>
      </c>
      <c r="Q447" s="720">
        <v>0</v>
      </c>
      <c r="R447" s="720">
        <v>0</v>
      </c>
      <c r="S447" s="720">
        <v>0</v>
      </c>
      <c r="T447" s="720">
        <v>0</v>
      </c>
      <c r="U447" s="720">
        <v>0</v>
      </c>
      <c r="V447" s="720">
        <v>0</v>
      </c>
      <c r="W447" s="720">
        <v>0</v>
      </c>
      <c r="X447" s="720">
        <v>0</v>
      </c>
      <c r="Y447" s="720">
        <v>0</v>
      </c>
      <c r="Z447" s="720">
        <v>0</v>
      </c>
      <c r="AA447" s="720">
        <v>0</v>
      </c>
      <c r="AB447" s="720">
        <v>0</v>
      </c>
      <c r="AC447" s="720">
        <v>0</v>
      </c>
    </row>
    <row r="448" spans="1:29">
      <c r="A448" s="28" t="s">
        <v>147</v>
      </c>
      <c r="B448" s="746" t="s">
        <v>314</v>
      </c>
      <c r="C448" s="875">
        <v>0</v>
      </c>
      <c r="D448" s="875">
        <v>0</v>
      </c>
      <c r="E448" s="875">
        <v>0</v>
      </c>
      <c r="F448" s="875">
        <v>0</v>
      </c>
      <c r="G448" s="875">
        <v>0</v>
      </c>
      <c r="H448" s="875">
        <v>0</v>
      </c>
      <c r="I448" s="875">
        <v>0</v>
      </c>
      <c r="J448" s="875">
        <v>0</v>
      </c>
      <c r="K448" s="875">
        <v>0</v>
      </c>
      <c r="L448" s="875">
        <v>0</v>
      </c>
      <c r="M448" s="875">
        <v>0</v>
      </c>
      <c r="N448" s="875">
        <v>0</v>
      </c>
      <c r="O448" s="875">
        <v>0</v>
      </c>
      <c r="P448" s="875">
        <v>0</v>
      </c>
      <c r="Q448" s="875">
        <v>0</v>
      </c>
      <c r="R448" s="875">
        <v>0</v>
      </c>
      <c r="S448" s="875">
        <v>0</v>
      </c>
      <c r="T448" s="875">
        <v>0</v>
      </c>
      <c r="U448" s="875">
        <v>0</v>
      </c>
      <c r="V448" s="875">
        <v>0</v>
      </c>
      <c r="W448" s="875">
        <v>0</v>
      </c>
      <c r="X448" s="875">
        <v>0</v>
      </c>
      <c r="Y448" s="875">
        <v>0</v>
      </c>
      <c r="Z448" s="875">
        <v>0</v>
      </c>
      <c r="AA448" s="875">
        <v>0</v>
      </c>
      <c r="AB448" s="875">
        <v>0</v>
      </c>
      <c r="AC448" s="875">
        <v>0</v>
      </c>
    </row>
    <row r="449" spans="1:29" s="426" customFormat="1">
      <c r="A449" s="830" t="s">
        <v>13</v>
      </c>
      <c r="B449" s="746"/>
      <c r="C449" s="702">
        <v>0</v>
      </c>
      <c r="D449" s="702">
        <v>0</v>
      </c>
      <c r="E449" s="702">
        <v>0</v>
      </c>
      <c r="F449" s="702">
        <v>0</v>
      </c>
      <c r="G449" s="702">
        <v>0</v>
      </c>
      <c r="H449" s="702">
        <v>0</v>
      </c>
      <c r="I449" s="702">
        <v>0</v>
      </c>
      <c r="J449" s="702">
        <v>0</v>
      </c>
      <c r="K449" s="702">
        <v>0</v>
      </c>
      <c r="L449" s="702">
        <v>0</v>
      </c>
      <c r="M449" s="702">
        <v>0</v>
      </c>
      <c r="N449" s="702">
        <v>0</v>
      </c>
      <c r="O449" s="702">
        <v>0</v>
      </c>
      <c r="P449" s="702">
        <v>0</v>
      </c>
      <c r="Q449" s="702">
        <v>0</v>
      </c>
      <c r="R449" s="702">
        <v>0</v>
      </c>
      <c r="S449" s="702">
        <v>0</v>
      </c>
      <c r="T449" s="702">
        <v>0</v>
      </c>
      <c r="U449" s="702">
        <v>0</v>
      </c>
      <c r="V449" s="702">
        <v>0</v>
      </c>
      <c r="W449" s="702">
        <v>0</v>
      </c>
      <c r="X449" s="702">
        <v>0</v>
      </c>
      <c r="Y449" s="702">
        <v>0</v>
      </c>
      <c r="Z449" s="702">
        <v>0</v>
      </c>
      <c r="AA449" s="702">
        <v>0</v>
      </c>
      <c r="AB449" s="702">
        <v>0</v>
      </c>
      <c r="AC449" s="702">
        <v>0</v>
      </c>
    </row>
    <row r="450" spans="1:29" s="426" customFormat="1">
      <c r="A450" s="825" t="s">
        <v>230</v>
      </c>
      <c r="B450" s="746" t="s">
        <v>315</v>
      </c>
      <c r="C450" s="875">
        <v>0</v>
      </c>
      <c r="D450" s="875">
        <v>0</v>
      </c>
      <c r="E450" s="875">
        <v>0</v>
      </c>
      <c r="F450" s="875">
        <v>0</v>
      </c>
      <c r="G450" s="875">
        <v>0</v>
      </c>
      <c r="H450" s="875">
        <v>0</v>
      </c>
      <c r="I450" s="875">
        <v>0</v>
      </c>
      <c r="J450" s="875">
        <v>0</v>
      </c>
      <c r="K450" s="875">
        <v>0</v>
      </c>
      <c r="L450" s="875">
        <v>19000</v>
      </c>
      <c r="M450" s="875">
        <v>0</v>
      </c>
      <c r="N450" s="875">
        <v>0</v>
      </c>
      <c r="O450" s="875">
        <v>0</v>
      </c>
      <c r="P450" s="875">
        <v>0</v>
      </c>
      <c r="Q450" s="875">
        <v>0</v>
      </c>
      <c r="R450" s="875">
        <v>0</v>
      </c>
      <c r="S450" s="875">
        <v>0</v>
      </c>
      <c r="T450" s="875">
        <v>0</v>
      </c>
      <c r="U450" s="875">
        <v>0</v>
      </c>
      <c r="V450" s="875">
        <v>0</v>
      </c>
      <c r="W450" s="875">
        <v>0</v>
      </c>
      <c r="X450" s="875">
        <v>0</v>
      </c>
      <c r="Y450" s="875">
        <v>0</v>
      </c>
      <c r="Z450" s="875">
        <v>0</v>
      </c>
      <c r="AA450" s="875">
        <v>0</v>
      </c>
      <c r="AB450" s="875">
        <v>0</v>
      </c>
      <c r="AC450" s="875">
        <v>0</v>
      </c>
    </row>
    <row r="451" spans="1:29" s="426" customFormat="1">
      <c r="A451" s="830" t="s">
        <v>13</v>
      </c>
      <c r="B451" s="746"/>
      <c r="C451" s="702">
        <v>19000</v>
      </c>
      <c r="D451" s="702">
        <v>19000</v>
      </c>
      <c r="E451" s="702">
        <v>19000</v>
      </c>
      <c r="F451" s="702">
        <v>19000</v>
      </c>
      <c r="G451" s="702">
        <v>19000</v>
      </c>
      <c r="H451" s="702">
        <v>19000</v>
      </c>
      <c r="I451" s="702">
        <v>19000</v>
      </c>
      <c r="J451" s="702">
        <v>19000</v>
      </c>
      <c r="K451" s="702">
        <v>19000</v>
      </c>
      <c r="L451" s="702">
        <v>19000</v>
      </c>
      <c r="M451" s="702">
        <v>0</v>
      </c>
      <c r="N451" s="702">
        <v>0</v>
      </c>
      <c r="O451" s="702">
        <v>0</v>
      </c>
      <c r="P451" s="702">
        <v>0</v>
      </c>
      <c r="Q451" s="702">
        <v>0</v>
      </c>
      <c r="R451" s="702">
        <v>0</v>
      </c>
      <c r="S451" s="702">
        <v>0</v>
      </c>
      <c r="T451" s="702">
        <v>0</v>
      </c>
      <c r="U451" s="702">
        <v>0</v>
      </c>
      <c r="V451" s="702">
        <v>0</v>
      </c>
      <c r="W451" s="702">
        <v>0</v>
      </c>
      <c r="X451" s="702">
        <v>0</v>
      </c>
      <c r="Y451" s="702">
        <v>0</v>
      </c>
      <c r="Z451" s="702">
        <v>0</v>
      </c>
      <c r="AA451" s="702">
        <v>0</v>
      </c>
      <c r="AB451" s="702">
        <v>0</v>
      </c>
      <c r="AC451" s="702">
        <v>0</v>
      </c>
    </row>
    <row r="452" spans="1:29" s="426" customFormat="1">
      <c r="A452" s="825" t="s">
        <v>231</v>
      </c>
      <c r="B452" s="746" t="s">
        <v>316</v>
      </c>
      <c r="C452" s="875">
        <v>0</v>
      </c>
      <c r="D452" s="875">
        <v>0</v>
      </c>
      <c r="E452" s="875">
        <v>0</v>
      </c>
      <c r="F452" s="875">
        <v>0</v>
      </c>
      <c r="G452" s="875">
        <v>0</v>
      </c>
      <c r="H452" s="875">
        <v>0</v>
      </c>
      <c r="I452" s="875">
        <v>0</v>
      </c>
      <c r="J452" s="875">
        <v>0</v>
      </c>
      <c r="K452" s="875">
        <v>0</v>
      </c>
      <c r="L452" s="875">
        <v>0</v>
      </c>
      <c r="M452" s="875">
        <v>0</v>
      </c>
      <c r="N452" s="875">
        <v>0</v>
      </c>
      <c r="O452" s="875">
        <v>0</v>
      </c>
      <c r="P452" s="875">
        <v>0</v>
      </c>
      <c r="Q452" s="875">
        <v>0</v>
      </c>
      <c r="R452" s="875">
        <v>0</v>
      </c>
      <c r="S452" s="875">
        <v>0</v>
      </c>
      <c r="T452" s="875">
        <v>0</v>
      </c>
      <c r="U452" s="875">
        <v>0</v>
      </c>
      <c r="V452" s="875">
        <v>0</v>
      </c>
      <c r="W452" s="875">
        <v>0</v>
      </c>
      <c r="X452" s="875">
        <v>0</v>
      </c>
      <c r="Y452" s="875">
        <v>0</v>
      </c>
      <c r="Z452" s="875">
        <v>0</v>
      </c>
      <c r="AA452" s="875">
        <v>0</v>
      </c>
      <c r="AB452" s="875">
        <v>0</v>
      </c>
      <c r="AC452" s="875">
        <v>0</v>
      </c>
    </row>
    <row r="453" spans="1:29" s="426" customFormat="1">
      <c r="A453" s="830" t="s">
        <v>13</v>
      </c>
      <c r="B453" s="746"/>
      <c r="C453" s="702">
        <v>0</v>
      </c>
      <c r="D453" s="702">
        <v>0</v>
      </c>
      <c r="E453" s="702">
        <v>0</v>
      </c>
      <c r="F453" s="702">
        <v>0</v>
      </c>
      <c r="G453" s="702">
        <v>0</v>
      </c>
      <c r="H453" s="702">
        <v>0</v>
      </c>
      <c r="I453" s="702">
        <v>0</v>
      </c>
      <c r="J453" s="702">
        <v>0</v>
      </c>
      <c r="K453" s="702">
        <v>0</v>
      </c>
      <c r="L453" s="702">
        <v>0</v>
      </c>
      <c r="M453" s="702">
        <v>0</v>
      </c>
      <c r="N453" s="702">
        <v>0</v>
      </c>
      <c r="O453" s="702">
        <v>0</v>
      </c>
      <c r="P453" s="702">
        <v>0</v>
      </c>
      <c r="Q453" s="702">
        <v>0</v>
      </c>
      <c r="R453" s="702">
        <v>0</v>
      </c>
      <c r="S453" s="702">
        <v>0</v>
      </c>
      <c r="T453" s="702">
        <v>0</v>
      </c>
      <c r="U453" s="702">
        <v>0</v>
      </c>
      <c r="V453" s="702">
        <v>0</v>
      </c>
      <c r="W453" s="702">
        <v>0</v>
      </c>
      <c r="X453" s="702">
        <v>0</v>
      </c>
      <c r="Y453" s="702">
        <v>0</v>
      </c>
      <c r="Z453" s="702">
        <v>0</v>
      </c>
      <c r="AA453" s="702">
        <v>0</v>
      </c>
      <c r="AB453" s="702">
        <v>0</v>
      </c>
      <c r="AC453" s="702">
        <v>0</v>
      </c>
    </row>
    <row r="454" spans="1:29" s="426" customFormat="1">
      <c r="A454" s="825" t="s">
        <v>232</v>
      </c>
      <c r="B454" s="746" t="s">
        <v>317</v>
      </c>
      <c r="C454" s="875">
        <v>0</v>
      </c>
      <c r="D454" s="875">
        <v>0</v>
      </c>
      <c r="E454" s="875">
        <v>0</v>
      </c>
      <c r="F454" s="875">
        <v>0</v>
      </c>
      <c r="G454" s="875">
        <v>0</v>
      </c>
      <c r="H454" s="875">
        <v>0</v>
      </c>
      <c r="I454" s="875">
        <v>0</v>
      </c>
      <c r="J454" s="875">
        <v>0</v>
      </c>
      <c r="K454" s="875">
        <v>0</v>
      </c>
      <c r="L454" s="875">
        <v>12000</v>
      </c>
      <c r="M454" s="875">
        <v>0</v>
      </c>
      <c r="N454" s="875">
        <v>0</v>
      </c>
      <c r="O454" s="875">
        <v>0</v>
      </c>
      <c r="P454" s="875">
        <v>0</v>
      </c>
      <c r="Q454" s="875">
        <v>0</v>
      </c>
      <c r="R454" s="875">
        <v>0</v>
      </c>
      <c r="S454" s="875">
        <v>0</v>
      </c>
      <c r="T454" s="875">
        <v>0</v>
      </c>
      <c r="U454" s="875">
        <v>0</v>
      </c>
      <c r="V454" s="875">
        <v>0</v>
      </c>
      <c r="W454" s="875">
        <v>0</v>
      </c>
      <c r="X454" s="875">
        <v>0</v>
      </c>
      <c r="Y454" s="875">
        <v>0</v>
      </c>
      <c r="Z454" s="875">
        <v>0</v>
      </c>
      <c r="AA454" s="875">
        <v>0</v>
      </c>
      <c r="AB454" s="875">
        <v>0</v>
      </c>
      <c r="AC454" s="875">
        <v>0</v>
      </c>
    </row>
    <row r="455" spans="1:29" s="426" customFormat="1">
      <c r="A455" s="830" t="s">
        <v>13</v>
      </c>
      <c r="B455" s="746"/>
      <c r="C455" s="702">
        <v>12000</v>
      </c>
      <c r="D455" s="702">
        <v>12000</v>
      </c>
      <c r="E455" s="702">
        <v>12000</v>
      </c>
      <c r="F455" s="702">
        <v>12000</v>
      </c>
      <c r="G455" s="702">
        <v>12000</v>
      </c>
      <c r="H455" s="702">
        <v>12000</v>
      </c>
      <c r="I455" s="702">
        <v>12000</v>
      </c>
      <c r="J455" s="702">
        <v>12000</v>
      </c>
      <c r="K455" s="702">
        <v>12000</v>
      </c>
      <c r="L455" s="702">
        <v>12000</v>
      </c>
      <c r="M455" s="702">
        <v>0</v>
      </c>
      <c r="N455" s="702">
        <v>0</v>
      </c>
      <c r="O455" s="702">
        <v>0</v>
      </c>
      <c r="P455" s="702">
        <v>0</v>
      </c>
      <c r="Q455" s="702">
        <v>0</v>
      </c>
      <c r="R455" s="702">
        <v>0</v>
      </c>
      <c r="S455" s="702">
        <v>0</v>
      </c>
      <c r="T455" s="702">
        <v>0</v>
      </c>
      <c r="U455" s="702">
        <v>0</v>
      </c>
      <c r="V455" s="702">
        <v>0</v>
      </c>
      <c r="W455" s="702">
        <v>0</v>
      </c>
      <c r="X455" s="702">
        <v>0</v>
      </c>
      <c r="Y455" s="702">
        <v>0</v>
      </c>
      <c r="Z455" s="702">
        <v>0</v>
      </c>
      <c r="AA455" s="702">
        <v>0</v>
      </c>
      <c r="AB455" s="702">
        <v>0</v>
      </c>
      <c r="AC455" s="702">
        <v>0</v>
      </c>
    </row>
    <row r="456" spans="1:29" s="426" customFormat="1">
      <c r="A456" s="825" t="s">
        <v>233</v>
      </c>
      <c r="B456" s="746" t="s">
        <v>318</v>
      </c>
      <c r="C456" s="875">
        <v>0</v>
      </c>
      <c r="D456" s="875">
        <v>0</v>
      </c>
      <c r="E456" s="875">
        <v>0</v>
      </c>
      <c r="F456" s="875">
        <v>0</v>
      </c>
      <c r="G456" s="875">
        <v>0</v>
      </c>
      <c r="H456" s="875">
        <v>0</v>
      </c>
      <c r="I456" s="875">
        <v>0</v>
      </c>
      <c r="J456" s="875">
        <v>0</v>
      </c>
      <c r="K456" s="875">
        <v>0</v>
      </c>
      <c r="L456" s="875">
        <v>0</v>
      </c>
      <c r="M456" s="875">
        <v>0</v>
      </c>
      <c r="N456" s="875">
        <v>0</v>
      </c>
      <c r="O456" s="875">
        <v>0</v>
      </c>
      <c r="P456" s="875">
        <v>0</v>
      </c>
      <c r="Q456" s="875">
        <v>0</v>
      </c>
      <c r="R456" s="875">
        <v>0</v>
      </c>
      <c r="S456" s="875">
        <v>0</v>
      </c>
      <c r="T456" s="875">
        <v>0</v>
      </c>
      <c r="U456" s="875">
        <v>0</v>
      </c>
      <c r="V456" s="875">
        <v>0</v>
      </c>
      <c r="W456" s="875">
        <v>0</v>
      </c>
      <c r="X456" s="875">
        <v>0</v>
      </c>
      <c r="Y456" s="875">
        <v>0</v>
      </c>
      <c r="Z456" s="875">
        <v>0</v>
      </c>
      <c r="AA456" s="875">
        <v>0</v>
      </c>
      <c r="AB456" s="875">
        <v>0</v>
      </c>
      <c r="AC456" s="875">
        <v>0</v>
      </c>
    </row>
    <row r="457" spans="1:29" s="426" customFormat="1">
      <c r="A457" s="830" t="s">
        <v>13</v>
      </c>
      <c r="B457" s="746"/>
      <c r="C457" s="702">
        <v>0</v>
      </c>
      <c r="D457" s="702">
        <v>0</v>
      </c>
      <c r="E457" s="702">
        <v>0</v>
      </c>
      <c r="F457" s="702">
        <v>0</v>
      </c>
      <c r="G457" s="702">
        <v>0</v>
      </c>
      <c r="H457" s="702">
        <v>0</v>
      </c>
      <c r="I457" s="702">
        <v>0</v>
      </c>
      <c r="J457" s="702">
        <v>0</v>
      </c>
      <c r="K457" s="702">
        <v>0</v>
      </c>
      <c r="L457" s="702">
        <v>0</v>
      </c>
      <c r="M457" s="702">
        <v>0</v>
      </c>
      <c r="N457" s="702">
        <v>0</v>
      </c>
      <c r="O457" s="702">
        <v>0</v>
      </c>
      <c r="P457" s="702">
        <v>0</v>
      </c>
      <c r="Q457" s="702">
        <v>0</v>
      </c>
      <c r="R457" s="702">
        <v>0</v>
      </c>
      <c r="S457" s="702">
        <v>0</v>
      </c>
      <c r="T457" s="702">
        <v>0</v>
      </c>
      <c r="U457" s="702">
        <v>0</v>
      </c>
      <c r="V457" s="702">
        <v>0</v>
      </c>
      <c r="W457" s="702">
        <v>0</v>
      </c>
      <c r="X457" s="702">
        <v>0</v>
      </c>
      <c r="Y457" s="702">
        <v>0</v>
      </c>
      <c r="Z457" s="702">
        <v>0</v>
      </c>
      <c r="AA457" s="702">
        <v>0</v>
      </c>
      <c r="AB457" s="702">
        <v>0</v>
      </c>
      <c r="AC457" s="702">
        <v>0</v>
      </c>
    </row>
    <row r="458" spans="1:29" s="426" customFormat="1">
      <c r="A458" s="825" t="s">
        <v>234</v>
      </c>
      <c r="B458" s="746" t="s">
        <v>319</v>
      </c>
      <c r="C458" s="875">
        <v>0</v>
      </c>
      <c r="D458" s="875">
        <v>0</v>
      </c>
      <c r="E458" s="875">
        <v>0</v>
      </c>
      <c r="F458" s="875">
        <v>0</v>
      </c>
      <c r="G458" s="875">
        <v>0</v>
      </c>
      <c r="H458" s="875">
        <v>0</v>
      </c>
      <c r="I458" s="875">
        <v>0</v>
      </c>
      <c r="J458" s="875">
        <v>0</v>
      </c>
      <c r="K458" s="875">
        <v>0</v>
      </c>
      <c r="L458" s="875">
        <v>0</v>
      </c>
      <c r="M458" s="875">
        <v>0</v>
      </c>
      <c r="N458" s="875">
        <v>0</v>
      </c>
      <c r="O458" s="875">
        <v>0</v>
      </c>
      <c r="P458" s="875">
        <v>0</v>
      </c>
      <c r="Q458" s="875">
        <v>0</v>
      </c>
      <c r="R458" s="875">
        <v>0</v>
      </c>
      <c r="S458" s="875">
        <v>0</v>
      </c>
      <c r="T458" s="875">
        <v>0</v>
      </c>
      <c r="U458" s="875">
        <v>0</v>
      </c>
      <c r="V458" s="875">
        <v>0</v>
      </c>
      <c r="W458" s="875">
        <v>0</v>
      </c>
      <c r="X458" s="875">
        <v>0</v>
      </c>
      <c r="Y458" s="875">
        <v>0</v>
      </c>
      <c r="Z458" s="875">
        <v>0</v>
      </c>
      <c r="AA458" s="875">
        <v>0</v>
      </c>
      <c r="AB458" s="875">
        <v>0</v>
      </c>
      <c r="AC458" s="875">
        <v>0</v>
      </c>
    </row>
    <row r="459" spans="1:29" s="426" customFormat="1">
      <c r="A459" s="830" t="s">
        <v>13</v>
      </c>
      <c r="B459" s="746"/>
      <c r="C459" s="702">
        <v>0</v>
      </c>
      <c r="D459" s="702">
        <v>0</v>
      </c>
      <c r="E459" s="702">
        <v>0</v>
      </c>
      <c r="F459" s="702">
        <v>0</v>
      </c>
      <c r="G459" s="702">
        <v>0</v>
      </c>
      <c r="H459" s="702">
        <v>0</v>
      </c>
      <c r="I459" s="702">
        <v>0</v>
      </c>
      <c r="J459" s="702">
        <v>0</v>
      </c>
      <c r="K459" s="702">
        <v>0</v>
      </c>
      <c r="L459" s="702">
        <v>0</v>
      </c>
      <c r="M459" s="702">
        <v>0</v>
      </c>
      <c r="N459" s="702">
        <v>0</v>
      </c>
      <c r="O459" s="702">
        <v>0</v>
      </c>
      <c r="P459" s="702">
        <v>0</v>
      </c>
      <c r="Q459" s="702">
        <v>0</v>
      </c>
      <c r="R459" s="702">
        <v>0</v>
      </c>
      <c r="S459" s="702">
        <v>0</v>
      </c>
      <c r="T459" s="702">
        <v>0</v>
      </c>
      <c r="U459" s="702">
        <v>0</v>
      </c>
      <c r="V459" s="702">
        <v>0</v>
      </c>
      <c r="W459" s="702">
        <v>0</v>
      </c>
      <c r="X459" s="702">
        <v>0</v>
      </c>
      <c r="Y459" s="702">
        <v>0</v>
      </c>
      <c r="Z459" s="702">
        <v>0</v>
      </c>
      <c r="AA459" s="702">
        <v>0</v>
      </c>
      <c r="AB459" s="702">
        <v>0</v>
      </c>
      <c r="AC459" s="702">
        <v>0</v>
      </c>
    </row>
    <row r="460" spans="1:29" s="426" customFormat="1">
      <c r="A460" s="825" t="s">
        <v>235</v>
      </c>
      <c r="B460" s="746" t="s">
        <v>320</v>
      </c>
      <c r="C460" s="875">
        <v>0</v>
      </c>
      <c r="D460" s="875">
        <v>0</v>
      </c>
      <c r="E460" s="875">
        <v>0</v>
      </c>
      <c r="F460" s="875">
        <v>0</v>
      </c>
      <c r="G460" s="875">
        <v>0</v>
      </c>
      <c r="H460" s="875">
        <v>0</v>
      </c>
      <c r="I460" s="875">
        <v>0</v>
      </c>
      <c r="J460" s="875">
        <v>0</v>
      </c>
      <c r="K460" s="875">
        <v>0</v>
      </c>
      <c r="L460" s="875">
        <v>0</v>
      </c>
      <c r="M460" s="875">
        <v>0</v>
      </c>
      <c r="N460" s="875">
        <v>0</v>
      </c>
      <c r="O460" s="875">
        <v>0</v>
      </c>
      <c r="P460" s="875">
        <v>0</v>
      </c>
      <c r="Q460" s="875">
        <v>0</v>
      </c>
      <c r="R460" s="875">
        <v>0</v>
      </c>
      <c r="S460" s="875">
        <v>0</v>
      </c>
      <c r="T460" s="875">
        <v>0</v>
      </c>
      <c r="U460" s="875">
        <v>0</v>
      </c>
      <c r="V460" s="875">
        <v>0</v>
      </c>
      <c r="W460" s="875">
        <v>0</v>
      </c>
      <c r="X460" s="875">
        <v>0</v>
      </c>
      <c r="Y460" s="875">
        <v>0</v>
      </c>
      <c r="Z460" s="875">
        <v>0</v>
      </c>
      <c r="AA460" s="875">
        <v>0</v>
      </c>
      <c r="AB460" s="875">
        <v>0</v>
      </c>
      <c r="AC460" s="875">
        <v>0</v>
      </c>
    </row>
    <row r="461" spans="1:29" s="426" customFormat="1">
      <c r="A461" s="830" t="s">
        <v>13</v>
      </c>
      <c r="B461" s="746"/>
      <c r="C461" s="702">
        <v>0</v>
      </c>
      <c r="D461" s="702">
        <v>0</v>
      </c>
      <c r="E461" s="702">
        <v>0</v>
      </c>
      <c r="F461" s="702">
        <v>0</v>
      </c>
      <c r="G461" s="702">
        <v>0</v>
      </c>
      <c r="H461" s="702">
        <v>0</v>
      </c>
      <c r="I461" s="702">
        <v>0</v>
      </c>
      <c r="J461" s="702">
        <v>0</v>
      </c>
      <c r="K461" s="702">
        <v>0</v>
      </c>
      <c r="L461" s="702">
        <v>0</v>
      </c>
      <c r="M461" s="702">
        <v>0</v>
      </c>
      <c r="N461" s="702">
        <v>0</v>
      </c>
      <c r="O461" s="702">
        <v>0</v>
      </c>
      <c r="P461" s="702">
        <v>0</v>
      </c>
      <c r="Q461" s="702">
        <v>0</v>
      </c>
      <c r="R461" s="702">
        <v>0</v>
      </c>
      <c r="S461" s="702">
        <v>0</v>
      </c>
      <c r="T461" s="702">
        <v>0</v>
      </c>
      <c r="U461" s="702">
        <v>0</v>
      </c>
      <c r="V461" s="702">
        <v>0</v>
      </c>
      <c r="W461" s="702">
        <v>0</v>
      </c>
      <c r="X461" s="702">
        <v>0</v>
      </c>
      <c r="Y461" s="702">
        <v>0</v>
      </c>
      <c r="Z461" s="702">
        <v>0</v>
      </c>
      <c r="AA461" s="702">
        <v>0</v>
      </c>
      <c r="AB461" s="702">
        <v>0</v>
      </c>
      <c r="AC461" s="702">
        <v>0</v>
      </c>
    </row>
    <row r="462" spans="1:29" s="426" customFormat="1">
      <c r="A462" s="825" t="s">
        <v>236</v>
      </c>
      <c r="B462" s="746" t="s">
        <v>321</v>
      </c>
      <c r="C462" s="875">
        <v>0</v>
      </c>
      <c r="D462" s="875">
        <v>0</v>
      </c>
      <c r="E462" s="875">
        <v>0</v>
      </c>
      <c r="F462" s="875">
        <v>0</v>
      </c>
      <c r="G462" s="875">
        <v>0</v>
      </c>
      <c r="H462" s="875">
        <v>0</v>
      </c>
      <c r="I462" s="875">
        <v>0</v>
      </c>
      <c r="J462" s="875">
        <v>0</v>
      </c>
      <c r="K462" s="875">
        <v>0</v>
      </c>
      <c r="L462" s="875">
        <v>0</v>
      </c>
      <c r="M462" s="875">
        <v>0</v>
      </c>
      <c r="N462" s="875">
        <v>0</v>
      </c>
      <c r="O462" s="875">
        <v>0</v>
      </c>
      <c r="P462" s="875">
        <v>0</v>
      </c>
      <c r="Q462" s="875">
        <v>0</v>
      </c>
      <c r="R462" s="875">
        <v>0</v>
      </c>
      <c r="S462" s="875">
        <v>0</v>
      </c>
      <c r="T462" s="875">
        <v>0</v>
      </c>
      <c r="U462" s="875">
        <v>0</v>
      </c>
      <c r="V462" s="875">
        <v>0</v>
      </c>
      <c r="W462" s="875">
        <v>0</v>
      </c>
      <c r="X462" s="875">
        <v>0</v>
      </c>
      <c r="Y462" s="875">
        <v>0</v>
      </c>
      <c r="Z462" s="875">
        <v>0</v>
      </c>
      <c r="AA462" s="875">
        <v>0</v>
      </c>
      <c r="AB462" s="875">
        <v>0</v>
      </c>
      <c r="AC462" s="875">
        <v>0</v>
      </c>
    </row>
    <row r="463" spans="1:29" s="426" customFormat="1">
      <c r="A463" s="830" t="s">
        <v>13</v>
      </c>
      <c r="B463" s="746"/>
      <c r="C463" s="702">
        <v>0</v>
      </c>
      <c r="D463" s="702">
        <v>0</v>
      </c>
      <c r="E463" s="702">
        <v>0</v>
      </c>
      <c r="F463" s="702">
        <v>0</v>
      </c>
      <c r="G463" s="702">
        <v>0</v>
      </c>
      <c r="H463" s="702">
        <v>0</v>
      </c>
      <c r="I463" s="702">
        <v>0</v>
      </c>
      <c r="J463" s="702">
        <v>0</v>
      </c>
      <c r="K463" s="702">
        <v>0</v>
      </c>
      <c r="L463" s="702">
        <v>0</v>
      </c>
      <c r="M463" s="702">
        <v>0</v>
      </c>
      <c r="N463" s="702">
        <v>0</v>
      </c>
      <c r="O463" s="702">
        <v>0</v>
      </c>
      <c r="P463" s="702">
        <v>0</v>
      </c>
      <c r="Q463" s="702">
        <v>0</v>
      </c>
      <c r="R463" s="702">
        <v>0</v>
      </c>
      <c r="S463" s="702">
        <v>0</v>
      </c>
      <c r="T463" s="702">
        <v>0</v>
      </c>
      <c r="U463" s="702">
        <v>0</v>
      </c>
      <c r="V463" s="702">
        <v>0</v>
      </c>
      <c r="W463" s="702">
        <v>0</v>
      </c>
      <c r="X463" s="702">
        <v>0</v>
      </c>
      <c r="Y463" s="702">
        <v>0</v>
      </c>
      <c r="Z463" s="702">
        <v>0</v>
      </c>
      <c r="AA463" s="702">
        <v>0</v>
      </c>
      <c r="AB463" s="702">
        <v>0</v>
      </c>
      <c r="AC463" s="702">
        <v>0</v>
      </c>
    </row>
    <row r="464" spans="1:29">
      <c r="A464" s="825" t="s">
        <v>151</v>
      </c>
      <c r="B464" s="746"/>
      <c r="C464" s="875">
        <v>0</v>
      </c>
      <c r="D464" s="875">
        <v>0</v>
      </c>
      <c r="E464" s="875">
        <v>0</v>
      </c>
      <c r="F464" s="875">
        <v>0</v>
      </c>
      <c r="G464" s="875">
        <v>0</v>
      </c>
      <c r="H464" s="875">
        <v>0</v>
      </c>
      <c r="I464" s="875">
        <v>0</v>
      </c>
      <c r="J464" s="875">
        <v>0</v>
      </c>
      <c r="K464" s="875">
        <v>0</v>
      </c>
      <c r="L464" s="875">
        <v>31000</v>
      </c>
      <c r="M464" s="875">
        <v>33430</v>
      </c>
      <c r="N464" s="875">
        <v>0</v>
      </c>
      <c r="O464" s="875">
        <v>0</v>
      </c>
      <c r="P464" s="875">
        <v>0</v>
      </c>
      <c r="Q464" s="875">
        <v>0</v>
      </c>
      <c r="R464" s="875">
        <v>0</v>
      </c>
      <c r="S464" s="875">
        <v>0</v>
      </c>
      <c r="T464" s="875">
        <v>0</v>
      </c>
      <c r="U464" s="875">
        <v>0</v>
      </c>
      <c r="V464" s="875">
        <v>0</v>
      </c>
      <c r="W464" s="875">
        <v>0</v>
      </c>
      <c r="X464" s="875">
        <v>0</v>
      </c>
      <c r="Y464" s="875">
        <v>0</v>
      </c>
      <c r="Z464" s="875">
        <v>0</v>
      </c>
      <c r="AA464" s="875">
        <v>0</v>
      </c>
      <c r="AB464" s="875">
        <v>0</v>
      </c>
      <c r="AC464" s="875">
        <v>0</v>
      </c>
    </row>
    <row r="465" spans="1:29" s="426" customFormat="1">
      <c r="A465" s="831" t="s">
        <v>13</v>
      </c>
      <c r="B465" s="792"/>
      <c r="C465" s="702">
        <v>64430</v>
      </c>
      <c r="D465" s="702">
        <v>64430</v>
      </c>
      <c r="E465" s="702">
        <v>64430</v>
      </c>
      <c r="F465" s="702">
        <v>64430</v>
      </c>
      <c r="G465" s="702">
        <v>64430</v>
      </c>
      <c r="H465" s="702">
        <v>64430</v>
      </c>
      <c r="I465" s="702">
        <v>64430</v>
      </c>
      <c r="J465" s="702">
        <v>64430</v>
      </c>
      <c r="K465" s="702">
        <v>64430</v>
      </c>
      <c r="L465" s="702">
        <v>64430</v>
      </c>
      <c r="M465" s="702">
        <v>33430</v>
      </c>
      <c r="N465" s="702">
        <v>0</v>
      </c>
      <c r="O465" s="702">
        <v>0</v>
      </c>
      <c r="P465" s="702">
        <v>0</v>
      </c>
      <c r="Q465" s="702">
        <v>0</v>
      </c>
      <c r="R465" s="702">
        <v>0</v>
      </c>
      <c r="S465" s="702">
        <v>0</v>
      </c>
      <c r="T465" s="702">
        <v>0</v>
      </c>
      <c r="U465" s="702">
        <v>0</v>
      </c>
      <c r="V465" s="702">
        <v>0</v>
      </c>
      <c r="W465" s="702">
        <v>0</v>
      </c>
      <c r="X465" s="702">
        <v>0</v>
      </c>
      <c r="Y465" s="702">
        <v>0</v>
      </c>
      <c r="Z465" s="702">
        <v>0</v>
      </c>
      <c r="AA465" s="702">
        <v>0</v>
      </c>
      <c r="AB465" s="702">
        <v>0</v>
      </c>
      <c r="AC465" s="702">
        <v>0</v>
      </c>
    </row>
    <row r="466" spans="1:29">
      <c r="A466" s="1"/>
      <c r="B466" s="748"/>
      <c r="C466" s="890"/>
      <c r="D466" s="890"/>
      <c r="E466" s="890"/>
      <c r="F466" s="890"/>
      <c r="G466" s="890"/>
      <c r="H466" s="890"/>
      <c r="I466" s="890"/>
      <c r="J466" s="890"/>
      <c r="K466" s="890"/>
      <c r="L466" s="890"/>
      <c r="M466" s="890"/>
      <c r="N466" s="890"/>
      <c r="O466" s="890"/>
      <c r="P466" s="890"/>
      <c r="Q466" s="890"/>
      <c r="R466" s="890"/>
      <c r="S466" s="890"/>
      <c r="T466" s="890"/>
      <c r="U466" s="890"/>
      <c r="V466" s="890"/>
      <c r="W466" s="890"/>
      <c r="X466" s="890"/>
      <c r="Y466" s="890"/>
      <c r="Z466" s="890"/>
      <c r="AA466" s="890"/>
      <c r="AB466" s="890"/>
      <c r="AC466" s="890"/>
    </row>
    <row r="467" spans="1:29" s="426" customFormat="1">
      <c r="A467" s="29" t="s">
        <v>156</v>
      </c>
      <c r="B467" s="748"/>
      <c r="C467" s="891"/>
      <c r="D467" s="891"/>
      <c r="E467" s="891"/>
      <c r="F467" s="891"/>
      <c r="G467" s="891"/>
      <c r="H467" s="891"/>
      <c r="I467" s="891"/>
      <c r="J467" s="891"/>
      <c r="K467" s="891"/>
      <c r="L467" s="891"/>
      <c r="M467" s="891"/>
      <c r="N467" s="891"/>
      <c r="O467" s="891"/>
      <c r="P467" s="891"/>
      <c r="Q467" s="891"/>
      <c r="R467" s="891"/>
      <c r="S467" s="891"/>
      <c r="T467" s="891"/>
      <c r="U467" s="891"/>
      <c r="V467" s="891"/>
      <c r="W467" s="891"/>
      <c r="X467" s="891"/>
      <c r="Y467" s="891"/>
      <c r="Z467" s="891"/>
      <c r="AA467" s="891"/>
      <c r="AB467" s="891"/>
      <c r="AC467" s="891"/>
    </row>
    <row r="468" spans="1:29">
      <c r="A468" s="28" t="s">
        <v>157</v>
      </c>
      <c r="B468" s="746"/>
      <c r="C468" s="875"/>
      <c r="D468" s="875"/>
      <c r="E468" s="875"/>
      <c r="F468" s="875"/>
      <c r="G468" s="875"/>
      <c r="H468" s="875"/>
      <c r="I468" s="875"/>
      <c r="J468" s="875"/>
      <c r="K468" s="875"/>
      <c r="L468" s="875"/>
      <c r="M468" s="875"/>
      <c r="N468" s="875"/>
      <c r="O468" s="875"/>
      <c r="P468" s="875"/>
      <c r="Q468" s="875"/>
      <c r="R468" s="875"/>
      <c r="S468" s="875"/>
      <c r="T468" s="875"/>
      <c r="U468" s="875"/>
      <c r="V468" s="875"/>
      <c r="W468" s="875"/>
      <c r="X468" s="875"/>
      <c r="Y468" s="875"/>
      <c r="Z468" s="875"/>
      <c r="AA468" s="875"/>
      <c r="AB468" s="875"/>
      <c r="AC468" s="875"/>
    </row>
    <row r="469" spans="1:29">
      <c r="A469" s="28" t="s">
        <v>158</v>
      </c>
      <c r="B469" s="746" t="s">
        <v>322</v>
      </c>
      <c r="C469" s="875">
        <v>0</v>
      </c>
      <c r="D469" s="875">
        <v>0</v>
      </c>
      <c r="E469" s="875">
        <v>0</v>
      </c>
      <c r="F469" s="875">
        <v>0</v>
      </c>
      <c r="G469" s="875">
        <v>0</v>
      </c>
      <c r="H469" s="875">
        <v>0</v>
      </c>
      <c r="I469" s="875">
        <v>0</v>
      </c>
      <c r="J469" s="875">
        <v>0</v>
      </c>
      <c r="K469" s="875">
        <v>0</v>
      </c>
      <c r="L469" s="875">
        <v>0</v>
      </c>
      <c r="M469" s="875">
        <v>0</v>
      </c>
      <c r="N469" s="875">
        <v>0</v>
      </c>
      <c r="O469" s="875">
        <v>0</v>
      </c>
      <c r="P469" s="875">
        <v>0</v>
      </c>
      <c r="Q469" s="875">
        <v>0</v>
      </c>
      <c r="R469" s="875">
        <v>0</v>
      </c>
      <c r="S469" s="875">
        <v>0</v>
      </c>
      <c r="T469" s="875">
        <v>3891000</v>
      </c>
      <c r="U469" s="875">
        <v>0</v>
      </c>
      <c r="V469" s="875">
        <v>0</v>
      </c>
      <c r="W469" s="875">
        <v>0</v>
      </c>
      <c r="X469" s="875">
        <v>0</v>
      </c>
      <c r="Y469" s="875">
        <v>0</v>
      </c>
      <c r="Z469" s="875">
        <v>0</v>
      </c>
      <c r="AA469" s="875">
        <v>0</v>
      </c>
      <c r="AB469" s="875">
        <v>0</v>
      </c>
      <c r="AC469" s="875">
        <v>0</v>
      </c>
    </row>
    <row r="470" spans="1:29" s="712" customFormat="1">
      <c r="A470" s="829" t="s">
        <v>13</v>
      </c>
      <c r="B470" s="780"/>
      <c r="C470" s="702">
        <v>3891000</v>
      </c>
      <c r="D470" s="702">
        <v>3891000</v>
      </c>
      <c r="E470" s="702">
        <v>3891000</v>
      </c>
      <c r="F470" s="702">
        <v>3891000</v>
      </c>
      <c r="G470" s="702">
        <v>3891000</v>
      </c>
      <c r="H470" s="702">
        <v>3891000</v>
      </c>
      <c r="I470" s="702">
        <v>3891000</v>
      </c>
      <c r="J470" s="702">
        <v>3891000</v>
      </c>
      <c r="K470" s="702">
        <v>3891000</v>
      </c>
      <c r="L470" s="702">
        <v>3891000</v>
      </c>
      <c r="M470" s="702">
        <v>3891000</v>
      </c>
      <c r="N470" s="702">
        <v>3891000</v>
      </c>
      <c r="O470" s="702">
        <v>3891000</v>
      </c>
      <c r="P470" s="702">
        <v>3891000</v>
      </c>
      <c r="Q470" s="702">
        <v>3891000</v>
      </c>
      <c r="R470" s="702">
        <v>3891000</v>
      </c>
      <c r="S470" s="702">
        <v>3891000</v>
      </c>
      <c r="T470" s="702">
        <v>3891000</v>
      </c>
      <c r="U470" s="702">
        <v>0</v>
      </c>
      <c r="V470" s="702">
        <v>0</v>
      </c>
      <c r="W470" s="702">
        <v>0</v>
      </c>
      <c r="X470" s="702">
        <v>0</v>
      </c>
      <c r="Y470" s="702">
        <v>0</v>
      </c>
      <c r="Z470" s="702">
        <v>0</v>
      </c>
      <c r="AA470" s="702">
        <v>0</v>
      </c>
      <c r="AB470" s="702">
        <v>0</v>
      </c>
      <c r="AC470" s="702">
        <v>0</v>
      </c>
    </row>
    <row r="471" spans="1:29">
      <c r="A471" s="28" t="s">
        <v>159</v>
      </c>
      <c r="B471" s="746" t="s">
        <v>323</v>
      </c>
      <c r="C471" s="875">
        <v>0</v>
      </c>
      <c r="D471" s="875">
        <v>0</v>
      </c>
      <c r="E471" s="875">
        <v>0</v>
      </c>
      <c r="F471" s="875">
        <v>0</v>
      </c>
      <c r="G471" s="875">
        <v>0</v>
      </c>
      <c r="H471" s="875">
        <v>0</v>
      </c>
      <c r="I471" s="875">
        <v>0</v>
      </c>
      <c r="J471" s="875">
        <v>0</v>
      </c>
      <c r="K471" s="875">
        <v>0</v>
      </c>
      <c r="L471" s="875">
        <v>0</v>
      </c>
      <c r="M471" s="875">
        <v>0</v>
      </c>
      <c r="N471" s="875">
        <v>0</v>
      </c>
      <c r="O471" s="875">
        <v>0</v>
      </c>
      <c r="P471" s="875">
        <v>0</v>
      </c>
      <c r="Q471" s="875">
        <v>0</v>
      </c>
      <c r="R471" s="875">
        <v>0</v>
      </c>
      <c r="S471" s="875">
        <v>0</v>
      </c>
      <c r="T471" s="875">
        <v>0</v>
      </c>
      <c r="U471" s="875">
        <v>0</v>
      </c>
      <c r="V471" s="875">
        <v>0</v>
      </c>
      <c r="W471" s="875">
        <v>0</v>
      </c>
      <c r="X471" s="875">
        <v>0</v>
      </c>
      <c r="Y471" s="875">
        <v>0</v>
      </c>
      <c r="Z471" s="875">
        <v>0</v>
      </c>
      <c r="AA471" s="875">
        <v>0</v>
      </c>
      <c r="AB471" s="875">
        <v>0</v>
      </c>
      <c r="AC471" s="875">
        <v>0</v>
      </c>
    </row>
    <row r="472" spans="1:29" s="712" customFormat="1">
      <c r="A472" s="829" t="s">
        <v>13</v>
      </c>
      <c r="B472" s="780"/>
      <c r="C472" s="702">
        <v>0</v>
      </c>
      <c r="D472" s="702">
        <v>0</v>
      </c>
      <c r="E472" s="702">
        <v>0</v>
      </c>
      <c r="F472" s="702">
        <v>0</v>
      </c>
      <c r="G472" s="702">
        <v>0</v>
      </c>
      <c r="H472" s="702">
        <v>0</v>
      </c>
      <c r="I472" s="702">
        <v>0</v>
      </c>
      <c r="J472" s="702">
        <v>0</v>
      </c>
      <c r="K472" s="702">
        <v>0</v>
      </c>
      <c r="L472" s="702">
        <v>0</v>
      </c>
      <c r="M472" s="702">
        <v>0</v>
      </c>
      <c r="N472" s="702">
        <v>0</v>
      </c>
      <c r="O472" s="702">
        <v>0</v>
      </c>
      <c r="P472" s="702">
        <v>0</v>
      </c>
      <c r="Q472" s="702">
        <v>0</v>
      </c>
      <c r="R472" s="702">
        <v>0</v>
      </c>
      <c r="S472" s="702">
        <v>0</v>
      </c>
      <c r="T472" s="702">
        <v>0</v>
      </c>
      <c r="U472" s="702">
        <v>0</v>
      </c>
      <c r="V472" s="702">
        <v>0</v>
      </c>
      <c r="W472" s="702">
        <v>0</v>
      </c>
      <c r="X472" s="702">
        <v>0</v>
      </c>
      <c r="Y472" s="702">
        <v>0</v>
      </c>
      <c r="Z472" s="702">
        <v>0</v>
      </c>
      <c r="AA472" s="702">
        <v>0</v>
      </c>
      <c r="AB472" s="702">
        <v>0</v>
      </c>
      <c r="AC472" s="702">
        <v>0</v>
      </c>
    </row>
    <row r="473" spans="1:29" s="265" customFormat="1">
      <c r="A473" s="820" t="s">
        <v>151</v>
      </c>
      <c r="B473" s="832"/>
      <c r="C473" s="875">
        <v>0</v>
      </c>
      <c r="D473" s="875">
        <v>0</v>
      </c>
      <c r="E473" s="875">
        <v>0</v>
      </c>
      <c r="F473" s="875">
        <v>0</v>
      </c>
      <c r="G473" s="875">
        <v>0</v>
      </c>
      <c r="H473" s="875">
        <v>0</v>
      </c>
      <c r="I473" s="875">
        <v>0</v>
      </c>
      <c r="J473" s="875">
        <v>0</v>
      </c>
      <c r="K473" s="875">
        <v>0</v>
      </c>
      <c r="L473" s="875">
        <v>0</v>
      </c>
      <c r="M473" s="875">
        <v>0</v>
      </c>
      <c r="N473" s="875">
        <v>0</v>
      </c>
      <c r="O473" s="875">
        <v>0</v>
      </c>
      <c r="P473" s="875">
        <v>0</v>
      </c>
      <c r="Q473" s="875">
        <v>0</v>
      </c>
      <c r="R473" s="875">
        <v>0</v>
      </c>
      <c r="S473" s="875">
        <v>0</v>
      </c>
      <c r="T473" s="875">
        <v>3891000</v>
      </c>
      <c r="U473" s="875">
        <v>0</v>
      </c>
      <c r="V473" s="875">
        <v>0</v>
      </c>
      <c r="W473" s="875">
        <v>0</v>
      </c>
      <c r="X473" s="875">
        <v>0</v>
      </c>
      <c r="Y473" s="875">
        <v>0</v>
      </c>
      <c r="Z473" s="875">
        <v>0</v>
      </c>
      <c r="AA473" s="875">
        <v>0</v>
      </c>
      <c r="AB473" s="875">
        <v>0</v>
      </c>
      <c r="AC473" s="875">
        <v>0</v>
      </c>
    </row>
    <row r="474" spans="1:29">
      <c r="A474" s="830" t="s">
        <v>13</v>
      </c>
      <c r="B474" s="746"/>
      <c r="C474" s="720">
        <v>3891000</v>
      </c>
      <c r="D474" s="720">
        <v>3891000</v>
      </c>
      <c r="E474" s="720">
        <v>3891000</v>
      </c>
      <c r="F474" s="720">
        <v>3891000</v>
      </c>
      <c r="G474" s="720">
        <v>3891000</v>
      </c>
      <c r="H474" s="720">
        <v>3891000</v>
      </c>
      <c r="I474" s="720">
        <v>3891000</v>
      </c>
      <c r="J474" s="720">
        <v>3891000</v>
      </c>
      <c r="K474" s="720">
        <v>3891000</v>
      </c>
      <c r="L474" s="720">
        <v>3891000</v>
      </c>
      <c r="M474" s="720">
        <v>3891000</v>
      </c>
      <c r="N474" s="720">
        <v>3891000</v>
      </c>
      <c r="O474" s="720">
        <v>3891000</v>
      </c>
      <c r="P474" s="720">
        <v>3891000</v>
      </c>
      <c r="Q474" s="720">
        <v>3891000</v>
      </c>
      <c r="R474" s="720">
        <v>3891000</v>
      </c>
      <c r="S474" s="720">
        <v>3891000</v>
      </c>
      <c r="T474" s="720">
        <v>3891000</v>
      </c>
      <c r="U474" s="720">
        <v>0</v>
      </c>
      <c r="V474" s="720">
        <v>0</v>
      </c>
      <c r="W474" s="720">
        <v>0</v>
      </c>
      <c r="X474" s="720">
        <v>0</v>
      </c>
      <c r="Y474" s="720">
        <v>0</v>
      </c>
      <c r="Z474" s="720">
        <v>0</v>
      </c>
      <c r="AA474" s="720">
        <v>0</v>
      </c>
      <c r="AB474" s="720">
        <v>0</v>
      </c>
      <c r="AC474" s="720">
        <v>0</v>
      </c>
    </row>
    <row r="475" spans="1:29">
      <c r="A475" s="833" t="s">
        <v>167</v>
      </c>
      <c r="B475" s="746"/>
      <c r="C475" s="720">
        <v>-3891000</v>
      </c>
      <c r="D475" s="720">
        <v>-3891000</v>
      </c>
      <c r="E475" s="720">
        <v>-3891000</v>
      </c>
      <c r="F475" s="720">
        <v>-3891000</v>
      </c>
      <c r="G475" s="720">
        <v>-3891000</v>
      </c>
      <c r="H475" s="720">
        <v>-3891000</v>
      </c>
      <c r="I475" s="720">
        <v>-3891000</v>
      </c>
      <c r="J475" s="720">
        <v>-3891000</v>
      </c>
      <c r="K475" s="720">
        <v>-3891000</v>
      </c>
      <c r="L475" s="720">
        <v>-3891000</v>
      </c>
      <c r="M475" s="720">
        <v>-3891000</v>
      </c>
      <c r="N475" s="720">
        <v>-3891000</v>
      </c>
      <c r="O475" s="720">
        <v>-3891000</v>
      </c>
      <c r="P475" s="720">
        <v>-3891000</v>
      </c>
      <c r="Q475" s="720">
        <v>-3891000</v>
      </c>
      <c r="R475" s="720">
        <v>-3891000</v>
      </c>
      <c r="S475" s="720">
        <v>-3891000</v>
      </c>
      <c r="T475" s="720">
        <v>-3891000</v>
      </c>
      <c r="U475" s="720">
        <v>0</v>
      </c>
      <c r="V475" s="720">
        <v>0</v>
      </c>
      <c r="W475" s="720">
        <v>0</v>
      </c>
      <c r="X475" s="720">
        <v>0</v>
      </c>
      <c r="Y475" s="720">
        <v>0</v>
      </c>
      <c r="Z475" s="720">
        <v>0</v>
      </c>
      <c r="AA475" s="720">
        <v>0</v>
      </c>
      <c r="AB475" s="720">
        <v>0</v>
      </c>
      <c r="AC475" s="720">
        <v>0</v>
      </c>
    </row>
    <row r="476" spans="1:29">
      <c r="A476" s="834"/>
      <c r="B476" s="748"/>
      <c r="C476" s="892"/>
      <c r="D476" s="892"/>
      <c r="E476" s="892"/>
      <c r="F476" s="892"/>
      <c r="G476" s="892"/>
      <c r="H476" s="892"/>
      <c r="I476" s="892"/>
      <c r="J476" s="892"/>
      <c r="K476" s="892"/>
      <c r="L476" s="892"/>
      <c r="M476" s="892"/>
      <c r="N476" s="892"/>
      <c r="O476" s="892"/>
      <c r="P476" s="892"/>
      <c r="Q476" s="892"/>
      <c r="R476" s="892"/>
      <c r="S476" s="892"/>
      <c r="T476" s="892"/>
      <c r="U476" s="892"/>
      <c r="V476" s="892"/>
      <c r="W476" s="892"/>
      <c r="X476" s="892"/>
      <c r="Y476" s="892"/>
      <c r="Z476" s="892"/>
      <c r="AA476" s="892"/>
      <c r="AB476" s="892"/>
      <c r="AC476" s="892"/>
    </row>
    <row r="477" spans="1:29">
      <c r="A477" s="834" t="s">
        <v>364</v>
      </c>
      <c r="B477" s="748"/>
      <c r="C477" s="892">
        <v>0</v>
      </c>
      <c r="D477" s="892">
        <v>0</v>
      </c>
      <c r="E477" s="892">
        <v>0</v>
      </c>
      <c r="F477" s="892">
        <v>0</v>
      </c>
      <c r="G477" s="892">
        <v>0</v>
      </c>
      <c r="H477" s="892">
        <v>0</v>
      </c>
      <c r="I477" s="892">
        <v>0</v>
      </c>
      <c r="J477" s="892">
        <v>0</v>
      </c>
      <c r="K477" s="892">
        <v>0</v>
      </c>
      <c r="L477" s="892">
        <v>0</v>
      </c>
      <c r="M477" s="892">
        <v>0</v>
      </c>
      <c r="N477" s="892">
        <v>0</v>
      </c>
      <c r="O477" s="892">
        <v>0</v>
      </c>
      <c r="P477" s="892">
        <v>0</v>
      </c>
      <c r="Q477" s="892">
        <v>0</v>
      </c>
      <c r="R477" s="892">
        <v>0</v>
      </c>
      <c r="S477" s="892">
        <v>0</v>
      </c>
      <c r="T477" s="892">
        <v>0</v>
      </c>
      <c r="U477" s="892">
        <v>0</v>
      </c>
      <c r="V477" s="892">
        <v>0</v>
      </c>
      <c r="W477" s="892">
        <v>0</v>
      </c>
      <c r="X477" s="892">
        <v>0</v>
      </c>
      <c r="Y477" s="892">
        <v>0</v>
      </c>
      <c r="Z477" s="892">
        <v>0</v>
      </c>
      <c r="AA477" s="892">
        <v>0</v>
      </c>
      <c r="AB477" s="892">
        <v>0</v>
      </c>
      <c r="AC477" s="892">
        <v>0</v>
      </c>
    </row>
    <row r="478" spans="1:29">
      <c r="A478" s="835" t="s">
        <v>13</v>
      </c>
      <c r="B478" s="748"/>
      <c r="C478" s="720">
        <v>0</v>
      </c>
      <c r="D478" s="720">
        <v>0</v>
      </c>
      <c r="E478" s="720">
        <v>0</v>
      </c>
      <c r="F478" s="720">
        <v>0</v>
      </c>
      <c r="G478" s="720">
        <v>0</v>
      </c>
      <c r="H478" s="720">
        <v>0</v>
      </c>
      <c r="I478" s="720">
        <v>0</v>
      </c>
      <c r="J478" s="720">
        <v>0</v>
      </c>
      <c r="K478" s="720">
        <v>0</v>
      </c>
      <c r="L478" s="720">
        <v>0</v>
      </c>
      <c r="M478" s="720">
        <v>0</v>
      </c>
      <c r="N478" s="720">
        <v>0</v>
      </c>
      <c r="O478" s="720">
        <v>0</v>
      </c>
      <c r="P478" s="720">
        <v>0</v>
      </c>
      <c r="Q478" s="720">
        <v>0</v>
      </c>
      <c r="R478" s="720">
        <v>0</v>
      </c>
      <c r="S478" s="720">
        <v>0</v>
      </c>
      <c r="T478" s="720">
        <v>0</v>
      </c>
      <c r="U478" s="720">
        <v>0</v>
      </c>
      <c r="V478" s="720">
        <v>0</v>
      </c>
      <c r="W478" s="720">
        <v>0</v>
      </c>
      <c r="X478" s="720">
        <v>0</v>
      </c>
      <c r="Y478" s="720">
        <v>0</v>
      </c>
      <c r="Z478" s="720">
        <v>0</v>
      </c>
      <c r="AA478" s="720">
        <v>0</v>
      </c>
      <c r="AB478" s="720">
        <v>0</v>
      </c>
      <c r="AC478" s="720">
        <v>0</v>
      </c>
    </row>
    <row r="479" spans="1:29">
      <c r="A479" s="836" t="s">
        <v>365</v>
      </c>
      <c r="B479" s="748" t="s">
        <v>529</v>
      </c>
      <c r="C479" s="892">
        <v>0</v>
      </c>
      <c r="D479" s="892">
        <v>0</v>
      </c>
      <c r="E479" s="892">
        <v>0</v>
      </c>
      <c r="F479" s="892">
        <v>0</v>
      </c>
      <c r="G479" s="892">
        <v>0</v>
      </c>
      <c r="H479" s="892">
        <v>0</v>
      </c>
      <c r="I479" s="892">
        <v>0</v>
      </c>
      <c r="J479" s="892">
        <v>0</v>
      </c>
      <c r="K479" s="892">
        <v>0</v>
      </c>
      <c r="L479" s="892">
        <v>0</v>
      </c>
      <c r="M479" s="892">
        <v>0</v>
      </c>
      <c r="N479" s="892">
        <v>0</v>
      </c>
      <c r="O479" s="892">
        <v>0</v>
      </c>
      <c r="P479" s="892">
        <v>0</v>
      </c>
      <c r="Q479" s="892">
        <v>0</v>
      </c>
      <c r="R479" s="892">
        <v>0</v>
      </c>
      <c r="S479" s="892">
        <v>0</v>
      </c>
      <c r="T479" s="892">
        <v>0</v>
      </c>
      <c r="U479" s="892">
        <v>0</v>
      </c>
      <c r="V479" s="892">
        <v>0</v>
      </c>
      <c r="W479" s="892">
        <v>0</v>
      </c>
      <c r="X479" s="892">
        <v>0</v>
      </c>
      <c r="Y479" s="892">
        <v>0</v>
      </c>
      <c r="Z479" s="892">
        <v>0</v>
      </c>
      <c r="AA479" s="892">
        <v>0</v>
      </c>
      <c r="AB479" s="892">
        <v>0</v>
      </c>
      <c r="AC479" s="892">
        <v>0</v>
      </c>
    </row>
    <row r="480" spans="1:29">
      <c r="A480" s="835" t="s">
        <v>13</v>
      </c>
      <c r="B480" s="748"/>
      <c r="C480" s="720">
        <v>0</v>
      </c>
      <c r="D480" s="720">
        <v>0</v>
      </c>
      <c r="E480" s="720">
        <v>0</v>
      </c>
      <c r="F480" s="720">
        <v>0</v>
      </c>
      <c r="G480" s="720">
        <v>0</v>
      </c>
      <c r="H480" s="720">
        <v>0</v>
      </c>
      <c r="I480" s="720">
        <v>0</v>
      </c>
      <c r="J480" s="720">
        <v>0</v>
      </c>
      <c r="K480" s="720">
        <v>0</v>
      </c>
      <c r="L480" s="720">
        <v>0</v>
      </c>
      <c r="M480" s="720">
        <v>0</v>
      </c>
      <c r="N480" s="720">
        <v>0</v>
      </c>
      <c r="O480" s="720">
        <v>0</v>
      </c>
      <c r="P480" s="720">
        <v>0</v>
      </c>
      <c r="Q480" s="720">
        <v>0</v>
      </c>
      <c r="R480" s="720">
        <v>0</v>
      </c>
      <c r="S480" s="720">
        <v>0</v>
      </c>
      <c r="T480" s="720">
        <v>0</v>
      </c>
      <c r="U480" s="720">
        <v>0</v>
      </c>
      <c r="V480" s="720">
        <v>0</v>
      </c>
      <c r="W480" s="720">
        <v>0</v>
      </c>
      <c r="X480" s="720">
        <v>0</v>
      </c>
      <c r="Y480" s="720">
        <v>0</v>
      </c>
      <c r="Z480" s="720">
        <v>0</v>
      </c>
      <c r="AA480" s="720">
        <v>0</v>
      </c>
      <c r="AB480" s="720">
        <v>0</v>
      </c>
      <c r="AC480" s="720">
        <v>0</v>
      </c>
    </row>
    <row r="481" spans="1:29">
      <c r="A481" s="836" t="s">
        <v>366</v>
      </c>
      <c r="B481" s="748" t="s">
        <v>530</v>
      </c>
      <c r="C481" s="892">
        <v>0</v>
      </c>
      <c r="D481" s="892">
        <v>0</v>
      </c>
      <c r="E481" s="892">
        <v>0</v>
      </c>
      <c r="F481" s="892">
        <v>0</v>
      </c>
      <c r="G481" s="892">
        <v>0</v>
      </c>
      <c r="H481" s="892">
        <v>0</v>
      </c>
      <c r="I481" s="892">
        <v>0</v>
      </c>
      <c r="J481" s="892">
        <v>0</v>
      </c>
      <c r="K481" s="892">
        <v>0</v>
      </c>
      <c r="L481" s="892">
        <v>0</v>
      </c>
      <c r="M481" s="892">
        <v>0</v>
      </c>
      <c r="N481" s="892">
        <v>0</v>
      </c>
      <c r="O481" s="892">
        <v>0</v>
      </c>
      <c r="P481" s="892">
        <v>0</v>
      </c>
      <c r="Q481" s="892">
        <v>0</v>
      </c>
      <c r="R481" s="892">
        <v>0</v>
      </c>
      <c r="S481" s="892">
        <v>0</v>
      </c>
      <c r="T481" s="892">
        <v>0</v>
      </c>
      <c r="U481" s="892">
        <v>0</v>
      </c>
      <c r="V481" s="892">
        <v>0</v>
      </c>
      <c r="W481" s="892">
        <v>0</v>
      </c>
      <c r="X481" s="892">
        <v>0</v>
      </c>
      <c r="Y481" s="892">
        <v>0</v>
      </c>
      <c r="Z481" s="892">
        <v>0</v>
      </c>
      <c r="AA481" s="892">
        <v>0</v>
      </c>
      <c r="AB481" s="892">
        <v>0</v>
      </c>
      <c r="AC481" s="892">
        <v>0</v>
      </c>
    </row>
    <row r="482" spans="1:29">
      <c r="A482" s="835" t="s">
        <v>13</v>
      </c>
      <c r="B482" s="748"/>
      <c r="C482" s="720">
        <v>0</v>
      </c>
      <c r="D482" s="720">
        <v>0</v>
      </c>
      <c r="E482" s="720">
        <v>0</v>
      </c>
      <c r="F482" s="720">
        <v>0</v>
      </c>
      <c r="G482" s="720">
        <v>0</v>
      </c>
      <c r="H482" s="720">
        <v>0</v>
      </c>
      <c r="I482" s="720">
        <v>0</v>
      </c>
      <c r="J482" s="720">
        <v>0</v>
      </c>
      <c r="K482" s="720">
        <v>0</v>
      </c>
      <c r="L482" s="720">
        <v>0</v>
      </c>
      <c r="M482" s="720">
        <v>0</v>
      </c>
      <c r="N482" s="720">
        <v>0</v>
      </c>
      <c r="O482" s="720">
        <v>0</v>
      </c>
      <c r="P482" s="720">
        <v>0</v>
      </c>
      <c r="Q482" s="720">
        <v>0</v>
      </c>
      <c r="R482" s="720">
        <v>0</v>
      </c>
      <c r="S482" s="720">
        <v>0</v>
      </c>
      <c r="T482" s="720">
        <v>0</v>
      </c>
      <c r="U482" s="720">
        <v>0</v>
      </c>
      <c r="V482" s="720">
        <v>0</v>
      </c>
      <c r="W482" s="720">
        <v>0</v>
      </c>
      <c r="X482" s="720">
        <v>0</v>
      </c>
      <c r="Y482" s="720">
        <v>0</v>
      </c>
      <c r="Z482" s="720">
        <v>0</v>
      </c>
      <c r="AA482" s="720">
        <v>0</v>
      </c>
      <c r="AB482" s="720">
        <v>0</v>
      </c>
      <c r="AC482" s="720">
        <v>0</v>
      </c>
    </row>
    <row r="483" spans="1:29">
      <c r="A483" s="834"/>
      <c r="B483" s="748"/>
      <c r="C483" s="892"/>
      <c r="D483" s="892"/>
      <c r="E483" s="892"/>
      <c r="F483" s="892"/>
      <c r="G483" s="892"/>
      <c r="H483" s="892"/>
      <c r="I483" s="892"/>
      <c r="J483" s="892"/>
      <c r="K483" s="892"/>
      <c r="L483" s="892"/>
      <c r="M483" s="892"/>
      <c r="N483" s="892"/>
      <c r="O483" s="892"/>
      <c r="P483" s="892"/>
      <c r="Q483" s="892"/>
      <c r="R483" s="892"/>
      <c r="S483" s="892"/>
      <c r="T483" s="892"/>
      <c r="U483" s="892"/>
      <c r="V483" s="892"/>
      <c r="W483" s="892"/>
      <c r="X483" s="892"/>
      <c r="Y483" s="892"/>
      <c r="Z483" s="892"/>
      <c r="AA483" s="892"/>
      <c r="AB483" s="892"/>
      <c r="AC483" s="892"/>
    </row>
    <row r="484" spans="1:29">
      <c r="A484" s="834" t="s">
        <v>187</v>
      </c>
      <c r="B484" s="748" t="s">
        <v>531</v>
      </c>
      <c r="C484" s="892">
        <v>480000</v>
      </c>
      <c r="D484" s="892">
        <v>6369002</v>
      </c>
      <c r="E484" s="892">
        <v>0</v>
      </c>
      <c r="F484" s="892">
        <v>0</v>
      </c>
      <c r="G484" s="892">
        <v>0</v>
      </c>
      <c r="H484" s="892">
        <v>0</v>
      </c>
      <c r="I484" s="892">
        <v>0</v>
      </c>
      <c r="J484" s="892">
        <v>100000</v>
      </c>
      <c r="K484" s="892">
        <v>600000</v>
      </c>
      <c r="L484" s="892">
        <v>1600000</v>
      </c>
      <c r="M484" s="892">
        <v>350000</v>
      </c>
      <c r="N484" s="892">
        <v>0</v>
      </c>
      <c r="O484" s="892">
        <v>0</v>
      </c>
      <c r="P484" s="892">
        <v>0</v>
      </c>
      <c r="Q484" s="892">
        <v>0</v>
      </c>
      <c r="R484" s="892">
        <v>0</v>
      </c>
      <c r="S484" s="892">
        <v>0</v>
      </c>
      <c r="T484" s="892">
        <v>100000</v>
      </c>
      <c r="U484" s="892">
        <v>0</v>
      </c>
      <c r="V484" s="892">
        <v>0</v>
      </c>
      <c r="W484" s="892">
        <v>0</v>
      </c>
      <c r="X484" s="892">
        <v>0</v>
      </c>
      <c r="Y484" s="892">
        <v>0</v>
      </c>
      <c r="Z484" s="892">
        <v>100000</v>
      </c>
      <c r="AA484" s="892">
        <v>0</v>
      </c>
      <c r="AB484" s="892">
        <v>0</v>
      </c>
      <c r="AC484" s="892">
        <v>0</v>
      </c>
    </row>
    <row r="485" spans="1:29">
      <c r="A485" s="834" t="s">
        <v>13</v>
      </c>
      <c r="B485" s="748"/>
      <c r="C485" s="720">
        <v>9699002</v>
      </c>
      <c r="D485" s="720">
        <v>9219002</v>
      </c>
      <c r="E485" s="720">
        <v>2850000</v>
      </c>
      <c r="F485" s="720">
        <v>2850000</v>
      </c>
      <c r="G485" s="720">
        <v>2850000</v>
      </c>
      <c r="H485" s="720">
        <v>2850000</v>
      </c>
      <c r="I485" s="720">
        <v>2850000</v>
      </c>
      <c r="J485" s="720">
        <v>2850000</v>
      </c>
      <c r="K485" s="720">
        <v>2750000</v>
      </c>
      <c r="L485" s="720">
        <v>2150000</v>
      </c>
      <c r="M485" s="720">
        <v>550000</v>
      </c>
      <c r="N485" s="720">
        <v>200000</v>
      </c>
      <c r="O485" s="720">
        <v>200000</v>
      </c>
      <c r="P485" s="720">
        <v>200000</v>
      </c>
      <c r="Q485" s="720">
        <v>200000</v>
      </c>
      <c r="R485" s="720">
        <v>200000</v>
      </c>
      <c r="S485" s="720">
        <v>200000</v>
      </c>
      <c r="T485" s="720">
        <v>200000</v>
      </c>
      <c r="U485" s="720">
        <v>100000</v>
      </c>
      <c r="V485" s="720">
        <v>100000</v>
      </c>
      <c r="W485" s="720">
        <v>100000</v>
      </c>
      <c r="X485" s="720">
        <v>100000</v>
      </c>
      <c r="Y485" s="720">
        <v>100000</v>
      </c>
      <c r="Z485" s="720">
        <v>100000</v>
      </c>
      <c r="AA485" s="720">
        <v>0</v>
      </c>
      <c r="AB485" s="720">
        <v>0</v>
      </c>
      <c r="AC485" s="720">
        <v>0</v>
      </c>
    </row>
    <row r="486" spans="1:29">
      <c r="A486" s="1"/>
      <c r="B486" s="748"/>
      <c r="C486" s="890"/>
      <c r="D486" s="890"/>
      <c r="E486" s="890"/>
      <c r="F486" s="890"/>
      <c r="G486" s="890"/>
      <c r="H486" s="890"/>
      <c r="I486" s="890"/>
      <c r="J486" s="890"/>
      <c r="K486" s="890"/>
      <c r="L486" s="890"/>
      <c r="M486" s="890"/>
      <c r="N486" s="890"/>
      <c r="O486" s="890"/>
      <c r="P486" s="890"/>
      <c r="Q486" s="890"/>
      <c r="R486" s="890"/>
      <c r="S486" s="890"/>
      <c r="T486" s="890"/>
      <c r="U486" s="890"/>
      <c r="V486" s="890"/>
      <c r="W486" s="890"/>
      <c r="X486" s="890"/>
      <c r="Y486" s="890"/>
      <c r="Z486" s="890"/>
      <c r="AA486" s="890"/>
      <c r="AB486" s="890"/>
      <c r="AC486" s="890"/>
    </row>
    <row r="487" spans="1:29">
      <c r="A487" s="11" t="s">
        <v>100</v>
      </c>
      <c r="B487" s="792"/>
      <c r="C487" s="880">
        <v>832400</v>
      </c>
      <c r="D487" s="880">
        <v>6872502</v>
      </c>
      <c r="E487" s="880">
        <v>711000</v>
      </c>
      <c r="F487" s="880">
        <v>1089979</v>
      </c>
      <c r="G487" s="880">
        <v>1358000</v>
      </c>
      <c r="H487" s="880">
        <v>1044500</v>
      </c>
      <c r="I487" s="880">
        <v>1681643</v>
      </c>
      <c r="J487" s="880">
        <v>825900</v>
      </c>
      <c r="K487" s="880">
        <v>729997</v>
      </c>
      <c r="L487" s="880">
        <v>1896000</v>
      </c>
      <c r="M487" s="880">
        <v>3863429</v>
      </c>
      <c r="N487" s="880">
        <v>1520000</v>
      </c>
      <c r="O487" s="880">
        <v>796999</v>
      </c>
      <c r="P487" s="880">
        <v>222499</v>
      </c>
      <c r="Q487" s="880">
        <v>19498</v>
      </c>
      <c r="R487" s="880">
        <v>1494999</v>
      </c>
      <c r="S487" s="880">
        <v>1830500</v>
      </c>
      <c r="T487" s="880">
        <v>4991500</v>
      </c>
      <c r="U487" s="880">
        <v>4042998</v>
      </c>
      <c r="V487" s="880">
        <v>2884500</v>
      </c>
      <c r="W487" s="880">
        <v>155400</v>
      </c>
      <c r="X487" s="880">
        <v>521500</v>
      </c>
      <c r="Y487" s="880">
        <v>112000</v>
      </c>
      <c r="Z487" s="880">
        <v>220000</v>
      </c>
      <c r="AA487" s="880">
        <v>175000</v>
      </c>
      <c r="AB487" s="880">
        <v>1082619</v>
      </c>
      <c r="AC487" s="880">
        <v>0</v>
      </c>
    </row>
    <row r="488" spans="1:29" s="426" customFormat="1">
      <c r="A488" s="828" t="s">
        <v>59</v>
      </c>
      <c r="B488" s="792"/>
      <c r="C488" s="720">
        <v>40975362</v>
      </c>
      <c r="D488" s="720">
        <v>40142962</v>
      </c>
      <c r="E488" s="720">
        <v>33270460</v>
      </c>
      <c r="F488" s="720">
        <v>32559460</v>
      </c>
      <c r="G488" s="720">
        <v>31469481</v>
      </c>
      <c r="H488" s="720">
        <v>30111481</v>
      </c>
      <c r="I488" s="720">
        <v>29066981</v>
      </c>
      <c r="J488" s="720">
        <v>27385338</v>
      </c>
      <c r="K488" s="720">
        <v>26559438</v>
      </c>
      <c r="L488" s="720">
        <v>25829441</v>
      </c>
      <c r="M488" s="720">
        <v>23933441</v>
      </c>
      <c r="N488" s="720">
        <v>20070012</v>
      </c>
      <c r="O488" s="720">
        <v>18550012</v>
      </c>
      <c r="P488" s="720">
        <v>17753013</v>
      </c>
      <c r="Q488" s="720">
        <v>17530514</v>
      </c>
      <c r="R488" s="720">
        <v>17511016</v>
      </c>
      <c r="S488" s="720">
        <v>16016017</v>
      </c>
      <c r="T488" s="720">
        <v>14185517</v>
      </c>
      <c r="U488" s="720">
        <v>9194017</v>
      </c>
      <c r="V488" s="720">
        <v>5151019</v>
      </c>
      <c r="W488" s="720">
        <v>2266519</v>
      </c>
      <c r="X488" s="720">
        <v>2111119</v>
      </c>
      <c r="Y488" s="720">
        <v>1589619</v>
      </c>
      <c r="Z488" s="720">
        <v>1477619</v>
      </c>
      <c r="AA488" s="720">
        <v>1257619</v>
      </c>
      <c r="AB488" s="720">
        <v>1082619</v>
      </c>
      <c r="AC488" s="720">
        <v>0</v>
      </c>
    </row>
    <row r="489" spans="1:29">
      <c r="A489" s="11"/>
      <c r="B489" s="837"/>
      <c r="C489" s="893"/>
      <c r="D489" s="893"/>
      <c r="E489" s="893"/>
      <c r="F489" s="893"/>
      <c r="G489" s="893"/>
      <c r="H489" s="893"/>
      <c r="I489" s="893"/>
      <c r="J489" s="893"/>
      <c r="K489" s="893"/>
      <c r="L489" s="893"/>
      <c r="M489" s="893"/>
      <c r="N489" s="893"/>
      <c r="O489" s="893"/>
      <c r="P489" s="893"/>
      <c r="Q489" s="893"/>
      <c r="R489" s="893"/>
      <c r="S489" s="893"/>
      <c r="T489" s="893"/>
      <c r="U489" s="893"/>
      <c r="V489" s="893"/>
      <c r="W489" s="893"/>
      <c r="X489" s="893"/>
      <c r="Y489" s="893"/>
      <c r="Z489" s="893"/>
      <c r="AA489" s="893"/>
      <c r="AB489" s="893"/>
      <c r="AC489" s="893"/>
    </row>
    <row r="490" spans="1:29" s="722" customFormat="1" ht="21">
      <c r="A490" s="838" t="s">
        <v>60</v>
      </c>
      <c r="B490" s="839"/>
      <c r="C490" s="894">
        <v>13677956</v>
      </c>
      <c r="D490" s="894">
        <v>11926744</v>
      </c>
      <c r="E490" s="894">
        <v>17079941</v>
      </c>
      <c r="F490" s="894">
        <v>16176854</v>
      </c>
      <c r="G490" s="894">
        <v>15198629</v>
      </c>
      <c r="H490" s="894">
        <v>14647888</v>
      </c>
      <c r="I490" s="894">
        <v>13863419</v>
      </c>
      <c r="J490" s="894">
        <v>12730093</v>
      </c>
      <c r="K490" s="894">
        <v>10205623</v>
      </c>
      <c r="L490" s="894">
        <v>9192918</v>
      </c>
      <c r="M490" s="894">
        <v>8242245</v>
      </c>
      <c r="N490" s="894">
        <v>4834343</v>
      </c>
      <c r="O490" s="894">
        <v>5499326</v>
      </c>
      <c r="P490" s="894">
        <v>3704751</v>
      </c>
      <c r="Q490" s="894">
        <v>2541347</v>
      </c>
      <c r="R490" s="894">
        <v>1299586</v>
      </c>
      <c r="S490" s="894">
        <v>1117071</v>
      </c>
      <c r="T490" s="894">
        <v>1135493</v>
      </c>
      <c r="U490" s="894">
        <v>4177151</v>
      </c>
      <c r="V490" s="894">
        <v>4476687</v>
      </c>
      <c r="W490" s="894">
        <v>5621213</v>
      </c>
      <c r="X490" s="894">
        <v>4309448</v>
      </c>
      <c r="Y490" s="894">
        <v>3020889</v>
      </c>
      <c r="Z490" s="894">
        <v>1575970</v>
      </c>
      <c r="AA490" s="894">
        <v>1537316</v>
      </c>
      <c r="AB490" s="894">
        <v>441074</v>
      </c>
      <c r="AC490" s="894">
        <v>0</v>
      </c>
    </row>
    <row r="491" spans="1:29">
      <c r="A491" s="1"/>
      <c r="B491" s="736"/>
      <c r="C491" s="736"/>
      <c r="D491" s="736"/>
      <c r="E491" s="736"/>
      <c r="F491" s="736"/>
      <c r="G491" s="736"/>
      <c r="H491" s="736"/>
      <c r="I491" s="736"/>
      <c r="J491" s="736"/>
      <c r="K491" s="736"/>
      <c r="L491" s="736"/>
      <c r="M491" s="736"/>
      <c r="N491" s="736"/>
      <c r="O491" s="736"/>
      <c r="P491" s="736"/>
      <c r="Q491" s="736"/>
      <c r="R491" s="736"/>
      <c r="S491" s="736"/>
      <c r="T491" s="736"/>
      <c r="U491" s="736"/>
      <c r="V491" s="736"/>
      <c r="W491" s="736"/>
      <c r="X491" s="736"/>
      <c r="Y491" s="736"/>
      <c r="Z491" s="736"/>
      <c r="AA491" s="736"/>
      <c r="AB491" s="736"/>
      <c r="AC491" s="736"/>
    </row>
    <row r="492" spans="1:29">
      <c r="A492" s="1"/>
      <c r="B492" s="736"/>
      <c r="C492" s="736"/>
      <c r="D492" s="736"/>
      <c r="E492" s="736"/>
      <c r="F492" s="736"/>
      <c r="G492" s="736"/>
      <c r="H492" s="736"/>
      <c r="I492" s="736"/>
      <c r="J492" s="736"/>
      <c r="K492" s="736"/>
      <c r="L492" s="736"/>
      <c r="M492" s="736"/>
      <c r="N492" s="736"/>
      <c r="O492" s="736"/>
      <c r="P492" s="736"/>
      <c r="Q492" s="736"/>
      <c r="R492" s="736"/>
      <c r="S492" s="736"/>
      <c r="T492" s="736"/>
      <c r="U492" s="736"/>
      <c r="V492" s="736"/>
      <c r="W492" s="736"/>
      <c r="X492" s="736"/>
      <c r="Y492" s="736"/>
      <c r="Z492" s="736"/>
      <c r="AA492" s="736"/>
      <c r="AB492" s="736"/>
      <c r="AC492" s="736"/>
    </row>
    <row r="493" spans="1:29" s="723" customFormat="1" ht="21">
      <c r="A493" s="840" t="s">
        <v>117</v>
      </c>
      <c r="B493" s="841" t="s">
        <v>532</v>
      </c>
      <c r="C493" s="895">
        <v>286957452</v>
      </c>
      <c r="D493" s="895">
        <v>284846240</v>
      </c>
      <c r="E493" s="895">
        <v>289251435</v>
      </c>
      <c r="F493" s="895">
        <v>294982548</v>
      </c>
      <c r="G493" s="895">
        <v>295276323</v>
      </c>
      <c r="H493" s="895">
        <v>295009582</v>
      </c>
      <c r="I493" s="895">
        <v>348674113</v>
      </c>
      <c r="J493" s="895">
        <v>349267287</v>
      </c>
      <c r="K493" s="895">
        <v>345935817</v>
      </c>
      <c r="L493" s="895">
        <v>294352112</v>
      </c>
      <c r="M493" s="895">
        <v>292857939</v>
      </c>
      <c r="N493" s="895">
        <v>289786552</v>
      </c>
      <c r="O493" s="895">
        <v>289958035</v>
      </c>
      <c r="P493" s="895">
        <v>285407345</v>
      </c>
      <c r="Q493" s="895">
        <v>283907941</v>
      </c>
      <c r="R493" s="895">
        <v>282709180</v>
      </c>
      <c r="S493" s="895">
        <v>227048665</v>
      </c>
      <c r="T493" s="895">
        <v>227695087</v>
      </c>
      <c r="U493" s="895">
        <v>277796578</v>
      </c>
      <c r="V493" s="895">
        <v>275594114</v>
      </c>
      <c r="W493" s="895">
        <v>277145640</v>
      </c>
      <c r="X493" s="895">
        <v>276022875</v>
      </c>
      <c r="Y493" s="895">
        <v>273755316</v>
      </c>
      <c r="Z493" s="895">
        <v>242739897</v>
      </c>
      <c r="AA493" s="895">
        <v>241802243</v>
      </c>
      <c r="AB493" s="895">
        <v>240853001</v>
      </c>
      <c r="AC493" s="895">
        <v>317392927</v>
      </c>
    </row>
    <row r="494" spans="1:29" s="724" customFormat="1" ht="18">
      <c r="A494" s="842" t="s">
        <v>21</v>
      </c>
      <c r="B494" s="843" t="s">
        <v>533</v>
      </c>
      <c r="C494" s="896">
        <v>4805333</v>
      </c>
      <c r="D494" s="896">
        <v>4805333</v>
      </c>
      <c r="E494" s="896">
        <v>4805333</v>
      </c>
      <c r="F494" s="896">
        <v>4805333</v>
      </c>
      <c r="G494" s="896">
        <v>4805333</v>
      </c>
      <c r="H494" s="896">
        <v>4805333</v>
      </c>
      <c r="I494" s="896">
        <v>4805333</v>
      </c>
      <c r="J494" s="896">
        <v>4805333</v>
      </c>
      <c r="K494" s="896">
        <v>4805333</v>
      </c>
      <c r="L494" s="896">
        <v>5605333</v>
      </c>
      <c r="M494" s="896">
        <v>5802833</v>
      </c>
      <c r="N494" s="896">
        <v>5802833</v>
      </c>
      <c r="O494" s="896">
        <v>5802833</v>
      </c>
      <c r="P494" s="896">
        <v>5502833</v>
      </c>
      <c r="Q494" s="896">
        <v>5502833</v>
      </c>
      <c r="R494" s="896">
        <v>5502833</v>
      </c>
      <c r="S494" s="896">
        <v>5807833</v>
      </c>
      <c r="T494" s="896">
        <v>5502833</v>
      </c>
      <c r="U494" s="896">
        <v>5106500</v>
      </c>
      <c r="V494" s="896">
        <v>4771500</v>
      </c>
      <c r="W494" s="896">
        <v>4771500</v>
      </c>
      <c r="X494" s="896">
        <v>4771500</v>
      </c>
      <c r="Y494" s="896">
        <v>4271500</v>
      </c>
      <c r="Z494" s="896">
        <v>4271500</v>
      </c>
      <c r="AA494" s="896">
        <v>4271500</v>
      </c>
      <c r="AB494" s="896">
        <v>4271500</v>
      </c>
      <c r="AC494" s="896">
        <v>4074000</v>
      </c>
    </row>
    <row r="495" spans="1:29" s="724" customFormat="1" ht="18">
      <c r="A495" s="842" t="s">
        <v>11</v>
      </c>
      <c r="B495" s="843" t="s">
        <v>534</v>
      </c>
      <c r="C495" s="896">
        <v>87674000</v>
      </c>
      <c r="D495" s="896">
        <v>88424000</v>
      </c>
      <c r="E495" s="896">
        <v>88400000</v>
      </c>
      <c r="F495" s="896">
        <v>88400000</v>
      </c>
      <c r="G495" s="896">
        <v>88400000</v>
      </c>
      <c r="H495" s="896">
        <v>88400000</v>
      </c>
      <c r="I495" s="896">
        <v>143400000</v>
      </c>
      <c r="J495" s="896">
        <v>143150000</v>
      </c>
      <c r="K495" s="896">
        <v>143150000</v>
      </c>
      <c r="L495" s="896">
        <v>93150000</v>
      </c>
      <c r="M495" s="896">
        <v>93150000</v>
      </c>
      <c r="N495" s="896">
        <v>95600000</v>
      </c>
      <c r="O495" s="896">
        <v>95600000</v>
      </c>
      <c r="P495" s="896">
        <v>92900000</v>
      </c>
      <c r="Q495" s="896">
        <v>93200000</v>
      </c>
      <c r="R495" s="896">
        <v>93200000</v>
      </c>
      <c r="S495" s="896">
        <v>38400000</v>
      </c>
      <c r="T495" s="896">
        <v>38450000</v>
      </c>
      <c r="U495" s="896">
        <v>83370000</v>
      </c>
      <c r="V495" s="896">
        <v>81600000</v>
      </c>
      <c r="W495" s="896">
        <v>81900000</v>
      </c>
      <c r="X495" s="896">
        <v>80800000</v>
      </c>
      <c r="Y495" s="896">
        <v>79600000</v>
      </c>
      <c r="Z495" s="896">
        <v>49600000</v>
      </c>
      <c r="AA495" s="896">
        <v>49600000</v>
      </c>
      <c r="AB495" s="896">
        <v>49600000</v>
      </c>
      <c r="AC495" s="896">
        <v>124600000</v>
      </c>
    </row>
    <row r="496" spans="1:29" s="725" customFormat="1" ht="23.4">
      <c r="A496" s="844" t="s">
        <v>162</v>
      </c>
      <c r="B496" s="845"/>
      <c r="C496" s="897">
        <v>204088785</v>
      </c>
      <c r="D496" s="897">
        <v>201227573</v>
      </c>
      <c r="E496" s="897">
        <v>205656768</v>
      </c>
      <c r="F496" s="897">
        <v>211387881</v>
      </c>
      <c r="G496" s="897">
        <v>211681656</v>
      </c>
      <c r="H496" s="897">
        <v>211414915</v>
      </c>
      <c r="I496" s="897">
        <v>210079446</v>
      </c>
      <c r="J496" s="897">
        <v>210922620</v>
      </c>
      <c r="K496" s="897">
        <v>207591150</v>
      </c>
      <c r="L496" s="897">
        <v>206807445</v>
      </c>
      <c r="M496" s="897">
        <v>205510772</v>
      </c>
      <c r="N496" s="897">
        <v>199989385</v>
      </c>
      <c r="O496" s="897">
        <v>200160868</v>
      </c>
      <c r="P496" s="897">
        <v>198010178</v>
      </c>
      <c r="Q496" s="897">
        <v>196210774</v>
      </c>
      <c r="R496" s="897">
        <v>195012013</v>
      </c>
      <c r="S496" s="897">
        <v>194456498</v>
      </c>
      <c r="T496" s="897">
        <v>194747920</v>
      </c>
      <c r="U496" s="897">
        <v>199533078</v>
      </c>
      <c r="V496" s="897">
        <v>198765614</v>
      </c>
      <c r="W496" s="897">
        <v>200017140</v>
      </c>
      <c r="X496" s="897">
        <v>199994375</v>
      </c>
      <c r="Y496" s="897">
        <v>198426816</v>
      </c>
      <c r="Z496" s="897">
        <v>197411397</v>
      </c>
      <c r="AA496" s="897">
        <v>196473743</v>
      </c>
      <c r="AB496" s="897">
        <v>195524501</v>
      </c>
      <c r="AC496" s="897">
        <v>196866927</v>
      </c>
    </row>
    <row r="497" spans="1:29">
      <c r="A497" s="1"/>
      <c r="B497" s="736"/>
      <c r="C497" s="736"/>
      <c r="D497" s="736"/>
      <c r="E497" s="736"/>
      <c r="F497" s="736"/>
      <c r="G497" s="736"/>
      <c r="H497" s="736"/>
      <c r="I497" s="736"/>
      <c r="J497" s="736"/>
      <c r="K497" s="736"/>
      <c r="L497" s="736"/>
      <c r="M497" s="736"/>
      <c r="N497" s="736"/>
      <c r="O497" s="736"/>
      <c r="P497" s="736"/>
      <c r="Q497" s="736"/>
      <c r="R497" s="736"/>
      <c r="S497" s="736"/>
      <c r="T497" s="736"/>
      <c r="U497" s="736"/>
      <c r="V497" s="736"/>
      <c r="W497" s="736"/>
      <c r="X497" s="736"/>
      <c r="Y497" s="736"/>
      <c r="Z497" s="736"/>
      <c r="AA497" s="736"/>
      <c r="AB497" s="736"/>
      <c r="AC497" s="736"/>
    </row>
    <row r="498" spans="1:29" s="724" customFormat="1" ht="18">
      <c r="A498" s="842" t="s">
        <v>24</v>
      </c>
      <c r="B498" s="843" t="s">
        <v>210</v>
      </c>
      <c r="C498" s="896">
        <v>-4756098</v>
      </c>
      <c r="D498" s="896">
        <v>-5486098</v>
      </c>
      <c r="E498" s="896">
        <v>-6210100</v>
      </c>
      <c r="F498" s="896">
        <v>424100</v>
      </c>
      <c r="G498" s="896">
        <v>1696100</v>
      </c>
      <c r="H498" s="896">
        <v>1980100</v>
      </c>
      <c r="I498" s="896">
        <v>1429100</v>
      </c>
      <c r="J498" s="896">
        <v>3405600</v>
      </c>
      <c r="K498" s="896">
        <v>2598600</v>
      </c>
      <c r="L498" s="896">
        <v>2547600</v>
      </c>
      <c r="M498" s="896">
        <v>2201600</v>
      </c>
      <c r="N498" s="896">
        <v>468115</v>
      </c>
      <c r="O498" s="896">
        <v>-215385</v>
      </c>
      <c r="P498" s="896">
        <v>-571500</v>
      </c>
      <c r="Q498" s="896">
        <v>-1197500</v>
      </c>
      <c r="R498" s="896">
        <v>-1154500</v>
      </c>
      <c r="S498" s="896">
        <v>-1527500</v>
      </c>
      <c r="T498" s="896">
        <v>-1254500</v>
      </c>
      <c r="U498" s="896">
        <v>489000</v>
      </c>
      <c r="V498" s="896">
        <v>-578000</v>
      </c>
      <c r="W498" s="896">
        <v>-471000</v>
      </c>
      <c r="X498" s="896">
        <v>-1182000</v>
      </c>
      <c r="Y498" s="896">
        <v>-1461000</v>
      </c>
      <c r="Z498" s="896">
        <v>-1531500</v>
      </c>
      <c r="AA498" s="896">
        <v>-1930500</v>
      </c>
      <c r="AB498" s="896">
        <v>-1783500</v>
      </c>
      <c r="AC498" s="896">
        <v>-4806900</v>
      </c>
    </row>
    <row r="499" spans="1:29" s="724" customFormat="1" ht="18">
      <c r="A499" s="846" t="s">
        <v>46</v>
      </c>
      <c r="B499" s="847"/>
      <c r="C499" s="898">
        <v>208844883</v>
      </c>
      <c r="D499" s="898">
        <v>206713671</v>
      </c>
      <c r="E499" s="898">
        <v>211866868</v>
      </c>
      <c r="F499" s="898">
        <v>210963781</v>
      </c>
      <c r="G499" s="898">
        <v>209985556</v>
      </c>
      <c r="H499" s="898">
        <v>209434815</v>
      </c>
      <c r="I499" s="898">
        <v>208650346</v>
      </c>
      <c r="J499" s="898">
        <v>207517020</v>
      </c>
      <c r="K499" s="898">
        <v>204992550</v>
      </c>
      <c r="L499" s="898">
        <v>204259845</v>
      </c>
      <c r="M499" s="898">
        <v>203309172</v>
      </c>
      <c r="N499" s="898">
        <v>199521270</v>
      </c>
      <c r="O499" s="898">
        <v>200376253</v>
      </c>
      <c r="P499" s="898">
        <v>198581678</v>
      </c>
      <c r="Q499" s="898">
        <v>197408274</v>
      </c>
      <c r="R499" s="898">
        <v>196166513</v>
      </c>
      <c r="S499" s="898">
        <v>195983998</v>
      </c>
      <c r="T499" s="898">
        <v>196002420</v>
      </c>
      <c r="U499" s="898">
        <v>199044078</v>
      </c>
      <c r="V499" s="898">
        <v>199343614</v>
      </c>
      <c r="W499" s="898">
        <v>200488140</v>
      </c>
      <c r="X499" s="898">
        <v>201176375</v>
      </c>
      <c r="Y499" s="898">
        <v>199887816</v>
      </c>
      <c r="Z499" s="898">
        <v>198942897</v>
      </c>
      <c r="AA499" s="898">
        <v>198404243</v>
      </c>
      <c r="AB499" s="898">
        <v>197308001</v>
      </c>
      <c r="AC499" s="898">
        <v>201673827</v>
      </c>
    </row>
    <row r="500" spans="1:29">
      <c r="A500" s="5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1:29" ht="15" thickBot="1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5" thickBot="1">
      <c r="A502" s="5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1:29">
      <c r="A503" s="606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</row>
  </sheetData>
  <mergeCells count="9">
    <mergeCell ref="A127:B127"/>
    <mergeCell ref="A219:B219"/>
    <mergeCell ref="A220:B220"/>
    <mergeCell ref="A33:B33"/>
    <mergeCell ref="A48:B48"/>
    <mergeCell ref="A60:B60"/>
    <mergeCell ref="A73:B73"/>
    <mergeCell ref="A86:B86"/>
    <mergeCell ref="A123:B1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516"/>
  <sheetViews>
    <sheetView topLeftCell="A493" zoomScale="70" zoomScaleNormal="70" workbookViewId="0">
      <selection activeCell="C514" sqref="C514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17" width="25.6640625" style="263" customWidth="1"/>
    <col min="18" max="18" width="8.88671875" style="263"/>
    <col min="19" max="19" width="8.88671875" style="263" customWidth="1"/>
    <col min="20" max="16384" width="8.88671875" style="263"/>
  </cols>
  <sheetData>
    <row r="1" spans="1:17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</row>
    <row r="2" spans="1:17" ht="15" thickBot="1"/>
    <row r="3" spans="1:17">
      <c r="A3" s="727"/>
      <c r="B3" s="726"/>
      <c r="C3" s="679" t="s">
        <v>799</v>
      </c>
      <c r="D3" s="679" t="s">
        <v>796</v>
      </c>
      <c r="E3" s="679" t="s">
        <v>794</v>
      </c>
      <c r="F3" s="679" t="s">
        <v>784</v>
      </c>
      <c r="G3" s="679">
        <v>46191</v>
      </c>
      <c r="H3" s="679" t="s">
        <v>782</v>
      </c>
      <c r="I3" s="679" t="s">
        <v>781</v>
      </c>
      <c r="J3" s="679">
        <v>46185</v>
      </c>
      <c r="K3" s="679" t="s">
        <v>778</v>
      </c>
      <c r="L3" s="679">
        <v>157</v>
      </c>
      <c r="M3" s="679">
        <v>156</v>
      </c>
      <c r="N3" s="679">
        <v>155</v>
      </c>
      <c r="O3" s="679">
        <v>154</v>
      </c>
      <c r="P3" s="679">
        <v>153</v>
      </c>
      <c r="Q3" s="679" t="s">
        <v>777</v>
      </c>
    </row>
    <row r="4" spans="1:17" s="267" customFormat="1" ht="15" thickBot="1">
      <c r="A4" s="728"/>
      <c r="B4" s="729"/>
      <c r="C4" s="680" t="s">
        <v>798</v>
      </c>
      <c r="D4" s="680" t="s">
        <v>133</v>
      </c>
      <c r="E4" s="680" t="s">
        <v>795</v>
      </c>
      <c r="F4" s="680" t="s">
        <v>785</v>
      </c>
      <c r="G4" s="680" t="s">
        <v>128</v>
      </c>
      <c r="H4" s="680" t="s">
        <v>665</v>
      </c>
      <c r="I4" s="680" t="s">
        <v>722</v>
      </c>
      <c r="J4" s="680" t="s">
        <v>780</v>
      </c>
      <c r="K4" s="680" t="s">
        <v>779</v>
      </c>
      <c r="L4" s="680" t="s">
        <v>134</v>
      </c>
      <c r="M4" s="680" t="s">
        <v>128</v>
      </c>
      <c r="N4" s="680" t="s">
        <v>129</v>
      </c>
      <c r="O4" s="680" t="s">
        <v>130</v>
      </c>
      <c r="P4" s="680" t="s">
        <v>131</v>
      </c>
      <c r="Q4" s="680" t="s">
        <v>132</v>
      </c>
    </row>
    <row r="5" spans="1:17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</row>
    <row r="6" spans="1:17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</row>
    <row r="7" spans="1:17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</row>
    <row r="8" spans="1:17">
      <c r="A8" s="25" t="s">
        <v>101</v>
      </c>
      <c r="B8" s="735"/>
      <c r="C8" s="641">
        <v>342000</v>
      </c>
      <c r="D8" s="641">
        <v>342000</v>
      </c>
      <c r="E8" s="641">
        <v>342000</v>
      </c>
      <c r="F8" s="641">
        <v>342000</v>
      </c>
      <c r="G8" s="641">
        <v>342000</v>
      </c>
      <c r="H8" s="641">
        <v>342000</v>
      </c>
      <c r="I8" s="641">
        <v>342000</v>
      </c>
      <c r="J8" s="641">
        <v>342000</v>
      </c>
      <c r="K8" s="641">
        <v>342000</v>
      </c>
      <c r="L8" s="641">
        <v>342000</v>
      </c>
      <c r="M8" s="641">
        <v>282000</v>
      </c>
      <c r="N8" s="641">
        <v>282000</v>
      </c>
      <c r="O8" s="641">
        <v>282000</v>
      </c>
      <c r="P8" s="641">
        <v>282000</v>
      </c>
      <c r="Q8" s="641">
        <v>282000</v>
      </c>
    </row>
    <row r="9" spans="1:17">
      <c r="A9" s="25" t="s">
        <v>336</v>
      </c>
      <c r="B9" s="735"/>
      <c r="C9" s="641">
        <v>1560000</v>
      </c>
      <c r="D9" s="641">
        <v>1560000</v>
      </c>
      <c r="E9" s="641">
        <v>1560000</v>
      </c>
      <c r="F9" s="641">
        <v>1560000</v>
      </c>
      <c r="G9" s="641">
        <v>1480000</v>
      </c>
      <c r="H9" s="641">
        <v>1480000</v>
      </c>
      <c r="I9" s="641">
        <v>1480000</v>
      </c>
      <c r="J9" s="641">
        <v>1480000</v>
      </c>
      <c r="K9" s="641">
        <v>1480000</v>
      </c>
      <c r="L9" s="641">
        <v>1480000</v>
      </c>
      <c r="M9" s="641">
        <v>1480000</v>
      </c>
      <c r="N9" s="641">
        <v>1480000</v>
      </c>
      <c r="O9" s="641">
        <v>1480000</v>
      </c>
      <c r="P9" s="641">
        <v>1480000</v>
      </c>
      <c r="Q9" s="641">
        <v>1480000</v>
      </c>
    </row>
    <row r="10" spans="1:17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</row>
    <row r="11" spans="1:17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</row>
    <row r="12" spans="1:17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</row>
    <row r="13" spans="1:17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</row>
    <row r="14" spans="1:17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</row>
    <row r="15" spans="1:17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</row>
    <row r="16" spans="1:17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</row>
    <row r="17" spans="1:20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</row>
    <row r="18" spans="1:20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</row>
    <row r="19" spans="1:20" ht="16.2" thickBot="1">
      <c r="A19" s="737"/>
      <c r="B19" s="738"/>
      <c r="C19" s="848">
        <v>1902000</v>
      </c>
      <c r="D19" s="848">
        <v>1902000</v>
      </c>
      <c r="E19" s="848">
        <v>1902000</v>
      </c>
      <c r="F19" s="848">
        <v>1902000</v>
      </c>
      <c r="G19" s="848">
        <v>1822000</v>
      </c>
      <c r="H19" s="848">
        <v>1822000</v>
      </c>
      <c r="I19" s="848">
        <v>1822000</v>
      </c>
      <c r="J19" s="848">
        <v>1822000</v>
      </c>
      <c r="K19" s="848">
        <v>1822000</v>
      </c>
      <c r="L19" s="848">
        <v>1822000</v>
      </c>
      <c r="M19" s="848">
        <v>1762000</v>
      </c>
      <c r="N19" s="848">
        <v>1762000</v>
      </c>
      <c r="O19" s="848">
        <v>1762000</v>
      </c>
      <c r="P19" s="848">
        <v>1762000</v>
      </c>
      <c r="Q19" s="848">
        <v>1762000</v>
      </c>
      <c r="T19"/>
    </row>
    <row r="20" spans="1:20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</row>
    <row r="21" spans="1:20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</row>
    <row r="22" spans="1:20">
      <c r="A22" s="739" t="s">
        <v>0</v>
      </c>
      <c r="B22" s="740"/>
      <c r="C22" s="956">
        <v>99550000</v>
      </c>
      <c r="D22" s="956">
        <v>173550000</v>
      </c>
      <c r="E22" s="956">
        <v>223400000</v>
      </c>
      <c r="F22" s="956">
        <v>30645000</v>
      </c>
      <c r="G22" s="956">
        <v>165000000</v>
      </c>
      <c r="H22" s="956">
        <v>215734000</v>
      </c>
      <c r="I22" s="956">
        <v>99164000</v>
      </c>
      <c r="J22" s="956">
        <v>175400000</v>
      </c>
      <c r="K22" s="956">
        <v>196100000</v>
      </c>
      <c r="L22" s="956">
        <v>161500000</v>
      </c>
      <c r="M22" s="956">
        <v>105800000</v>
      </c>
      <c r="N22" s="956">
        <v>74430000</v>
      </c>
      <c r="O22" s="956">
        <v>87687000</v>
      </c>
      <c r="P22" s="956">
        <v>55237000</v>
      </c>
      <c r="Q22" s="956">
        <v>181575000</v>
      </c>
    </row>
    <row r="23" spans="1:20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</row>
    <row r="24" spans="1:20">
      <c r="A24" s="25" t="s">
        <v>555</v>
      </c>
      <c r="B24" s="741"/>
      <c r="C24" s="686">
        <v>24500</v>
      </c>
      <c r="D24" s="686">
        <v>17000</v>
      </c>
      <c r="E24" s="686">
        <v>10000</v>
      </c>
      <c r="F24" s="686">
        <v>47000</v>
      </c>
      <c r="G24" s="686">
        <v>84000</v>
      </c>
      <c r="H24" s="686">
        <v>67000</v>
      </c>
      <c r="I24" s="686">
        <v>55000</v>
      </c>
      <c r="J24" s="686">
        <v>51000</v>
      </c>
      <c r="K24" s="686">
        <v>51000</v>
      </c>
      <c r="L24" s="686">
        <v>71000</v>
      </c>
      <c r="M24" s="686">
        <v>49000</v>
      </c>
      <c r="N24" s="686">
        <v>40000</v>
      </c>
      <c r="O24" s="686">
        <v>29000</v>
      </c>
      <c r="P24" s="686">
        <v>35000</v>
      </c>
      <c r="Q24" s="686">
        <v>72000</v>
      </c>
    </row>
    <row r="25" spans="1:20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11105000</v>
      </c>
      <c r="O25" s="686">
        <v>0</v>
      </c>
      <c r="P25" s="686">
        <v>0</v>
      </c>
      <c r="Q25" s="686">
        <v>0</v>
      </c>
    </row>
    <row r="26" spans="1:20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5738000</v>
      </c>
      <c r="O26" s="686">
        <v>0</v>
      </c>
      <c r="P26" s="686">
        <v>0</v>
      </c>
      <c r="Q26" s="686">
        <v>0</v>
      </c>
    </row>
    <row r="27" spans="1:20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11018000</v>
      </c>
      <c r="O27" s="686">
        <v>0</v>
      </c>
      <c r="P27" s="686">
        <v>0</v>
      </c>
      <c r="Q27" s="686">
        <v>0</v>
      </c>
    </row>
    <row r="28" spans="1:20">
      <c r="A28" s="25" t="s">
        <v>333</v>
      </c>
      <c r="B28" s="741"/>
      <c r="C28" s="686">
        <v>0</v>
      </c>
      <c r="D28" s="686">
        <v>0</v>
      </c>
      <c r="E28" s="686">
        <v>0</v>
      </c>
      <c r="F28" s="686">
        <v>26260000</v>
      </c>
      <c r="G28" s="686">
        <v>0</v>
      </c>
      <c r="H28" s="686">
        <v>37178000</v>
      </c>
      <c r="I28" s="686">
        <v>0</v>
      </c>
      <c r="J28" s="686">
        <v>0</v>
      </c>
      <c r="K28" s="686">
        <v>0</v>
      </c>
      <c r="L28" s="686">
        <v>30979000</v>
      </c>
      <c r="M28" s="686">
        <v>0</v>
      </c>
      <c r="N28" s="686">
        <v>18403000</v>
      </c>
      <c r="O28" s="686">
        <v>376500</v>
      </c>
      <c r="P28" s="686">
        <v>0</v>
      </c>
      <c r="Q28" s="686">
        <v>0</v>
      </c>
    </row>
    <row r="29" spans="1:20">
      <c r="A29" s="1" t="s">
        <v>562</v>
      </c>
      <c r="B29" s="736"/>
      <c r="C29" s="641">
        <v>0</v>
      </c>
      <c r="D29" s="641">
        <v>1015000</v>
      </c>
      <c r="E29" s="641">
        <v>1015000</v>
      </c>
      <c r="F29" s="641">
        <v>45007000</v>
      </c>
      <c r="G29" s="641">
        <v>0</v>
      </c>
      <c r="H29" s="641">
        <v>0</v>
      </c>
      <c r="I29" s="641">
        <v>750000</v>
      </c>
      <c r="J29" s="641">
        <v>0</v>
      </c>
      <c r="K29" s="641">
        <v>0</v>
      </c>
      <c r="L29" s="641">
        <v>2500000</v>
      </c>
      <c r="M29" s="641">
        <v>0</v>
      </c>
      <c r="N29" s="641">
        <v>0</v>
      </c>
      <c r="O29" s="641">
        <v>8292129</v>
      </c>
      <c r="P29" s="641">
        <v>17930000</v>
      </c>
      <c r="Q29" s="641">
        <v>8962000</v>
      </c>
    </row>
    <row r="30" spans="1:20">
      <c r="A30" s="1" t="s">
        <v>563</v>
      </c>
      <c r="B30" s="736"/>
      <c r="C30" s="641">
        <v>0</v>
      </c>
      <c r="D30" s="641">
        <v>0</v>
      </c>
      <c r="E30" s="641">
        <v>0</v>
      </c>
      <c r="F30" s="641">
        <v>142200000</v>
      </c>
      <c r="G30" s="641">
        <v>0</v>
      </c>
      <c r="H30" s="641">
        <v>0</v>
      </c>
      <c r="I30" s="641">
        <v>85000000</v>
      </c>
      <c r="J30" s="641">
        <v>0</v>
      </c>
      <c r="K30" s="641">
        <v>0</v>
      </c>
      <c r="L30" s="641">
        <v>0</v>
      </c>
      <c r="M30" s="641">
        <v>0</v>
      </c>
      <c r="N30" s="641">
        <v>120000000</v>
      </c>
      <c r="O30" s="641">
        <v>0</v>
      </c>
      <c r="P30" s="641">
        <v>124870000</v>
      </c>
      <c r="Q30" s="641">
        <v>0</v>
      </c>
    </row>
    <row r="31" spans="1:20" s="687" customFormat="1" ht="15" thickBot="1">
      <c r="A31" s="742"/>
      <c r="B31" s="743"/>
      <c r="C31" s="849">
        <v>99574500</v>
      </c>
      <c r="D31" s="849">
        <v>174582000</v>
      </c>
      <c r="E31" s="849">
        <v>224425000</v>
      </c>
      <c r="F31" s="849">
        <v>244159000</v>
      </c>
      <c r="G31" s="849">
        <v>165084000</v>
      </c>
      <c r="H31" s="849">
        <v>252979000</v>
      </c>
      <c r="I31" s="849">
        <v>184969000</v>
      </c>
      <c r="J31" s="849">
        <v>175451000</v>
      </c>
      <c r="K31" s="849">
        <v>196151000</v>
      </c>
      <c r="L31" s="849">
        <v>195050000</v>
      </c>
      <c r="M31" s="849">
        <v>105849000</v>
      </c>
      <c r="N31" s="849">
        <v>240734000</v>
      </c>
      <c r="O31" s="849">
        <v>96384629</v>
      </c>
      <c r="P31" s="849">
        <v>198072000</v>
      </c>
      <c r="Q31" s="849">
        <v>190609000</v>
      </c>
    </row>
    <row r="32" spans="1:20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</row>
    <row r="33" spans="1:17" s="688" customFormat="1" ht="21">
      <c r="A33" s="1446" t="s">
        <v>225</v>
      </c>
      <c r="B33" s="1446"/>
      <c r="C33" s="850">
        <v>101476500</v>
      </c>
      <c r="D33" s="850">
        <v>176484000</v>
      </c>
      <c r="E33" s="850">
        <v>226327000</v>
      </c>
      <c r="F33" s="850">
        <v>246061000</v>
      </c>
      <c r="G33" s="850">
        <v>166906000</v>
      </c>
      <c r="H33" s="850">
        <v>254801000</v>
      </c>
      <c r="I33" s="850">
        <v>186791000</v>
      </c>
      <c r="J33" s="850">
        <v>177273000</v>
      </c>
      <c r="K33" s="850">
        <v>197973000</v>
      </c>
      <c r="L33" s="850">
        <v>196872000</v>
      </c>
      <c r="M33" s="850">
        <v>107611000</v>
      </c>
      <c r="N33" s="850">
        <v>242496000</v>
      </c>
      <c r="O33" s="850">
        <v>98146629</v>
      </c>
      <c r="P33" s="850">
        <v>199834000</v>
      </c>
      <c r="Q33" s="850">
        <v>192371000</v>
      </c>
    </row>
    <row r="34" spans="1:17" s="688" customFormat="1" ht="21">
      <c r="A34" s="1138"/>
      <c r="B34" s="1138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</row>
    <row r="35" spans="1:17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</row>
    <row r="36" spans="1:17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</row>
    <row r="37" spans="1:17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</row>
    <row r="38" spans="1:17">
      <c r="A38" s="28" t="s">
        <v>801</v>
      </c>
      <c r="B38" s="747" t="s">
        <v>266</v>
      </c>
      <c r="C38" s="855">
        <v>5000001</v>
      </c>
      <c r="D38" s="855">
        <v>3634293</v>
      </c>
      <c r="E38" s="855">
        <v>2517263</v>
      </c>
      <c r="F38" s="855">
        <v>540373</v>
      </c>
      <c r="G38" s="855">
        <v>1038304</v>
      </c>
      <c r="H38" s="855">
        <v>7166553</v>
      </c>
      <c r="I38" s="855">
        <v>5000000</v>
      </c>
      <c r="J38" s="855">
        <v>5000000</v>
      </c>
      <c r="K38" s="855">
        <v>5000000</v>
      </c>
      <c r="L38" s="855">
        <v>5000000</v>
      </c>
      <c r="M38" s="855">
        <v>5000000</v>
      </c>
      <c r="N38" s="855">
        <v>5000000</v>
      </c>
      <c r="O38" s="855">
        <v>5054030</v>
      </c>
      <c r="P38" s="855">
        <v>5000001</v>
      </c>
      <c r="Q38" s="855">
        <v>26559510</v>
      </c>
    </row>
    <row r="39" spans="1:17">
      <c r="A39" s="28" t="s">
        <v>74</v>
      </c>
      <c r="B39" s="746" t="s">
        <v>267</v>
      </c>
      <c r="C39" s="855">
        <v>593346</v>
      </c>
      <c r="D39" s="855">
        <v>7871</v>
      </c>
      <c r="E39" s="855">
        <v>208871</v>
      </c>
      <c r="F39" s="855">
        <v>702296</v>
      </c>
      <c r="G39" s="855">
        <v>367826</v>
      </c>
      <c r="H39" s="855">
        <v>419526</v>
      </c>
      <c r="I39" s="855">
        <v>403576</v>
      </c>
      <c r="J39" s="855">
        <v>403576</v>
      </c>
      <c r="K39" s="855">
        <v>580076</v>
      </c>
      <c r="L39" s="855">
        <v>349476</v>
      </c>
      <c r="M39" s="855">
        <v>438526</v>
      </c>
      <c r="N39" s="855">
        <v>736326</v>
      </c>
      <c r="O39" s="855">
        <v>787076</v>
      </c>
      <c r="P39" s="855">
        <v>787076</v>
      </c>
      <c r="Q39" s="855">
        <v>974126</v>
      </c>
    </row>
    <row r="40" spans="1:17">
      <c r="A40" s="28" t="s">
        <v>1</v>
      </c>
      <c r="B40" s="746" t="s">
        <v>268</v>
      </c>
      <c r="C40" s="855">
        <v>699149</v>
      </c>
      <c r="D40" s="855">
        <v>830774</v>
      </c>
      <c r="E40" s="855">
        <v>1541317</v>
      </c>
      <c r="F40" s="855">
        <v>796885</v>
      </c>
      <c r="G40" s="855">
        <v>819692</v>
      </c>
      <c r="H40" s="855">
        <v>1573568</v>
      </c>
      <c r="I40" s="855">
        <v>182957</v>
      </c>
      <c r="J40" s="855">
        <v>602247</v>
      </c>
      <c r="K40" s="855">
        <v>1009940</v>
      </c>
      <c r="L40" s="855">
        <v>370305</v>
      </c>
      <c r="M40" s="855">
        <v>913992</v>
      </c>
      <c r="N40" s="855">
        <v>1499784</v>
      </c>
      <c r="O40" s="855">
        <v>1832072</v>
      </c>
      <c r="P40" s="855">
        <v>2196662</v>
      </c>
      <c r="Q40" s="855">
        <v>869552</v>
      </c>
    </row>
    <row r="41" spans="1:17">
      <c r="A41" s="28" t="s">
        <v>111</v>
      </c>
      <c r="B41" s="746" t="s">
        <v>269</v>
      </c>
      <c r="C41" s="855">
        <v>420873</v>
      </c>
      <c r="D41" s="855">
        <v>779333</v>
      </c>
      <c r="E41" s="855">
        <v>831083</v>
      </c>
      <c r="F41" s="855">
        <v>1240733</v>
      </c>
      <c r="G41" s="855">
        <v>671578</v>
      </c>
      <c r="H41" s="855">
        <v>847478</v>
      </c>
      <c r="I41" s="855">
        <v>444398</v>
      </c>
      <c r="J41" s="855">
        <v>177658</v>
      </c>
      <c r="K41" s="855">
        <v>442108</v>
      </c>
      <c r="L41" s="855">
        <v>263998</v>
      </c>
      <c r="M41" s="855">
        <v>351998</v>
      </c>
      <c r="N41" s="855">
        <v>526198</v>
      </c>
      <c r="O41" s="855">
        <v>767798</v>
      </c>
      <c r="P41" s="855">
        <v>972518</v>
      </c>
      <c r="Q41" s="855">
        <v>160153</v>
      </c>
    </row>
    <row r="42" spans="1:17">
      <c r="A42" s="28" t="s">
        <v>168</v>
      </c>
      <c r="B42" s="746" t="s">
        <v>204</v>
      </c>
      <c r="C42" s="855">
        <v>424020</v>
      </c>
      <c r="D42" s="855">
        <v>424020</v>
      </c>
      <c r="E42" s="855">
        <v>579020</v>
      </c>
      <c r="F42" s="855">
        <v>825120</v>
      </c>
      <c r="G42" s="855">
        <v>389120</v>
      </c>
      <c r="H42" s="855">
        <v>406620</v>
      </c>
      <c r="I42" s="855">
        <v>487720</v>
      </c>
      <c r="J42" s="855">
        <v>487720</v>
      </c>
      <c r="K42" s="855">
        <v>487720</v>
      </c>
      <c r="L42" s="855">
        <v>576720</v>
      </c>
      <c r="M42" s="855">
        <v>594220</v>
      </c>
      <c r="N42" s="855">
        <v>178220</v>
      </c>
      <c r="O42" s="855">
        <v>178220</v>
      </c>
      <c r="P42" s="855">
        <v>216220</v>
      </c>
      <c r="Q42" s="855">
        <v>324720</v>
      </c>
    </row>
    <row r="43" spans="1:17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</row>
    <row r="44" spans="1:17">
      <c r="A44" s="28" t="s">
        <v>9</v>
      </c>
      <c r="B44" s="746" t="s">
        <v>270</v>
      </c>
      <c r="C44" s="855">
        <v>224066</v>
      </c>
      <c r="D44" s="855">
        <v>216755</v>
      </c>
      <c r="E44" s="855">
        <v>858355</v>
      </c>
      <c r="F44" s="855">
        <v>855918</v>
      </c>
      <c r="G44" s="855">
        <v>756133</v>
      </c>
      <c r="H44" s="855">
        <v>983459</v>
      </c>
      <c r="I44" s="855">
        <v>468259</v>
      </c>
      <c r="J44" s="855">
        <v>468259</v>
      </c>
      <c r="K44" s="855">
        <v>465822</v>
      </c>
      <c r="L44" s="855">
        <v>182374</v>
      </c>
      <c r="M44" s="855">
        <v>909874</v>
      </c>
      <c r="N44" s="855">
        <v>909874</v>
      </c>
      <c r="O44" s="855">
        <v>907437</v>
      </c>
      <c r="P44" s="855">
        <v>907437</v>
      </c>
      <c r="Q44" s="855">
        <v>220337</v>
      </c>
    </row>
    <row r="45" spans="1:17">
      <c r="A45" s="1" t="s">
        <v>2</v>
      </c>
      <c r="B45" s="748"/>
      <c r="C45" s="641">
        <v>4149</v>
      </c>
      <c r="D45" s="641">
        <v>4149</v>
      </c>
      <c r="E45" s="641">
        <v>4149</v>
      </c>
      <c r="F45" s="641">
        <v>4149</v>
      </c>
      <c r="G45" s="641">
        <v>4149</v>
      </c>
      <c r="H45" s="641">
        <v>4149</v>
      </c>
      <c r="I45" s="641">
        <v>4149</v>
      </c>
      <c r="J45" s="641">
        <v>4149</v>
      </c>
      <c r="K45" s="641">
        <v>4149</v>
      </c>
      <c r="L45" s="641">
        <v>4149</v>
      </c>
      <c r="M45" s="641">
        <v>4149</v>
      </c>
      <c r="N45" s="641">
        <v>4149</v>
      </c>
      <c r="O45" s="641">
        <v>4149</v>
      </c>
      <c r="P45" s="641">
        <v>4149</v>
      </c>
      <c r="Q45" s="641">
        <v>4149</v>
      </c>
    </row>
    <row r="46" spans="1:17">
      <c r="A46" s="1" t="s">
        <v>17</v>
      </c>
      <c r="B46" s="748"/>
      <c r="C46" s="641">
        <v>22000</v>
      </c>
      <c r="D46" s="641">
        <v>22000</v>
      </c>
      <c r="E46" s="641">
        <v>22000</v>
      </c>
      <c r="F46" s="641">
        <v>22000</v>
      </c>
      <c r="G46" s="641">
        <v>22000</v>
      </c>
      <c r="H46" s="641">
        <v>22000</v>
      </c>
      <c r="I46" s="641">
        <v>22000</v>
      </c>
      <c r="J46" s="641">
        <v>22000</v>
      </c>
      <c r="K46" s="641">
        <v>22000</v>
      </c>
      <c r="L46" s="641">
        <v>22000</v>
      </c>
      <c r="M46" s="641">
        <v>22000</v>
      </c>
      <c r="N46" s="641">
        <v>22000</v>
      </c>
      <c r="O46" s="641">
        <v>22000</v>
      </c>
      <c r="P46" s="641">
        <v>22000</v>
      </c>
      <c r="Q46" s="641">
        <v>22000</v>
      </c>
    </row>
    <row r="47" spans="1:17">
      <c r="A47" s="1"/>
      <c r="B47" s="748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</row>
    <row r="48" spans="1:17" s="687" customFormat="1" ht="15" thickBot="1">
      <c r="A48" s="1447" t="s">
        <v>224</v>
      </c>
      <c r="B48" s="1448"/>
      <c r="C48" s="856">
        <v>7387604</v>
      </c>
      <c r="D48" s="856">
        <v>5919195</v>
      </c>
      <c r="E48" s="856">
        <v>6562058</v>
      </c>
      <c r="F48" s="856">
        <v>4987474</v>
      </c>
      <c r="G48" s="856">
        <v>4068802</v>
      </c>
      <c r="H48" s="856">
        <v>11423353</v>
      </c>
      <c r="I48" s="856">
        <v>7013059</v>
      </c>
      <c r="J48" s="856">
        <v>7165609</v>
      </c>
      <c r="K48" s="856">
        <v>8011815</v>
      </c>
      <c r="L48" s="856">
        <v>6769022</v>
      </c>
      <c r="M48" s="856">
        <v>8234759</v>
      </c>
      <c r="N48" s="856">
        <v>8876551</v>
      </c>
      <c r="O48" s="856">
        <v>9552782</v>
      </c>
      <c r="P48" s="856">
        <v>10106063</v>
      </c>
      <c r="Q48" s="856">
        <v>29134547</v>
      </c>
    </row>
    <row r="49" spans="1:17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</row>
    <row r="50" spans="1:17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</row>
    <row r="51" spans="1:17">
      <c r="A51" s="28" t="s">
        <v>90</v>
      </c>
      <c r="B51" s="747" t="s">
        <v>206</v>
      </c>
      <c r="C51" s="855">
        <v>5000000</v>
      </c>
      <c r="D51" s="855">
        <v>21613483</v>
      </c>
      <c r="E51" s="855">
        <v>5000000</v>
      </c>
      <c r="F51" s="855">
        <v>5000000</v>
      </c>
      <c r="G51" s="855">
        <v>5000000</v>
      </c>
      <c r="H51" s="855">
        <v>5149188</v>
      </c>
      <c r="I51" s="855">
        <v>5057390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5095780</v>
      </c>
      <c r="P51" s="855">
        <v>5000000</v>
      </c>
      <c r="Q51" s="855">
        <v>5079980</v>
      </c>
    </row>
    <row r="52" spans="1:17">
      <c r="A52" s="28" t="s">
        <v>73</v>
      </c>
      <c r="B52" s="746" t="s">
        <v>81</v>
      </c>
      <c r="C52" s="855">
        <v>1063306</v>
      </c>
      <c r="D52" s="855">
        <v>1003800</v>
      </c>
      <c r="E52" s="855">
        <v>1376300</v>
      </c>
      <c r="F52" s="855">
        <v>1692800</v>
      </c>
      <c r="G52" s="855">
        <v>815300</v>
      </c>
      <c r="H52" s="855">
        <v>815300</v>
      </c>
      <c r="I52" s="855">
        <v>826175</v>
      </c>
      <c r="J52" s="855">
        <v>846925</v>
      </c>
      <c r="K52" s="855">
        <v>846925</v>
      </c>
      <c r="L52" s="855">
        <v>335625</v>
      </c>
      <c r="M52" s="855">
        <v>335625</v>
      </c>
      <c r="N52" s="855">
        <v>335625</v>
      </c>
      <c r="O52" s="855">
        <v>335625</v>
      </c>
      <c r="P52" s="855">
        <v>356725</v>
      </c>
      <c r="Q52" s="855">
        <v>356725</v>
      </c>
    </row>
    <row r="53" spans="1:17">
      <c r="A53" s="28" t="s">
        <v>1</v>
      </c>
      <c r="B53" s="746" t="s">
        <v>271</v>
      </c>
      <c r="C53" s="855">
        <v>1895165</v>
      </c>
      <c r="D53" s="855">
        <v>855097</v>
      </c>
      <c r="E53" s="855">
        <v>994992</v>
      </c>
      <c r="F53" s="855">
        <v>1010248</v>
      </c>
      <c r="G53" s="855">
        <v>875026</v>
      </c>
      <c r="H53" s="855">
        <v>1405111</v>
      </c>
      <c r="I53" s="855">
        <v>629378</v>
      </c>
      <c r="J53" s="855">
        <v>1083071</v>
      </c>
      <c r="K53" s="855">
        <v>1311462</v>
      </c>
      <c r="L53" s="855">
        <v>173332</v>
      </c>
      <c r="M53" s="855">
        <v>489324</v>
      </c>
      <c r="N53" s="855">
        <v>1074310</v>
      </c>
      <c r="O53" s="855">
        <v>1627798</v>
      </c>
      <c r="P53" s="855">
        <v>2066081</v>
      </c>
      <c r="Q53" s="855">
        <v>1013066</v>
      </c>
    </row>
    <row r="54" spans="1:17">
      <c r="A54" s="28" t="s">
        <v>111</v>
      </c>
      <c r="B54" s="746" t="s">
        <v>83</v>
      </c>
      <c r="C54" s="855">
        <v>472005</v>
      </c>
      <c r="D54" s="855">
        <v>575385</v>
      </c>
      <c r="E54" s="855">
        <v>691035</v>
      </c>
      <c r="F54" s="855">
        <v>876135</v>
      </c>
      <c r="G54" s="855">
        <v>661565</v>
      </c>
      <c r="H54" s="855">
        <v>697065</v>
      </c>
      <c r="I54" s="855">
        <v>304265</v>
      </c>
      <c r="J54" s="855">
        <v>312265</v>
      </c>
      <c r="K54" s="855">
        <v>375765</v>
      </c>
      <c r="L54" s="855">
        <v>533440</v>
      </c>
      <c r="M54" s="855">
        <v>551440</v>
      </c>
      <c r="N54" s="855">
        <v>587440</v>
      </c>
      <c r="O54" s="855">
        <v>600440</v>
      </c>
      <c r="P54" s="855">
        <v>600440</v>
      </c>
      <c r="Q54" s="855">
        <v>674940</v>
      </c>
    </row>
    <row r="55" spans="1:17">
      <c r="A55" s="28" t="s">
        <v>168</v>
      </c>
      <c r="B55" s="746" t="s">
        <v>272</v>
      </c>
      <c r="C55" s="855">
        <v>525133</v>
      </c>
      <c r="D55" s="855">
        <v>531883</v>
      </c>
      <c r="E55" s="855">
        <v>546983</v>
      </c>
      <c r="F55" s="855">
        <v>618483</v>
      </c>
      <c r="G55" s="855">
        <v>149483</v>
      </c>
      <c r="H55" s="855">
        <v>162683</v>
      </c>
      <c r="I55" s="855">
        <v>227683</v>
      </c>
      <c r="J55" s="855">
        <v>227683</v>
      </c>
      <c r="K55" s="855">
        <v>357683</v>
      </c>
      <c r="L55" s="855">
        <v>357683</v>
      </c>
      <c r="M55" s="855">
        <v>357683</v>
      </c>
      <c r="N55" s="855">
        <v>395683</v>
      </c>
      <c r="O55" s="855">
        <v>395683</v>
      </c>
      <c r="P55" s="855">
        <v>395683</v>
      </c>
      <c r="Q55" s="855">
        <v>395683</v>
      </c>
    </row>
    <row r="56" spans="1:17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</row>
    <row r="57" spans="1:17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</row>
    <row r="58" spans="1:17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</row>
    <row r="59" spans="1:17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</row>
    <row r="60" spans="1:17" s="687" customFormat="1" ht="15" thickBot="1">
      <c r="A60" s="1447" t="s">
        <v>224</v>
      </c>
      <c r="B60" s="1448"/>
      <c r="C60" s="856">
        <v>9169114</v>
      </c>
      <c r="D60" s="856">
        <v>24793153</v>
      </c>
      <c r="E60" s="856">
        <v>8822815</v>
      </c>
      <c r="F60" s="856">
        <v>9411171</v>
      </c>
      <c r="G60" s="856">
        <v>7714879</v>
      </c>
      <c r="H60" s="856">
        <v>8442852</v>
      </c>
      <c r="I60" s="856">
        <v>7258396</v>
      </c>
      <c r="J60" s="856">
        <v>7683449</v>
      </c>
      <c r="K60" s="856">
        <v>8105340</v>
      </c>
      <c r="L60" s="856">
        <v>6613585</v>
      </c>
      <c r="M60" s="856">
        <v>6947577</v>
      </c>
      <c r="N60" s="856">
        <v>7606563</v>
      </c>
      <c r="O60" s="856">
        <v>8268831</v>
      </c>
      <c r="P60" s="856">
        <v>8632434</v>
      </c>
      <c r="Q60" s="856">
        <v>7733899</v>
      </c>
    </row>
    <row r="61" spans="1:17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</row>
    <row r="62" spans="1:17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</row>
    <row r="63" spans="1:17">
      <c r="A63" s="751" t="s">
        <v>1</v>
      </c>
      <c r="B63" s="752" t="s">
        <v>275</v>
      </c>
      <c r="C63" s="859">
        <v>1671933</v>
      </c>
      <c r="D63" s="859">
        <v>13527</v>
      </c>
      <c r="E63" s="859">
        <v>447314</v>
      </c>
      <c r="F63" s="859">
        <v>569850</v>
      </c>
      <c r="G63" s="859">
        <v>711523</v>
      </c>
      <c r="H63" s="859">
        <v>1874698</v>
      </c>
      <c r="I63" s="859">
        <v>1495913</v>
      </c>
      <c r="J63" s="859">
        <v>1781206</v>
      </c>
      <c r="K63" s="859">
        <v>1781206</v>
      </c>
      <c r="L63" s="859">
        <v>2031201</v>
      </c>
      <c r="M63" s="859">
        <v>1605885</v>
      </c>
      <c r="N63" s="859">
        <v>264262</v>
      </c>
      <c r="O63" s="859">
        <v>1504491</v>
      </c>
      <c r="P63" s="859">
        <v>1829977</v>
      </c>
      <c r="Q63" s="859">
        <v>379666</v>
      </c>
    </row>
    <row r="64" spans="1:17">
      <c r="A64" s="751" t="s">
        <v>212</v>
      </c>
      <c r="B64" s="752" t="s">
        <v>274</v>
      </c>
      <c r="C64" s="859">
        <v>118549</v>
      </c>
      <c r="D64" s="859">
        <v>20024</v>
      </c>
      <c r="E64" s="859">
        <v>20024</v>
      </c>
      <c r="F64" s="859">
        <v>4074</v>
      </c>
      <c r="G64" s="859">
        <v>4074</v>
      </c>
      <c r="H64" s="859">
        <v>4074</v>
      </c>
      <c r="I64" s="859">
        <v>310274</v>
      </c>
      <c r="J64" s="859">
        <v>41274</v>
      </c>
      <c r="K64" s="859">
        <v>41274</v>
      </c>
      <c r="L64" s="859">
        <v>31269</v>
      </c>
      <c r="M64" s="859">
        <v>557269</v>
      </c>
      <c r="N64" s="859">
        <v>145269</v>
      </c>
      <c r="O64" s="859">
        <v>463894</v>
      </c>
      <c r="P64" s="859">
        <v>35894</v>
      </c>
      <c r="Q64" s="859">
        <v>1068894</v>
      </c>
    </row>
    <row r="65" spans="1:17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</row>
    <row r="66" spans="1:17">
      <c r="A66" s="751" t="s">
        <v>747</v>
      </c>
      <c r="B66" s="752" t="s">
        <v>277</v>
      </c>
      <c r="C66" s="859">
        <v>1000000</v>
      </c>
      <c r="D66" s="859">
        <v>121339</v>
      </c>
      <c r="E66" s="859">
        <v>46339</v>
      </c>
      <c r="F66" s="859">
        <v>91339</v>
      </c>
      <c r="G66" s="859">
        <v>597864</v>
      </c>
      <c r="H66" s="859">
        <v>82864</v>
      </c>
      <c r="I66" s="859">
        <v>1328973</v>
      </c>
      <c r="J66" s="859">
        <v>861351</v>
      </c>
      <c r="K66" s="859">
        <v>861351</v>
      </c>
      <c r="L66" s="859">
        <v>9869351</v>
      </c>
      <c r="M66" s="859">
        <v>3296851</v>
      </c>
      <c r="N66" s="859">
        <v>3458351</v>
      </c>
      <c r="O66" s="859">
        <v>3263851</v>
      </c>
      <c r="P66" s="859">
        <v>1496851</v>
      </c>
      <c r="Q66" s="859">
        <v>1516851</v>
      </c>
    </row>
    <row r="67" spans="1:17">
      <c r="A67" s="751" t="s">
        <v>200</v>
      </c>
      <c r="B67" s="752" t="s">
        <v>278</v>
      </c>
      <c r="C67" s="859">
        <v>27907</v>
      </c>
      <c r="D67" s="859">
        <v>27907</v>
      </c>
      <c r="E67" s="859">
        <v>27907</v>
      </c>
      <c r="F67" s="859">
        <v>27907</v>
      </c>
      <c r="G67" s="859">
        <v>27907</v>
      </c>
      <c r="H67" s="859">
        <v>27907</v>
      </c>
      <c r="I67" s="859">
        <v>27907</v>
      </c>
      <c r="J67" s="859">
        <v>27907</v>
      </c>
      <c r="K67" s="859">
        <v>27907</v>
      </c>
      <c r="L67" s="859">
        <v>27907</v>
      </c>
      <c r="M67" s="859">
        <v>27907</v>
      </c>
      <c r="N67" s="859">
        <v>30907</v>
      </c>
      <c r="O67" s="859">
        <v>30907</v>
      </c>
      <c r="P67" s="859">
        <v>30907</v>
      </c>
      <c r="Q67" s="859">
        <v>30907</v>
      </c>
    </row>
    <row r="68" spans="1:17">
      <c r="A68" s="751" t="s">
        <v>201</v>
      </c>
      <c r="B68" s="752" t="s">
        <v>279</v>
      </c>
      <c r="C68" s="859">
        <v>29000</v>
      </c>
      <c r="D68" s="859">
        <v>29000</v>
      </c>
      <c r="E68" s="859">
        <v>29000</v>
      </c>
      <c r="F68" s="859">
        <v>29000</v>
      </c>
      <c r="G68" s="859">
        <v>29000</v>
      </c>
      <c r="H68" s="859">
        <v>29000</v>
      </c>
      <c r="I68" s="859">
        <v>29000</v>
      </c>
      <c r="J68" s="859">
        <v>29000</v>
      </c>
      <c r="K68" s="859">
        <v>29000</v>
      </c>
      <c r="L68" s="859">
        <v>29000</v>
      </c>
      <c r="M68" s="859">
        <v>29000</v>
      </c>
      <c r="N68" s="859">
        <v>29000</v>
      </c>
      <c r="O68" s="859">
        <v>29000</v>
      </c>
      <c r="P68" s="859">
        <v>29000</v>
      </c>
      <c r="Q68" s="859">
        <v>29000</v>
      </c>
    </row>
    <row r="69" spans="1:17">
      <c r="A69" s="751" t="s">
        <v>202</v>
      </c>
      <c r="B69" s="752" t="s">
        <v>280</v>
      </c>
      <c r="C69" s="859">
        <v>116000</v>
      </c>
      <c r="D69" s="859">
        <v>116000</v>
      </c>
      <c r="E69" s="859">
        <v>116000</v>
      </c>
      <c r="F69" s="859">
        <v>122500</v>
      </c>
      <c r="G69" s="859">
        <v>122500</v>
      </c>
      <c r="H69" s="859">
        <v>122500</v>
      </c>
      <c r="I69" s="859">
        <v>122500</v>
      </c>
      <c r="J69" s="859">
        <v>122500</v>
      </c>
      <c r="K69" s="859">
        <v>122500</v>
      </c>
      <c r="L69" s="859">
        <v>122500</v>
      </c>
      <c r="M69" s="859">
        <v>122500</v>
      </c>
      <c r="N69" s="859">
        <v>122500</v>
      </c>
      <c r="O69" s="859">
        <v>122500</v>
      </c>
      <c r="P69" s="859">
        <v>122500</v>
      </c>
      <c r="Q69" s="859">
        <v>28500</v>
      </c>
    </row>
    <row r="70" spans="1:17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</row>
    <row r="71" spans="1:17">
      <c r="A71" s="751" t="s">
        <v>800</v>
      </c>
      <c r="B71" s="752"/>
      <c r="C71" s="859">
        <v>20333</v>
      </c>
      <c r="D71" s="859">
        <v>5000001</v>
      </c>
      <c r="E71" s="859">
        <v>5000001</v>
      </c>
      <c r="F71" s="859">
        <v>5000001</v>
      </c>
      <c r="G71" s="859">
        <v>5000001</v>
      </c>
      <c r="H71" s="859">
        <v>3122125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</row>
    <row r="72" spans="1:17">
      <c r="A72" s="4"/>
      <c r="B72" s="753"/>
      <c r="C72" s="860"/>
      <c r="D72" s="860"/>
      <c r="E72" s="860"/>
      <c r="F72" s="860"/>
      <c r="G72" s="860"/>
      <c r="H72" s="860"/>
      <c r="I72" s="860"/>
      <c r="J72" s="860"/>
      <c r="K72" s="860"/>
      <c r="L72" s="860"/>
      <c r="M72" s="860"/>
      <c r="N72" s="860"/>
      <c r="O72" s="860"/>
      <c r="P72" s="860"/>
      <c r="Q72" s="860"/>
    </row>
    <row r="73" spans="1:17" s="687" customFormat="1" ht="15" thickBot="1">
      <c r="A73" s="1447" t="s">
        <v>224</v>
      </c>
      <c r="B73" s="1448"/>
      <c r="C73" s="856">
        <v>3213398</v>
      </c>
      <c r="D73" s="856">
        <v>5557474</v>
      </c>
      <c r="E73" s="856">
        <v>5916261</v>
      </c>
      <c r="F73" s="856">
        <v>6074347</v>
      </c>
      <c r="G73" s="856">
        <v>6722545</v>
      </c>
      <c r="H73" s="856">
        <v>5492844</v>
      </c>
      <c r="I73" s="856">
        <v>3544243</v>
      </c>
      <c r="J73" s="856">
        <v>3092914</v>
      </c>
      <c r="K73" s="856">
        <v>3092914</v>
      </c>
      <c r="L73" s="856">
        <v>12340904</v>
      </c>
      <c r="M73" s="856">
        <v>5869088</v>
      </c>
      <c r="N73" s="856">
        <v>4279965</v>
      </c>
      <c r="O73" s="856">
        <v>5644319</v>
      </c>
      <c r="P73" s="856">
        <v>3774805</v>
      </c>
      <c r="Q73" s="856">
        <v>3283494</v>
      </c>
    </row>
    <row r="74" spans="1:17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</row>
    <row r="75" spans="1:17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</row>
    <row r="76" spans="1:17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</row>
    <row r="77" spans="1:17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</row>
    <row r="78" spans="1:17">
      <c r="A78" s="28" t="s">
        <v>90</v>
      </c>
      <c r="B78" s="747" t="s">
        <v>266</v>
      </c>
      <c r="C78" s="855">
        <v>5000001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4919390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5061920</v>
      </c>
      <c r="P78" s="855">
        <v>5000000</v>
      </c>
      <c r="Q78" s="855">
        <v>1000000</v>
      </c>
    </row>
    <row r="79" spans="1:17">
      <c r="A79" s="28" t="s">
        <v>73</v>
      </c>
      <c r="B79" s="746" t="s">
        <v>485</v>
      </c>
      <c r="C79" s="855">
        <v>378262</v>
      </c>
      <c r="D79" s="855">
        <v>422012</v>
      </c>
      <c r="E79" s="855">
        <v>503512</v>
      </c>
      <c r="F79" s="855">
        <v>927262</v>
      </c>
      <c r="G79" s="855">
        <v>94662</v>
      </c>
      <c r="H79" s="855">
        <v>94662</v>
      </c>
      <c r="I79" s="855">
        <v>166162</v>
      </c>
      <c r="J79" s="855">
        <v>216912</v>
      </c>
      <c r="K79" s="855">
        <v>267662</v>
      </c>
      <c r="L79" s="855">
        <v>430983</v>
      </c>
      <c r="M79" s="855">
        <v>493683</v>
      </c>
      <c r="N79" s="855">
        <v>991983</v>
      </c>
      <c r="O79" s="855">
        <v>991983</v>
      </c>
      <c r="P79" s="855">
        <v>144483</v>
      </c>
      <c r="Q79" s="855">
        <v>144483</v>
      </c>
    </row>
    <row r="80" spans="1:17">
      <c r="A80" s="28" t="s">
        <v>1</v>
      </c>
      <c r="B80" s="746" t="s">
        <v>486</v>
      </c>
      <c r="C80" s="855">
        <v>122636</v>
      </c>
      <c r="D80" s="855">
        <v>286127</v>
      </c>
      <c r="E80" s="855">
        <v>796412</v>
      </c>
      <c r="F80" s="855">
        <v>822555</v>
      </c>
      <c r="G80" s="855">
        <v>863819</v>
      </c>
      <c r="H80" s="855">
        <v>1173908</v>
      </c>
      <c r="I80" s="855">
        <v>182951</v>
      </c>
      <c r="J80" s="855">
        <v>785735</v>
      </c>
      <c r="K80" s="855">
        <v>1415415</v>
      </c>
      <c r="L80" s="855">
        <v>105904</v>
      </c>
      <c r="M80" s="855">
        <v>560093</v>
      </c>
      <c r="N80" s="855">
        <v>1001478</v>
      </c>
      <c r="O80" s="855">
        <v>1365267</v>
      </c>
      <c r="P80" s="855">
        <v>2034953</v>
      </c>
      <c r="Q80" s="855">
        <v>1247434</v>
      </c>
    </row>
    <row r="81" spans="1:17">
      <c r="A81" s="28" t="s">
        <v>111</v>
      </c>
      <c r="B81" s="746" t="s">
        <v>487</v>
      </c>
      <c r="C81" s="855">
        <v>161247</v>
      </c>
      <c r="D81" s="855">
        <v>510647</v>
      </c>
      <c r="E81" s="855">
        <v>651112</v>
      </c>
      <c r="F81" s="855">
        <v>1002162</v>
      </c>
      <c r="G81" s="855">
        <v>290082</v>
      </c>
      <c r="H81" s="855">
        <v>366722</v>
      </c>
      <c r="I81" s="855">
        <v>564322</v>
      </c>
      <c r="J81" s="855">
        <v>91822</v>
      </c>
      <c r="K81" s="855">
        <v>128322</v>
      </c>
      <c r="L81" s="855">
        <v>558162</v>
      </c>
      <c r="M81" s="855">
        <v>753462</v>
      </c>
      <c r="N81" s="855">
        <v>753462</v>
      </c>
      <c r="O81" s="855">
        <v>820732</v>
      </c>
      <c r="P81" s="855">
        <v>1015622</v>
      </c>
      <c r="Q81" s="855">
        <v>1210822</v>
      </c>
    </row>
    <row r="82" spans="1:17">
      <c r="A82" s="28" t="s">
        <v>168</v>
      </c>
      <c r="B82" s="746" t="s">
        <v>488</v>
      </c>
      <c r="C82" s="855">
        <v>364400</v>
      </c>
      <c r="D82" s="855">
        <v>434400</v>
      </c>
      <c r="E82" s="855">
        <v>447400</v>
      </c>
      <c r="F82" s="855">
        <v>501900</v>
      </c>
      <c r="G82" s="855">
        <v>148900</v>
      </c>
      <c r="H82" s="855">
        <v>201500</v>
      </c>
      <c r="I82" s="855">
        <v>325500</v>
      </c>
      <c r="J82" s="855">
        <v>353500</v>
      </c>
      <c r="K82" s="855">
        <v>353500</v>
      </c>
      <c r="L82" s="855">
        <v>452750</v>
      </c>
      <c r="M82" s="855">
        <v>452750</v>
      </c>
      <c r="N82" s="855">
        <v>3250</v>
      </c>
      <c r="O82" s="855">
        <v>3250</v>
      </c>
      <c r="P82" s="855">
        <v>86750</v>
      </c>
      <c r="Q82" s="855">
        <v>157850</v>
      </c>
    </row>
    <row r="83" spans="1:17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</row>
    <row r="84" spans="1:17">
      <c r="A84" s="28" t="s">
        <v>9</v>
      </c>
      <c r="B84" s="746" t="s">
        <v>490</v>
      </c>
      <c r="C84" s="855">
        <v>657833</v>
      </c>
      <c r="D84" s="855">
        <v>1039959</v>
      </c>
      <c r="E84" s="855">
        <v>1039959</v>
      </c>
      <c r="F84" s="855">
        <v>1039959</v>
      </c>
      <c r="G84" s="855">
        <v>1039959</v>
      </c>
      <c r="H84" s="855">
        <v>1039959</v>
      </c>
      <c r="I84" s="855">
        <v>1037522</v>
      </c>
      <c r="J84" s="855">
        <v>1037522</v>
      </c>
      <c r="K84" s="855">
        <v>1062322</v>
      </c>
      <c r="L84" s="855">
        <v>1062322</v>
      </c>
      <c r="M84" s="855">
        <v>62322</v>
      </c>
      <c r="N84" s="855">
        <v>989211</v>
      </c>
      <c r="O84" s="855">
        <v>986774</v>
      </c>
      <c r="P84" s="855">
        <v>1022974</v>
      </c>
      <c r="Q84" s="855">
        <v>1022974</v>
      </c>
    </row>
    <row r="85" spans="1:17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</row>
    <row r="86" spans="1:17" s="687" customFormat="1" ht="15" thickBot="1">
      <c r="A86" s="1447" t="s">
        <v>224</v>
      </c>
      <c r="B86" s="1448"/>
      <c r="C86" s="856">
        <v>6684379</v>
      </c>
      <c r="D86" s="856">
        <v>7693145</v>
      </c>
      <c r="E86" s="856">
        <v>8438395</v>
      </c>
      <c r="F86" s="856">
        <v>9293838</v>
      </c>
      <c r="G86" s="856">
        <v>7437422</v>
      </c>
      <c r="H86" s="856">
        <v>7796141</v>
      </c>
      <c r="I86" s="856">
        <v>7276457</v>
      </c>
      <c r="J86" s="856">
        <v>7485491</v>
      </c>
      <c r="K86" s="856">
        <v>8227221</v>
      </c>
      <c r="L86" s="856">
        <v>7610121</v>
      </c>
      <c r="M86" s="856">
        <v>7322310</v>
      </c>
      <c r="N86" s="856">
        <v>8739384</v>
      </c>
      <c r="O86" s="856">
        <v>9229926</v>
      </c>
      <c r="P86" s="856">
        <v>9304782</v>
      </c>
      <c r="Q86" s="856">
        <v>4783563</v>
      </c>
    </row>
    <row r="87" spans="1:17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</row>
    <row r="88" spans="1:17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</row>
    <row r="89" spans="1:17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</row>
    <row r="90" spans="1:17">
      <c r="A90" s="28" t="s">
        <v>95</v>
      </c>
      <c r="B90" s="747" t="s">
        <v>207</v>
      </c>
      <c r="C90" s="855">
        <v>450000</v>
      </c>
      <c r="D90" s="855">
        <v>50000</v>
      </c>
      <c r="E90" s="855">
        <v>50000</v>
      </c>
      <c r="F90" s="855">
        <v>50000</v>
      </c>
      <c r="G90" s="855">
        <v>273880</v>
      </c>
      <c r="H90" s="855">
        <v>273880</v>
      </c>
      <c r="I90" s="855">
        <v>550000</v>
      </c>
      <c r="J90" s="855">
        <v>500000</v>
      </c>
      <c r="K90" s="855">
        <v>150000</v>
      </c>
      <c r="L90" s="855">
        <v>11633802</v>
      </c>
      <c r="M90" s="855">
        <v>2237802</v>
      </c>
      <c r="N90" s="855">
        <v>4439302</v>
      </c>
      <c r="O90" s="855">
        <v>49539302</v>
      </c>
      <c r="P90" s="855">
        <v>2853370</v>
      </c>
      <c r="Q90" s="855">
        <v>154903</v>
      </c>
    </row>
    <row r="91" spans="1:17">
      <c r="A91" s="28" t="s">
        <v>96</v>
      </c>
      <c r="B91" s="747" t="s">
        <v>208</v>
      </c>
      <c r="C91" s="855">
        <v>0</v>
      </c>
      <c r="D91" s="855">
        <v>0</v>
      </c>
      <c r="E91" s="855">
        <v>0</v>
      </c>
      <c r="F91" s="855">
        <v>50000</v>
      </c>
      <c r="G91" s="855">
        <v>10000</v>
      </c>
      <c r="H91" s="855">
        <v>10000</v>
      </c>
      <c r="I91" s="855">
        <v>10000</v>
      </c>
      <c r="J91" s="855">
        <v>10000</v>
      </c>
      <c r="K91" s="855">
        <v>10000</v>
      </c>
      <c r="L91" s="855">
        <v>26111</v>
      </c>
      <c r="M91" s="855">
        <v>26111</v>
      </c>
      <c r="N91" s="855">
        <v>26111</v>
      </c>
      <c r="O91" s="855">
        <v>26111</v>
      </c>
      <c r="P91" s="855">
        <v>26111</v>
      </c>
      <c r="Q91" s="855">
        <v>17870</v>
      </c>
    </row>
    <row r="92" spans="1:17">
      <c r="A92" s="28" t="s">
        <v>766</v>
      </c>
      <c r="B92" s="747"/>
      <c r="C92" s="855">
        <v>62767353</v>
      </c>
      <c r="D92" s="855">
        <v>13850000</v>
      </c>
      <c r="E92" s="855">
        <v>5000000</v>
      </c>
      <c r="F92" s="855">
        <v>5000000</v>
      </c>
      <c r="G92" s="855">
        <v>58538133</v>
      </c>
      <c r="H92" s="855">
        <v>3530385</v>
      </c>
      <c r="I92" s="855">
        <v>45104855</v>
      </c>
      <c r="J92" s="855">
        <v>31007323</v>
      </c>
      <c r="K92" s="855">
        <v>26533293</v>
      </c>
      <c r="L92" s="855">
        <v>0</v>
      </c>
      <c r="M92" s="855">
        <v>0</v>
      </c>
      <c r="N92" s="855">
        <v>0</v>
      </c>
      <c r="O92" s="855">
        <v>0</v>
      </c>
      <c r="P92" s="855">
        <v>0</v>
      </c>
      <c r="Q92" s="855">
        <v>0</v>
      </c>
    </row>
    <row r="93" spans="1:17">
      <c r="A93" s="28" t="s">
        <v>767</v>
      </c>
      <c r="B93" s="747"/>
      <c r="C93" s="855">
        <v>0</v>
      </c>
      <c r="D93" s="855">
        <v>0</v>
      </c>
      <c r="E93" s="855">
        <v>0</v>
      </c>
      <c r="F93" s="855">
        <v>0</v>
      </c>
      <c r="G93" s="855">
        <v>0</v>
      </c>
      <c r="H93" s="855">
        <v>0</v>
      </c>
      <c r="I93" s="855">
        <v>0</v>
      </c>
      <c r="J93" s="855">
        <v>0</v>
      </c>
      <c r="K93" s="855">
        <v>0</v>
      </c>
      <c r="L93" s="855">
        <v>0</v>
      </c>
      <c r="M93" s="855">
        <v>0</v>
      </c>
      <c r="N93" s="855">
        <v>0</v>
      </c>
      <c r="O93" s="855">
        <v>0</v>
      </c>
      <c r="P93" s="855">
        <v>0</v>
      </c>
      <c r="Q93" s="855">
        <v>0</v>
      </c>
    </row>
    <row r="94" spans="1:17">
      <c r="A94" s="28" t="s">
        <v>94</v>
      </c>
      <c r="B94" s="747" t="s">
        <v>82</v>
      </c>
      <c r="C94" s="855">
        <v>100000</v>
      </c>
      <c r="D94" s="855">
        <v>50000</v>
      </c>
      <c r="E94" s="855">
        <v>50000</v>
      </c>
      <c r="F94" s="855">
        <v>50000</v>
      </c>
      <c r="G94" s="855">
        <v>50000</v>
      </c>
      <c r="H94" s="855">
        <v>50000</v>
      </c>
      <c r="I94" s="855">
        <v>50000</v>
      </c>
      <c r="J94" s="855">
        <v>50000</v>
      </c>
      <c r="K94" s="855">
        <v>50000</v>
      </c>
      <c r="L94" s="855">
        <v>252777</v>
      </c>
      <c r="M94" s="855">
        <v>252777</v>
      </c>
      <c r="N94" s="855">
        <v>252777</v>
      </c>
      <c r="O94" s="855">
        <v>252777</v>
      </c>
      <c r="P94" s="855">
        <v>252777</v>
      </c>
      <c r="Q94" s="855">
        <v>252777</v>
      </c>
    </row>
    <row r="95" spans="1:17">
      <c r="A95" s="28" t="s">
        <v>103</v>
      </c>
      <c r="B95" s="747" t="s">
        <v>209</v>
      </c>
      <c r="C95" s="855">
        <v>100000</v>
      </c>
      <c r="D95" s="855">
        <v>50000</v>
      </c>
      <c r="E95" s="855">
        <v>50000</v>
      </c>
      <c r="F95" s="855">
        <v>50000</v>
      </c>
      <c r="G95" s="855">
        <v>50000</v>
      </c>
      <c r="H95" s="855">
        <v>50000</v>
      </c>
      <c r="I95" s="855">
        <v>50000</v>
      </c>
      <c r="J95" s="855">
        <v>50000</v>
      </c>
      <c r="K95" s="855">
        <v>50000</v>
      </c>
      <c r="L95" s="855">
        <v>252500</v>
      </c>
      <c r="M95" s="855">
        <v>252500</v>
      </c>
      <c r="N95" s="855">
        <v>252500</v>
      </c>
      <c r="O95" s="855">
        <v>252500</v>
      </c>
      <c r="P95" s="855">
        <v>252500</v>
      </c>
      <c r="Q95" s="855">
        <v>202500</v>
      </c>
    </row>
    <row r="96" spans="1:17">
      <c r="A96" s="28" t="s">
        <v>70</v>
      </c>
      <c r="B96" s="747" t="s">
        <v>210</v>
      </c>
      <c r="C96" s="855">
        <v>136002</v>
      </c>
      <c r="D96" s="855">
        <v>156002</v>
      </c>
      <c r="E96" s="855">
        <v>156002</v>
      </c>
      <c r="F96" s="855">
        <v>181502</v>
      </c>
      <c r="G96" s="855">
        <v>123</v>
      </c>
      <c r="H96" s="855">
        <v>123</v>
      </c>
      <c r="I96" s="855">
        <v>123</v>
      </c>
      <c r="J96" s="855">
        <v>123</v>
      </c>
      <c r="K96" s="855">
        <v>123</v>
      </c>
      <c r="L96" s="855">
        <v>123</v>
      </c>
      <c r="M96" s="855">
        <v>123</v>
      </c>
      <c r="N96" s="855">
        <v>123</v>
      </c>
      <c r="O96" s="855">
        <v>123</v>
      </c>
      <c r="P96" s="855">
        <v>123</v>
      </c>
      <c r="Q96" s="855">
        <v>9123</v>
      </c>
    </row>
    <row r="97" spans="1:17">
      <c r="A97" s="28" t="s">
        <v>220</v>
      </c>
      <c r="B97" s="747" t="s">
        <v>204</v>
      </c>
      <c r="C97" s="855">
        <v>2222</v>
      </c>
      <c r="D97" s="855">
        <v>21222</v>
      </c>
      <c r="E97" s="855">
        <v>21222</v>
      </c>
      <c r="F97" s="855">
        <v>21222</v>
      </c>
      <c r="G97" s="855">
        <v>21222</v>
      </c>
      <c r="H97" s="855">
        <v>21222</v>
      </c>
      <c r="I97" s="855">
        <v>21222</v>
      </c>
      <c r="J97" s="855">
        <v>21222</v>
      </c>
      <c r="K97" s="855">
        <v>21222</v>
      </c>
      <c r="L97" s="855">
        <v>21222</v>
      </c>
      <c r="M97" s="855">
        <v>21222</v>
      </c>
      <c r="N97" s="855">
        <v>21222</v>
      </c>
      <c r="O97" s="855">
        <v>21222</v>
      </c>
      <c r="P97" s="855">
        <v>21222</v>
      </c>
      <c r="Q97" s="855">
        <v>32722</v>
      </c>
    </row>
    <row r="98" spans="1:17">
      <c r="A98" s="28" t="s">
        <v>221</v>
      </c>
      <c r="B98" s="747" t="s">
        <v>205</v>
      </c>
      <c r="C98" s="855">
        <v>42999</v>
      </c>
      <c r="D98" s="855">
        <v>48999</v>
      </c>
      <c r="E98" s="855">
        <v>48999</v>
      </c>
      <c r="F98" s="855">
        <v>48999</v>
      </c>
      <c r="G98" s="855">
        <v>48999</v>
      </c>
      <c r="H98" s="855">
        <v>48999</v>
      </c>
      <c r="I98" s="855">
        <v>20048999</v>
      </c>
      <c r="J98" s="855">
        <v>48999</v>
      </c>
      <c r="K98" s="855">
        <v>48999</v>
      </c>
      <c r="L98" s="855">
        <v>54999</v>
      </c>
      <c r="M98" s="855">
        <v>54999</v>
      </c>
      <c r="N98" s="855">
        <v>54999</v>
      </c>
      <c r="O98" s="855">
        <v>54999</v>
      </c>
      <c r="P98" s="855">
        <v>54999</v>
      </c>
      <c r="Q98" s="855">
        <v>60999</v>
      </c>
    </row>
    <row r="99" spans="1:17">
      <c r="A99" s="1" t="s">
        <v>5</v>
      </c>
      <c r="B99" s="756"/>
      <c r="C99" s="641">
        <v>0</v>
      </c>
      <c r="D99" s="641">
        <v>0</v>
      </c>
      <c r="E99" s="641">
        <v>0</v>
      </c>
      <c r="F99" s="641">
        <v>0</v>
      </c>
      <c r="G99" s="641">
        <v>0</v>
      </c>
      <c r="H99" s="641">
        <v>0</v>
      </c>
      <c r="I99" s="641">
        <v>0</v>
      </c>
      <c r="J99" s="641">
        <v>0</v>
      </c>
      <c r="K99" s="641">
        <v>0</v>
      </c>
      <c r="L99" s="641">
        <v>0</v>
      </c>
      <c r="M99" s="641">
        <v>0</v>
      </c>
      <c r="N99" s="641">
        <v>0</v>
      </c>
      <c r="O99" s="641">
        <v>0</v>
      </c>
      <c r="P99" s="641">
        <v>0</v>
      </c>
      <c r="Q99" s="641">
        <v>0</v>
      </c>
    </row>
    <row r="100" spans="1:17">
      <c r="A100" s="1" t="s">
        <v>6</v>
      </c>
      <c r="B100" s="756"/>
      <c r="C100" s="641">
        <v>0</v>
      </c>
      <c r="D100" s="641">
        <v>0</v>
      </c>
      <c r="E100" s="641">
        <v>0</v>
      </c>
      <c r="F100" s="641">
        <v>0</v>
      </c>
      <c r="G100" s="641">
        <v>0</v>
      </c>
      <c r="H100" s="641">
        <v>0</v>
      </c>
      <c r="I100" s="641">
        <v>0</v>
      </c>
      <c r="J100" s="641">
        <v>0</v>
      </c>
      <c r="K100" s="641">
        <v>0</v>
      </c>
      <c r="L100" s="641">
        <v>0</v>
      </c>
      <c r="M100" s="641">
        <v>0</v>
      </c>
      <c r="N100" s="641">
        <v>0</v>
      </c>
      <c r="O100" s="641">
        <v>0</v>
      </c>
      <c r="P100" s="641">
        <v>0</v>
      </c>
      <c r="Q100" s="641">
        <v>0</v>
      </c>
    </row>
    <row r="101" spans="1:17">
      <c r="A101" s="1" t="s">
        <v>7</v>
      </c>
      <c r="B101" s="756"/>
      <c r="C101" s="641">
        <v>5000</v>
      </c>
      <c r="D101" s="641">
        <v>5000</v>
      </c>
      <c r="E101" s="641">
        <v>5000</v>
      </c>
      <c r="F101" s="641">
        <v>5000</v>
      </c>
      <c r="G101" s="641">
        <v>5000</v>
      </c>
      <c r="H101" s="641">
        <v>5000</v>
      </c>
      <c r="I101" s="641">
        <v>5000</v>
      </c>
      <c r="J101" s="641">
        <v>5000</v>
      </c>
      <c r="K101" s="641">
        <v>5000</v>
      </c>
      <c r="L101" s="641">
        <v>5000</v>
      </c>
      <c r="M101" s="641">
        <v>5000</v>
      </c>
      <c r="N101" s="641">
        <v>5000</v>
      </c>
      <c r="O101" s="641">
        <v>5000</v>
      </c>
      <c r="P101" s="641">
        <v>5000</v>
      </c>
      <c r="Q101" s="641">
        <v>5000</v>
      </c>
    </row>
    <row r="102" spans="1:17">
      <c r="A102" s="4" t="s">
        <v>565</v>
      </c>
      <c r="B102" s="757"/>
      <c r="C102" s="689">
        <v>27500</v>
      </c>
      <c r="D102" s="689">
        <v>27500</v>
      </c>
      <c r="E102" s="689">
        <v>27500</v>
      </c>
      <c r="F102" s="689">
        <v>50000</v>
      </c>
      <c r="G102" s="689">
        <v>50000</v>
      </c>
      <c r="H102" s="689">
        <v>50000</v>
      </c>
      <c r="I102" s="689">
        <v>50000</v>
      </c>
      <c r="J102" s="689">
        <v>50000</v>
      </c>
      <c r="K102" s="689">
        <v>50000</v>
      </c>
      <c r="L102" s="689">
        <v>50000</v>
      </c>
      <c r="M102" s="689">
        <v>50000</v>
      </c>
      <c r="N102" s="689">
        <v>50000</v>
      </c>
      <c r="O102" s="689">
        <v>5050000</v>
      </c>
      <c r="P102" s="689">
        <v>5050000</v>
      </c>
      <c r="Q102" s="689">
        <v>50000</v>
      </c>
    </row>
    <row r="103" spans="1:17">
      <c r="A103" s="4" t="s">
        <v>566</v>
      </c>
      <c r="B103" s="757"/>
      <c r="C103" s="689">
        <v>877</v>
      </c>
      <c r="D103" s="689">
        <v>877</v>
      </c>
      <c r="E103" s="689">
        <v>877</v>
      </c>
      <c r="F103" s="689">
        <v>8000</v>
      </c>
      <c r="G103" s="689">
        <v>8000</v>
      </c>
      <c r="H103" s="689">
        <v>8000</v>
      </c>
      <c r="I103" s="689">
        <v>8000</v>
      </c>
      <c r="J103" s="689">
        <v>8000</v>
      </c>
      <c r="K103" s="689">
        <v>8000</v>
      </c>
      <c r="L103" s="689">
        <v>8000</v>
      </c>
      <c r="M103" s="689">
        <v>8000</v>
      </c>
      <c r="N103" s="689">
        <v>8000</v>
      </c>
      <c r="O103" s="689">
        <v>8000</v>
      </c>
      <c r="P103" s="689">
        <v>8000</v>
      </c>
      <c r="Q103" s="689">
        <v>8000</v>
      </c>
    </row>
    <row r="104" spans="1:17">
      <c r="A104" s="4" t="s">
        <v>567</v>
      </c>
      <c r="B104" s="757"/>
      <c r="C104" s="689">
        <v>1345</v>
      </c>
      <c r="D104" s="689">
        <v>1345</v>
      </c>
      <c r="E104" s="689">
        <v>1345</v>
      </c>
      <c r="F104" s="689">
        <v>3845</v>
      </c>
      <c r="G104" s="689">
        <v>3845</v>
      </c>
      <c r="H104" s="689">
        <v>3845</v>
      </c>
      <c r="I104" s="689">
        <v>3845</v>
      </c>
      <c r="J104" s="689">
        <v>3845</v>
      </c>
      <c r="K104" s="689">
        <v>3845</v>
      </c>
      <c r="L104" s="689">
        <v>3845</v>
      </c>
      <c r="M104" s="689">
        <v>3845</v>
      </c>
      <c r="N104" s="689">
        <v>3845</v>
      </c>
      <c r="O104" s="689">
        <v>3845</v>
      </c>
      <c r="P104" s="689">
        <v>3845</v>
      </c>
      <c r="Q104" s="689">
        <v>3845</v>
      </c>
    </row>
    <row r="105" spans="1:17">
      <c r="A105" s="4" t="s">
        <v>568</v>
      </c>
      <c r="B105" s="757"/>
      <c r="C105" s="689">
        <v>3500</v>
      </c>
      <c r="D105" s="689">
        <v>3500</v>
      </c>
      <c r="E105" s="689">
        <v>3500</v>
      </c>
      <c r="F105" s="689">
        <v>3500</v>
      </c>
      <c r="G105" s="689">
        <v>3500</v>
      </c>
      <c r="H105" s="689">
        <v>3500</v>
      </c>
      <c r="I105" s="689">
        <v>3500</v>
      </c>
      <c r="J105" s="689">
        <v>3500</v>
      </c>
      <c r="K105" s="689">
        <v>3500</v>
      </c>
      <c r="L105" s="689">
        <v>3500</v>
      </c>
      <c r="M105" s="689">
        <v>3500</v>
      </c>
      <c r="N105" s="689">
        <v>3500</v>
      </c>
      <c r="O105" s="689">
        <v>5003500</v>
      </c>
      <c r="P105" s="689">
        <v>5003500</v>
      </c>
      <c r="Q105" s="689">
        <v>3500</v>
      </c>
    </row>
    <row r="106" spans="1:17">
      <c r="A106" s="4" t="s">
        <v>748</v>
      </c>
      <c r="B106" s="757"/>
      <c r="C106" s="689">
        <v>0</v>
      </c>
      <c r="D106" s="689">
        <v>0</v>
      </c>
      <c r="E106" s="689">
        <v>0</v>
      </c>
      <c r="F106" s="689">
        <v>0</v>
      </c>
      <c r="G106" s="689">
        <v>0</v>
      </c>
      <c r="H106" s="689">
        <v>0</v>
      </c>
      <c r="I106" s="689">
        <v>0</v>
      </c>
      <c r="J106" s="689">
        <v>0</v>
      </c>
      <c r="K106" s="689">
        <v>0</v>
      </c>
      <c r="L106" s="689">
        <v>0</v>
      </c>
      <c r="M106" s="689">
        <v>0</v>
      </c>
      <c r="N106" s="689">
        <v>0</v>
      </c>
      <c r="O106" s="689">
        <v>0</v>
      </c>
      <c r="P106" s="689">
        <v>0</v>
      </c>
      <c r="Q106" s="689">
        <v>0</v>
      </c>
    </row>
    <row r="107" spans="1:17">
      <c r="A107" s="4"/>
      <c r="B107" s="757"/>
      <c r="C107" s="689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</row>
    <row r="108" spans="1:17" ht="16.2" thickBot="1">
      <c r="A108" s="737"/>
      <c r="B108" s="738"/>
      <c r="C108" s="848">
        <v>63636798</v>
      </c>
      <c r="D108" s="848">
        <v>14264445</v>
      </c>
      <c r="E108" s="848">
        <v>5414445</v>
      </c>
      <c r="F108" s="848">
        <v>5522068</v>
      </c>
      <c r="G108" s="848">
        <v>59062702</v>
      </c>
      <c r="H108" s="848">
        <v>4054954</v>
      </c>
      <c r="I108" s="848">
        <v>65905544</v>
      </c>
      <c r="J108" s="848">
        <v>31758012</v>
      </c>
      <c r="K108" s="848">
        <v>26933982</v>
      </c>
      <c r="L108" s="848">
        <v>12311879</v>
      </c>
      <c r="M108" s="848">
        <v>2915879</v>
      </c>
      <c r="N108" s="848">
        <v>5117379</v>
      </c>
      <c r="O108" s="848">
        <v>60217379</v>
      </c>
      <c r="P108" s="848">
        <v>13531447</v>
      </c>
      <c r="Q108" s="848">
        <v>801239</v>
      </c>
    </row>
    <row r="109" spans="1:17">
      <c r="A109" s="5"/>
      <c r="B109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685"/>
      <c r="Q109" s="685"/>
    </row>
    <row r="110" spans="1:17">
      <c r="A110" s="5"/>
      <c r="B110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685"/>
      <c r="Q110" s="685"/>
    </row>
    <row r="111" spans="1:17">
      <c r="A111" s="754" t="s">
        <v>3</v>
      </c>
      <c r="B111" s="755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90"/>
      <c r="P111" s="690"/>
      <c r="Q111" s="690"/>
    </row>
    <row r="112" spans="1:17">
      <c r="A112" s="28" t="s">
        <v>223</v>
      </c>
      <c r="B112" s="747" t="s">
        <v>282</v>
      </c>
      <c r="C112" s="855">
        <v>67234</v>
      </c>
      <c r="D112" s="855">
        <v>67234</v>
      </c>
      <c r="E112" s="855">
        <v>67234</v>
      </c>
      <c r="F112" s="855">
        <v>67234</v>
      </c>
      <c r="G112" s="855">
        <v>100000</v>
      </c>
      <c r="H112" s="855">
        <v>100000</v>
      </c>
      <c r="I112" s="855">
        <v>950000</v>
      </c>
      <c r="J112" s="855">
        <v>950000</v>
      </c>
      <c r="K112" s="855">
        <v>950000</v>
      </c>
      <c r="L112" s="855">
        <v>100000</v>
      </c>
      <c r="M112" s="855">
        <v>100000</v>
      </c>
      <c r="N112" s="855">
        <v>100000</v>
      </c>
      <c r="O112" s="855">
        <v>56875440</v>
      </c>
      <c r="P112" s="855">
        <v>100000</v>
      </c>
      <c r="Q112" s="855">
        <v>100000</v>
      </c>
    </row>
    <row r="113" spans="1:17">
      <c r="A113" s="28" t="s">
        <v>764</v>
      </c>
      <c r="B113" s="747"/>
      <c r="C113" s="855">
        <v>84361046</v>
      </c>
      <c r="D113" s="855">
        <v>52394214</v>
      </c>
      <c r="E113" s="855">
        <v>24423755</v>
      </c>
      <c r="F113" s="855">
        <v>10900033</v>
      </c>
      <c r="G113" s="855">
        <v>40508651</v>
      </c>
      <c r="H113" s="855">
        <v>503797</v>
      </c>
      <c r="I113" s="855">
        <v>13908435</v>
      </c>
      <c r="J113" s="855">
        <v>55677649</v>
      </c>
      <c r="K113" s="855">
        <v>36208479</v>
      </c>
      <c r="L113" s="855">
        <v>50275043</v>
      </c>
      <c r="M113" s="855">
        <v>152570059</v>
      </c>
      <c r="N113" s="855">
        <v>12655799</v>
      </c>
      <c r="O113" s="855">
        <v>41584331</v>
      </c>
      <c r="P113" s="855">
        <v>42584331</v>
      </c>
      <c r="Q113" s="855">
        <v>48496408</v>
      </c>
    </row>
    <row r="114" spans="1:17">
      <c r="A114" s="28" t="s">
        <v>765</v>
      </c>
      <c r="B114" s="747"/>
      <c r="C114" s="855">
        <v>0</v>
      </c>
      <c r="D114" s="855">
        <v>0</v>
      </c>
      <c r="E114" s="855">
        <v>0</v>
      </c>
      <c r="F114" s="855">
        <v>0</v>
      </c>
      <c r="G114" s="855">
        <v>0</v>
      </c>
      <c r="H114" s="855">
        <v>0</v>
      </c>
      <c r="I114" s="855">
        <v>0</v>
      </c>
      <c r="J114" s="855">
        <v>0</v>
      </c>
      <c r="K114" s="855">
        <v>0</v>
      </c>
      <c r="L114" s="855">
        <v>0</v>
      </c>
      <c r="M114" s="855">
        <v>0</v>
      </c>
      <c r="N114" s="855">
        <v>0</v>
      </c>
      <c r="O114" s="855">
        <v>0</v>
      </c>
      <c r="P114" s="855">
        <v>0</v>
      </c>
      <c r="Q114" s="855">
        <v>0</v>
      </c>
    </row>
    <row r="115" spans="1:17">
      <c r="A115" s="1" t="s">
        <v>5</v>
      </c>
      <c r="B115" s="756"/>
      <c r="C115" s="641">
        <v>5</v>
      </c>
      <c r="D115" s="641">
        <v>5</v>
      </c>
      <c r="E115" s="641">
        <v>5</v>
      </c>
      <c r="F115" s="641">
        <v>5</v>
      </c>
      <c r="G115" s="641">
        <v>5</v>
      </c>
      <c r="H115" s="641">
        <v>5</v>
      </c>
      <c r="I115" s="641">
        <v>5</v>
      </c>
      <c r="J115" s="641">
        <v>5</v>
      </c>
      <c r="K115" s="641">
        <v>5</v>
      </c>
      <c r="L115" s="641">
        <v>5</v>
      </c>
      <c r="M115" s="641">
        <v>5</v>
      </c>
      <c r="N115" s="641">
        <v>5</v>
      </c>
      <c r="O115" s="641">
        <v>5</v>
      </c>
      <c r="P115" s="641">
        <v>5</v>
      </c>
      <c r="Q115" s="641">
        <v>5</v>
      </c>
    </row>
    <row r="116" spans="1:17">
      <c r="A116" s="1" t="s">
        <v>6</v>
      </c>
      <c r="B116" s="756"/>
      <c r="C116" s="641">
        <v>3148</v>
      </c>
      <c r="D116" s="641">
        <v>3148</v>
      </c>
      <c r="E116" s="641">
        <v>3148</v>
      </c>
      <c r="F116" s="641">
        <v>3148</v>
      </c>
      <c r="G116" s="641">
        <v>3148</v>
      </c>
      <c r="H116" s="641">
        <v>3148</v>
      </c>
      <c r="I116" s="641">
        <v>3148</v>
      </c>
      <c r="J116" s="641">
        <v>3148</v>
      </c>
      <c r="K116" s="641">
        <v>3148</v>
      </c>
      <c r="L116" s="641">
        <v>3148</v>
      </c>
      <c r="M116" s="641">
        <v>3148</v>
      </c>
      <c r="N116" s="641">
        <v>3148</v>
      </c>
      <c r="O116" s="641">
        <v>3148</v>
      </c>
      <c r="P116" s="641">
        <v>3148</v>
      </c>
      <c r="Q116" s="641">
        <v>3148</v>
      </c>
    </row>
    <row r="117" spans="1:17">
      <c r="A117" s="1" t="s">
        <v>7</v>
      </c>
      <c r="B117" s="756"/>
      <c r="C117" s="641">
        <v>149</v>
      </c>
      <c r="D117" s="641">
        <v>149</v>
      </c>
      <c r="E117" s="641">
        <v>149</v>
      </c>
      <c r="F117" s="641">
        <v>149</v>
      </c>
      <c r="G117" s="641">
        <v>149</v>
      </c>
      <c r="H117" s="641">
        <v>149</v>
      </c>
      <c r="I117" s="641">
        <v>149</v>
      </c>
      <c r="J117" s="641">
        <v>149</v>
      </c>
      <c r="K117" s="641">
        <v>149</v>
      </c>
      <c r="L117" s="641">
        <v>149</v>
      </c>
      <c r="M117" s="641">
        <v>149</v>
      </c>
      <c r="N117" s="641">
        <v>149</v>
      </c>
      <c r="O117" s="641">
        <v>149</v>
      </c>
      <c r="P117" s="641">
        <v>149</v>
      </c>
      <c r="Q117" s="641">
        <v>149</v>
      </c>
    </row>
    <row r="118" spans="1:17">
      <c r="A118" s="1" t="s">
        <v>8</v>
      </c>
      <c r="B118" s="756"/>
      <c r="C118" s="641">
        <v>250000</v>
      </c>
      <c r="D118" s="641">
        <v>250000</v>
      </c>
      <c r="E118" s="641">
        <v>250000</v>
      </c>
      <c r="F118" s="641">
        <v>250000</v>
      </c>
      <c r="G118" s="641">
        <v>250000</v>
      </c>
      <c r="H118" s="641">
        <v>250000</v>
      </c>
      <c r="I118" s="641">
        <v>250000</v>
      </c>
      <c r="J118" s="641">
        <v>250000</v>
      </c>
      <c r="K118" s="641">
        <v>250000</v>
      </c>
      <c r="L118" s="641">
        <v>250000</v>
      </c>
      <c r="M118" s="641">
        <v>250000</v>
      </c>
      <c r="N118" s="641">
        <v>250000</v>
      </c>
      <c r="O118" s="641">
        <v>250000</v>
      </c>
      <c r="P118" s="641">
        <v>250000</v>
      </c>
      <c r="Q118" s="641">
        <v>250000</v>
      </c>
    </row>
    <row r="119" spans="1:17">
      <c r="A119" s="1"/>
      <c r="B119" s="736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1"/>
      <c r="P119" s="641"/>
      <c r="Q119" s="641"/>
    </row>
    <row r="120" spans="1:17" ht="15.6">
      <c r="A120" s="1"/>
      <c r="B120" s="736"/>
      <c r="C120" s="863">
        <v>84681582</v>
      </c>
      <c r="D120" s="863">
        <v>52714750</v>
      </c>
      <c r="E120" s="863">
        <v>24744291</v>
      </c>
      <c r="F120" s="863">
        <v>11220569</v>
      </c>
      <c r="G120" s="863">
        <v>40861953</v>
      </c>
      <c r="H120" s="863">
        <v>857099</v>
      </c>
      <c r="I120" s="863">
        <v>15111737</v>
      </c>
      <c r="J120" s="863">
        <v>56880951</v>
      </c>
      <c r="K120" s="863">
        <v>37411781</v>
      </c>
      <c r="L120" s="863">
        <v>50628345</v>
      </c>
      <c r="M120" s="863">
        <v>152923361</v>
      </c>
      <c r="N120" s="863">
        <v>13009101</v>
      </c>
      <c r="O120" s="863">
        <v>98713073</v>
      </c>
      <c r="P120" s="863">
        <v>42937633</v>
      </c>
      <c r="Q120" s="863">
        <v>48849710</v>
      </c>
    </row>
    <row r="121" spans="1:17">
      <c r="A121" s="4"/>
      <c r="B121" s="15"/>
      <c r="C121" s="865"/>
      <c r="D121" s="865"/>
      <c r="E121" s="865"/>
      <c r="F121" s="865"/>
      <c r="G121" s="865"/>
      <c r="H121" s="865"/>
      <c r="I121" s="865"/>
      <c r="J121" s="865"/>
      <c r="K121" s="865"/>
      <c r="L121" s="865"/>
      <c r="M121" s="865"/>
      <c r="N121" s="865"/>
      <c r="O121" s="865"/>
      <c r="P121" s="865"/>
      <c r="Q121" s="865"/>
    </row>
    <row r="122" spans="1:17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</row>
    <row r="123" spans="1:17" s="688" customFormat="1" ht="21">
      <c r="A123" s="1449" t="s">
        <v>226</v>
      </c>
      <c r="B123" s="1446"/>
      <c r="C123" s="850">
        <v>174772875</v>
      </c>
      <c r="D123" s="850">
        <v>110942162</v>
      </c>
      <c r="E123" s="850">
        <v>59898265</v>
      </c>
      <c r="F123" s="850">
        <v>46509467</v>
      </c>
      <c r="G123" s="850">
        <v>125868303</v>
      </c>
      <c r="H123" s="850">
        <v>38067243</v>
      </c>
      <c r="I123" s="850">
        <v>106109436</v>
      </c>
      <c r="J123" s="850">
        <v>114066426</v>
      </c>
      <c r="K123" s="850">
        <v>91783053</v>
      </c>
      <c r="L123" s="850">
        <v>96273856</v>
      </c>
      <c r="M123" s="850">
        <v>184212974</v>
      </c>
      <c r="N123" s="850">
        <v>47628943</v>
      </c>
      <c r="O123" s="850">
        <v>191626310</v>
      </c>
      <c r="P123" s="850">
        <v>88287164</v>
      </c>
      <c r="Q123" s="850">
        <v>94586452</v>
      </c>
    </row>
    <row r="124" spans="1:17">
      <c r="A124" s="5"/>
      <c r="B124"/>
      <c r="C124" s="864"/>
      <c r="D124" s="864"/>
      <c r="E124" s="864"/>
      <c r="F124" s="864"/>
      <c r="G124" s="864"/>
      <c r="H124" s="864"/>
      <c r="I124" s="864"/>
      <c r="J124" s="864"/>
      <c r="K124" s="864"/>
      <c r="L124" s="864"/>
      <c r="M124" s="864"/>
      <c r="N124" s="864"/>
      <c r="O124" s="864"/>
      <c r="P124" s="864"/>
      <c r="Q124" s="864"/>
    </row>
    <row r="125" spans="1:17" ht="16.2" thickBot="1">
      <c r="A125" s="758"/>
      <c r="B125" s="759"/>
      <c r="C125" s="866"/>
      <c r="D125" s="866"/>
      <c r="E125" s="866"/>
      <c r="F125" s="866"/>
      <c r="G125" s="866"/>
      <c r="H125" s="866"/>
      <c r="I125" s="866"/>
      <c r="J125" s="866"/>
      <c r="K125" s="866"/>
      <c r="L125" s="866"/>
      <c r="M125" s="866"/>
      <c r="N125" s="866"/>
      <c r="O125" s="866"/>
      <c r="P125" s="866"/>
      <c r="Q125" s="866"/>
    </row>
    <row r="126" spans="1:17" ht="15" thickTop="1">
      <c r="A126" s="5"/>
      <c r="B126"/>
      <c r="C126" s="864"/>
      <c r="D126" s="864"/>
      <c r="E126" s="864"/>
      <c r="F126" s="864"/>
      <c r="G126" s="864"/>
      <c r="H126" s="864"/>
      <c r="I126" s="864"/>
      <c r="J126" s="864"/>
      <c r="K126" s="864"/>
      <c r="L126" s="864"/>
      <c r="M126" s="864"/>
      <c r="N126" s="864"/>
      <c r="O126" s="864"/>
      <c r="P126" s="864"/>
      <c r="Q126" s="864"/>
    </row>
    <row r="127" spans="1:17" s="691" customFormat="1" ht="21">
      <c r="A127" s="1442" t="s">
        <v>227</v>
      </c>
      <c r="B127" s="1443"/>
      <c r="C127" s="867">
        <v>276249375</v>
      </c>
      <c r="D127" s="867">
        <v>287426162</v>
      </c>
      <c r="E127" s="867">
        <v>286225265</v>
      </c>
      <c r="F127" s="867">
        <v>292570467</v>
      </c>
      <c r="G127" s="867">
        <v>292774303</v>
      </c>
      <c r="H127" s="867">
        <v>292868243</v>
      </c>
      <c r="I127" s="867">
        <v>292900436</v>
      </c>
      <c r="J127" s="867">
        <v>291339426</v>
      </c>
      <c r="K127" s="867">
        <v>289756053</v>
      </c>
      <c r="L127" s="867">
        <v>293145856</v>
      </c>
      <c r="M127" s="867">
        <v>291823974</v>
      </c>
      <c r="N127" s="867">
        <v>290124943</v>
      </c>
      <c r="O127" s="867">
        <v>289772939</v>
      </c>
      <c r="P127" s="867">
        <v>288121164</v>
      </c>
      <c r="Q127" s="867">
        <v>286957452</v>
      </c>
    </row>
    <row r="128" spans="1:17">
      <c r="A128" s="5"/>
      <c r="B128"/>
      <c r="C128" s="852"/>
      <c r="D128" s="852"/>
      <c r="E128" s="852"/>
      <c r="F128" s="852"/>
      <c r="G128" s="852"/>
      <c r="H128" s="852"/>
      <c r="I128" s="852"/>
      <c r="J128" s="852"/>
      <c r="K128" s="852"/>
      <c r="L128" s="852"/>
      <c r="M128" s="852"/>
      <c r="N128" s="852"/>
      <c r="O128" s="852"/>
      <c r="P128" s="852"/>
      <c r="Q128" s="852"/>
    </row>
    <row r="129" spans="1:17" ht="18">
      <c r="A129" s="754" t="s">
        <v>21</v>
      </c>
      <c r="B129" s="755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</row>
    <row r="130" spans="1:17">
      <c r="A130" s="1"/>
      <c r="B130" s="736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</row>
    <row r="131" spans="1:17">
      <c r="A131" s="4" t="s">
        <v>76</v>
      </c>
      <c r="B131" s="15"/>
      <c r="C131" s="689">
        <v>5000000</v>
      </c>
      <c r="D131" s="689">
        <v>5000000</v>
      </c>
      <c r="E131" s="689">
        <v>5000000</v>
      </c>
      <c r="F131" s="689">
        <v>5000000</v>
      </c>
      <c r="G131" s="689">
        <v>5000000</v>
      </c>
      <c r="H131" s="689">
        <v>5000000</v>
      </c>
      <c r="I131" s="689">
        <v>5000000</v>
      </c>
      <c r="J131" s="689">
        <v>5000000</v>
      </c>
      <c r="K131" s="689">
        <v>5000000</v>
      </c>
      <c r="L131" s="689">
        <v>5000000</v>
      </c>
      <c r="M131" s="689">
        <v>5000000</v>
      </c>
      <c r="N131" s="689">
        <v>5000000</v>
      </c>
      <c r="O131" s="689">
        <v>5000000</v>
      </c>
      <c r="P131" s="689">
        <v>5000000</v>
      </c>
      <c r="Q131" s="689">
        <v>5000000</v>
      </c>
    </row>
    <row r="132" spans="1:17">
      <c r="A132" s="4" t="s">
        <v>120</v>
      </c>
      <c r="B132" s="15"/>
      <c r="C132" s="1066">
        <v>6500000</v>
      </c>
      <c r="D132" s="1066">
        <v>6500000</v>
      </c>
      <c r="E132" s="693">
        <v>6500000</v>
      </c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9"/>
      <c r="Q132" s="689"/>
    </row>
    <row r="133" spans="1:17">
      <c r="A133" s="4" t="s">
        <v>790</v>
      </c>
      <c r="B133" s="15"/>
      <c r="C133" s="693">
        <v>0</v>
      </c>
      <c r="D133" s="1066">
        <v>64517</v>
      </c>
      <c r="E133" s="693">
        <v>64517</v>
      </c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9"/>
      <c r="Q133" s="689"/>
    </row>
    <row r="134" spans="1:17">
      <c r="A134" s="4" t="s">
        <v>186</v>
      </c>
      <c r="B134" s="15"/>
      <c r="C134" s="689">
        <v>679000</v>
      </c>
      <c r="D134" s="689">
        <v>679000</v>
      </c>
      <c r="E134" s="689">
        <v>679000</v>
      </c>
      <c r="F134" s="689">
        <v>679000</v>
      </c>
      <c r="G134" s="689">
        <v>679000</v>
      </c>
      <c r="H134" s="689">
        <v>679000</v>
      </c>
      <c r="I134" s="689">
        <v>679000</v>
      </c>
      <c r="J134" s="689">
        <v>679000</v>
      </c>
      <c r="K134" s="689">
        <v>679000</v>
      </c>
      <c r="L134" s="689">
        <v>679000</v>
      </c>
      <c r="M134" s="689">
        <v>679000</v>
      </c>
      <c r="N134" s="689">
        <v>679000</v>
      </c>
      <c r="O134" s="689">
        <v>679000</v>
      </c>
      <c r="P134" s="689">
        <v>679000</v>
      </c>
      <c r="Q134" s="689">
        <v>679000</v>
      </c>
    </row>
    <row r="135" spans="1:17">
      <c r="A135" s="4" t="s">
        <v>261</v>
      </c>
      <c r="B135" s="15"/>
      <c r="C135" s="689">
        <v>200000</v>
      </c>
      <c r="D135" s="689">
        <v>200000</v>
      </c>
      <c r="E135" s="689">
        <v>200000</v>
      </c>
      <c r="F135" s="689">
        <v>200000</v>
      </c>
      <c r="G135" s="689">
        <v>200000</v>
      </c>
      <c r="H135" s="689">
        <v>200000</v>
      </c>
      <c r="I135" s="689">
        <v>200000</v>
      </c>
      <c r="J135" s="689">
        <v>200000</v>
      </c>
      <c r="K135" s="689">
        <v>200000</v>
      </c>
      <c r="L135" s="689">
        <v>200000</v>
      </c>
      <c r="M135" s="689">
        <v>200000</v>
      </c>
      <c r="N135" s="689">
        <v>200000</v>
      </c>
      <c r="O135" s="689">
        <v>200000</v>
      </c>
      <c r="P135" s="689">
        <v>200000</v>
      </c>
      <c r="Q135" s="689">
        <v>200000</v>
      </c>
    </row>
    <row r="136" spans="1:17">
      <c r="A136" s="4" t="s">
        <v>669</v>
      </c>
      <c r="B136" s="15"/>
      <c r="C136" s="689">
        <v>55000</v>
      </c>
      <c r="D136" s="689">
        <v>55000</v>
      </c>
      <c r="E136" s="689">
        <v>55000</v>
      </c>
      <c r="F136" s="689">
        <v>55000</v>
      </c>
      <c r="G136" s="689">
        <v>55000</v>
      </c>
      <c r="H136" s="689">
        <v>55000</v>
      </c>
      <c r="I136" s="689">
        <v>55000</v>
      </c>
      <c r="J136" s="689">
        <v>55000</v>
      </c>
      <c r="K136" s="689">
        <v>55000</v>
      </c>
      <c r="L136" s="689">
        <v>55000</v>
      </c>
      <c r="M136" s="689">
        <v>55000</v>
      </c>
      <c r="N136" s="689">
        <v>55000</v>
      </c>
      <c r="O136" s="689">
        <v>55000</v>
      </c>
      <c r="P136" s="689">
        <v>55000</v>
      </c>
      <c r="Q136" s="689">
        <v>55000</v>
      </c>
    </row>
    <row r="137" spans="1:17">
      <c r="A137" s="4" t="s">
        <v>731</v>
      </c>
      <c r="B137" s="15"/>
      <c r="C137" s="689">
        <v>0</v>
      </c>
      <c r="D137" s="689">
        <v>0</v>
      </c>
      <c r="E137" s="689">
        <v>0</v>
      </c>
      <c r="F137" s="689">
        <v>0</v>
      </c>
      <c r="G137" s="689">
        <v>0</v>
      </c>
      <c r="H137" s="689">
        <v>0</v>
      </c>
      <c r="I137" s="689">
        <v>0</v>
      </c>
      <c r="J137" s="689">
        <v>0</v>
      </c>
      <c r="K137" s="689">
        <v>0</v>
      </c>
      <c r="L137" s="689">
        <v>0</v>
      </c>
      <c r="M137" s="689">
        <v>0</v>
      </c>
      <c r="N137" s="689">
        <v>0</v>
      </c>
      <c r="O137" s="689">
        <v>0</v>
      </c>
      <c r="P137" s="689">
        <v>0</v>
      </c>
      <c r="Q137" s="689">
        <v>0</v>
      </c>
    </row>
    <row r="138" spans="1:17">
      <c r="A138" s="4" t="s">
        <v>736</v>
      </c>
      <c r="B138" s="15"/>
      <c r="C138" s="689">
        <v>225000</v>
      </c>
      <c r="D138" s="689">
        <v>225000</v>
      </c>
      <c r="E138" s="689">
        <v>225000</v>
      </c>
      <c r="F138" s="689">
        <v>225000</v>
      </c>
      <c r="G138" s="689">
        <v>225000</v>
      </c>
      <c r="H138" s="689">
        <v>225000</v>
      </c>
      <c r="I138" s="689">
        <v>225000</v>
      </c>
      <c r="J138" s="689">
        <v>225000</v>
      </c>
      <c r="K138" s="689">
        <v>225000</v>
      </c>
      <c r="L138" s="689">
        <v>225000</v>
      </c>
      <c r="M138" s="689">
        <v>225000</v>
      </c>
      <c r="N138" s="689">
        <v>225000</v>
      </c>
      <c r="O138" s="689">
        <v>225000</v>
      </c>
      <c r="P138" s="689">
        <v>225000</v>
      </c>
      <c r="Q138" s="689">
        <v>225000</v>
      </c>
    </row>
    <row r="139" spans="1:17">
      <c r="A139" s="1" t="s">
        <v>26</v>
      </c>
      <c r="B139" s="736"/>
      <c r="C139" s="641">
        <v>50000</v>
      </c>
      <c r="D139" s="641">
        <v>50000</v>
      </c>
      <c r="E139" s="641">
        <v>50000</v>
      </c>
      <c r="F139" s="641">
        <v>50000</v>
      </c>
      <c r="G139" s="641">
        <v>50000</v>
      </c>
      <c r="H139" s="641">
        <v>50000</v>
      </c>
      <c r="I139" s="641">
        <v>50000</v>
      </c>
      <c r="J139" s="641">
        <v>50000</v>
      </c>
      <c r="K139" s="641">
        <v>50000</v>
      </c>
      <c r="L139" s="641">
        <v>50000</v>
      </c>
      <c r="M139" s="641">
        <v>50000</v>
      </c>
      <c r="N139" s="641">
        <v>50000</v>
      </c>
      <c r="O139" s="641">
        <v>50000</v>
      </c>
      <c r="P139" s="641">
        <v>50000</v>
      </c>
      <c r="Q139" s="641">
        <v>50000</v>
      </c>
    </row>
    <row r="140" spans="1:17">
      <c r="A140" s="1" t="s">
        <v>570</v>
      </c>
      <c r="B140" s="736"/>
      <c r="C140" s="641">
        <v>2250000</v>
      </c>
      <c r="D140" s="641">
        <v>2250000</v>
      </c>
      <c r="E140" s="641">
        <v>2250000</v>
      </c>
      <c r="F140" s="641">
        <v>2250000</v>
      </c>
      <c r="G140" s="641">
        <v>2250000</v>
      </c>
      <c r="H140" s="641">
        <v>2250000</v>
      </c>
      <c r="I140" s="641">
        <v>2250000</v>
      </c>
      <c r="J140" s="641">
        <v>2250000</v>
      </c>
      <c r="K140" s="641">
        <v>2250000</v>
      </c>
      <c r="L140" s="641">
        <v>2250000</v>
      </c>
      <c r="M140" s="641">
        <v>2250000</v>
      </c>
      <c r="N140" s="641">
        <v>2250000</v>
      </c>
      <c r="O140" s="641">
        <v>2250000</v>
      </c>
      <c r="P140" s="641">
        <v>2250000</v>
      </c>
      <c r="Q140" s="641">
        <v>2250000</v>
      </c>
    </row>
    <row r="141" spans="1:17">
      <c r="A141" s="1" t="s">
        <v>571</v>
      </c>
      <c r="B141" s="736"/>
      <c r="C141" s="641">
        <v>190000</v>
      </c>
      <c r="D141" s="641">
        <v>190000</v>
      </c>
      <c r="E141" s="641">
        <v>190000</v>
      </c>
      <c r="F141" s="641">
        <v>190000</v>
      </c>
      <c r="G141" s="641">
        <v>190000</v>
      </c>
      <c r="H141" s="641">
        <v>190000</v>
      </c>
      <c r="I141" s="641">
        <v>190000</v>
      </c>
      <c r="J141" s="641">
        <v>190000</v>
      </c>
      <c r="K141" s="641">
        <v>190000</v>
      </c>
      <c r="L141" s="641">
        <v>190000</v>
      </c>
      <c r="M141" s="641">
        <v>190000</v>
      </c>
      <c r="N141" s="641">
        <v>190000</v>
      </c>
      <c r="O141" s="641">
        <v>190000</v>
      </c>
      <c r="P141" s="641">
        <v>190000</v>
      </c>
      <c r="Q141" s="641">
        <v>190000</v>
      </c>
    </row>
    <row r="142" spans="1:17">
      <c r="A142" s="1" t="s">
        <v>198</v>
      </c>
      <c r="B142" s="736"/>
      <c r="C142" s="1074">
        <v>100000</v>
      </c>
      <c r="D142" s="1074">
        <v>100000</v>
      </c>
      <c r="E142" s="1074">
        <v>100000</v>
      </c>
      <c r="F142" s="1074">
        <v>100000</v>
      </c>
      <c r="G142" s="1074">
        <v>100000</v>
      </c>
      <c r="H142" s="1074">
        <v>100000</v>
      </c>
      <c r="I142" s="1074">
        <v>100000</v>
      </c>
      <c r="J142" s="1074">
        <v>100000</v>
      </c>
      <c r="K142" s="1074">
        <v>100000</v>
      </c>
      <c r="L142" s="641">
        <v>100000</v>
      </c>
      <c r="M142" s="641">
        <v>100000</v>
      </c>
      <c r="N142" s="641">
        <v>100000</v>
      </c>
      <c r="O142" s="641">
        <v>100000</v>
      </c>
      <c r="P142" s="641">
        <v>100000</v>
      </c>
      <c r="Q142" s="641">
        <v>100000</v>
      </c>
    </row>
    <row r="143" spans="1:17">
      <c r="A143" s="1" t="s">
        <v>676</v>
      </c>
      <c r="B143" s="736"/>
      <c r="C143" s="1067">
        <v>0</v>
      </c>
      <c r="D143" s="1067">
        <v>0</v>
      </c>
      <c r="E143" s="1067">
        <v>0</v>
      </c>
      <c r="F143" s="1067">
        <v>0</v>
      </c>
      <c r="G143" s="1067">
        <v>0</v>
      </c>
      <c r="H143" s="1067">
        <v>0</v>
      </c>
      <c r="I143" s="1067">
        <v>0</v>
      </c>
      <c r="J143" s="1067">
        <v>0</v>
      </c>
      <c r="K143" s="1067">
        <v>0</v>
      </c>
      <c r="L143" s="1067">
        <v>0</v>
      </c>
      <c r="M143" s="1067">
        <v>0</v>
      </c>
      <c r="N143" s="1067">
        <v>0</v>
      </c>
      <c r="O143" s="1067">
        <v>0</v>
      </c>
      <c r="P143" s="1067">
        <v>0</v>
      </c>
      <c r="Q143" s="1067">
        <v>0</v>
      </c>
    </row>
    <row r="144" spans="1:17">
      <c r="A144" s="1" t="s">
        <v>740</v>
      </c>
      <c r="B144" s="736"/>
      <c r="C144" s="641">
        <v>506333</v>
      </c>
      <c r="D144" s="641">
        <v>506333</v>
      </c>
      <c r="E144" s="641">
        <v>506333</v>
      </c>
      <c r="F144" s="641">
        <v>506333</v>
      </c>
      <c r="G144" s="641">
        <v>506333</v>
      </c>
      <c r="H144" s="641">
        <v>506333</v>
      </c>
      <c r="I144" s="641">
        <v>506333</v>
      </c>
      <c r="J144" s="641">
        <v>506333</v>
      </c>
      <c r="K144" s="641">
        <v>506333</v>
      </c>
      <c r="L144" s="641">
        <v>506333</v>
      </c>
      <c r="M144" s="641">
        <v>506333</v>
      </c>
      <c r="N144" s="641">
        <v>506333</v>
      </c>
      <c r="O144" s="641">
        <v>506333</v>
      </c>
      <c r="P144" s="641">
        <v>506333</v>
      </c>
      <c r="Q144" s="641">
        <v>506333</v>
      </c>
    </row>
    <row r="145" spans="1:17">
      <c r="A145" s="1" t="s">
        <v>697</v>
      </c>
      <c r="B145" s="736"/>
      <c r="C145" s="641">
        <v>0</v>
      </c>
      <c r="D145" s="641">
        <v>0</v>
      </c>
      <c r="E145" s="641">
        <v>0</v>
      </c>
      <c r="F145" s="641">
        <v>0</v>
      </c>
      <c r="G145" s="641">
        <v>0</v>
      </c>
      <c r="H145" s="641">
        <v>0</v>
      </c>
      <c r="I145" s="641">
        <v>0</v>
      </c>
      <c r="J145" s="641">
        <v>0</v>
      </c>
      <c r="K145" s="641">
        <v>0</v>
      </c>
      <c r="L145" s="641">
        <v>0</v>
      </c>
      <c r="M145" s="641">
        <v>0</v>
      </c>
      <c r="N145" s="641">
        <v>0</v>
      </c>
      <c r="O145" s="641">
        <v>0</v>
      </c>
      <c r="P145" s="641">
        <v>0</v>
      </c>
      <c r="Q145" s="641">
        <v>0</v>
      </c>
    </row>
    <row r="146" spans="1:17">
      <c r="A146" s="4" t="s">
        <v>660</v>
      </c>
      <c r="B146" s="15"/>
      <c r="C146" s="689">
        <v>400000</v>
      </c>
      <c r="D146" s="689">
        <v>400000</v>
      </c>
      <c r="E146" s="689">
        <v>400000</v>
      </c>
      <c r="F146" s="689">
        <v>400000</v>
      </c>
      <c r="G146" s="689">
        <v>400000</v>
      </c>
      <c r="H146" s="689">
        <v>400000</v>
      </c>
      <c r="I146" s="689">
        <v>400000</v>
      </c>
      <c r="J146" s="689">
        <v>400000</v>
      </c>
      <c r="K146" s="689">
        <v>400000</v>
      </c>
      <c r="L146" s="689">
        <v>400000</v>
      </c>
      <c r="M146" s="689">
        <v>400000</v>
      </c>
      <c r="N146" s="689">
        <v>400000</v>
      </c>
      <c r="O146" s="689">
        <v>400000</v>
      </c>
      <c r="P146" s="689">
        <v>400000</v>
      </c>
      <c r="Q146" s="689">
        <v>400000</v>
      </c>
    </row>
    <row r="147" spans="1:17">
      <c r="A147" s="4" t="s">
        <v>191</v>
      </c>
      <c r="B147" s="15"/>
      <c r="C147" s="1066">
        <v>660000</v>
      </c>
      <c r="D147" s="1066">
        <v>660000</v>
      </c>
      <c r="E147" s="693">
        <v>660000</v>
      </c>
      <c r="F147" s="693">
        <v>660000</v>
      </c>
      <c r="G147" s="693">
        <v>660000</v>
      </c>
      <c r="H147" s="693">
        <v>660000</v>
      </c>
      <c r="I147" s="1075">
        <v>260000</v>
      </c>
      <c r="J147" s="1075">
        <v>260000</v>
      </c>
      <c r="K147" s="1075">
        <v>260000</v>
      </c>
      <c r="L147" s="689">
        <v>150000</v>
      </c>
      <c r="M147" s="689">
        <v>150000</v>
      </c>
      <c r="N147" s="689">
        <v>150000</v>
      </c>
      <c r="O147" s="689">
        <v>150000</v>
      </c>
      <c r="P147" s="689">
        <v>150000</v>
      </c>
      <c r="Q147" s="689">
        <v>150000</v>
      </c>
    </row>
    <row r="148" spans="1:17">
      <c r="A148" s="4" t="s">
        <v>791</v>
      </c>
      <c r="B148" s="15"/>
      <c r="C148" s="1066">
        <v>110000</v>
      </c>
      <c r="D148" s="1066">
        <v>110000</v>
      </c>
      <c r="E148" s="693">
        <v>110000</v>
      </c>
      <c r="F148" s="1066"/>
      <c r="G148" s="1066"/>
      <c r="H148" s="1066"/>
      <c r="I148" s="1066"/>
      <c r="J148" s="1066"/>
      <c r="K148" s="1066"/>
      <c r="L148" s="689"/>
      <c r="M148" s="689"/>
      <c r="N148" s="689"/>
      <c r="O148" s="689"/>
      <c r="P148" s="689"/>
      <c r="Q148" s="689"/>
    </row>
    <row r="149" spans="1:17">
      <c r="A149" s="4" t="s">
        <v>732</v>
      </c>
      <c r="B149" s="15"/>
      <c r="C149" s="689">
        <v>0</v>
      </c>
      <c r="D149" s="689">
        <v>0</v>
      </c>
      <c r="E149" s="689">
        <v>0</v>
      </c>
      <c r="F149" s="689">
        <v>0</v>
      </c>
      <c r="G149" s="689">
        <v>0</v>
      </c>
      <c r="H149" s="689">
        <v>0</v>
      </c>
      <c r="I149" s="689">
        <v>0</v>
      </c>
      <c r="J149" s="689">
        <v>0</v>
      </c>
      <c r="K149" s="689">
        <v>0</v>
      </c>
      <c r="L149" s="689">
        <v>0</v>
      </c>
      <c r="M149" s="689">
        <v>0</v>
      </c>
      <c r="N149" s="689">
        <v>0</v>
      </c>
      <c r="O149" s="689">
        <v>0</v>
      </c>
      <c r="P149" s="689">
        <v>0</v>
      </c>
      <c r="Q149" s="689">
        <v>0</v>
      </c>
    </row>
    <row r="150" spans="1:17">
      <c r="A150" s="4" t="s">
        <v>749</v>
      </c>
      <c r="B150" s="15"/>
      <c r="C150" s="1066">
        <v>0</v>
      </c>
      <c r="D150" s="1066">
        <v>0</v>
      </c>
      <c r="E150" s="1066">
        <v>0</v>
      </c>
      <c r="F150" s="1066">
        <v>0</v>
      </c>
      <c r="G150" s="1066">
        <v>0</v>
      </c>
      <c r="H150" s="1066">
        <v>0</v>
      </c>
      <c r="I150" s="1066">
        <v>0</v>
      </c>
      <c r="J150" s="1066">
        <v>0</v>
      </c>
      <c r="K150" s="1066">
        <v>0</v>
      </c>
      <c r="L150" s="1066">
        <v>0</v>
      </c>
      <c r="M150" s="1066">
        <v>0</v>
      </c>
      <c r="N150" s="1066">
        <v>0</v>
      </c>
      <c r="O150" s="1066">
        <v>0</v>
      </c>
      <c r="P150" s="1066">
        <v>0</v>
      </c>
      <c r="Q150" s="1066">
        <v>0</v>
      </c>
    </row>
    <row r="151" spans="1:17">
      <c r="A151" s="4"/>
      <c r="B151" s="15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689"/>
    </row>
    <row r="152" spans="1:17" ht="16.2" thickBot="1">
      <c r="A152" s="737"/>
      <c r="B152" s="738"/>
      <c r="C152" s="848">
        <v>11925333</v>
      </c>
      <c r="D152" s="848">
        <v>11989850</v>
      </c>
      <c r="E152" s="848">
        <v>11989850</v>
      </c>
      <c r="F152" s="848">
        <v>5315333</v>
      </c>
      <c r="G152" s="848">
        <v>5315333</v>
      </c>
      <c r="H152" s="848">
        <v>5315333</v>
      </c>
      <c r="I152" s="848">
        <v>4915333</v>
      </c>
      <c r="J152" s="848">
        <v>4915333</v>
      </c>
      <c r="K152" s="848">
        <v>4915333</v>
      </c>
      <c r="L152" s="848">
        <v>4805333</v>
      </c>
      <c r="M152" s="848">
        <v>4805333</v>
      </c>
      <c r="N152" s="848">
        <v>4805333</v>
      </c>
      <c r="O152" s="848">
        <v>4805333</v>
      </c>
      <c r="P152" s="848">
        <v>4805333</v>
      </c>
      <c r="Q152" s="848">
        <v>4805333</v>
      </c>
    </row>
    <row r="153" spans="1:17" ht="16.2" thickBot="1">
      <c r="A153" s="5"/>
      <c r="B153"/>
      <c r="C153" s="853"/>
      <c r="D153" s="853"/>
      <c r="E153" s="853"/>
      <c r="F153" s="853"/>
      <c r="G153" s="853"/>
      <c r="H153" s="853"/>
      <c r="I153" s="853"/>
      <c r="J153" s="853"/>
      <c r="K153" s="853"/>
      <c r="L153" s="853"/>
      <c r="M153" s="853"/>
      <c r="N153" s="853"/>
      <c r="O153" s="853"/>
      <c r="P153" s="853"/>
      <c r="Q153" s="853"/>
    </row>
    <row r="154" spans="1:17">
      <c r="A154" s="760" t="s">
        <v>12</v>
      </c>
      <c r="B154" s="761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</row>
    <row r="155" spans="1:17">
      <c r="A155" s="762"/>
      <c r="B155" s="763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5"/>
      <c r="P155" s="695"/>
      <c r="Q155" s="695"/>
    </row>
    <row r="156" spans="1:17">
      <c r="A156" s="1" t="s">
        <v>22</v>
      </c>
      <c r="B156" s="736"/>
      <c r="C156" s="641">
        <v>192000</v>
      </c>
      <c r="D156" s="641">
        <v>192000</v>
      </c>
      <c r="E156" s="641">
        <v>192000</v>
      </c>
      <c r="F156" s="641">
        <v>192000</v>
      </c>
      <c r="G156" s="641">
        <v>192000</v>
      </c>
      <c r="H156" s="641">
        <v>192000</v>
      </c>
      <c r="I156" s="641">
        <v>192000</v>
      </c>
      <c r="J156" s="641">
        <v>192000</v>
      </c>
      <c r="K156" s="641">
        <v>192000</v>
      </c>
      <c r="L156" s="641">
        <v>192000</v>
      </c>
      <c r="M156" s="641">
        <v>192000</v>
      </c>
      <c r="N156" s="641">
        <v>192000</v>
      </c>
      <c r="O156" s="641">
        <v>192000</v>
      </c>
      <c r="P156" s="641">
        <v>192000</v>
      </c>
      <c r="Q156" s="641">
        <v>192000</v>
      </c>
    </row>
    <row r="157" spans="1:17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</row>
    <row r="158" spans="1:17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</row>
    <row r="159" spans="1:17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</row>
    <row r="160" spans="1:17">
      <c r="A160" s="1" t="s">
        <v>26</v>
      </c>
      <c r="B160" s="736"/>
      <c r="C160" s="641">
        <v>139500</v>
      </c>
      <c r="D160" s="641">
        <v>139500</v>
      </c>
      <c r="E160" s="641">
        <v>139500</v>
      </c>
      <c r="F160" s="641">
        <v>139500</v>
      </c>
      <c r="G160" s="641">
        <v>139500</v>
      </c>
      <c r="H160" s="641">
        <v>139500</v>
      </c>
      <c r="I160" s="641">
        <v>139500</v>
      </c>
      <c r="J160" s="641">
        <v>139500</v>
      </c>
      <c r="K160" s="641">
        <v>139500</v>
      </c>
      <c r="L160" s="641">
        <v>139500</v>
      </c>
      <c r="M160" s="641">
        <v>139500</v>
      </c>
      <c r="N160" s="641">
        <v>139500</v>
      </c>
      <c r="O160" s="641">
        <v>139500</v>
      </c>
      <c r="P160" s="641">
        <v>139500</v>
      </c>
      <c r="Q160" s="641">
        <v>139500</v>
      </c>
    </row>
    <row r="161" spans="1:17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</row>
    <row r="162" spans="1:17">
      <c r="A162" s="1"/>
      <c r="B162" s="736"/>
      <c r="C162" s="641"/>
      <c r="D162" s="641"/>
      <c r="E162" s="641"/>
      <c r="F162" s="641"/>
      <c r="G162" s="641"/>
      <c r="H162" s="641"/>
      <c r="I162" s="641"/>
      <c r="J162" s="641"/>
      <c r="K162" s="641"/>
      <c r="L162" s="641"/>
      <c r="M162" s="641"/>
      <c r="N162" s="641"/>
      <c r="O162" s="641"/>
      <c r="P162" s="641"/>
      <c r="Q162" s="641"/>
    </row>
    <row r="163" spans="1:17">
      <c r="A163" s="1" t="s">
        <v>571</v>
      </c>
      <c r="B163" s="736"/>
      <c r="C163" s="641">
        <v>100000</v>
      </c>
      <c r="D163" s="641">
        <v>100000</v>
      </c>
      <c r="E163" s="641">
        <v>100000</v>
      </c>
      <c r="F163" s="641">
        <v>100000</v>
      </c>
      <c r="G163" s="641">
        <v>100000</v>
      </c>
      <c r="H163" s="641">
        <v>100000</v>
      </c>
      <c r="I163" s="641">
        <v>100000</v>
      </c>
      <c r="J163" s="641">
        <v>100000</v>
      </c>
      <c r="K163" s="641">
        <v>100000</v>
      </c>
      <c r="L163" s="641">
        <v>100000</v>
      </c>
      <c r="M163" s="641">
        <v>100000</v>
      </c>
      <c r="N163" s="641">
        <v>100000</v>
      </c>
      <c r="O163" s="641">
        <v>100000</v>
      </c>
      <c r="P163" s="641">
        <v>100000</v>
      </c>
      <c r="Q163" s="641">
        <v>100000</v>
      </c>
    </row>
    <row r="164" spans="1:17">
      <c r="A164" s="1"/>
      <c r="B164" s="736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1"/>
      <c r="P164" s="641"/>
      <c r="Q164" s="641"/>
    </row>
    <row r="165" spans="1:17">
      <c r="A165" s="1"/>
      <c r="B165" s="736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1"/>
      <c r="P165" s="641"/>
      <c r="Q165" s="641"/>
    </row>
    <row r="166" spans="1:17">
      <c r="A166" s="1"/>
      <c r="B166" s="736"/>
      <c r="C166" s="641"/>
      <c r="D166" s="641"/>
      <c r="E166" s="641"/>
      <c r="F166" s="641"/>
      <c r="G166" s="641"/>
      <c r="H166" s="641"/>
      <c r="I166" s="641"/>
      <c r="J166" s="641"/>
      <c r="K166" s="641"/>
      <c r="L166" s="641"/>
      <c r="M166" s="641"/>
      <c r="N166" s="641"/>
      <c r="O166" s="641"/>
      <c r="P166" s="641"/>
      <c r="Q166" s="641"/>
    </row>
    <row r="167" spans="1:17">
      <c r="A167" s="1"/>
      <c r="B167" s="736"/>
      <c r="C167" s="641"/>
      <c r="D167" s="641"/>
      <c r="E167" s="641"/>
      <c r="F167" s="641"/>
      <c r="G167" s="641"/>
      <c r="H167" s="641"/>
      <c r="I167" s="641"/>
      <c r="J167" s="641"/>
      <c r="K167" s="641"/>
      <c r="L167" s="641"/>
      <c r="M167" s="641"/>
      <c r="N167" s="641"/>
      <c r="O167" s="641"/>
      <c r="P167" s="641"/>
      <c r="Q167" s="641"/>
    </row>
    <row r="168" spans="1:17">
      <c r="A168" s="1"/>
      <c r="B168" s="736"/>
      <c r="C168" s="641"/>
      <c r="D168" s="641"/>
      <c r="E168" s="641"/>
      <c r="F168" s="641"/>
      <c r="G168" s="641"/>
      <c r="H168" s="641"/>
      <c r="I168" s="641"/>
      <c r="J168" s="641"/>
      <c r="K168" s="641"/>
      <c r="L168" s="641"/>
      <c r="M168" s="641"/>
      <c r="N168" s="641"/>
      <c r="O168" s="641"/>
      <c r="P168" s="641"/>
      <c r="Q168" s="641"/>
    </row>
    <row r="169" spans="1:17">
      <c r="A169" s="4"/>
      <c r="B169" s="15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</row>
    <row r="170" spans="1:17">
      <c r="A170" s="4"/>
      <c r="B170" s="15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</row>
    <row r="171" spans="1:17">
      <c r="A171" s="4"/>
      <c r="B171" s="15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689"/>
    </row>
    <row r="172" spans="1:17" ht="16.2" thickBot="1">
      <c r="A172" s="737"/>
      <c r="B172" s="738"/>
      <c r="C172" s="848">
        <v>431500</v>
      </c>
      <c r="D172" s="848">
        <v>431500</v>
      </c>
      <c r="E172" s="848">
        <v>431500</v>
      </c>
      <c r="F172" s="848">
        <v>431500</v>
      </c>
      <c r="G172" s="848">
        <v>431500</v>
      </c>
      <c r="H172" s="848">
        <v>431500</v>
      </c>
      <c r="I172" s="848">
        <v>431500</v>
      </c>
      <c r="J172" s="848">
        <v>431500</v>
      </c>
      <c r="K172" s="848">
        <v>431500</v>
      </c>
      <c r="L172" s="848">
        <v>431500</v>
      </c>
      <c r="M172" s="848">
        <v>431500</v>
      </c>
      <c r="N172" s="848">
        <v>431500</v>
      </c>
      <c r="O172" s="848">
        <v>431500</v>
      </c>
      <c r="P172" s="848">
        <v>431500</v>
      </c>
      <c r="Q172" s="848">
        <v>431500</v>
      </c>
    </row>
    <row r="173" spans="1:17" s="697" customFormat="1">
      <c r="A173" s="764" t="s">
        <v>23</v>
      </c>
      <c r="B173" s="765"/>
      <c r="C173" s="696"/>
      <c r="D173" s="696"/>
      <c r="E173" s="696"/>
      <c r="F173" s="696"/>
      <c r="G173" s="696"/>
      <c r="H173" s="696"/>
      <c r="I173" s="696"/>
      <c r="J173" s="696"/>
      <c r="K173" s="696"/>
      <c r="L173" s="696"/>
      <c r="M173" s="696"/>
      <c r="N173" s="696"/>
      <c r="O173" s="696"/>
      <c r="P173" s="696"/>
      <c r="Q173" s="696"/>
    </row>
    <row r="174" spans="1:17" s="697" customFormat="1">
      <c r="A174" s="766"/>
      <c r="B174" s="767"/>
      <c r="C174" s="698"/>
      <c r="D174" s="698"/>
      <c r="E174" s="698"/>
      <c r="F174" s="698"/>
      <c r="G174" s="698"/>
      <c r="H174" s="698"/>
      <c r="I174" s="698"/>
      <c r="J174" s="698"/>
      <c r="K174" s="698"/>
      <c r="L174" s="698"/>
      <c r="M174" s="698"/>
      <c r="N174" s="698"/>
      <c r="O174" s="698"/>
      <c r="P174" s="698"/>
      <c r="Q174" s="698"/>
    </row>
    <row r="175" spans="1:17">
      <c r="A175" s="14" t="s">
        <v>152</v>
      </c>
      <c r="B175" s="15"/>
      <c r="C175" s="693">
        <v>1000000</v>
      </c>
      <c r="D175" s="1066">
        <v>0</v>
      </c>
      <c r="E175" s="1066">
        <v>0</v>
      </c>
      <c r="F175" s="1066">
        <v>0</v>
      </c>
      <c r="G175" s="1066">
        <v>0</v>
      </c>
      <c r="H175" s="1066">
        <v>0</v>
      </c>
      <c r="I175" s="1066">
        <v>0</v>
      </c>
      <c r="J175" s="1066">
        <v>0</v>
      </c>
      <c r="K175" s="1066">
        <v>0</v>
      </c>
      <c r="L175" s="1066">
        <v>0</v>
      </c>
      <c r="M175" s="1066">
        <v>0</v>
      </c>
      <c r="N175" s="1066">
        <v>0</v>
      </c>
      <c r="O175" s="1066">
        <v>0</v>
      </c>
      <c r="P175" s="1066">
        <v>0</v>
      </c>
      <c r="Q175" s="693">
        <v>0</v>
      </c>
    </row>
    <row r="176" spans="1:17">
      <c r="A176" s="14" t="s">
        <v>741</v>
      </c>
      <c r="B176" s="15"/>
      <c r="C176" s="689">
        <v>0</v>
      </c>
      <c r="D176" s="689">
        <v>0</v>
      </c>
      <c r="E176" s="689">
        <v>0</v>
      </c>
      <c r="F176" s="689">
        <v>0</v>
      </c>
      <c r="G176" s="689">
        <v>0</v>
      </c>
      <c r="H176" s="689">
        <v>0</v>
      </c>
      <c r="I176" s="689">
        <v>0</v>
      </c>
      <c r="J176" s="689">
        <v>0</v>
      </c>
      <c r="K176" s="689">
        <v>0</v>
      </c>
      <c r="L176" s="689">
        <v>0</v>
      </c>
      <c r="M176" s="689">
        <v>0</v>
      </c>
      <c r="N176" s="689">
        <v>0</v>
      </c>
      <c r="O176" s="689">
        <v>0</v>
      </c>
      <c r="P176" s="689">
        <v>0</v>
      </c>
      <c r="Q176" s="689">
        <v>0</v>
      </c>
    </row>
    <row r="177" spans="1:17">
      <c r="A177" s="14" t="s">
        <v>663</v>
      </c>
      <c r="B177" s="15"/>
      <c r="C177" s="1066">
        <v>0</v>
      </c>
      <c r="D177" s="1066">
        <v>0</v>
      </c>
      <c r="E177" s="1066">
        <v>0</v>
      </c>
      <c r="F177" s="1066">
        <v>0</v>
      </c>
      <c r="G177" s="1066">
        <v>0</v>
      </c>
      <c r="H177" s="1066">
        <v>0</v>
      </c>
      <c r="I177" s="1066">
        <v>0</v>
      </c>
      <c r="J177" s="1066">
        <v>0</v>
      </c>
      <c r="K177" s="1066">
        <v>0</v>
      </c>
      <c r="L177" s="1066">
        <v>0</v>
      </c>
      <c r="M177" s="1066">
        <v>0</v>
      </c>
      <c r="N177" s="1066">
        <v>0</v>
      </c>
      <c r="O177" s="1066">
        <v>0</v>
      </c>
      <c r="P177" s="1066">
        <v>0</v>
      </c>
      <c r="Q177" s="1066">
        <v>0</v>
      </c>
    </row>
    <row r="178" spans="1:17">
      <c r="A178" s="14" t="s">
        <v>120</v>
      </c>
      <c r="B178" s="15"/>
      <c r="C178" s="693">
        <v>0</v>
      </c>
      <c r="D178" s="1066">
        <v>600000</v>
      </c>
      <c r="E178" s="693">
        <v>600000</v>
      </c>
      <c r="F178" s="693">
        <v>600000</v>
      </c>
      <c r="G178" s="689">
        <v>850000</v>
      </c>
      <c r="H178" s="689">
        <v>850000</v>
      </c>
      <c r="I178" s="689">
        <v>850000</v>
      </c>
      <c r="J178" s="689">
        <v>850000</v>
      </c>
      <c r="K178" s="689">
        <v>850000</v>
      </c>
      <c r="L178" s="689">
        <v>850000</v>
      </c>
      <c r="M178" s="689">
        <v>850000</v>
      </c>
      <c r="N178" s="689">
        <v>850000</v>
      </c>
      <c r="O178" s="689">
        <v>850000</v>
      </c>
      <c r="P178" s="689">
        <v>850000</v>
      </c>
      <c r="Q178" s="689">
        <v>850000</v>
      </c>
    </row>
    <row r="179" spans="1:17">
      <c r="A179" s="1017" t="s">
        <v>625</v>
      </c>
      <c r="B179" s="15"/>
      <c r="C179" s="1019">
        <v>450000</v>
      </c>
      <c r="D179" s="1019">
        <v>450000</v>
      </c>
      <c r="E179" s="1019">
        <v>450000</v>
      </c>
      <c r="F179" s="1019">
        <v>450000</v>
      </c>
      <c r="G179" s="1019">
        <v>450000</v>
      </c>
      <c r="H179" s="1019">
        <v>450000</v>
      </c>
      <c r="I179" s="1019">
        <v>450000</v>
      </c>
      <c r="J179" s="1019">
        <v>450000</v>
      </c>
      <c r="K179" s="1019">
        <v>450000</v>
      </c>
      <c r="L179" s="1019">
        <v>450000</v>
      </c>
      <c r="M179" s="1019">
        <v>450000</v>
      </c>
      <c r="N179" s="1019">
        <v>450000</v>
      </c>
      <c r="O179" s="1019">
        <v>450000</v>
      </c>
      <c r="P179" s="1019">
        <v>450000</v>
      </c>
      <c r="Q179" s="1019">
        <v>450000</v>
      </c>
    </row>
    <row r="180" spans="1:17">
      <c r="A180" s="1018" t="s">
        <v>626</v>
      </c>
      <c r="B180" s="736"/>
      <c r="C180" s="1020">
        <v>350000</v>
      </c>
      <c r="D180" s="1020">
        <v>350000</v>
      </c>
      <c r="E180" s="1020">
        <v>350000</v>
      </c>
      <c r="F180" s="1020">
        <v>350000</v>
      </c>
      <c r="G180" s="1020">
        <v>350000</v>
      </c>
      <c r="H180" s="1020">
        <v>350000</v>
      </c>
      <c r="I180" s="1020">
        <v>350000</v>
      </c>
      <c r="J180" s="1020">
        <v>350000</v>
      </c>
      <c r="K180" s="1020">
        <v>350000</v>
      </c>
      <c r="L180" s="1020">
        <v>350000</v>
      </c>
      <c r="M180" s="1020">
        <v>350000</v>
      </c>
      <c r="N180" s="1020">
        <v>350000</v>
      </c>
      <c r="O180" s="1020">
        <v>350000</v>
      </c>
      <c r="P180" s="1020">
        <v>350000</v>
      </c>
      <c r="Q180" s="1020">
        <v>350000</v>
      </c>
    </row>
    <row r="181" spans="1:17">
      <c r="A181" s="6" t="s">
        <v>726</v>
      </c>
      <c r="B181" s="736"/>
      <c r="C181" s="641">
        <v>5000000</v>
      </c>
      <c r="D181" s="641">
        <v>5000000</v>
      </c>
      <c r="E181" s="641">
        <v>5000000</v>
      </c>
      <c r="F181" s="641">
        <v>5000000</v>
      </c>
      <c r="G181" s="641">
        <v>5000000</v>
      </c>
      <c r="H181" s="641">
        <v>5000000</v>
      </c>
      <c r="I181" s="641">
        <v>5000000</v>
      </c>
      <c r="J181" s="641">
        <v>5000000</v>
      </c>
      <c r="K181" s="641">
        <v>5000000</v>
      </c>
      <c r="L181" s="641">
        <v>5000000</v>
      </c>
      <c r="M181" s="641">
        <v>5000000</v>
      </c>
      <c r="N181" s="641">
        <v>5000000</v>
      </c>
      <c r="O181" s="641">
        <v>5000000</v>
      </c>
      <c r="P181" s="641">
        <v>5000000</v>
      </c>
      <c r="Q181" s="641">
        <v>5000000</v>
      </c>
    </row>
    <row r="182" spans="1:17">
      <c r="A182" s="6" t="s">
        <v>768</v>
      </c>
      <c r="B182" s="736"/>
      <c r="C182" s="1067">
        <v>0</v>
      </c>
      <c r="D182" s="1067">
        <v>0</v>
      </c>
      <c r="E182" s="1067">
        <v>0</v>
      </c>
      <c r="F182" s="1067">
        <v>0</v>
      </c>
      <c r="G182" s="1067">
        <v>0</v>
      </c>
      <c r="H182" s="1067">
        <v>0</v>
      </c>
      <c r="I182" s="1067">
        <v>0</v>
      </c>
      <c r="J182" s="1067">
        <v>0</v>
      </c>
      <c r="K182" s="1067">
        <v>0</v>
      </c>
      <c r="L182" s="1067">
        <v>24000</v>
      </c>
      <c r="M182" s="1067">
        <v>24000</v>
      </c>
      <c r="N182" s="1067">
        <v>24000</v>
      </c>
      <c r="O182" s="1067">
        <v>24000</v>
      </c>
      <c r="P182" s="1067">
        <v>24000</v>
      </c>
      <c r="Q182" s="1067">
        <v>24000</v>
      </c>
    </row>
    <row r="183" spans="1:17">
      <c r="A183" s="1080" t="s">
        <v>783</v>
      </c>
      <c r="B183" s="736"/>
      <c r="C183" s="1067">
        <v>0</v>
      </c>
      <c r="D183" s="1067">
        <v>0</v>
      </c>
      <c r="E183" s="684">
        <v>0</v>
      </c>
      <c r="F183" s="684">
        <v>391833</v>
      </c>
      <c r="G183" s="641">
        <v>1416587</v>
      </c>
      <c r="H183" s="641">
        <v>1416587</v>
      </c>
      <c r="I183" s="641">
        <v>0</v>
      </c>
      <c r="J183" s="641">
        <v>0</v>
      </c>
      <c r="K183" s="641">
        <v>0</v>
      </c>
      <c r="L183" s="641">
        <v>0</v>
      </c>
      <c r="M183" s="641">
        <v>0</v>
      </c>
      <c r="N183" s="641">
        <v>0</v>
      </c>
      <c r="O183" s="641">
        <v>0</v>
      </c>
      <c r="P183" s="641">
        <v>0</v>
      </c>
      <c r="Q183" s="641">
        <v>0</v>
      </c>
    </row>
    <row r="184" spans="1:17">
      <c r="A184" s="1080" t="s">
        <v>793</v>
      </c>
      <c r="B184" s="736"/>
      <c r="C184" s="684">
        <v>785000</v>
      </c>
      <c r="D184" s="1067">
        <v>1350000</v>
      </c>
      <c r="E184" s="684">
        <v>1350000</v>
      </c>
      <c r="F184" s="1067"/>
      <c r="G184" s="641"/>
      <c r="H184" s="641"/>
      <c r="I184" s="641"/>
      <c r="J184" s="641"/>
      <c r="K184" s="641"/>
      <c r="L184" s="641"/>
      <c r="M184" s="641"/>
      <c r="N184" s="641"/>
      <c r="O184" s="641"/>
      <c r="P184" s="641"/>
      <c r="Q184" s="641"/>
    </row>
    <row r="185" spans="1:17">
      <c r="A185" s="6" t="s">
        <v>734</v>
      </c>
      <c r="B185" s="736"/>
      <c r="C185" s="641">
        <v>0</v>
      </c>
      <c r="D185" s="641">
        <v>0</v>
      </c>
      <c r="E185" s="641">
        <v>0</v>
      </c>
      <c r="F185" s="641">
        <v>0</v>
      </c>
      <c r="G185" s="641">
        <v>0</v>
      </c>
      <c r="H185" s="641">
        <v>0</v>
      </c>
      <c r="I185" s="641">
        <v>0</v>
      </c>
      <c r="J185" s="641">
        <v>0</v>
      </c>
      <c r="K185" s="641">
        <v>0</v>
      </c>
      <c r="L185" s="641">
        <v>0</v>
      </c>
      <c r="M185" s="641">
        <v>0</v>
      </c>
      <c r="N185" s="641">
        <v>0</v>
      </c>
      <c r="O185" s="641">
        <v>0</v>
      </c>
      <c r="P185" s="641">
        <v>0</v>
      </c>
      <c r="Q185" s="641">
        <v>0</v>
      </c>
    </row>
    <row r="186" spans="1:17">
      <c r="A186" s="6" t="s">
        <v>750</v>
      </c>
      <c r="B186" s="736"/>
      <c r="C186" s="1067">
        <v>0</v>
      </c>
      <c r="D186" s="1067">
        <v>0</v>
      </c>
      <c r="E186" s="1067">
        <v>0</v>
      </c>
      <c r="F186" s="1067">
        <v>0</v>
      </c>
      <c r="G186" s="1067">
        <v>0</v>
      </c>
      <c r="H186" s="1067">
        <v>0</v>
      </c>
      <c r="I186" s="1067">
        <v>0</v>
      </c>
      <c r="J186" s="1067">
        <v>0</v>
      </c>
      <c r="K186" s="1067">
        <v>0</v>
      </c>
      <c r="L186" s="1067">
        <v>0</v>
      </c>
      <c r="M186" s="1067">
        <v>0</v>
      </c>
      <c r="N186" s="1067">
        <v>0</v>
      </c>
      <c r="O186" s="1067">
        <v>0</v>
      </c>
      <c r="P186" s="1067">
        <v>0</v>
      </c>
      <c r="Q186" s="1067">
        <v>0</v>
      </c>
    </row>
    <row r="187" spans="1:17">
      <c r="A187" s="6" t="s">
        <v>751</v>
      </c>
      <c r="B187" s="736"/>
      <c r="C187" s="1067">
        <v>0</v>
      </c>
      <c r="D187" s="1067">
        <v>0</v>
      </c>
      <c r="E187" s="1067">
        <v>0</v>
      </c>
      <c r="F187" s="1067">
        <v>0</v>
      </c>
      <c r="G187" s="1067">
        <v>0</v>
      </c>
      <c r="H187" s="1067">
        <v>0</v>
      </c>
      <c r="I187" s="1067">
        <v>0</v>
      </c>
      <c r="J187" s="1067">
        <v>0</v>
      </c>
      <c r="K187" s="1067">
        <v>0</v>
      </c>
      <c r="L187" s="1067">
        <v>0</v>
      </c>
      <c r="M187" s="1067">
        <v>0</v>
      </c>
      <c r="N187" s="1067">
        <v>0</v>
      </c>
      <c r="O187" s="1067">
        <v>0</v>
      </c>
      <c r="P187" s="1067">
        <v>0</v>
      </c>
      <c r="Q187" s="1067">
        <v>0</v>
      </c>
    </row>
    <row r="188" spans="1:17">
      <c r="A188" s="6" t="s">
        <v>792</v>
      </c>
      <c r="B188" s="736"/>
      <c r="C188" s="1067">
        <v>75000</v>
      </c>
      <c r="D188" s="1067">
        <v>75000</v>
      </c>
      <c r="E188" s="684">
        <v>75000</v>
      </c>
      <c r="F188" s="1067"/>
      <c r="G188" s="1067"/>
      <c r="H188" s="1067"/>
      <c r="I188" s="1067"/>
      <c r="J188" s="1067"/>
      <c r="K188" s="1067"/>
      <c r="L188" s="1067"/>
      <c r="M188" s="1067"/>
      <c r="N188" s="1067"/>
      <c r="O188" s="1067"/>
      <c r="P188" s="1067"/>
      <c r="Q188" s="1067"/>
    </row>
    <row r="189" spans="1:17">
      <c r="A189" s="6" t="s">
        <v>717</v>
      </c>
      <c r="B189" s="736"/>
      <c r="C189" s="641">
        <v>0</v>
      </c>
      <c r="D189" s="641">
        <v>0</v>
      </c>
      <c r="E189" s="641">
        <v>0</v>
      </c>
      <c r="F189" s="641">
        <v>0</v>
      </c>
      <c r="G189" s="641">
        <v>0</v>
      </c>
      <c r="H189" s="641">
        <v>0</v>
      </c>
      <c r="I189" s="641">
        <v>0</v>
      </c>
      <c r="J189" s="641">
        <v>0</v>
      </c>
      <c r="K189" s="641">
        <v>0</v>
      </c>
      <c r="L189" s="641">
        <v>0</v>
      </c>
      <c r="M189" s="641">
        <v>0</v>
      </c>
      <c r="N189" s="641">
        <v>0</v>
      </c>
      <c r="O189" s="641">
        <v>0</v>
      </c>
      <c r="P189" s="641">
        <v>0</v>
      </c>
      <c r="Q189" s="641">
        <v>0</v>
      </c>
    </row>
    <row r="190" spans="1:17">
      <c r="A190" s="6" t="s">
        <v>697</v>
      </c>
      <c r="B190" s="736"/>
      <c r="C190" s="641">
        <v>0</v>
      </c>
      <c r="D190" s="641">
        <v>0</v>
      </c>
      <c r="E190" s="641">
        <v>0</v>
      </c>
      <c r="F190" s="641">
        <v>0</v>
      </c>
      <c r="G190" s="641">
        <v>0</v>
      </c>
      <c r="H190" s="641">
        <v>0</v>
      </c>
      <c r="I190" s="641">
        <v>0</v>
      </c>
      <c r="J190" s="641">
        <v>0</v>
      </c>
      <c r="K190" s="641">
        <v>0</v>
      </c>
      <c r="L190" s="641">
        <v>0</v>
      </c>
      <c r="M190" s="641">
        <v>0</v>
      </c>
      <c r="N190" s="641">
        <v>0</v>
      </c>
      <c r="O190" s="641">
        <v>0</v>
      </c>
      <c r="P190" s="641">
        <v>0</v>
      </c>
      <c r="Q190" s="641">
        <v>0</v>
      </c>
    </row>
    <row r="191" spans="1:17">
      <c r="A191" s="6" t="s">
        <v>624</v>
      </c>
      <c r="B191" s="736"/>
      <c r="C191" s="641">
        <v>3000000</v>
      </c>
      <c r="D191" s="641">
        <v>3000000</v>
      </c>
      <c r="E191" s="641">
        <v>3000000</v>
      </c>
      <c r="F191" s="641">
        <v>3000000</v>
      </c>
      <c r="G191" s="641">
        <v>3000000</v>
      </c>
      <c r="H191" s="641">
        <v>3000000</v>
      </c>
      <c r="I191" s="641">
        <v>3000000</v>
      </c>
      <c r="J191" s="641">
        <v>3000000</v>
      </c>
      <c r="K191" s="641">
        <v>3000000</v>
      </c>
      <c r="L191" s="641">
        <v>3000000</v>
      </c>
      <c r="M191" s="641">
        <v>3000000</v>
      </c>
      <c r="N191" s="641">
        <v>3000000</v>
      </c>
      <c r="O191" s="641">
        <v>3000000</v>
      </c>
      <c r="P191" s="641">
        <v>3000000</v>
      </c>
      <c r="Q191" s="641">
        <v>3000000</v>
      </c>
    </row>
    <row r="192" spans="1:17">
      <c r="A192" s="6" t="s">
        <v>119</v>
      </c>
      <c r="B192" s="736"/>
      <c r="C192" s="684">
        <v>8500000</v>
      </c>
      <c r="D192" s="1067">
        <v>11500000</v>
      </c>
      <c r="E192" s="684">
        <v>11500000</v>
      </c>
      <c r="F192" s="641">
        <v>15500000</v>
      </c>
      <c r="G192" s="641">
        <v>15500000</v>
      </c>
      <c r="H192" s="641">
        <v>15500000</v>
      </c>
      <c r="I192" s="641">
        <v>15500000</v>
      </c>
      <c r="J192" s="641">
        <v>15500000</v>
      </c>
      <c r="K192" s="641">
        <v>15500000</v>
      </c>
      <c r="L192" s="641">
        <v>15500000</v>
      </c>
      <c r="M192" s="641">
        <v>15500000</v>
      </c>
      <c r="N192" s="641">
        <v>15500000</v>
      </c>
      <c r="O192" s="641">
        <v>15500000</v>
      </c>
      <c r="P192" s="641">
        <v>15500000</v>
      </c>
      <c r="Q192" s="641">
        <v>15500000</v>
      </c>
    </row>
    <row r="193" spans="1:17">
      <c r="A193" s="6" t="s">
        <v>179</v>
      </c>
      <c r="B193" s="736"/>
      <c r="C193" s="1067">
        <v>0</v>
      </c>
      <c r="D193" s="1067">
        <v>0</v>
      </c>
      <c r="E193" s="1067">
        <v>0</v>
      </c>
      <c r="F193" s="1067">
        <v>0</v>
      </c>
      <c r="G193" s="1067">
        <v>0</v>
      </c>
      <c r="H193" s="1067">
        <v>0</v>
      </c>
      <c r="I193" s="1067">
        <v>0</v>
      </c>
      <c r="J193" s="1067">
        <v>0</v>
      </c>
      <c r="K193" s="1067">
        <v>0</v>
      </c>
      <c r="L193" s="641">
        <v>5500000</v>
      </c>
      <c r="M193" s="641">
        <v>5500000</v>
      </c>
      <c r="N193" s="641">
        <v>5500000</v>
      </c>
      <c r="O193" s="641">
        <v>5500000</v>
      </c>
      <c r="P193" s="641">
        <v>5500000</v>
      </c>
      <c r="Q193" s="641">
        <v>5500000</v>
      </c>
    </row>
    <row r="194" spans="1:17">
      <c r="A194" s="6" t="s">
        <v>756</v>
      </c>
      <c r="B194" s="736"/>
      <c r="C194" s="1067">
        <v>48500000</v>
      </c>
      <c r="D194" s="1067">
        <v>48500000</v>
      </c>
      <c r="E194" s="1067">
        <v>48500000</v>
      </c>
      <c r="F194" s="1067">
        <v>48500000</v>
      </c>
      <c r="G194" s="1067">
        <v>48500000</v>
      </c>
      <c r="H194" s="1067">
        <v>48500000</v>
      </c>
      <c r="I194" s="1067">
        <v>48500000</v>
      </c>
      <c r="J194" s="1067">
        <v>48500000</v>
      </c>
      <c r="K194" s="684">
        <v>48500000</v>
      </c>
      <c r="L194" s="1067">
        <v>50000000</v>
      </c>
      <c r="M194" s="1067">
        <v>50000000</v>
      </c>
      <c r="N194" s="1067">
        <v>50000000</v>
      </c>
      <c r="O194" s="1067">
        <v>50000000</v>
      </c>
      <c r="P194" s="1067">
        <v>50000000</v>
      </c>
      <c r="Q194" s="1067">
        <v>50000000</v>
      </c>
    </row>
    <row r="195" spans="1:17">
      <c r="A195" s="6" t="s">
        <v>161</v>
      </c>
      <c r="B195" s="736"/>
      <c r="C195" s="1067">
        <v>6500000</v>
      </c>
      <c r="D195" s="1067">
        <v>6500000</v>
      </c>
      <c r="E195" s="1067">
        <v>6500000</v>
      </c>
      <c r="F195" s="1067">
        <v>6500000</v>
      </c>
      <c r="G195" s="1067">
        <v>6500000</v>
      </c>
      <c r="H195" s="1067">
        <v>6500000</v>
      </c>
      <c r="I195" s="1067">
        <v>6500000</v>
      </c>
      <c r="J195" s="1067">
        <v>6500000</v>
      </c>
      <c r="K195" s="684">
        <v>6500000</v>
      </c>
      <c r="L195" s="641">
        <v>7000000</v>
      </c>
      <c r="M195" s="641">
        <v>7000000</v>
      </c>
      <c r="N195" s="641">
        <v>7000000</v>
      </c>
      <c r="O195" s="641">
        <v>7000000</v>
      </c>
      <c r="P195" s="641">
        <v>7000000</v>
      </c>
      <c r="Q195" s="641">
        <v>7000000</v>
      </c>
    </row>
    <row r="196" spans="1:17" ht="16.2" thickBot="1">
      <c r="A196" s="7"/>
      <c r="B196" s="738"/>
      <c r="C196" s="848">
        <v>74160000</v>
      </c>
      <c r="D196" s="848">
        <v>77325000</v>
      </c>
      <c r="E196" s="848">
        <v>77325000</v>
      </c>
      <c r="F196" s="848">
        <v>80291833</v>
      </c>
      <c r="G196" s="848">
        <v>81566587</v>
      </c>
      <c r="H196" s="848">
        <v>81566587</v>
      </c>
      <c r="I196" s="848">
        <v>80150000</v>
      </c>
      <c r="J196" s="848">
        <v>80150000</v>
      </c>
      <c r="K196" s="848">
        <v>80150000</v>
      </c>
      <c r="L196" s="848">
        <v>87674000</v>
      </c>
      <c r="M196" s="848">
        <v>87674000</v>
      </c>
      <c r="N196" s="848">
        <v>87674000</v>
      </c>
      <c r="O196" s="848">
        <v>87674000</v>
      </c>
      <c r="P196" s="848">
        <v>87674000</v>
      </c>
      <c r="Q196" s="848">
        <v>87674000</v>
      </c>
    </row>
    <row r="197" spans="1:17" ht="16.2" thickBot="1">
      <c r="A197" s="9"/>
      <c r="B197" s="10"/>
      <c r="C197" s="869"/>
      <c r="D197" s="869"/>
      <c r="E197" s="869"/>
      <c r="F197" s="869"/>
      <c r="G197" s="869"/>
      <c r="H197" s="869"/>
      <c r="I197" s="869"/>
      <c r="J197" s="869"/>
      <c r="K197" s="869"/>
      <c r="L197" s="869"/>
      <c r="M197" s="869"/>
      <c r="N197" s="869"/>
      <c r="O197" s="869"/>
      <c r="P197" s="869"/>
      <c r="Q197" s="869"/>
    </row>
    <row r="198" spans="1:17" ht="16.2" thickBot="1">
      <c r="A198" s="768"/>
      <c r="B198" s="769"/>
      <c r="C198" s="868"/>
      <c r="D198" s="868"/>
      <c r="E198" s="868"/>
      <c r="F198" s="868"/>
      <c r="G198" s="868"/>
      <c r="H198" s="868"/>
      <c r="I198" s="868"/>
      <c r="J198" s="868"/>
      <c r="K198" s="868"/>
      <c r="L198" s="868"/>
      <c r="M198" s="868"/>
      <c r="N198" s="868"/>
      <c r="O198" s="868"/>
      <c r="P198" s="868"/>
      <c r="Q198" s="868"/>
    </row>
    <row r="199" spans="1:17" s="699" customFormat="1" ht="18.600000000000001" thickBot="1">
      <c r="A199" s="770" t="s">
        <v>35</v>
      </c>
      <c r="B199" s="771"/>
      <c r="C199" s="870">
        <v>214446208</v>
      </c>
      <c r="D199" s="870">
        <v>222522512</v>
      </c>
      <c r="E199" s="870">
        <v>221321615</v>
      </c>
      <c r="F199" s="870">
        <v>218025467</v>
      </c>
      <c r="G199" s="870">
        <v>216954549</v>
      </c>
      <c r="H199" s="870">
        <v>217048489</v>
      </c>
      <c r="I199" s="870">
        <v>218097269</v>
      </c>
      <c r="J199" s="870">
        <v>216536259</v>
      </c>
      <c r="K199" s="870">
        <v>214952886</v>
      </c>
      <c r="L199" s="870">
        <v>210708689</v>
      </c>
      <c r="M199" s="870">
        <v>209386807</v>
      </c>
      <c r="N199" s="870">
        <v>207687776</v>
      </c>
      <c r="O199" s="870">
        <v>207335772</v>
      </c>
      <c r="P199" s="870">
        <v>205683997</v>
      </c>
      <c r="Q199" s="870">
        <v>204520285</v>
      </c>
    </row>
    <row r="200" spans="1:17" s="699" customFormat="1" ht="18">
      <c r="A200" s="772"/>
      <c r="B200" s="773"/>
      <c r="C200" s="871"/>
      <c r="D200" s="871"/>
      <c r="E200" s="871"/>
      <c r="F200" s="871"/>
      <c r="G200" s="871"/>
      <c r="H200" s="871"/>
      <c r="I200" s="871"/>
      <c r="J200" s="871"/>
      <c r="K200" s="871"/>
      <c r="L200" s="871"/>
      <c r="M200" s="871"/>
      <c r="N200" s="871"/>
      <c r="O200" s="871"/>
      <c r="P200" s="871"/>
      <c r="Q200" s="871"/>
    </row>
    <row r="201" spans="1:17">
      <c r="A201" s="5"/>
      <c r="B201"/>
      <c r="C201" s="852"/>
      <c r="D201" s="852"/>
      <c r="E201" s="852"/>
      <c r="F201" s="852"/>
      <c r="G201" s="852"/>
      <c r="H201" s="852"/>
      <c r="I201" s="852"/>
      <c r="J201" s="852"/>
      <c r="K201" s="852"/>
      <c r="L201" s="852"/>
      <c r="M201" s="852"/>
      <c r="N201" s="852"/>
      <c r="O201" s="852"/>
      <c r="P201" s="852"/>
      <c r="Q201" s="852"/>
    </row>
    <row r="202" spans="1:17">
      <c r="A202" s="5" t="s">
        <v>25</v>
      </c>
      <c r="B202"/>
      <c r="C202" s="8">
        <v>276249375</v>
      </c>
      <c r="D202" s="8">
        <v>287426162</v>
      </c>
      <c r="E202" s="8">
        <v>286225265</v>
      </c>
      <c r="F202" s="8">
        <v>292570467</v>
      </c>
      <c r="G202" s="8">
        <v>292774303</v>
      </c>
      <c r="H202" s="8">
        <v>292868243</v>
      </c>
      <c r="I202" s="8">
        <v>292900436</v>
      </c>
      <c r="J202" s="8">
        <v>291339426</v>
      </c>
      <c r="K202" s="8">
        <v>289756053</v>
      </c>
      <c r="L202" s="8">
        <v>293145856</v>
      </c>
      <c r="M202" s="8">
        <v>291823974</v>
      </c>
      <c r="N202" s="8">
        <v>290124943</v>
      </c>
      <c r="O202" s="8">
        <v>289772939</v>
      </c>
      <c r="P202" s="8">
        <v>288121164</v>
      </c>
      <c r="Q202" s="8">
        <v>286957452</v>
      </c>
    </row>
    <row r="203" spans="1:17" ht="18">
      <c r="A203" s="774" t="s">
        <v>13</v>
      </c>
      <c r="B203" s="2"/>
      <c r="C203" s="24">
        <v>214446208</v>
      </c>
      <c r="D203" s="24">
        <v>222522512</v>
      </c>
      <c r="E203" s="24">
        <v>221321615</v>
      </c>
      <c r="F203" s="24">
        <v>218025467</v>
      </c>
      <c r="G203" s="24">
        <v>216954549</v>
      </c>
      <c r="H203" s="24">
        <v>217048489</v>
      </c>
      <c r="I203" s="24">
        <v>218097269</v>
      </c>
      <c r="J203" s="24">
        <v>216536259</v>
      </c>
      <c r="K203" s="24">
        <v>214952886</v>
      </c>
      <c r="L203" s="24">
        <v>210708689</v>
      </c>
      <c r="M203" s="24">
        <v>209386807</v>
      </c>
      <c r="N203" s="24">
        <v>207687776</v>
      </c>
      <c r="O203" s="24">
        <v>207335772</v>
      </c>
      <c r="P203" s="24">
        <v>205683997</v>
      </c>
      <c r="Q203" s="24">
        <v>204520285</v>
      </c>
    </row>
    <row r="204" spans="1:17" ht="18">
      <c r="A204" s="774"/>
      <c r="B204" s="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 spans="1:17" ht="15" thickBot="1">
      <c r="A205" s="5"/>
      <c r="B20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>
      <c r="A206" s="775" t="s">
        <v>18</v>
      </c>
      <c r="B206" s="726"/>
      <c r="C206" s="700">
        <v>-11176787</v>
      </c>
      <c r="D206" s="700">
        <v>1200897</v>
      </c>
      <c r="E206" s="700">
        <v>-6345202</v>
      </c>
      <c r="F206" s="700">
        <v>-203836</v>
      </c>
      <c r="G206" s="700">
        <v>-93940</v>
      </c>
      <c r="H206" s="700">
        <v>-32193</v>
      </c>
      <c r="I206" s="700">
        <v>1561010</v>
      </c>
      <c r="J206" s="700">
        <v>1583373</v>
      </c>
      <c r="K206" s="700">
        <v>-3389803</v>
      </c>
      <c r="L206" s="700">
        <v>1321882</v>
      </c>
      <c r="M206" s="700">
        <v>1699031</v>
      </c>
      <c r="N206" s="700">
        <v>352004</v>
      </c>
      <c r="O206" s="700">
        <v>1651775</v>
      </c>
      <c r="P206" s="700">
        <v>1163712</v>
      </c>
      <c r="Q206" s="700">
        <v>0</v>
      </c>
    </row>
    <row r="207" spans="1:17" ht="15" thickBot="1">
      <c r="A207" s="5"/>
      <c r="B20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>
      <c r="A208" s="776"/>
      <c r="B208" s="777"/>
      <c r="C208" s="872"/>
      <c r="D208" s="872"/>
      <c r="E208" s="872"/>
      <c r="F208" s="872"/>
      <c r="G208" s="872"/>
      <c r="H208" s="872"/>
      <c r="I208" s="872"/>
      <c r="J208" s="872"/>
      <c r="K208" s="872"/>
      <c r="L208" s="872"/>
      <c r="M208" s="872"/>
      <c r="N208" s="872"/>
      <c r="O208" s="872"/>
      <c r="P208" s="872"/>
      <c r="Q208" s="872"/>
    </row>
    <row r="209" spans="1:20">
      <c r="A209" s="20" t="s">
        <v>183</v>
      </c>
      <c r="B209" s="778"/>
      <c r="C209" s="873">
        <v>1923211</v>
      </c>
      <c r="D209" s="873">
        <v>584000</v>
      </c>
      <c r="E209" s="873">
        <v>2003760</v>
      </c>
      <c r="F209" s="873">
        <v>2193163</v>
      </c>
      <c r="G209" s="873">
        <v>425001</v>
      </c>
      <c r="H209" s="873">
        <v>1049968</v>
      </c>
      <c r="I209" s="873">
        <v>1497000</v>
      </c>
      <c r="J209" s="873">
        <v>454000</v>
      </c>
      <c r="K209" s="873">
        <v>2308949</v>
      </c>
      <c r="L209" s="873">
        <v>624000</v>
      </c>
      <c r="M209" s="873">
        <v>650000</v>
      </c>
      <c r="N209" s="873">
        <v>809371</v>
      </c>
      <c r="O209" s="873">
        <v>684000</v>
      </c>
      <c r="P209" s="873">
        <v>771241</v>
      </c>
      <c r="Q209" s="873">
        <v>0</v>
      </c>
    </row>
    <row r="210" spans="1:20">
      <c r="A210" s="20" t="s">
        <v>24</v>
      </c>
      <c r="B210" s="778"/>
      <c r="C210" s="873">
        <v>161211</v>
      </c>
      <c r="D210" s="873">
        <v>534000</v>
      </c>
      <c r="E210" s="873">
        <v>1653760</v>
      </c>
      <c r="F210" s="873">
        <v>1943163</v>
      </c>
      <c r="G210" s="873">
        <v>325001</v>
      </c>
      <c r="H210" s="873">
        <v>1049968</v>
      </c>
      <c r="I210" s="873">
        <v>1497000</v>
      </c>
      <c r="J210" s="873">
        <v>404000</v>
      </c>
      <c r="K210" s="873">
        <v>2058949</v>
      </c>
      <c r="L210" s="873">
        <v>556000</v>
      </c>
      <c r="M210" s="873">
        <v>580000</v>
      </c>
      <c r="N210" s="873">
        <v>684371</v>
      </c>
      <c r="O210" s="873">
        <v>634000</v>
      </c>
      <c r="P210" s="873">
        <v>681241</v>
      </c>
      <c r="Q210" s="873">
        <v>0</v>
      </c>
    </row>
    <row r="211" spans="1:20">
      <c r="A211" s="28" t="s">
        <v>19</v>
      </c>
      <c r="B211" s="746" t="s">
        <v>283</v>
      </c>
      <c r="C211" s="874">
        <v>2532500</v>
      </c>
      <c r="D211" s="874">
        <v>290000</v>
      </c>
      <c r="E211" s="874">
        <v>1532000</v>
      </c>
      <c r="F211" s="874">
        <v>1858000</v>
      </c>
      <c r="G211" s="874">
        <v>910000</v>
      </c>
      <c r="H211" s="874">
        <v>2465000</v>
      </c>
      <c r="I211" s="874">
        <v>590000</v>
      </c>
      <c r="J211" s="874">
        <v>0</v>
      </c>
      <c r="K211" s="874">
        <v>804000</v>
      </c>
      <c r="L211" s="874">
        <v>468000</v>
      </c>
      <c r="M211" s="874">
        <v>980000</v>
      </c>
      <c r="N211" s="874">
        <v>182000</v>
      </c>
      <c r="O211" s="874">
        <v>0</v>
      </c>
      <c r="P211" s="874">
        <v>475000</v>
      </c>
      <c r="Q211" s="874">
        <v>0</v>
      </c>
    </row>
    <row r="212" spans="1:20" s="265" customFormat="1">
      <c r="A212" s="779" t="s">
        <v>189</v>
      </c>
      <c r="B212" s="780"/>
      <c r="C212" s="701">
        <v>13086500</v>
      </c>
      <c r="D212" s="701">
        <v>10554000</v>
      </c>
      <c r="E212" s="701">
        <v>10264000</v>
      </c>
      <c r="F212" s="701">
        <v>8732000</v>
      </c>
      <c r="G212" s="701">
        <v>6874000</v>
      </c>
      <c r="H212" s="701">
        <v>5964000</v>
      </c>
      <c r="I212" s="701">
        <v>3499000</v>
      </c>
      <c r="J212" s="701">
        <v>2909000</v>
      </c>
      <c r="K212" s="701">
        <v>2909000</v>
      </c>
      <c r="L212" s="701">
        <v>2105000</v>
      </c>
      <c r="M212" s="701">
        <v>1637000</v>
      </c>
      <c r="N212" s="701">
        <v>657000</v>
      </c>
      <c r="O212" s="701">
        <v>475000</v>
      </c>
      <c r="P212" s="701">
        <v>475000</v>
      </c>
      <c r="Q212" s="701">
        <v>0</v>
      </c>
    </row>
    <row r="213" spans="1:20">
      <c r="A213" s="28" t="s">
        <v>180</v>
      </c>
      <c r="B213" s="746" t="s">
        <v>284</v>
      </c>
      <c r="C213" s="874">
        <v>1762000</v>
      </c>
      <c r="D213" s="874">
        <v>50000</v>
      </c>
      <c r="E213" s="874">
        <v>350000</v>
      </c>
      <c r="F213" s="874">
        <v>250000</v>
      </c>
      <c r="G213" s="874">
        <v>100000</v>
      </c>
      <c r="H213" s="874">
        <v>0</v>
      </c>
      <c r="I213" s="874">
        <v>0</v>
      </c>
      <c r="J213" s="874">
        <v>50000</v>
      </c>
      <c r="K213" s="874">
        <v>250000</v>
      </c>
      <c r="L213" s="874">
        <v>68000</v>
      </c>
      <c r="M213" s="874">
        <v>70000</v>
      </c>
      <c r="N213" s="874">
        <v>125000</v>
      </c>
      <c r="O213" s="874">
        <v>50000</v>
      </c>
      <c r="P213" s="874">
        <v>90000</v>
      </c>
      <c r="Q213" s="874">
        <v>0</v>
      </c>
    </row>
    <row r="214" spans="1:20" s="265" customFormat="1">
      <c r="A214" s="779" t="s">
        <v>190</v>
      </c>
      <c r="B214" s="780"/>
      <c r="C214" s="702">
        <v>3215000</v>
      </c>
      <c r="D214" s="702">
        <v>1453000</v>
      </c>
      <c r="E214" s="702">
        <v>1403000</v>
      </c>
      <c r="F214" s="702">
        <v>1053000</v>
      </c>
      <c r="G214" s="702">
        <v>803000</v>
      </c>
      <c r="H214" s="702">
        <v>703000</v>
      </c>
      <c r="I214" s="702">
        <v>703000</v>
      </c>
      <c r="J214" s="702">
        <v>703000</v>
      </c>
      <c r="K214" s="702">
        <v>653000</v>
      </c>
      <c r="L214" s="702">
        <v>403000</v>
      </c>
      <c r="M214" s="702">
        <v>335000</v>
      </c>
      <c r="N214" s="702">
        <v>265000</v>
      </c>
      <c r="O214" s="702">
        <v>140000</v>
      </c>
      <c r="P214" s="702">
        <v>90000</v>
      </c>
      <c r="Q214" s="702">
        <v>0</v>
      </c>
    </row>
    <row r="215" spans="1:20">
      <c r="A215" s="20"/>
      <c r="B215" s="781"/>
      <c r="C215" s="873"/>
      <c r="D215" s="873"/>
      <c r="E215" s="873"/>
      <c r="F215" s="873"/>
      <c r="G215" s="873"/>
      <c r="H215" s="873"/>
      <c r="I215" s="873"/>
      <c r="J215" s="873"/>
      <c r="K215" s="873"/>
      <c r="L215" s="873"/>
      <c r="M215" s="873"/>
      <c r="N215" s="873"/>
      <c r="O215" s="873"/>
      <c r="P215" s="873"/>
      <c r="Q215" s="873"/>
    </row>
    <row r="216" spans="1:20">
      <c r="A216" s="28" t="s">
        <v>63</v>
      </c>
      <c r="B216" s="746" t="s">
        <v>285</v>
      </c>
      <c r="C216" s="875">
        <v>0</v>
      </c>
      <c r="D216" s="875">
        <v>0</v>
      </c>
      <c r="E216" s="875">
        <v>0</v>
      </c>
      <c r="F216" s="875">
        <v>0</v>
      </c>
      <c r="G216" s="875">
        <v>0</v>
      </c>
      <c r="H216" s="875">
        <v>0</v>
      </c>
      <c r="I216" s="875">
        <v>0</v>
      </c>
      <c r="J216" s="875">
        <v>0</v>
      </c>
      <c r="K216" s="875">
        <v>0</v>
      </c>
      <c r="L216" s="875">
        <v>0</v>
      </c>
      <c r="M216" s="875">
        <v>0</v>
      </c>
      <c r="N216" s="875">
        <v>0</v>
      </c>
      <c r="O216" s="875">
        <v>0</v>
      </c>
      <c r="P216" s="875">
        <v>0</v>
      </c>
      <c r="Q216" s="875">
        <v>0</v>
      </c>
      <c r="T216" s="703"/>
    </row>
    <row r="217" spans="1:20">
      <c r="A217" s="28" t="s">
        <v>12</v>
      </c>
      <c r="B217" s="746" t="s">
        <v>286</v>
      </c>
      <c r="C217" s="875">
        <v>0</v>
      </c>
      <c r="D217" s="875">
        <v>0</v>
      </c>
      <c r="E217" s="875">
        <v>0</v>
      </c>
      <c r="F217" s="875">
        <v>0</v>
      </c>
      <c r="G217" s="875">
        <v>0</v>
      </c>
      <c r="H217" s="875">
        <v>0</v>
      </c>
      <c r="I217" s="875">
        <v>0</v>
      </c>
      <c r="J217" s="875">
        <v>0</v>
      </c>
      <c r="K217" s="875">
        <v>0</v>
      </c>
      <c r="L217" s="875">
        <v>0</v>
      </c>
      <c r="M217" s="875">
        <v>0</v>
      </c>
      <c r="N217" s="875">
        <v>0</v>
      </c>
      <c r="O217" s="875">
        <v>0</v>
      </c>
      <c r="P217" s="875">
        <v>0</v>
      </c>
      <c r="Q217" s="875">
        <v>0</v>
      </c>
    </row>
    <row r="218" spans="1:20">
      <c r="A218" s="1"/>
      <c r="B218" s="748"/>
      <c r="C218" s="876"/>
      <c r="D218" s="876"/>
      <c r="E218" s="876"/>
      <c r="F218" s="876"/>
      <c r="G218" s="876"/>
      <c r="H218" s="876"/>
      <c r="I218" s="876"/>
      <c r="J218" s="876"/>
      <c r="K218" s="876"/>
      <c r="L218" s="876"/>
      <c r="M218" s="876"/>
      <c r="N218" s="876"/>
      <c r="O218" s="876"/>
      <c r="P218" s="876"/>
      <c r="Q218" s="876"/>
    </row>
    <row r="219" spans="1:20">
      <c r="A219" s="782" t="s">
        <v>47</v>
      </c>
      <c r="B219" s="781"/>
      <c r="C219" s="702">
        <v>2891164</v>
      </c>
      <c r="D219" s="702">
        <v>3500453</v>
      </c>
      <c r="E219" s="702">
        <v>3206453</v>
      </c>
      <c r="F219" s="702">
        <v>2734693</v>
      </c>
      <c r="G219" s="702">
        <v>2399530</v>
      </c>
      <c r="H219" s="702">
        <v>2884529</v>
      </c>
      <c r="I219" s="702">
        <v>4299561</v>
      </c>
      <c r="J219" s="702">
        <v>3392561</v>
      </c>
      <c r="K219" s="702">
        <v>2938561</v>
      </c>
      <c r="L219" s="702">
        <v>1433612</v>
      </c>
      <c r="M219" s="702">
        <v>1277612</v>
      </c>
      <c r="N219" s="702">
        <v>1607612</v>
      </c>
      <c r="O219" s="702">
        <v>980241</v>
      </c>
      <c r="P219" s="702">
        <v>296241</v>
      </c>
      <c r="Q219" s="702">
        <v>0</v>
      </c>
    </row>
    <row r="220" spans="1:20">
      <c r="A220" s="1"/>
      <c r="B220" s="748"/>
      <c r="C220" s="876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  <c r="O220" s="876"/>
      <c r="P220" s="876"/>
      <c r="Q220" s="876"/>
    </row>
    <row r="221" spans="1:20">
      <c r="A221" s="28" t="s">
        <v>21</v>
      </c>
      <c r="B221" s="746" t="s">
        <v>287</v>
      </c>
      <c r="C221" s="875">
        <v>0</v>
      </c>
      <c r="D221" s="875">
        <v>0</v>
      </c>
      <c r="E221" s="875">
        <v>7674517</v>
      </c>
      <c r="F221" s="875">
        <v>0</v>
      </c>
      <c r="G221" s="875">
        <v>46999</v>
      </c>
      <c r="H221" s="875">
        <v>0</v>
      </c>
      <c r="I221" s="875">
        <v>400000</v>
      </c>
      <c r="J221" s="875">
        <v>0</v>
      </c>
      <c r="K221" s="875">
        <v>55000</v>
      </c>
      <c r="L221" s="875">
        <v>0</v>
      </c>
      <c r="M221" s="875">
        <v>0</v>
      </c>
      <c r="N221" s="875">
        <v>0</v>
      </c>
      <c r="O221" s="875">
        <v>0</v>
      </c>
      <c r="P221" s="875">
        <v>0</v>
      </c>
      <c r="Q221" s="875">
        <v>0</v>
      </c>
    </row>
    <row r="222" spans="1:20">
      <c r="A222" s="28" t="s">
        <v>64</v>
      </c>
      <c r="B222" s="746" t="s">
        <v>281</v>
      </c>
      <c r="C222" s="875">
        <v>65000</v>
      </c>
      <c r="D222" s="875">
        <v>110000</v>
      </c>
      <c r="E222" s="875">
        <v>1000000</v>
      </c>
      <c r="F222" s="875">
        <v>0</v>
      </c>
      <c r="G222" s="875">
        <v>0</v>
      </c>
      <c r="H222" s="875">
        <v>0</v>
      </c>
      <c r="I222" s="875">
        <v>0</v>
      </c>
      <c r="J222" s="875">
        <v>0</v>
      </c>
      <c r="K222" s="875">
        <v>55000</v>
      </c>
      <c r="L222" s="875">
        <v>0</v>
      </c>
      <c r="M222" s="875">
        <v>0</v>
      </c>
      <c r="N222" s="875">
        <v>0</v>
      </c>
      <c r="O222" s="875">
        <v>0</v>
      </c>
      <c r="P222" s="875">
        <v>0</v>
      </c>
      <c r="Q222" s="875">
        <v>0</v>
      </c>
    </row>
    <row r="223" spans="1:20">
      <c r="A223" s="1"/>
      <c r="B223" s="748"/>
      <c r="C223" s="876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  <c r="O223" s="876"/>
      <c r="P223" s="876"/>
      <c r="Q223" s="876"/>
    </row>
    <row r="224" spans="1:20">
      <c r="A224" s="1444" t="s">
        <v>324</v>
      </c>
      <c r="B224" s="1445"/>
      <c r="C224" s="721">
        <v>21000</v>
      </c>
      <c r="D224" s="721">
        <v>21000</v>
      </c>
      <c r="E224" s="721">
        <v>14000</v>
      </c>
      <c r="F224" s="721">
        <v>14000</v>
      </c>
      <c r="G224" s="721">
        <v>14000</v>
      </c>
      <c r="H224" s="721">
        <v>14000</v>
      </c>
      <c r="I224" s="721">
        <v>14000</v>
      </c>
      <c r="J224" s="721">
        <v>14000</v>
      </c>
      <c r="K224" s="721">
        <v>14000</v>
      </c>
      <c r="L224" s="1058">
        <v>0</v>
      </c>
      <c r="M224" s="1058">
        <v>0</v>
      </c>
      <c r="N224" s="1069">
        <v>0</v>
      </c>
      <c r="O224" s="1069">
        <v>0</v>
      </c>
      <c r="P224" s="1069">
        <v>0</v>
      </c>
      <c r="Q224" s="1069">
        <v>0</v>
      </c>
    </row>
    <row r="225" spans="1:17">
      <c r="A225" s="1444" t="s">
        <v>325</v>
      </c>
      <c r="B225" s="1445"/>
      <c r="C225" s="721">
        <v>25000</v>
      </c>
      <c r="D225" s="721">
        <v>25000</v>
      </c>
      <c r="E225" s="721">
        <v>25000</v>
      </c>
      <c r="F225" s="721">
        <v>6000</v>
      </c>
      <c r="G225" s="721">
        <v>6000</v>
      </c>
      <c r="H225" s="721">
        <v>6000</v>
      </c>
      <c r="I225" s="721">
        <v>6000</v>
      </c>
      <c r="J225" s="721">
        <v>6000</v>
      </c>
      <c r="K225" s="721">
        <v>6000</v>
      </c>
      <c r="L225" s="1058">
        <v>0</v>
      </c>
      <c r="M225" s="1058">
        <v>0</v>
      </c>
      <c r="N225" s="1069">
        <v>0</v>
      </c>
      <c r="O225" s="1069">
        <v>0</v>
      </c>
      <c r="P225" s="1069">
        <v>0</v>
      </c>
      <c r="Q225" s="1069">
        <v>0</v>
      </c>
    </row>
    <row r="226" spans="1:17">
      <c r="A226" s="1137" t="s">
        <v>339</v>
      </c>
      <c r="B226" s="784"/>
      <c r="C226" s="721">
        <v>227500</v>
      </c>
      <c r="D226" s="721">
        <v>227500</v>
      </c>
      <c r="E226" s="721">
        <v>227500</v>
      </c>
      <c r="F226" s="721">
        <v>172500</v>
      </c>
      <c r="G226" s="721">
        <v>172500</v>
      </c>
      <c r="H226" s="721">
        <v>172500</v>
      </c>
      <c r="I226" s="721">
        <v>172500</v>
      </c>
      <c r="J226" s="721">
        <v>172500</v>
      </c>
      <c r="K226" s="721">
        <v>172500</v>
      </c>
      <c r="L226" s="1069">
        <v>156000</v>
      </c>
      <c r="M226" s="1058">
        <v>156000</v>
      </c>
      <c r="N226" s="1069">
        <v>0</v>
      </c>
      <c r="O226" s="1069">
        <v>0</v>
      </c>
      <c r="P226" s="1069">
        <v>0</v>
      </c>
      <c r="Q226" s="1069">
        <v>0</v>
      </c>
    </row>
    <row r="227" spans="1:17">
      <c r="A227" s="1137" t="s">
        <v>561</v>
      </c>
      <c r="B227" s="784"/>
      <c r="C227" s="721">
        <v>7000</v>
      </c>
      <c r="D227" s="721">
        <v>7000</v>
      </c>
      <c r="E227" s="721">
        <v>7000</v>
      </c>
      <c r="F227" s="721">
        <v>7000</v>
      </c>
      <c r="G227" s="721">
        <v>7000</v>
      </c>
      <c r="H227" s="721">
        <v>7000</v>
      </c>
      <c r="I227" s="721">
        <v>7000</v>
      </c>
      <c r="J227" s="721">
        <v>7000</v>
      </c>
      <c r="K227" s="721">
        <v>7000</v>
      </c>
      <c r="L227" s="1058">
        <v>0</v>
      </c>
      <c r="M227" s="1058">
        <v>0</v>
      </c>
      <c r="N227" s="1069">
        <v>0</v>
      </c>
      <c r="O227" s="1069">
        <v>0</v>
      </c>
      <c r="P227" s="1069">
        <v>0</v>
      </c>
      <c r="Q227" s="1069">
        <v>0</v>
      </c>
    </row>
    <row r="228" spans="1:17">
      <c r="A228" s="965"/>
      <c r="B228" s="966"/>
      <c r="C228" s="967">
        <v>280500</v>
      </c>
      <c r="D228" s="967">
        <v>280500</v>
      </c>
      <c r="E228" s="967">
        <v>273500</v>
      </c>
      <c r="F228" s="967">
        <v>199500</v>
      </c>
      <c r="G228" s="967">
        <v>199500</v>
      </c>
      <c r="H228" s="967">
        <v>199500</v>
      </c>
      <c r="I228" s="967">
        <v>199500</v>
      </c>
      <c r="J228" s="967">
        <v>199500</v>
      </c>
      <c r="K228" s="967">
        <v>199500</v>
      </c>
      <c r="L228" s="967">
        <v>156000</v>
      </c>
      <c r="M228" s="967">
        <v>156000</v>
      </c>
      <c r="N228" s="967">
        <v>0</v>
      </c>
      <c r="O228" s="967">
        <v>0</v>
      </c>
      <c r="P228" s="967">
        <v>0</v>
      </c>
      <c r="Q228" s="967">
        <v>0</v>
      </c>
    </row>
    <row r="229" spans="1:17">
      <c r="A229" s="1"/>
      <c r="B229" s="748"/>
      <c r="C229" s="876"/>
      <c r="D229" s="876"/>
      <c r="E229" s="876"/>
      <c r="F229" s="876"/>
      <c r="G229" s="876"/>
      <c r="H229" s="876"/>
      <c r="I229" s="876"/>
      <c r="J229" s="876"/>
      <c r="K229" s="876"/>
      <c r="L229" s="876"/>
      <c r="M229" s="876"/>
      <c r="N229" s="876"/>
      <c r="O229" s="876"/>
      <c r="P229" s="876"/>
      <c r="Q229" s="876"/>
    </row>
    <row r="230" spans="1:17">
      <c r="A230" s="1" t="s">
        <v>557</v>
      </c>
      <c r="B230" s="748"/>
      <c r="C230" s="893">
        <v>225550</v>
      </c>
      <c r="D230" s="893">
        <v>97050</v>
      </c>
      <c r="E230" s="893">
        <v>96050</v>
      </c>
      <c r="F230" s="893">
        <v>21750</v>
      </c>
      <c r="G230" s="893">
        <v>21750</v>
      </c>
      <c r="H230" s="893">
        <v>21750</v>
      </c>
      <c r="I230" s="893">
        <v>21750</v>
      </c>
      <c r="J230" s="893">
        <v>21750</v>
      </c>
      <c r="K230" s="893">
        <v>21750</v>
      </c>
      <c r="L230" s="1057">
        <v>12100</v>
      </c>
      <c r="M230" s="1057">
        <v>8100</v>
      </c>
      <c r="N230" s="1068">
        <v>0</v>
      </c>
      <c r="O230" s="1068">
        <v>0</v>
      </c>
      <c r="P230" s="1068">
        <v>0</v>
      </c>
      <c r="Q230" s="1068">
        <v>0</v>
      </c>
    </row>
    <row r="231" spans="1:17">
      <c r="A231" s="1" t="s">
        <v>558</v>
      </c>
      <c r="B231" s="748"/>
      <c r="C231" s="893">
        <v>225600</v>
      </c>
      <c r="D231" s="893">
        <v>222350</v>
      </c>
      <c r="E231" s="893">
        <v>221600</v>
      </c>
      <c r="F231" s="893">
        <v>52300</v>
      </c>
      <c r="G231" s="893">
        <v>52300</v>
      </c>
      <c r="H231" s="893">
        <v>52300</v>
      </c>
      <c r="I231" s="893">
        <v>52300</v>
      </c>
      <c r="J231" s="893">
        <v>52300</v>
      </c>
      <c r="K231" s="893">
        <v>52300</v>
      </c>
      <c r="L231" s="1057">
        <v>25700</v>
      </c>
      <c r="M231" s="1057">
        <v>24450</v>
      </c>
      <c r="N231" s="1068">
        <v>0</v>
      </c>
      <c r="O231" s="1068">
        <v>0</v>
      </c>
      <c r="P231" s="1068">
        <v>0</v>
      </c>
      <c r="Q231" s="1068">
        <v>0</v>
      </c>
    </row>
    <row r="232" spans="1:17">
      <c r="A232" s="1" t="s">
        <v>559</v>
      </c>
      <c r="B232" s="748"/>
      <c r="C232" s="893">
        <v>203900</v>
      </c>
      <c r="D232" s="893">
        <v>191400</v>
      </c>
      <c r="E232" s="893">
        <v>190900</v>
      </c>
      <c r="F232" s="893">
        <v>37100</v>
      </c>
      <c r="G232" s="893">
        <v>37100</v>
      </c>
      <c r="H232" s="893">
        <v>37100</v>
      </c>
      <c r="I232" s="893">
        <v>37100</v>
      </c>
      <c r="J232" s="893">
        <v>37100</v>
      </c>
      <c r="K232" s="893">
        <v>37100</v>
      </c>
      <c r="L232" s="1068">
        <v>30800</v>
      </c>
      <c r="M232" s="1057">
        <v>30800</v>
      </c>
      <c r="N232" s="1068">
        <v>0</v>
      </c>
      <c r="O232" s="1068">
        <v>0</v>
      </c>
      <c r="P232" s="1068">
        <v>0</v>
      </c>
      <c r="Q232" s="1068">
        <v>0</v>
      </c>
    </row>
    <row r="233" spans="1:17">
      <c r="A233" s="1" t="s">
        <v>560</v>
      </c>
      <c r="B233" s="748"/>
      <c r="C233" s="893">
        <v>246450</v>
      </c>
      <c r="D233" s="893">
        <v>244700</v>
      </c>
      <c r="E233" s="893">
        <v>240450</v>
      </c>
      <c r="F233" s="893">
        <v>66650</v>
      </c>
      <c r="G233" s="893">
        <v>66650</v>
      </c>
      <c r="H233" s="893">
        <v>66650</v>
      </c>
      <c r="I233" s="893">
        <v>66650</v>
      </c>
      <c r="J233" s="893">
        <v>66650</v>
      </c>
      <c r="K233" s="893">
        <v>66650</v>
      </c>
      <c r="L233" s="1057">
        <v>15400</v>
      </c>
      <c r="M233" s="1057">
        <v>13150</v>
      </c>
      <c r="N233" s="1068">
        <v>0</v>
      </c>
      <c r="O233" s="1068">
        <v>0</v>
      </c>
      <c r="P233" s="1068">
        <v>0</v>
      </c>
      <c r="Q233" s="1068">
        <v>0</v>
      </c>
    </row>
    <row r="234" spans="1:17">
      <c r="A234" s="1"/>
      <c r="B234" s="748"/>
      <c r="C234" s="892">
        <v>901500</v>
      </c>
      <c r="D234" s="892">
        <v>755500</v>
      </c>
      <c r="E234" s="892">
        <v>749000</v>
      </c>
      <c r="F234" s="892">
        <v>177800</v>
      </c>
      <c r="G234" s="892">
        <v>177800</v>
      </c>
      <c r="H234" s="892">
        <v>177800</v>
      </c>
      <c r="I234" s="892">
        <v>177800</v>
      </c>
      <c r="J234" s="892">
        <v>177800</v>
      </c>
      <c r="K234" s="892">
        <v>177800</v>
      </c>
      <c r="L234" s="892">
        <v>84000</v>
      </c>
      <c r="M234" s="892">
        <v>76500</v>
      </c>
      <c r="N234" s="892">
        <v>0</v>
      </c>
      <c r="O234" s="892">
        <v>0</v>
      </c>
      <c r="P234" s="892">
        <v>0</v>
      </c>
      <c r="Q234" s="892">
        <v>0</v>
      </c>
    </row>
    <row r="235" spans="1:17">
      <c r="A235" s="1"/>
      <c r="B235" s="748"/>
      <c r="C235" s="876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  <c r="O235" s="876"/>
      <c r="P235" s="876"/>
      <c r="Q235" s="876"/>
    </row>
    <row r="236" spans="1:17">
      <c r="A236" s="28" t="s">
        <v>11</v>
      </c>
      <c r="B236" s="746" t="s">
        <v>265</v>
      </c>
      <c r="C236" s="875">
        <v>1500000</v>
      </c>
      <c r="D236" s="875">
        <v>0</v>
      </c>
      <c r="E236" s="875">
        <v>2625000</v>
      </c>
      <c r="F236" s="875">
        <v>547500</v>
      </c>
      <c r="G236" s="875">
        <v>2157000</v>
      </c>
      <c r="H236" s="875">
        <v>2266587</v>
      </c>
      <c r="I236" s="875">
        <v>110000</v>
      </c>
      <c r="J236" s="875">
        <v>0</v>
      </c>
      <c r="K236" s="875">
        <v>700000</v>
      </c>
      <c r="L236" s="875">
        <v>0</v>
      </c>
      <c r="M236" s="875">
        <v>0</v>
      </c>
      <c r="N236" s="875">
        <v>300000</v>
      </c>
      <c r="O236" s="875">
        <v>0</v>
      </c>
      <c r="P236" s="875">
        <v>0</v>
      </c>
      <c r="Q236" s="875">
        <v>0</v>
      </c>
    </row>
    <row r="237" spans="1:17">
      <c r="A237" s="28" t="s">
        <v>65</v>
      </c>
      <c r="B237" s="746" t="s">
        <v>264</v>
      </c>
      <c r="C237" s="875">
        <v>4665000</v>
      </c>
      <c r="D237" s="875">
        <v>0</v>
      </c>
      <c r="E237" s="875">
        <v>5200000</v>
      </c>
      <c r="F237" s="875">
        <v>3573000</v>
      </c>
      <c r="G237" s="875">
        <v>400000</v>
      </c>
      <c r="H237" s="875">
        <v>950000</v>
      </c>
      <c r="I237" s="875">
        <v>0</v>
      </c>
      <c r="J237" s="875">
        <v>0</v>
      </c>
      <c r="K237" s="875">
        <v>8200000</v>
      </c>
      <c r="L237" s="875">
        <v>0</v>
      </c>
      <c r="M237" s="875">
        <v>300000</v>
      </c>
      <c r="N237" s="875">
        <v>0</v>
      </c>
      <c r="O237" s="875">
        <v>0</v>
      </c>
      <c r="P237" s="875">
        <v>380000</v>
      </c>
      <c r="Q237" s="875">
        <v>0</v>
      </c>
    </row>
    <row r="238" spans="1:17">
      <c r="A238" s="1"/>
      <c r="B238" s="748"/>
      <c r="C238" s="876"/>
      <c r="D238" s="876"/>
      <c r="E238" s="876"/>
      <c r="F238" s="876"/>
      <c r="G238" s="876"/>
      <c r="H238" s="876"/>
      <c r="I238" s="876"/>
      <c r="J238" s="876"/>
      <c r="K238" s="876"/>
      <c r="L238" s="876"/>
      <c r="M238" s="876"/>
      <c r="N238" s="876"/>
      <c r="O238" s="876"/>
      <c r="P238" s="876"/>
      <c r="Q238" s="876"/>
    </row>
    <row r="239" spans="1:17" ht="15" thickBot="1">
      <c r="A239" s="4"/>
      <c r="B239" s="753"/>
      <c r="C239" s="877"/>
      <c r="D239" s="877"/>
      <c r="E239" s="877"/>
      <c r="F239" s="877"/>
      <c r="G239" s="877"/>
      <c r="H239" s="877"/>
      <c r="I239" s="877"/>
      <c r="J239" s="877"/>
      <c r="K239" s="877"/>
      <c r="L239" s="877"/>
      <c r="M239" s="877"/>
      <c r="N239" s="877"/>
      <c r="O239" s="877"/>
      <c r="P239" s="877"/>
      <c r="Q239" s="877"/>
    </row>
    <row r="240" spans="1:17" s="685" customFormat="1" ht="15" thickTop="1">
      <c r="A240" s="785" t="s">
        <v>173</v>
      </c>
      <c r="B240" s="786" t="s">
        <v>491</v>
      </c>
      <c r="C240" s="878">
        <v>1269398</v>
      </c>
      <c r="D240" s="878">
        <v>366635</v>
      </c>
      <c r="E240" s="878">
        <v>2067129</v>
      </c>
      <c r="F240" s="878">
        <v>1799138</v>
      </c>
      <c r="G240" s="878">
        <v>553447</v>
      </c>
      <c r="H240" s="878">
        <v>1743071</v>
      </c>
      <c r="I240" s="878">
        <v>550649</v>
      </c>
      <c r="J240" s="878">
        <v>375824</v>
      </c>
      <c r="K240" s="878">
        <v>2302318</v>
      </c>
      <c r="L240" s="878">
        <v>491572</v>
      </c>
      <c r="M240" s="878">
        <v>484168</v>
      </c>
      <c r="N240" s="878">
        <v>413829</v>
      </c>
      <c r="O240" s="878">
        <v>499719</v>
      </c>
      <c r="P240" s="878">
        <v>517125</v>
      </c>
      <c r="Q240" s="878">
        <v>0</v>
      </c>
    </row>
    <row r="241" spans="1:17" s="685" customFormat="1">
      <c r="A241" s="787"/>
      <c r="B241" s="788"/>
      <c r="C241" s="702">
        <v>13434022</v>
      </c>
      <c r="D241" s="702">
        <v>12164624</v>
      </c>
      <c r="E241" s="702">
        <v>11797989</v>
      </c>
      <c r="F241" s="702">
        <v>9730860</v>
      </c>
      <c r="G241" s="702">
        <v>7931722</v>
      </c>
      <c r="H241" s="702">
        <v>7378275</v>
      </c>
      <c r="I241" s="702">
        <v>5635204</v>
      </c>
      <c r="J241" s="702">
        <v>5084555</v>
      </c>
      <c r="K241" s="702">
        <v>4708731</v>
      </c>
      <c r="L241" s="702">
        <v>2406413</v>
      </c>
      <c r="M241" s="702">
        <v>1914841</v>
      </c>
      <c r="N241" s="702">
        <v>1430673</v>
      </c>
      <c r="O241" s="702">
        <v>1016844</v>
      </c>
      <c r="P241" s="702">
        <v>517125</v>
      </c>
      <c r="Q241" s="702">
        <v>0</v>
      </c>
    </row>
    <row r="242" spans="1:17" s="685" customFormat="1">
      <c r="A242" s="789" t="s">
        <v>100</v>
      </c>
      <c r="B242" s="790"/>
      <c r="C242" s="879"/>
      <c r="D242" s="879"/>
      <c r="E242" s="879"/>
      <c r="F242" s="879"/>
      <c r="G242" s="879"/>
      <c r="H242" s="879"/>
      <c r="I242" s="879"/>
      <c r="J242" s="879"/>
      <c r="K242" s="879"/>
      <c r="L242" s="879"/>
      <c r="M242" s="879"/>
      <c r="N242" s="879"/>
      <c r="O242" s="879"/>
      <c r="P242" s="879"/>
      <c r="Q242" s="879"/>
    </row>
    <row r="243" spans="1:17" s="685" customFormat="1">
      <c r="A243" s="791" t="s">
        <v>337</v>
      </c>
      <c r="B243" s="792" t="s">
        <v>492</v>
      </c>
      <c r="C243" s="880">
        <v>0</v>
      </c>
      <c r="D243" s="880">
        <v>0</v>
      </c>
      <c r="E243" s="880">
        <v>0</v>
      </c>
      <c r="F243" s="880">
        <v>0</v>
      </c>
      <c r="G243" s="880">
        <v>0</v>
      </c>
      <c r="H243" s="880">
        <v>0</v>
      </c>
      <c r="I243" s="880">
        <v>0</v>
      </c>
      <c r="J243" s="880">
        <v>0</v>
      </c>
      <c r="K243" s="880">
        <v>0</v>
      </c>
      <c r="L243" s="880">
        <v>0</v>
      </c>
      <c r="M243" s="880">
        <v>0</v>
      </c>
      <c r="N243" s="880">
        <v>0</v>
      </c>
      <c r="O243" s="880">
        <v>0</v>
      </c>
      <c r="P243" s="880">
        <v>0</v>
      </c>
      <c r="Q243" s="880">
        <v>0</v>
      </c>
    </row>
    <row r="244" spans="1:17" s="685" customFormat="1">
      <c r="A244" s="791"/>
      <c r="B244" s="792"/>
      <c r="C244" s="702">
        <v>0</v>
      </c>
      <c r="D244" s="702">
        <v>0</v>
      </c>
      <c r="E244" s="702">
        <v>0</v>
      </c>
      <c r="F244" s="702">
        <v>0</v>
      </c>
      <c r="G244" s="702">
        <v>0</v>
      </c>
      <c r="H244" s="702">
        <v>0</v>
      </c>
      <c r="I244" s="702">
        <v>0</v>
      </c>
      <c r="J244" s="702">
        <v>0</v>
      </c>
      <c r="K244" s="702">
        <v>0</v>
      </c>
      <c r="L244" s="702">
        <v>0</v>
      </c>
      <c r="M244" s="702">
        <v>0</v>
      </c>
      <c r="N244" s="702">
        <v>0</v>
      </c>
      <c r="O244" s="702">
        <v>0</v>
      </c>
      <c r="P244" s="702">
        <v>0</v>
      </c>
      <c r="Q244" s="702">
        <v>0</v>
      </c>
    </row>
    <row r="245" spans="1:17" s="685" customFormat="1">
      <c r="A245" s="791" t="s">
        <v>353</v>
      </c>
      <c r="B245" s="792" t="s">
        <v>493</v>
      </c>
      <c r="C245" s="880">
        <v>0</v>
      </c>
      <c r="D245" s="880">
        <v>0</v>
      </c>
      <c r="E245" s="880">
        <v>0</v>
      </c>
      <c r="F245" s="880">
        <v>0</v>
      </c>
      <c r="G245" s="880">
        <v>0</v>
      </c>
      <c r="H245" s="880">
        <v>0</v>
      </c>
      <c r="I245" s="880">
        <v>0</v>
      </c>
      <c r="J245" s="880">
        <v>0</v>
      </c>
      <c r="K245" s="880">
        <v>0</v>
      </c>
      <c r="L245" s="880">
        <v>0</v>
      </c>
      <c r="M245" s="880">
        <v>0</v>
      </c>
      <c r="N245" s="880">
        <v>0</v>
      </c>
      <c r="O245" s="880">
        <v>0</v>
      </c>
      <c r="P245" s="880">
        <v>26500</v>
      </c>
      <c r="Q245" s="880">
        <v>0</v>
      </c>
    </row>
    <row r="246" spans="1:17" s="685" customFormat="1">
      <c r="A246" s="791"/>
      <c r="B246" s="792"/>
      <c r="C246" s="702">
        <v>26500</v>
      </c>
      <c r="D246" s="702">
        <v>26500</v>
      </c>
      <c r="E246" s="702">
        <v>26500</v>
      </c>
      <c r="F246" s="702">
        <v>26500</v>
      </c>
      <c r="G246" s="702">
        <v>26500</v>
      </c>
      <c r="H246" s="702">
        <v>26500</v>
      </c>
      <c r="I246" s="702">
        <v>26500</v>
      </c>
      <c r="J246" s="702">
        <v>26500</v>
      </c>
      <c r="K246" s="702">
        <v>26500</v>
      </c>
      <c r="L246" s="702">
        <v>26500</v>
      </c>
      <c r="M246" s="702">
        <v>26500</v>
      </c>
      <c r="N246" s="702">
        <v>26500</v>
      </c>
      <c r="O246" s="702">
        <v>26500</v>
      </c>
      <c r="P246" s="702">
        <v>26500</v>
      </c>
      <c r="Q246" s="702">
        <v>0</v>
      </c>
    </row>
    <row r="247" spans="1:17" s="685" customFormat="1">
      <c r="A247" s="791" t="s">
        <v>245</v>
      </c>
      <c r="B247" s="792" t="s">
        <v>494</v>
      </c>
      <c r="C247" s="880">
        <v>0</v>
      </c>
      <c r="D247" s="880">
        <v>0</v>
      </c>
      <c r="E247" s="880">
        <v>0</v>
      </c>
      <c r="F247" s="880">
        <v>20999</v>
      </c>
      <c r="G247" s="880">
        <v>0</v>
      </c>
      <c r="H247" s="880">
        <v>168499</v>
      </c>
      <c r="I247" s="880">
        <v>0</v>
      </c>
      <c r="J247" s="880">
        <v>0</v>
      </c>
      <c r="K247" s="880">
        <v>0</v>
      </c>
      <c r="L247" s="880">
        <v>0</v>
      </c>
      <c r="M247" s="880">
        <v>0</v>
      </c>
      <c r="N247" s="880">
        <v>0</v>
      </c>
      <c r="O247" s="880">
        <v>0</v>
      </c>
      <c r="P247" s="880">
        <v>137500</v>
      </c>
      <c r="Q247" s="880">
        <v>0</v>
      </c>
    </row>
    <row r="248" spans="1:17" s="685" customFormat="1">
      <c r="A248" s="791"/>
      <c r="B248" s="792"/>
      <c r="C248" s="702">
        <v>326998</v>
      </c>
      <c r="D248" s="702">
        <v>326998</v>
      </c>
      <c r="E248" s="702">
        <v>326998</v>
      </c>
      <c r="F248" s="702">
        <v>326998</v>
      </c>
      <c r="G248" s="702">
        <v>305999</v>
      </c>
      <c r="H248" s="702">
        <v>305999</v>
      </c>
      <c r="I248" s="702">
        <v>137500</v>
      </c>
      <c r="J248" s="702">
        <v>137500</v>
      </c>
      <c r="K248" s="702">
        <v>137500</v>
      </c>
      <c r="L248" s="702">
        <v>137500</v>
      </c>
      <c r="M248" s="702">
        <v>137500</v>
      </c>
      <c r="N248" s="702">
        <v>137500</v>
      </c>
      <c r="O248" s="702">
        <v>137500</v>
      </c>
      <c r="P248" s="702">
        <v>137500</v>
      </c>
      <c r="Q248" s="702">
        <v>0</v>
      </c>
    </row>
    <row r="249" spans="1:17" s="685" customFormat="1">
      <c r="A249" s="791" t="s">
        <v>349</v>
      </c>
      <c r="B249" s="792" t="s">
        <v>495</v>
      </c>
      <c r="C249" s="880">
        <v>0</v>
      </c>
      <c r="D249" s="880">
        <v>0</v>
      </c>
      <c r="E249" s="880">
        <v>0</v>
      </c>
      <c r="F249" s="880">
        <v>0</v>
      </c>
      <c r="G249" s="880">
        <v>0</v>
      </c>
      <c r="H249" s="880">
        <v>0</v>
      </c>
      <c r="I249" s="880">
        <v>0</v>
      </c>
      <c r="J249" s="880">
        <v>0</v>
      </c>
      <c r="K249" s="880">
        <v>0</v>
      </c>
      <c r="L249" s="880">
        <v>0</v>
      </c>
      <c r="M249" s="880">
        <v>0</v>
      </c>
      <c r="N249" s="880">
        <v>0</v>
      </c>
      <c r="O249" s="880">
        <v>0</v>
      </c>
      <c r="P249" s="880">
        <v>0</v>
      </c>
      <c r="Q249" s="880">
        <v>0</v>
      </c>
    </row>
    <row r="250" spans="1:17" s="685" customFormat="1">
      <c r="A250" s="791"/>
      <c r="B250" s="792"/>
      <c r="C250" s="702">
        <v>0</v>
      </c>
      <c r="D250" s="702">
        <v>0</v>
      </c>
      <c r="E250" s="702">
        <v>0</v>
      </c>
      <c r="F250" s="702">
        <v>0</v>
      </c>
      <c r="G250" s="702">
        <v>0</v>
      </c>
      <c r="H250" s="702">
        <v>0</v>
      </c>
      <c r="I250" s="702">
        <v>0</v>
      </c>
      <c r="J250" s="702">
        <v>0</v>
      </c>
      <c r="K250" s="702">
        <v>0</v>
      </c>
      <c r="L250" s="702">
        <v>0</v>
      </c>
      <c r="M250" s="702">
        <v>0</v>
      </c>
      <c r="N250" s="702">
        <v>0</v>
      </c>
      <c r="O250" s="702">
        <v>0</v>
      </c>
      <c r="P250" s="702">
        <v>0</v>
      </c>
      <c r="Q250" s="702">
        <v>0</v>
      </c>
    </row>
    <row r="251" spans="1:17" s="685" customFormat="1">
      <c r="A251" s="791" t="s">
        <v>247</v>
      </c>
      <c r="B251" s="792" t="s">
        <v>496</v>
      </c>
      <c r="C251" s="880">
        <v>0</v>
      </c>
      <c r="D251" s="880">
        <v>0</v>
      </c>
      <c r="E251" s="880">
        <v>102400</v>
      </c>
      <c r="F251" s="880">
        <v>0</v>
      </c>
      <c r="G251" s="880">
        <v>0</v>
      </c>
      <c r="H251" s="880">
        <v>0</v>
      </c>
      <c r="I251" s="880">
        <v>0</v>
      </c>
      <c r="J251" s="880">
        <v>0</v>
      </c>
      <c r="K251" s="880">
        <v>0</v>
      </c>
      <c r="L251" s="880">
        <v>0</v>
      </c>
      <c r="M251" s="880">
        <v>0</v>
      </c>
      <c r="N251" s="880">
        <v>0</v>
      </c>
      <c r="O251" s="880">
        <v>0</v>
      </c>
      <c r="P251" s="880">
        <v>102400</v>
      </c>
      <c r="Q251" s="880">
        <v>0</v>
      </c>
    </row>
    <row r="252" spans="1:17" s="685" customFormat="1">
      <c r="A252" s="791"/>
      <c r="B252" s="792"/>
      <c r="C252" s="702">
        <v>204800</v>
      </c>
      <c r="D252" s="702">
        <v>204800</v>
      </c>
      <c r="E252" s="702">
        <v>204800</v>
      </c>
      <c r="F252" s="702">
        <v>102400</v>
      </c>
      <c r="G252" s="702">
        <v>102400</v>
      </c>
      <c r="H252" s="702">
        <v>102400</v>
      </c>
      <c r="I252" s="702">
        <v>102400</v>
      </c>
      <c r="J252" s="702">
        <v>102400</v>
      </c>
      <c r="K252" s="702">
        <v>102400</v>
      </c>
      <c r="L252" s="702">
        <v>102400</v>
      </c>
      <c r="M252" s="702">
        <v>102400</v>
      </c>
      <c r="N252" s="702">
        <v>102400</v>
      </c>
      <c r="O252" s="702">
        <v>102400</v>
      </c>
      <c r="P252" s="702">
        <v>102400</v>
      </c>
      <c r="Q252" s="702">
        <v>0</v>
      </c>
    </row>
    <row r="253" spans="1:17" s="685" customFormat="1">
      <c r="A253" s="791" t="s">
        <v>187</v>
      </c>
      <c r="B253" s="792" t="s">
        <v>497</v>
      </c>
      <c r="C253" s="880">
        <v>1359500</v>
      </c>
      <c r="D253" s="880">
        <v>0</v>
      </c>
      <c r="E253" s="880">
        <v>0</v>
      </c>
      <c r="F253" s="880">
        <v>100000</v>
      </c>
      <c r="G253" s="880">
        <v>0</v>
      </c>
      <c r="H253" s="880">
        <v>0</v>
      </c>
      <c r="I253" s="880">
        <v>100000</v>
      </c>
      <c r="J253" s="880">
        <v>0</v>
      </c>
      <c r="K253" s="880">
        <v>0</v>
      </c>
      <c r="L253" s="880">
        <v>0</v>
      </c>
      <c r="M253" s="880">
        <v>0</v>
      </c>
      <c r="N253" s="880">
        <v>0</v>
      </c>
      <c r="O253" s="880">
        <v>0</v>
      </c>
      <c r="P253" s="880">
        <v>0</v>
      </c>
      <c r="Q253" s="880">
        <v>0</v>
      </c>
    </row>
    <row r="254" spans="1:17" s="685" customFormat="1">
      <c r="A254" s="791"/>
      <c r="B254" s="792"/>
      <c r="C254" s="702">
        <v>1559500</v>
      </c>
      <c r="D254" s="702">
        <v>200000</v>
      </c>
      <c r="E254" s="702">
        <v>200000</v>
      </c>
      <c r="F254" s="702">
        <v>200000</v>
      </c>
      <c r="G254" s="702">
        <v>100000</v>
      </c>
      <c r="H254" s="702">
        <v>100000</v>
      </c>
      <c r="I254" s="702">
        <v>100000</v>
      </c>
      <c r="J254" s="702">
        <v>0</v>
      </c>
      <c r="K254" s="702">
        <v>0</v>
      </c>
      <c r="L254" s="702">
        <v>0</v>
      </c>
      <c r="M254" s="702">
        <v>0</v>
      </c>
      <c r="N254" s="702">
        <v>0</v>
      </c>
      <c r="O254" s="702">
        <v>0</v>
      </c>
      <c r="P254" s="702">
        <v>0</v>
      </c>
      <c r="Q254" s="702">
        <v>0</v>
      </c>
    </row>
    <row r="255" spans="1:17" s="685" customFormat="1">
      <c r="A255" s="791" t="s">
        <v>246</v>
      </c>
      <c r="B255" s="792" t="s">
        <v>498</v>
      </c>
      <c r="C255" s="880">
        <v>0</v>
      </c>
      <c r="D255" s="880">
        <v>0</v>
      </c>
      <c r="E255" s="880">
        <v>0</v>
      </c>
      <c r="F255" s="880">
        <v>0</v>
      </c>
      <c r="G255" s="880">
        <v>0</v>
      </c>
      <c r="H255" s="880">
        <v>0</v>
      </c>
      <c r="I255" s="880">
        <v>0</v>
      </c>
      <c r="J255" s="880">
        <v>0</v>
      </c>
      <c r="K255" s="880">
        <v>0</v>
      </c>
      <c r="L255" s="880">
        <v>0</v>
      </c>
      <c r="M255" s="880">
        <v>0</v>
      </c>
      <c r="N255" s="880">
        <v>0</v>
      </c>
      <c r="O255" s="880">
        <v>0</v>
      </c>
      <c r="P255" s="880">
        <v>0</v>
      </c>
      <c r="Q255" s="880">
        <v>0</v>
      </c>
    </row>
    <row r="256" spans="1:17" s="685" customFormat="1">
      <c r="A256" s="791"/>
      <c r="B256" s="792"/>
      <c r="C256" s="702">
        <v>0</v>
      </c>
      <c r="D256" s="702">
        <v>0</v>
      </c>
      <c r="E256" s="702">
        <v>0</v>
      </c>
      <c r="F256" s="702">
        <v>0</v>
      </c>
      <c r="G256" s="702">
        <v>0</v>
      </c>
      <c r="H256" s="702">
        <v>0</v>
      </c>
      <c r="I256" s="702">
        <v>0</v>
      </c>
      <c r="J256" s="702">
        <v>0</v>
      </c>
      <c r="K256" s="702">
        <v>0</v>
      </c>
      <c r="L256" s="702">
        <v>0</v>
      </c>
      <c r="M256" s="702">
        <v>0</v>
      </c>
      <c r="N256" s="702">
        <v>0</v>
      </c>
      <c r="O256" s="702">
        <v>0</v>
      </c>
      <c r="P256" s="702">
        <v>0</v>
      </c>
      <c r="Q256" s="702">
        <v>0</v>
      </c>
    </row>
    <row r="257" spans="1:17" s="685" customFormat="1">
      <c r="A257" s="791" t="s">
        <v>334</v>
      </c>
      <c r="B257" s="792" t="s">
        <v>499</v>
      </c>
      <c r="C257" s="880"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  <c r="J257" s="880">
        <v>0</v>
      </c>
      <c r="K257" s="880">
        <v>0</v>
      </c>
      <c r="L257" s="880">
        <v>0</v>
      </c>
      <c r="M257" s="880">
        <v>0</v>
      </c>
      <c r="N257" s="880">
        <v>0</v>
      </c>
      <c r="O257" s="880">
        <v>0</v>
      </c>
      <c r="P257" s="880">
        <v>0</v>
      </c>
      <c r="Q257" s="880">
        <v>0</v>
      </c>
    </row>
    <row r="258" spans="1:17" s="685" customFormat="1">
      <c r="A258" s="791"/>
      <c r="B258" s="792"/>
      <c r="C258" s="702"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  <c r="J258" s="702">
        <v>0</v>
      </c>
      <c r="K258" s="702">
        <v>0</v>
      </c>
      <c r="L258" s="702">
        <v>0</v>
      </c>
      <c r="M258" s="702">
        <v>0</v>
      </c>
      <c r="N258" s="702">
        <v>0</v>
      </c>
      <c r="O258" s="702">
        <v>0</v>
      </c>
      <c r="P258" s="702">
        <v>0</v>
      </c>
      <c r="Q258" s="702">
        <v>0</v>
      </c>
    </row>
    <row r="259" spans="1:17" s="685" customFormat="1">
      <c r="A259" s="791" t="s">
        <v>27</v>
      </c>
      <c r="B259" s="792" t="s">
        <v>500</v>
      </c>
      <c r="C259" s="880">
        <v>0</v>
      </c>
      <c r="D259" s="880">
        <v>0</v>
      </c>
      <c r="E259" s="880">
        <v>0</v>
      </c>
      <c r="F259" s="880">
        <v>0</v>
      </c>
      <c r="G259" s="880">
        <v>0</v>
      </c>
      <c r="H259" s="880">
        <v>251250</v>
      </c>
      <c r="I259" s="880">
        <v>0</v>
      </c>
      <c r="J259" s="880">
        <v>0</v>
      </c>
      <c r="K259" s="880">
        <v>0</v>
      </c>
      <c r="L259" s="880">
        <v>0</v>
      </c>
      <c r="M259" s="880">
        <v>0</v>
      </c>
      <c r="N259" s="880">
        <v>0</v>
      </c>
      <c r="O259" s="880">
        <v>0</v>
      </c>
      <c r="P259" s="880">
        <v>0</v>
      </c>
      <c r="Q259" s="880">
        <v>0</v>
      </c>
    </row>
    <row r="260" spans="1:17" s="685" customFormat="1">
      <c r="A260" s="791"/>
      <c r="B260" s="792"/>
      <c r="C260" s="702">
        <v>251250</v>
      </c>
      <c r="D260" s="702">
        <v>251250</v>
      </c>
      <c r="E260" s="702">
        <v>251250</v>
      </c>
      <c r="F260" s="702">
        <v>251250</v>
      </c>
      <c r="G260" s="702">
        <v>251250</v>
      </c>
      <c r="H260" s="702">
        <v>251250</v>
      </c>
      <c r="I260" s="702">
        <v>0</v>
      </c>
      <c r="J260" s="702">
        <v>0</v>
      </c>
      <c r="K260" s="702">
        <v>0</v>
      </c>
      <c r="L260" s="702">
        <v>0</v>
      </c>
      <c r="M260" s="702">
        <v>0</v>
      </c>
      <c r="N260" s="702">
        <v>0</v>
      </c>
      <c r="O260" s="702">
        <v>0</v>
      </c>
      <c r="P260" s="702">
        <v>0</v>
      </c>
      <c r="Q260" s="702">
        <v>0</v>
      </c>
    </row>
    <row r="261" spans="1:17" s="685" customFormat="1">
      <c r="A261" s="791" t="s">
        <v>180</v>
      </c>
      <c r="B261" s="792"/>
      <c r="C261" s="1021">
        <v>0</v>
      </c>
      <c r="D261" s="1021">
        <v>0</v>
      </c>
      <c r="E261" s="1021">
        <v>0</v>
      </c>
      <c r="F261" s="1021">
        <v>0</v>
      </c>
      <c r="G261" s="1021">
        <v>0</v>
      </c>
      <c r="H261" s="1021">
        <v>0</v>
      </c>
      <c r="I261" s="1021">
        <v>0</v>
      </c>
      <c r="J261" s="1021">
        <v>0</v>
      </c>
      <c r="K261" s="1021">
        <v>0</v>
      </c>
      <c r="L261" s="1021">
        <v>0</v>
      </c>
      <c r="M261" s="1021">
        <v>0</v>
      </c>
      <c r="N261" s="1021">
        <v>0</v>
      </c>
      <c r="O261" s="1021">
        <v>0</v>
      </c>
      <c r="P261" s="1021">
        <v>0</v>
      </c>
      <c r="Q261" s="1021">
        <v>0</v>
      </c>
    </row>
    <row r="262" spans="1:17" s="685" customFormat="1">
      <c r="A262" s="791"/>
      <c r="B262" s="792"/>
      <c r="C262" s="702">
        <v>0</v>
      </c>
      <c r="D262" s="702">
        <v>0</v>
      </c>
      <c r="E262" s="702">
        <v>0</v>
      </c>
      <c r="F262" s="702">
        <v>0</v>
      </c>
      <c r="G262" s="702">
        <v>0</v>
      </c>
      <c r="H262" s="702">
        <v>0</v>
      </c>
      <c r="I262" s="702">
        <v>0</v>
      </c>
      <c r="J262" s="702">
        <v>0</v>
      </c>
      <c r="K262" s="702">
        <v>0</v>
      </c>
      <c r="L262" s="702">
        <v>0</v>
      </c>
      <c r="M262" s="702">
        <v>0</v>
      </c>
      <c r="N262" s="702">
        <v>0</v>
      </c>
      <c r="O262" s="702">
        <v>0</v>
      </c>
      <c r="P262" s="702">
        <v>0</v>
      </c>
      <c r="Q262" s="702">
        <v>0</v>
      </c>
    </row>
    <row r="263" spans="1:17" s="685" customFormat="1">
      <c r="A263" s="791" t="s">
        <v>59</v>
      </c>
      <c r="B263" s="792"/>
      <c r="C263" s="881">
        <v>1359500</v>
      </c>
      <c r="D263" s="881">
        <v>0</v>
      </c>
      <c r="E263" s="881">
        <v>102400</v>
      </c>
      <c r="F263" s="881">
        <v>120999</v>
      </c>
      <c r="G263" s="881">
        <v>0</v>
      </c>
      <c r="H263" s="881">
        <v>419749</v>
      </c>
      <c r="I263" s="881">
        <v>100000</v>
      </c>
      <c r="J263" s="881">
        <v>0</v>
      </c>
      <c r="K263" s="881">
        <v>0</v>
      </c>
      <c r="L263" s="881">
        <v>0</v>
      </c>
      <c r="M263" s="881">
        <v>0</v>
      </c>
      <c r="N263" s="881">
        <v>0</v>
      </c>
      <c r="O263" s="881">
        <v>0</v>
      </c>
      <c r="P263" s="881">
        <v>266400</v>
      </c>
      <c r="Q263" s="881">
        <v>0</v>
      </c>
    </row>
    <row r="264" spans="1:17" s="685" customFormat="1">
      <c r="A264" s="791"/>
      <c r="B264" s="792"/>
      <c r="C264" s="702">
        <v>2369048</v>
      </c>
      <c r="D264" s="702">
        <v>1009548</v>
      </c>
      <c r="E264" s="702">
        <v>1009548</v>
      </c>
      <c r="F264" s="702">
        <v>907148</v>
      </c>
      <c r="G264" s="702">
        <v>786149</v>
      </c>
      <c r="H264" s="702">
        <v>786149</v>
      </c>
      <c r="I264" s="702">
        <v>366400</v>
      </c>
      <c r="J264" s="702">
        <v>266400</v>
      </c>
      <c r="K264" s="702">
        <v>266400</v>
      </c>
      <c r="L264" s="702">
        <v>266400</v>
      </c>
      <c r="M264" s="702">
        <v>266400</v>
      </c>
      <c r="N264" s="702">
        <v>266400</v>
      </c>
      <c r="O264" s="702">
        <v>266400</v>
      </c>
      <c r="P264" s="702">
        <v>266400</v>
      </c>
      <c r="Q264" s="702">
        <v>0</v>
      </c>
    </row>
    <row r="265" spans="1:17" s="685" customFormat="1">
      <c r="A265" s="793" t="s">
        <v>350</v>
      </c>
      <c r="B265" s="794"/>
      <c r="C265" s="882">
        <v>-90102</v>
      </c>
      <c r="D265" s="882">
        <v>366635</v>
      </c>
      <c r="E265" s="882">
        <v>1964729</v>
      </c>
      <c r="F265" s="882">
        <v>1678139</v>
      </c>
      <c r="G265" s="882">
        <v>553447</v>
      </c>
      <c r="H265" s="882">
        <v>1323322</v>
      </c>
      <c r="I265" s="882">
        <v>450649</v>
      </c>
      <c r="J265" s="882">
        <v>375824</v>
      </c>
      <c r="K265" s="882">
        <v>2302318</v>
      </c>
      <c r="L265" s="882">
        <v>491572</v>
      </c>
      <c r="M265" s="882">
        <v>484168</v>
      </c>
      <c r="N265" s="882">
        <v>413829</v>
      </c>
      <c r="O265" s="882">
        <v>499719</v>
      </c>
      <c r="P265" s="882">
        <v>250725</v>
      </c>
      <c r="Q265" s="882">
        <v>0</v>
      </c>
    </row>
    <row r="266" spans="1:17" s="685" customFormat="1">
      <c r="A266" s="793"/>
      <c r="B266" s="794"/>
      <c r="C266" s="702">
        <v>11064974</v>
      </c>
      <c r="D266" s="702">
        <v>11155076</v>
      </c>
      <c r="E266" s="702">
        <v>10788441</v>
      </c>
      <c r="F266" s="702">
        <v>8823712</v>
      </c>
      <c r="G266" s="702">
        <v>7145573</v>
      </c>
      <c r="H266" s="702">
        <v>6592126</v>
      </c>
      <c r="I266" s="702">
        <v>5268804</v>
      </c>
      <c r="J266" s="702">
        <v>4818155</v>
      </c>
      <c r="K266" s="702">
        <v>4442331</v>
      </c>
      <c r="L266" s="702">
        <v>2140013</v>
      </c>
      <c r="M266" s="702">
        <v>1648441</v>
      </c>
      <c r="N266" s="702">
        <v>1164273</v>
      </c>
      <c r="O266" s="702">
        <v>750444</v>
      </c>
      <c r="P266" s="702">
        <v>250725</v>
      </c>
      <c r="Q266" s="702">
        <v>0</v>
      </c>
    </row>
    <row r="267" spans="1:17" s="685" customFormat="1">
      <c r="A267" s="795"/>
      <c r="B267" s="748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4"/>
      <c r="P267" s="704"/>
      <c r="Q267" s="704"/>
    </row>
    <row r="268" spans="1:17" s="685" customFormat="1">
      <c r="A268" s="796" t="s">
        <v>174</v>
      </c>
      <c r="B268" s="788" t="s">
        <v>288</v>
      </c>
      <c r="C268" s="880">
        <v>1307454</v>
      </c>
      <c r="D268" s="880">
        <v>465338</v>
      </c>
      <c r="E268" s="880">
        <v>1434072</v>
      </c>
      <c r="F268" s="880">
        <v>1005252</v>
      </c>
      <c r="G268" s="880">
        <v>378775</v>
      </c>
      <c r="H268" s="880">
        <v>1139876</v>
      </c>
      <c r="I268" s="880">
        <v>444479</v>
      </c>
      <c r="J268" s="880">
        <v>377139</v>
      </c>
      <c r="K268" s="880">
        <v>2534316</v>
      </c>
      <c r="L268" s="880">
        <v>469953</v>
      </c>
      <c r="M268" s="880">
        <v>573544</v>
      </c>
      <c r="N268" s="880">
        <v>537781</v>
      </c>
      <c r="O268" s="880">
        <v>508897</v>
      </c>
      <c r="P268" s="880">
        <v>564749</v>
      </c>
      <c r="Q268" s="880">
        <v>0</v>
      </c>
    </row>
    <row r="269" spans="1:17" s="685" customFormat="1">
      <c r="A269" s="787"/>
      <c r="B269" s="788"/>
      <c r="C269" s="702">
        <v>11741625</v>
      </c>
      <c r="D269" s="702">
        <v>10434171</v>
      </c>
      <c r="E269" s="702">
        <v>9968833</v>
      </c>
      <c r="F269" s="702">
        <v>8534761</v>
      </c>
      <c r="G269" s="702">
        <v>7529509</v>
      </c>
      <c r="H269" s="702">
        <v>7150734</v>
      </c>
      <c r="I269" s="702">
        <v>6010858</v>
      </c>
      <c r="J269" s="702">
        <v>5566379</v>
      </c>
      <c r="K269" s="702">
        <v>5189240</v>
      </c>
      <c r="L269" s="702">
        <v>2654924</v>
      </c>
      <c r="M269" s="702">
        <v>2184971</v>
      </c>
      <c r="N269" s="702">
        <v>1611427</v>
      </c>
      <c r="O269" s="702">
        <v>1073646</v>
      </c>
      <c r="P269" s="702">
        <v>564749</v>
      </c>
      <c r="Q269" s="702">
        <v>0</v>
      </c>
    </row>
    <row r="270" spans="1:17" s="685" customFormat="1">
      <c r="A270" s="789" t="s">
        <v>100</v>
      </c>
      <c r="B270" s="790"/>
      <c r="C270" s="704"/>
      <c r="D270" s="704"/>
      <c r="E270" s="704"/>
      <c r="F270" s="704"/>
      <c r="G270" s="704"/>
      <c r="H270" s="704"/>
      <c r="I270" s="704"/>
      <c r="J270" s="704"/>
      <c r="K270" s="704"/>
      <c r="L270" s="704"/>
      <c r="M270" s="704"/>
      <c r="N270" s="704"/>
      <c r="O270" s="704"/>
      <c r="P270" s="704"/>
      <c r="Q270" s="704"/>
    </row>
    <row r="271" spans="1:17" s="685" customFormat="1">
      <c r="A271" s="791" t="s">
        <v>337</v>
      </c>
      <c r="B271" s="792" t="s">
        <v>501</v>
      </c>
      <c r="C271" s="880">
        <v>0</v>
      </c>
      <c r="D271" s="880">
        <v>0</v>
      </c>
      <c r="E271" s="880">
        <v>0</v>
      </c>
      <c r="F271" s="880">
        <v>0</v>
      </c>
      <c r="G271" s="880">
        <v>0</v>
      </c>
      <c r="H271" s="880">
        <v>0</v>
      </c>
      <c r="I271" s="880">
        <v>0</v>
      </c>
      <c r="J271" s="880">
        <v>0</v>
      </c>
      <c r="K271" s="880">
        <v>0</v>
      </c>
      <c r="L271" s="880">
        <v>0</v>
      </c>
      <c r="M271" s="880">
        <v>0</v>
      </c>
      <c r="N271" s="880">
        <v>0</v>
      </c>
      <c r="O271" s="880">
        <v>0</v>
      </c>
      <c r="P271" s="880">
        <v>0</v>
      </c>
      <c r="Q271" s="880">
        <v>0</v>
      </c>
    </row>
    <row r="272" spans="1:17" s="685" customFormat="1">
      <c r="A272" s="791"/>
      <c r="B272" s="792"/>
      <c r="C272" s="702">
        <v>0</v>
      </c>
      <c r="D272" s="702">
        <v>0</v>
      </c>
      <c r="E272" s="702">
        <v>0</v>
      </c>
      <c r="F272" s="702">
        <v>0</v>
      </c>
      <c r="G272" s="702">
        <v>0</v>
      </c>
      <c r="H272" s="702">
        <v>0</v>
      </c>
      <c r="I272" s="702">
        <v>0</v>
      </c>
      <c r="J272" s="702">
        <v>0</v>
      </c>
      <c r="K272" s="702">
        <v>0</v>
      </c>
      <c r="L272" s="702">
        <v>0</v>
      </c>
      <c r="M272" s="702">
        <v>0</v>
      </c>
      <c r="N272" s="702">
        <v>0</v>
      </c>
      <c r="O272" s="702">
        <v>0</v>
      </c>
      <c r="P272" s="702">
        <v>0</v>
      </c>
      <c r="Q272" s="702">
        <v>0</v>
      </c>
    </row>
    <row r="273" spans="1:17" s="685" customFormat="1">
      <c r="A273" s="791" t="s">
        <v>353</v>
      </c>
      <c r="B273" s="792" t="s">
        <v>502</v>
      </c>
      <c r="C273" s="880">
        <v>0</v>
      </c>
      <c r="D273" s="880">
        <v>0</v>
      </c>
      <c r="E273" s="880">
        <v>0</v>
      </c>
      <c r="F273" s="880">
        <v>0</v>
      </c>
      <c r="G273" s="880">
        <v>0</v>
      </c>
      <c r="H273" s="880">
        <v>10000</v>
      </c>
      <c r="I273" s="880">
        <v>0</v>
      </c>
      <c r="J273" s="880">
        <v>0</v>
      </c>
      <c r="K273" s="880">
        <v>0</v>
      </c>
      <c r="L273" s="880">
        <v>0</v>
      </c>
      <c r="M273" s="880">
        <v>0</v>
      </c>
      <c r="N273" s="880">
        <v>0</v>
      </c>
      <c r="O273" s="880">
        <v>0</v>
      </c>
      <c r="P273" s="880">
        <v>0</v>
      </c>
      <c r="Q273" s="880">
        <v>0</v>
      </c>
    </row>
    <row r="274" spans="1:17" s="685" customFormat="1">
      <c r="A274" s="791"/>
      <c r="B274" s="792"/>
      <c r="C274" s="702">
        <v>10000</v>
      </c>
      <c r="D274" s="702">
        <v>10000</v>
      </c>
      <c r="E274" s="702">
        <v>10000</v>
      </c>
      <c r="F274" s="702">
        <v>10000</v>
      </c>
      <c r="G274" s="702">
        <v>10000</v>
      </c>
      <c r="H274" s="702">
        <v>10000</v>
      </c>
      <c r="I274" s="702">
        <v>0</v>
      </c>
      <c r="J274" s="702">
        <v>0</v>
      </c>
      <c r="K274" s="702">
        <v>0</v>
      </c>
      <c r="L274" s="702">
        <v>0</v>
      </c>
      <c r="M274" s="702">
        <v>0</v>
      </c>
      <c r="N274" s="702">
        <v>0</v>
      </c>
      <c r="O274" s="702">
        <v>0</v>
      </c>
      <c r="P274" s="702">
        <v>0</v>
      </c>
      <c r="Q274" s="702">
        <v>0</v>
      </c>
    </row>
    <row r="275" spans="1:17" s="685" customFormat="1">
      <c r="A275" s="791" t="s">
        <v>245</v>
      </c>
      <c r="B275" s="792" t="s">
        <v>503</v>
      </c>
      <c r="C275" s="880">
        <v>91000</v>
      </c>
      <c r="D275" s="880">
        <v>0</v>
      </c>
      <c r="E275" s="880">
        <v>0</v>
      </c>
      <c r="F275" s="880">
        <v>0</v>
      </c>
      <c r="G275" s="880">
        <v>0</v>
      </c>
      <c r="H275" s="880">
        <v>0</v>
      </c>
      <c r="I275" s="880">
        <v>0</v>
      </c>
      <c r="J275" s="880">
        <v>0</v>
      </c>
      <c r="K275" s="880">
        <v>0</v>
      </c>
      <c r="L275" s="880">
        <v>0</v>
      </c>
      <c r="M275" s="880">
        <v>0</v>
      </c>
      <c r="N275" s="880">
        <v>0</v>
      </c>
      <c r="O275" s="880">
        <v>0</v>
      </c>
      <c r="P275" s="880">
        <v>0</v>
      </c>
      <c r="Q275" s="880">
        <v>0</v>
      </c>
    </row>
    <row r="276" spans="1:17" s="685" customFormat="1">
      <c r="A276" s="791"/>
      <c r="B276" s="792"/>
      <c r="C276" s="702">
        <v>91000</v>
      </c>
      <c r="D276" s="702">
        <v>0</v>
      </c>
      <c r="E276" s="702">
        <v>0</v>
      </c>
      <c r="F276" s="702">
        <v>0</v>
      </c>
      <c r="G276" s="702">
        <v>0</v>
      </c>
      <c r="H276" s="702">
        <v>0</v>
      </c>
      <c r="I276" s="702">
        <v>0</v>
      </c>
      <c r="J276" s="702">
        <v>0</v>
      </c>
      <c r="K276" s="702">
        <v>0</v>
      </c>
      <c r="L276" s="702">
        <v>0</v>
      </c>
      <c r="M276" s="702">
        <v>0</v>
      </c>
      <c r="N276" s="702">
        <v>0</v>
      </c>
      <c r="O276" s="702">
        <v>0</v>
      </c>
      <c r="P276" s="702">
        <v>0</v>
      </c>
      <c r="Q276" s="702">
        <v>0</v>
      </c>
    </row>
    <row r="277" spans="1:17" s="685" customFormat="1">
      <c r="A277" s="791" t="s">
        <v>349</v>
      </c>
      <c r="B277" s="792" t="s">
        <v>504</v>
      </c>
      <c r="C277" s="880">
        <v>0</v>
      </c>
      <c r="D277" s="880">
        <v>0</v>
      </c>
      <c r="E277" s="880">
        <v>5000</v>
      </c>
      <c r="F277" s="880">
        <v>0</v>
      </c>
      <c r="G277" s="880">
        <v>0</v>
      </c>
      <c r="H277" s="880">
        <v>0</v>
      </c>
      <c r="I277" s="880">
        <v>0</v>
      </c>
      <c r="J277" s="880">
        <v>0</v>
      </c>
      <c r="K277" s="880">
        <v>0</v>
      </c>
      <c r="L277" s="880">
        <v>0</v>
      </c>
      <c r="M277" s="880">
        <v>0</v>
      </c>
      <c r="N277" s="880">
        <v>0</v>
      </c>
      <c r="O277" s="880">
        <v>0</v>
      </c>
      <c r="P277" s="880">
        <v>0</v>
      </c>
      <c r="Q277" s="880">
        <v>0</v>
      </c>
    </row>
    <row r="278" spans="1:17" s="685" customFormat="1">
      <c r="A278" s="791"/>
      <c r="B278" s="792"/>
      <c r="C278" s="702">
        <v>5000</v>
      </c>
      <c r="D278" s="702">
        <v>5000</v>
      </c>
      <c r="E278" s="702">
        <v>5000</v>
      </c>
      <c r="F278" s="702">
        <v>0</v>
      </c>
      <c r="G278" s="702">
        <v>0</v>
      </c>
      <c r="H278" s="702">
        <v>0</v>
      </c>
      <c r="I278" s="702">
        <v>0</v>
      </c>
      <c r="J278" s="702">
        <v>0</v>
      </c>
      <c r="K278" s="702">
        <v>0</v>
      </c>
      <c r="L278" s="702">
        <v>0</v>
      </c>
      <c r="M278" s="702">
        <v>0</v>
      </c>
      <c r="N278" s="702">
        <v>0</v>
      </c>
      <c r="O278" s="702">
        <v>0</v>
      </c>
      <c r="P278" s="702">
        <v>0</v>
      </c>
      <c r="Q278" s="702">
        <v>0</v>
      </c>
    </row>
    <row r="279" spans="1:17" s="685" customFormat="1">
      <c r="A279" s="791" t="s">
        <v>247</v>
      </c>
      <c r="B279" s="792" t="s">
        <v>505</v>
      </c>
      <c r="C279" s="880">
        <v>0</v>
      </c>
      <c r="D279" s="880">
        <v>0</v>
      </c>
      <c r="E279" s="880">
        <v>0</v>
      </c>
      <c r="F279" s="880">
        <v>0</v>
      </c>
      <c r="G279" s="880">
        <v>0</v>
      </c>
      <c r="H279" s="880">
        <v>0</v>
      </c>
      <c r="I279" s="880">
        <v>0</v>
      </c>
      <c r="J279" s="880">
        <v>0</v>
      </c>
      <c r="K279" s="880">
        <v>102400</v>
      </c>
      <c r="L279" s="880">
        <v>0</v>
      </c>
      <c r="M279" s="880">
        <v>0</v>
      </c>
      <c r="N279" s="880">
        <v>0</v>
      </c>
      <c r="O279" s="880">
        <v>0</v>
      </c>
      <c r="P279" s="880">
        <v>0</v>
      </c>
      <c r="Q279" s="880">
        <v>0</v>
      </c>
    </row>
    <row r="280" spans="1:17" s="685" customFormat="1">
      <c r="A280" s="791"/>
      <c r="B280" s="792"/>
      <c r="C280" s="702">
        <v>102400</v>
      </c>
      <c r="D280" s="702">
        <v>102400</v>
      </c>
      <c r="E280" s="702">
        <v>102400</v>
      </c>
      <c r="F280" s="702">
        <v>102400</v>
      </c>
      <c r="G280" s="702">
        <v>102400</v>
      </c>
      <c r="H280" s="702">
        <v>102400</v>
      </c>
      <c r="I280" s="702">
        <v>102400</v>
      </c>
      <c r="J280" s="702">
        <v>102400</v>
      </c>
      <c r="K280" s="702">
        <v>102400</v>
      </c>
      <c r="L280" s="702">
        <v>0</v>
      </c>
      <c r="M280" s="702">
        <v>0</v>
      </c>
      <c r="N280" s="702">
        <v>0</v>
      </c>
      <c r="O280" s="702">
        <v>0</v>
      </c>
      <c r="P280" s="702">
        <v>0</v>
      </c>
      <c r="Q280" s="702">
        <v>0</v>
      </c>
    </row>
    <row r="281" spans="1:17" s="685" customFormat="1">
      <c r="A281" s="791" t="s">
        <v>187</v>
      </c>
      <c r="B281" s="792" t="s">
        <v>506</v>
      </c>
      <c r="C281" s="880">
        <v>1359500</v>
      </c>
      <c r="D281" s="880">
        <v>0</v>
      </c>
      <c r="E281" s="880">
        <v>0</v>
      </c>
      <c r="F281" s="880">
        <v>0</v>
      </c>
      <c r="G281" s="880">
        <v>0</v>
      </c>
      <c r="H281" s="880">
        <v>0</v>
      </c>
      <c r="I281" s="880">
        <v>0</v>
      </c>
      <c r="J281" s="880">
        <v>0</v>
      </c>
      <c r="K281" s="880">
        <v>0</v>
      </c>
      <c r="L281" s="880">
        <v>0</v>
      </c>
      <c r="M281" s="880">
        <v>0</v>
      </c>
      <c r="N281" s="880">
        <v>0</v>
      </c>
      <c r="O281" s="880">
        <v>0</v>
      </c>
      <c r="P281" s="880">
        <v>0</v>
      </c>
      <c r="Q281" s="880">
        <v>0</v>
      </c>
    </row>
    <row r="282" spans="1:17" s="685" customFormat="1">
      <c r="A282" s="791"/>
      <c r="B282" s="792"/>
      <c r="C282" s="702">
        <v>1359500</v>
      </c>
      <c r="D282" s="702">
        <v>0</v>
      </c>
      <c r="E282" s="702">
        <v>0</v>
      </c>
      <c r="F282" s="702">
        <v>0</v>
      </c>
      <c r="G282" s="702">
        <v>0</v>
      </c>
      <c r="H282" s="702">
        <v>0</v>
      </c>
      <c r="I282" s="702">
        <v>0</v>
      </c>
      <c r="J282" s="702">
        <v>0</v>
      </c>
      <c r="K282" s="702">
        <v>0</v>
      </c>
      <c r="L282" s="702">
        <v>0</v>
      </c>
      <c r="M282" s="702">
        <v>0</v>
      </c>
      <c r="N282" s="702">
        <v>0</v>
      </c>
      <c r="O282" s="702">
        <v>0</v>
      </c>
      <c r="P282" s="702">
        <v>0</v>
      </c>
      <c r="Q282" s="702">
        <v>0</v>
      </c>
    </row>
    <row r="283" spans="1:17" s="685" customFormat="1">
      <c r="A283" s="791" t="s">
        <v>246</v>
      </c>
      <c r="B283" s="792" t="s">
        <v>507</v>
      </c>
      <c r="C283" s="880">
        <v>0</v>
      </c>
      <c r="D283" s="880">
        <v>0</v>
      </c>
      <c r="E283" s="880">
        <v>0</v>
      </c>
      <c r="F283" s="880">
        <v>0</v>
      </c>
      <c r="G283" s="880">
        <v>0</v>
      </c>
      <c r="H283" s="880">
        <v>0</v>
      </c>
      <c r="I283" s="880">
        <v>0</v>
      </c>
      <c r="J283" s="880">
        <v>0</v>
      </c>
      <c r="K283" s="880">
        <v>0</v>
      </c>
      <c r="L283" s="880">
        <v>0</v>
      </c>
      <c r="M283" s="880">
        <v>0</v>
      </c>
      <c r="N283" s="880">
        <v>0</v>
      </c>
      <c r="O283" s="880">
        <v>0</v>
      </c>
      <c r="P283" s="880">
        <v>0</v>
      </c>
      <c r="Q283" s="880">
        <v>0</v>
      </c>
    </row>
    <row r="284" spans="1:17" s="685" customFormat="1">
      <c r="A284" s="791"/>
      <c r="B284" s="792"/>
      <c r="C284" s="702">
        <v>0</v>
      </c>
      <c r="D284" s="702">
        <v>0</v>
      </c>
      <c r="E284" s="702">
        <v>0</v>
      </c>
      <c r="F284" s="702">
        <v>0</v>
      </c>
      <c r="G284" s="702">
        <v>0</v>
      </c>
      <c r="H284" s="702">
        <v>0</v>
      </c>
      <c r="I284" s="702">
        <v>0</v>
      </c>
      <c r="J284" s="702">
        <v>0</v>
      </c>
      <c r="K284" s="702">
        <v>0</v>
      </c>
      <c r="L284" s="702">
        <v>0</v>
      </c>
      <c r="M284" s="702">
        <v>0</v>
      </c>
      <c r="N284" s="702">
        <v>0</v>
      </c>
      <c r="O284" s="702">
        <v>0</v>
      </c>
      <c r="P284" s="702">
        <v>0</v>
      </c>
      <c r="Q284" s="702">
        <v>0</v>
      </c>
    </row>
    <row r="285" spans="1:17" s="685" customFormat="1">
      <c r="A285" s="791" t="s">
        <v>334</v>
      </c>
      <c r="B285" s="792" t="s">
        <v>508</v>
      </c>
      <c r="C285" s="880"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  <c r="J285" s="880">
        <v>0</v>
      </c>
      <c r="K285" s="880">
        <v>0</v>
      </c>
      <c r="L285" s="880">
        <v>0</v>
      </c>
      <c r="M285" s="880">
        <v>0</v>
      </c>
      <c r="N285" s="880">
        <v>0</v>
      </c>
      <c r="O285" s="880">
        <v>0</v>
      </c>
      <c r="P285" s="880">
        <v>0</v>
      </c>
      <c r="Q285" s="880">
        <v>0</v>
      </c>
    </row>
    <row r="286" spans="1:17" s="685" customFormat="1">
      <c r="A286" s="791"/>
      <c r="B286" s="792"/>
      <c r="C286" s="702">
        <v>0</v>
      </c>
      <c r="D286" s="702">
        <v>0</v>
      </c>
      <c r="E286" s="702">
        <v>0</v>
      </c>
      <c r="F286" s="702">
        <v>0</v>
      </c>
      <c r="G286" s="702">
        <v>0</v>
      </c>
      <c r="H286" s="702">
        <v>0</v>
      </c>
      <c r="I286" s="702">
        <v>0</v>
      </c>
      <c r="J286" s="702">
        <v>0</v>
      </c>
      <c r="K286" s="702">
        <v>0</v>
      </c>
      <c r="L286" s="702">
        <v>0</v>
      </c>
      <c r="M286" s="702">
        <v>0</v>
      </c>
      <c r="N286" s="702">
        <v>0</v>
      </c>
      <c r="O286" s="702">
        <v>0</v>
      </c>
      <c r="P286" s="702">
        <v>0</v>
      </c>
      <c r="Q286" s="702">
        <v>0</v>
      </c>
    </row>
    <row r="287" spans="1:17" s="685" customFormat="1">
      <c r="A287" s="791" t="s">
        <v>27</v>
      </c>
      <c r="B287" s="792" t="s">
        <v>509</v>
      </c>
      <c r="C287" s="880">
        <v>0</v>
      </c>
      <c r="D287" s="880">
        <v>0</v>
      </c>
      <c r="E287" s="880">
        <v>0</v>
      </c>
      <c r="F287" s="880">
        <v>0</v>
      </c>
      <c r="G287" s="880">
        <v>0</v>
      </c>
      <c r="H287" s="880">
        <v>251250</v>
      </c>
      <c r="I287" s="880">
        <v>0</v>
      </c>
      <c r="J287" s="880">
        <v>0</v>
      </c>
      <c r="K287" s="880">
        <v>5000</v>
      </c>
      <c r="L287" s="880">
        <v>0</v>
      </c>
      <c r="M287" s="880">
        <v>0</v>
      </c>
      <c r="N287" s="880">
        <v>0</v>
      </c>
      <c r="O287" s="880">
        <v>0</v>
      </c>
      <c r="P287" s="880">
        <v>0</v>
      </c>
      <c r="Q287" s="880">
        <v>0</v>
      </c>
    </row>
    <row r="288" spans="1:17" s="685" customFormat="1">
      <c r="A288" s="791"/>
      <c r="B288" s="792"/>
      <c r="C288" s="968">
        <v>256250</v>
      </c>
      <c r="D288" s="968">
        <v>256250</v>
      </c>
      <c r="E288" s="968">
        <v>256250</v>
      </c>
      <c r="F288" s="968">
        <v>256250</v>
      </c>
      <c r="G288" s="968">
        <v>256250</v>
      </c>
      <c r="H288" s="968">
        <v>256250</v>
      </c>
      <c r="I288" s="968">
        <v>5000</v>
      </c>
      <c r="J288" s="968">
        <v>5000</v>
      </c>
      <c r="K288" s="968">
        <v>5000</v>
      </c>
      <c r="L288" s="968">
        <v>0</v>
      </c>
      <c r="M288" s="968">
        <v>0</v>
      </c>
      <c r="N288" s="968">
        <v>0</v>
      </c>
      <c r="O288" s="968">
        <v>0</v>
      </c>
      <c r="P288" s="968">
        <v>0</v>
      </c>
      <c r="Q288" s="968">
        <v>0</v>
      </c>
    </row>
    <row r="289" spans="1:17" s="685" customFormat="1">
      <c r="A289" s="791" t="s">
        <v>180</v>
      </c>
      <c r="B289" s="792"/>
      <c r="C289" s="1023">
        <v>0</v>
      </c>
      <c r="D289" s="1023">
        <v>0</v>
      </c>
      <c r="E289" s="1023">
        <v>0</v>
      </c>
      <c r="F289" s="1023">
        <v>0</v>
      </c>
      <c r="G289" s="1023">
        <v>0</v>
      </c>
      <c r="H289" s="1023">
        <v>0</v>
      </c>
      <c r="I289" s="1023">
        <v>0</v>
      </c>
      <c r="J289" s="1023">
        <v>0</v>
      </c>
      <c r="K289" s="1023">
        <v>0</v>
      </c>
      <c r="L289" s="1023">
        <v>0</v>
      </c>
      <c r="M289" s="1023">
        <v>0</v>
      </c>
      <c r="N289" s="1023">
        <v>0</v>
      </c>
      <c r="O289" s="1023">
        <v>0</v>
      </c>
      <c r="P289" s="1023">
        <v>0</v>
      </c>
      <c r="Q289" s="1023">
        <v>0</v>
      </c>
    </row>
    <row r="290" spans="1:17" s="685" customFormat="1">
      <c r="A290" s="791"/>
      <c r="B290" s="792"/>
      <c r="C290" s="968">
        <v>0</v>
      </c>
      <c r="D290" s="968">
        <v>0</v>
      </c>
      <c r="E290" s="968">
        <v>0</v>
      </c>
      <c r="F290" s="968">
        <v>0</v>
      </c>
      <c r="G290" s="968">
        <v>0</v>
      </c>
      <c r="H290" s="968">
        <v>0</v>
      </c>
      <c r="I290" s="968">
        <v>0</v>
      </c>
      <c r="J290" s="968">
        <v>0</v>
      </c>
      <c r="K290" s="968">
        <v>0</v>
      </c>
      <c r="L290" s="968">
        <v>0</v>
      </c>
      <c r="M290" s="968">
        <v>0</v>
      </c>
      <c r="N290" s="968">
        <v>0</v>
      </c>
      <c r="O290" s="968">
        <v>0</v>
      </c>
      <c r="P290" s="968">
        <v>0</v>
      </c>
      <c r="Q290" s="968">
        <v>0</v>
      </c>
    </row>
    <row r="291" spans="1:17" s="685" customFormat="1">
      <c r="A291" s="791" t="s">
        <v>59</v>
      </c>
      <c r="B291" s="792"/>
      <c r="C291" s="880">
        <v>1450500</v>
      </c>
      <c r="D291" s="880">
        <v>0</v>
      </c>
      <c r="E291" s="880">
        <v>5000</v>
      </c>
      <c r="F291" s="880">
        <v>0</v>
      </c>
      <c r="G291" s="880">
        <v>0</v>
      </c>
      <c r="H291" s="880">
        <v>261250</v>
      </c>
      <c r="I291" s="880">
        <v>0</v>
      </c>
      <c r="J291" s="880">
        <v>0</v>
      </c>
      <c r="K291" s="880">
        <v>107400</v>
      </c>
      <c r="L291" s="880">
        <v>0</v>
      </c>
      <c r="M291" s="880">
        <v>0</v>
      </c>
      <c r="N291" s="880">
        <v>0</v>
      </c>
      <c r="O291" s="880">
        <v>0</v>
      </c>
      <c r="P291" s="880">
        <v>0</v>
      </c>
      <c r="Q291" s="880">
        <v>0</v>
      </c>
    </row>
    <row r="292" spans="1:17" s="685" customFormat="1">
      <c r="A292" s="791"/>
      <c r="B292" s="792"/>
      <c r="C292" s="702">
        <v>1824150</v>
      </c>
      <c r="D292" s="702">
        <v>373650</v>
      </c>
      <c r="E292" s="702">
        <v>373650</v>
      </c>
      <c r="F292" s="702">
        <v>368650</v>
      </c>
      <c r="G292" s="702">
        <v>368650</v>
      </c>
      <c r="H292" s="702">
        <v>368650</v>
      </c>
      <c r="I292" s="702">
        <v>107400</v>
      </c>
      <c r="J292" s="702">
        <v>107400</v>
      </c>
      <c r="K292" s="702">
        <v>107400</v>
      </c>
      <c r="L292" s="702">
        <v>0</v>
      </c>
      <c r="M292" s="702">
        <v>0</v>
      </c>
      <c r="N292" s="702">
        <v>0</v>
      </c>
      <c r="O292" s="702">
        <v>0</v>
      </c>
      <c r="P292" s="702">
        <v>0</v>
      </c>
      <c r="Q292" s="702">
        <v>0</v>
      </c>
    </row>
    <row r="293" spans="1:17" s="685" customFormat="1">
      <c r="A293" s="793" t="s">
        <v>350</v>
      </c>
      <c r="B293" s="794"/>
      <c r="C293" s="882">
        <v>-143046</v>
      </c>
      <c r="D293" s="882">
        <v>465338</v>
      </c>
      <c r="E293" s="882">
        <v>1429072</v>
      </c>
      <c r="F293" s="882">
        <v>1005252</v>
      </c>
      <c r="G293" s="882">
        <v>378775</v>
      </c>
      <c r="H293" s="882">
        <v>878626</v>
      </c>
      <c r="I293" s="882">
        <v>444479</v>
      </c>
      <c r="J293" s="882">
        <v>377139</v>
      </c>
      <c r="K293" s="882">
        <v>2426916</v>
      </c>
      <c r="L293" s="882">
        <v>469953</v>
      </c>
      <c r="M293" s="882">
        <v>573544</v>
      </c>
      <c r="N293" s="882">
        <v>537781</v>
      </c>
      <c r="O293" s="882">
        <v>508897</v>
      </c>
      <c r="P293" s="882">
        <v>564749</v>
      </c>
      <c r="Q293" s="882">
        <v>0</v>
      </c>
    </row>
    <row r="294" spans="1:17" s="685" customFormat="1">
      <c r="A294" s="793"/>
      <c r="B294" s="794"/>
      <c r="C294" s="702">
        <v>9917475</v>
      </c>
      <c r="D294" s="702">
        <v>10060521</v>
      </c>
      <c r="E294" s="702">
        <v>9595183</v>
      </c>
      <c r="F294" s="702">
        <v>8166111</v>
      </c>
      <c r="G294" s="702">
        <v>7160859</v>
      </c>
      <c r="H294" s="702">
        <v>6782084</v>
      </c>
      <c r="I294" s="702">
        <v>5903458</v>
      </c>
      <c r="J294" s="702">
        <v>5458979</v>
      </c>
      <c r="K294" s="702">
        <v>5081840</v>
      </c>
      <c r="L294" s="702">
        <v>2654924</v>
      </c>
      <c r="M294" s="702">
        <v>2184971</v>
      </c>
      <c r="N294" s="702">
        <v>1611427</v>
      </c>
      <c r="O294" s="702">
        <v>1073646</v>
      </c>
      <c r="P294" s="702">
        <v>564749</v>
      </c>
      <c r="Q294" s="702">
        <v>0</v>
      </c>
    </row>
    <row r="295" spans="1:17" s="685" customFormat="1">
      <c r="A295" s="795"/>
      <c r="B295" s="748"/>
      <c r="C295" s="704"/>
      <c r="D295" s="704"/>
      <c r="E295" s="704"/>
      <c r="F295" s="704"/>
      <c r="G295" s="704"/>
      <c r="H295" s="704"/>
      <c r="I295" s="704"/>
      <c r="J295" s="704"/>
      <c r="K295" s="704"/>
      <c r="L295" s="704"/>
      <c r="M295" s="704"/>
      <c r="N295" s="704"/>
      <c r="O295" s="704"/>
      <c r="P295" s="704"/>
      <c r="Q295" s="704"/>
    </row>
    <row r="296" spans="1:17" s="685" customFormat="1">
      <c r="A296" s="796" t="s">
        <v>228</v>
      </c>
      <c r="B296" s="788" t="s">
        <v>289</v>
      </c>
      <c r="C296" s="880">
        <v>1502311</v>
      </c>
      <c r="D296" s="880">
        <v>363963</v>
      </c>
      <c r="E296" s="880">
        <v>1505262</v>
      </c>
      <c r="F296" s="880">
        <v>629225</v>
      </c>
      <c r="G296" s="880">
        <v>616745</v>
      </c>
      <c r="H296" s="880">
        <v>1235201</v>
      </c>
      <c r="I296" s="880">
        <v>230329</v>
      </c>
      <c r="J296" s="880">
        <v>0</v>
      </c>
      <c r="K296" s="880">
        <v>1000</v>
      </c>
      <c r="L296" s="880">
        <v>350816</v>
      </c>
      <c r="M296" s="880">
        <v>796123</v>
      </c>
      <c r="N296" s="880">
        <v>681646</v>
      </c>
      <c r="O296" s="880">
        <v>246014</v>
      </c>
      <c r="P296" s="880">
        <v>481311</v>
      </c>
      <c r="Q296" s="880">
        <v>0</v>
      </c>
    </row>
    <row r="297" spans="1:17" s="685" customFormat="1">
      <c r="A297" s="787"/>
      <c r="B297" s="788"/>
      <c r="C297" s="702">
        <v>8639946</v>
      </c>
      <c r="D297" s="702">
        <v>7137635</v>
      </c>
      <c r="E297" s="702">
        <v>6773672</v>
      </c>
      <c r="F297" s="702">
        <v>5268410</v>
      </c>
      <c r="G297" s="702">
        <v>4639185</v>
      </c>
      <c r="H297" s="702">
        <v>4022440</v>
      </c>
      <c r="I297" s="702">
        <v>2787239</v>
      </c>
      <c r="J297" s="702">
        <v>2556910</v>
      </c>
      <c r="K297" s="702">
        <v>2556910</v>
      </c>
      <c r="L297" s="702">
        <v>2555910</v>
      </c>
      <c r="M297" s="702">
        <v>2205094</v>
      </c>
      <c r="N297" s="702">
        <v>1408971</v>
      </c>
      <c r="O297" s="702">
        <v>727325</v>
      </c>
      <c r="P297" s="702">
        <v>481311</v>
      </c>
      <c r="Q297" s="702">
        <v>0</v>
      </c>
    </row>
    <row r="298" spans="1:17" s="685" customFormat="1">
      <c r="A298" s="789" t="s">
        <v>100</v>
      </c>
      <c r="B298" s="790"/>
      <c r="C298" s="879"/>
      <c r="D298" s="879"/>
      <c r="E298" s="879"/>
      <c r="F298" s="879"/>
      <c r="G298" s="879"/>
      <c r="H298" s="879"/>
      <c r="I298" s="879"/>
      <c r="J298" s="879"/>
      <c r="K298" s="879"/>
      <c r="L298" s="879"/>
      <c r="M298" s="879"/>
      <c r="N298" s="879"/>
      <c r="O298" s="879"/>
      <c r="P298" s="879"/>
      <c r="Q298" s="879"/>
    </row>
    <row r="299" spans="1:17" s="685" customFormat="1">
      <c r="A299" s="791" t="s">
        <v>337</v>
      </c>
      <c r="B299" s="792" t="s">
        <v>510</v>
      </c>
      <c r="C299" s="880">
        <v>0</v>
      </c>
      <c r="D299" s="880">
        <v>0</v>
      </c>
      <c r="E299" s="880">
        <v>0</v>
      </c>
      <c r="F299" s="880">
        <v>0</v>
      </c>
      <c r="G299" s="880">
        <v>0</v>
      </c>
      <c r="H299" s="880">
        <v>0</v>
      </c>
      <c r="I299" s="880">
        <v>0</v>
      </c>
      <c r="J299" s="880">
        <v>0</v>
      </c>
      <c r="K299" s="880">
        <v>0</v>
      </c>
      <c r="L299" s="880">
        <v>0</v>
      </c>
      <c r="M299" s="880">
        <v>0</v>
      </c>
      <c r="N299" s="880">
        <v>0</v>
      </c>
      <c r="O299" s="880">
        <v>0</v>
      </c>
      <c r="P299" s="880">
        <v>0</v>
      </c>
      <c r="Q299" s="880">
        <v>0</v>
      </c>
    </row>
    <row r="300" spans="1:17" s="685" customFormat="1">
      <c r="A300" s="791"/>
      <c r="B300" s="792"/>
      <c r="C300" s="702">
        <v>0</v>
      </c>
      <c r="D300" s="702">
        <v>0</v>
      </c>
      <c r="E300" s="702">
        <v>0</v>
      </c>
      <c r="F300" s="702">
        <v>0</v>
      </c>
      <c r="G300" s="702">
        <v>0</v>
      </c>
      <c r="H300" s="702">
        <v>0</v>
      </c>
      <c r="I300" s="702">
        <v>0</v>
      </c>
      <c r="J300" s="702">
        <v>0</v>
      </c>
      <c r="K300" s="702">
        <v>0</v>
      </c>
      <c r="L300" s="702">
        <v>0</v>
      </c>
      <c r="M300" s="702">
        <v>0</v>
      </c>
      <c r="N300" s="702">
        <v>0</v>
      </c>
      <c r="O300" s="702">
        <v>0</v>
      </c>
      <c r="P300" s="702">
        <v>0</v>
      </c>
      <c r="Q300" s="702">
        <v>0</v>
      </c>
    </row>
    <row r="301" spans="1:17" s="685" customFormat="1">
      <c r="A301" s="791" t="s">
        <v>353</v>
      </c>
      <c r="B301" s="792" t="s">
        <v>511</v>
      </c>
      <c r="C301" s="880">
        <v>0</v>
      </c>
      <c r="D301" s="880">
        <v>0</v>
      </c>
      <c r="E301" s="880">
        <v>0</v>
      </c>
      <c r="F301" s="880">
        <v>0</v>
      </c>
      <c r="G301" s="880">
        <v>0</v>
      </c>
      <c r="H301" s="880">
        <v>20000</v>
      </c>
      <c r="I301" s="880">
        <v>0</v>
      </c>
      <c r="J301" s="880">
        <v>0</v>
      </c>
      <c r="K301" s="880">
        <v>0</v>
      </c>
      <c r="L301" s="880">
        <v>0</v>
      </c>
      <c r="M301" s="880">
        <v>0</v>
      </c>
      <c r="N301" s="880">
        <v>0</v>
      </c>
      <c r="O301" s="880">
        <v>0</v>
      </c>
      <c r="P301" s="880">
        <v>0</v>
      </c>
      <c r="Q301" s="880">
        <v>0</v>
      </c>
    </row>
    <row r="302" spans="1:17" s="685" customFormat="1">
      <c r="A302" s="791"/>
      <c r="B302" s="792"/>
      <c r="C302" s="702">
        <v>20000</v>
      </c>
      <c r="D302" s="702">
        <v>20000</v>
      </c>
      <c r="E302" s="702">
        <v>20000</v>
      </c>
      <c r="F302" s="702">
        <v>20000</v>
      </c>
      <c r="G302" s="702">
        <v>20000</v>
      </c>
      <c r="H302" s="702">
        <v>20000</v>
      </c>
      <c r="I302" s="702">
        <v>0</v>
      </c>
      <c r="J302" s="702">
        <v>0</v>
      </c>
      <c r="K302" s="702">
        <v>0</v>
      </c>
      <c r="L302" s="702">
        <v>0</v>
      </c>
      <c r="M302" s="702">
        <v>0</v>
      </c>
      <c r="N302" s="702">
        <v>0</v>
      </c>
      <c r="O302" s="702">
        <v>0</v>
      </c>
      <c r="P302" s="702">
        <v>0</v>
      </c>
      <c r="Q302" s="702">
        <v>0</v>
      </c>
    </row>
    <row r="303" spans="1:17" s="685" customFormat="1">
      <c r="A303" s="791" t="s">
        <v>245</v>
      </c>
      <c r="B303" s="792" t="s">
        <v>512</v>
      </c>
      <c r="C303" s="880">
        <v>72499</v>
      </c>
      <c r="D303" s="880">
        <v>0</v>
      </c>
      <c r="E303" s="880">
        <v>0</v>
      </c>
      <c r="F303" s="880">
        <v>0</v>
      </c>
      <c r="G303" s="880">
        <v>0</v>
      </c>
      <c r="H303" s="880">
        <v>0</v>
      </c>
      <c r="I303" s="880">
        <v>45999</v>
      </c>
      <c r="J303" s="880">
        <v>0</v>
      </c>
      <c r="K303" s="880">
        <v>20999</v>
      </c>
      <c r="L303" s="880">
        <v>0</v>
      </c>
      <c r="M303" s="880">
        <v>0</v>
      </c>
      <c r="N303" s="880">
        <v>0</v>
      </c>
      <c r="O303" s="880">
        <v>0</v>
      </c>
      <c r="P303" s="880">
        <v>0</v>
      </c>
      <c r="Q303" s="880">
        <v>0</v>
      </c>
    </row>
    <row r="304" spans="1:17" s="685" customFormat="1">
      <c r="A304" s="791"/>
      <c r="B304" s="792"/>
      <c r="C304" s="702">
        <v>139497</v>
      </c>
      <c r="D304" s="702">
        <v>66998</v>
      </c>
      <c r="E304" s="702">
        <v>66998</v>
      </c>
      <c r="F304" s="702">
        <v>66998</v>
      </c>
      <c r="G304" s="702">
        <v>66998</v>
      </c>
      <c r="H304" s="702">
        <v>66998</v>
      </c>
      <c r="I304" s="702">
        <v>66998</v>
      </c>
      <c r="J304" s="702">
        <v>20999</v>
      </c>
      <c r="K304" s="702">
        <v>20999</v>
      </c>
      <c r="L304" s="702">
        <v>0</v>
      </c>
      <c r="M304" s="702">
        <v>0</v>
      </c>
      <c r="N304" s="702">
        <v>0</v>
      </c>
      <c r="O304" s="702">
        <v>0</v>
      </c>
      <c r="P304" s="702">
        <v>0</v>
      </c>
      <c r="Q304" s="702">
        <v>0</v>
      </c>
    </row>
    <row r="305" spans="1:17" s="685" customFormat="1">
      <c r="A305" s="791" t="s">
        <v>349</v>
      </c>
      <c r="B305" s="792" t="s">
        <v>513</v>
      </c>
      <c r="C305" s="880">
        <v>0</v>
      </c>
      <c r="D305" s="880">
        <v>0</v>
      </c>
      <c r="E305" s="880">
        <v>0</v>
      </c>
      <c r="F305" s="880">
        <v>0</v>
      </c>
      <c r="G305" s="880">
        <v>0</v>
      </c>
      <c r="H305" s="880">
        <v>0</v>
      </c>
      <c r="I305" s="880">
        <v>0</v>
      </c>
      <c r="J305" s="880">
        <v>0</v>
      </c>
      <c r="K305" s="880">
        <v>0</v>
      </c>
      <c r="L305" s="880">
        <v>0</v>
      </c>
      <c r="M305" s="880">
        <v>0</v>
      </c>
      <c r="N305" s="880">
        <v>0</v>
      </c>
      <c r="O305" s="880">
        <v>0</v>
      </c>
      <c r="P305" s="880">
        <v>0</v>
      </c>
      <c r="Q305" s="880">
        <v>0</v>
      </c>
    </row>
    <row r="306" spans="1:17" s="685" customFormat="1">
      <c r="A306" s="791"/>
      <c r="B306" s="792"/>
      <c r="C306" s="702">
        <v>0</v>
      </c>
      <c r="D306" s="702">
        <v>0</v>
      </c>
      <c r="E306" s="702">
        <v>0</v>
      </c>
      <c r="F306" s="702">
        <v>0</v>
      </c>
      <c r="G306" s="702">
        <v>0</v>
      </c>
      <c r="H306" s="702">
        <v>0</v>
      </c>
      <c r="I306" s="702">
        <v>0</v>
      </c>
      <c r="J306" s="702">
        <v>0</v>
      </c>
      <c r="K306" s="702">
        <v>0</v>
      </c>
      <c r="L306" s="702">
        <v>0</v>
      </c>
      <c r="M306" s="702">
        <v>0</v>
      </c>
      <c r="N306" s="702">
        <v>0</v>
      </c>
      <c r="O306" s="702">
        <v>0</v>
      </c>
      <c r="P306" s="702">
        <v>0</v>
      </c>
      <c r="Q306" s="702">
        <v>0</v>
      </c>
    </row>
    <row r="307" spans="1:17" s="685" customFormat="1">
      <c r="A307" s="791" t="s">
        <v>247</v>
      </c>
      <c r="B307" s="792" t="s">
        <v>514</v>
      </c>
      <c r="C307" s="880">
        <v>0</v>
      </c>
      <c r="D307" s="880">
        <v>0</v>
      </c>
      <c r="E307" s="880">
        <v>202400</v>
      </c>
      <c r="F307" s="880">
        <v>0</v>
      </c>
      <c r="G307" s="880">
        <v>0</v>
      </c>
      <c r="H307" s="880">
        <v>0</v>
      </c>
      <c r="I307" s="880">
        <v>0</v>
      </c>
      <c r="J307" s="880">
        <v>0</v>
      </c>
      <c r="K307" s="880">
        <v>0</v>
      </c>
      <c r="L307" s="880">
        <v>0</v>
      </c>
      <c r="M307" s="880">
        <v>0</v>
      </c>
      <c r="N307" s="880">
        <v>0</v>
      </c>
      <c r="O307" s="880">
        <v>0</v>
      </c>
      <c r="P307" s="880">
        <v>0</v>
      </c>
      <c r="Q307" s="880">
        <v>0</v>
      </c>
    </row>
    <row r="308" spans="1:17" s="685" customFormat="1">
      <c r="A308" s="791"/>
      <c r="B308" s="792"/>
      <c r="C308" s="702">
        <v>202400</v>
      </c>
      <c r="D308" s="702">
        <v>202400</v>
      </c>
      <c r="E308" s="702">
        <v>202400</v>
      </c>
      <c r="F308" s="702">
        <v>0</v>
      </c>
      <c r="G308" s="702">
        <v>0</v>
      </c>
      <c r="H308" s="702">
        <v>0</v>
      </c>
      <c r="I308" s="702">
        <v>0</v>
      </c>
      <c r="J308" s="702">
        <v>0</v>
      </c>
      <c r="K308" s="702">
        <v>0</v>
      </c>
      <c r="L308" s="702">
        <v>0</v>
      </c>
      <c r="M308" s="702">
        <v>0</v>
      </c>
      <c r="N308" s="702">
        <v>0</v>
      </c>
      <c r="O308" s="702">
        <v>0</v>
      </c>
      <c r="P308" s="702">
        <v>0</v>
      </c>
      <c r="Q308" s="702">
        <v>0</v>
      </c>
    </row>
    <row r="309" spans="1:17" s="685" customFormat="1">
      <c r="A309" s="791" t="s">
        <v>187</v>
      </c>
      <c r="B309" s="792" t="s">
        <v>515</v>
      </c>
      <c r="C309" s="880">
        <v>1256000</v>
      </c>
      <c r="D309" s="880">
        <v>0</v>
      </c>
      <c r="E309" s="880">
        <v>0</v>
      </c>
      <c r="F309" s="880">
        <v>0</v>
      </c>
      <c r="G309" s="880">
        <v>0</v>
      </c>
      <c r="H309" s="880">
        <v>0</v>
      </c>
      <c r="I309" s="880">
        <v>0</v>
      </c>
      <c r="J309" s="880">
        <v>0</v>
      </c>
      <c r="K309" s="880">
        <v>0</v>
      </c>
      <c r="L309" s="880">
        <v>0</v>
      </c>
      <c r="M309" s="880">
        <v>0</v>
      </c>
      <c r="N309" s="880">
        <v>0</v>
      </c>
      <c r="O309" s="880">
        <v>0</v>
      </c>
      <c r="P309" s="880">
        <v>0</v>
      </c>
      <c r="Q309" s="880">
        <v>0</v>
      </c>
    </row>
    <row r="310" spans="1:17" s="685" customFormat="1">
      <c r="A310" s="791"/>
      <c r="B310" s="792"/>
      <c r="C310" s="702">
        <v>1256000</v>
      </c>
      <c r="D310" s="702">
        <v>0</v>
      </c>
      <c r="E310" s="702">
        <v>0</v>
      </c>
      <c r="F310" s="702">
        <v>0</v>
      </c>
      <c r="G310" s="702">
        <v>0</v>
      </c>
      <c r="H310" s="702">
        <v>0</v>
      </c>
      <c r="I310" s="702">
        <v>0</v>
      </c>
      <c r="J310" s="702">
        <v>0</v>
      </c>
      <c r="K310" s="702">
        <v>0</v>
      </c>
      <c r="L310" s="702">
        <v>0</v>
      </c>
      <c r="M310" s="702">
        <v>0</v>
      </c>
      <c r="N310" s="702">
        <v>0</v>
      </c>
      <c r="O310" s="702">
        <v>0</v>
      </c>
      <c r="P310" s="702">
        <v>0</v>
      </c>
      <c r="Q310" s="702">
        <v>0</v>
      </c>
    </row>
    <row r="311" spans="1:17" s="685" customFormat="1">
      <c r="A311" s="791" t="s">
        <v>246</v>
      </c>
      <c r="B311" s="792" t="s">
        <v>516</v>
      </c>
      <c r="C311" s="880">
        <v>0</v>
      </c>
      <c r="D311" s="880">
        <v>0</v>
      </c>
      <c r="E311" s="880">
        <v>0</v>
      </c>
      <c r="F311" s="880">
        <v>0</v>
      </c>
      <c r="G311" s="880">
        <v>0</v>
      </c>
      <c r="H311" s="880">
        <v>0</v>
      </c>
      <c r="I311" s="880">
        <v>0</v>
      </c>
      <c r="J311" s="880">
        <v>0</v>
      </c>
      <c r="K311" s="880">
        <v>0</v>
      </c>
      <c r="L311" s="880">
        <v>0</v>
      </c>
      <c r="M311" s="880">
        <v>0</v>
      </c>
      <c r="N311" s="880">
        <v>0</v>
      </c>
      <c r="O311" s="880">
        <v>0</v>
      </c>
      <c r="P311" s="880">
        <v>0</v>
      </c>
      <c r="Q311" s="880">
        <v>0</v>
      </c>
    </row>
    <row r="312" spans="1:17" s="685" customFormat="1">
      <c r="A312" s="791"/>
      <c r="B312" s="792"/>
      <c r="C312" s="702">
        <v>0</v>
      </c>
      <c r="D312" s="702">
        <v>0</v>
      </c>
      <c r="E312" s="702">
        <v>0</v>
      </c>
      <c r="F312" s="702">
        <v>0</v>
      </c>
      <c r="G312" s="702">
        <v>0</v>
      </c>
      <c r="H312" s="702">
        <v>0</v>
      </c>
      <c r="I312" s="702">
        <v>0</v>
      </c>
      <c r="J312" s="702">
        <v>0</v>
      </c>
      <c r="K312" s="702">
        <v>0</v>
      </c>
      <c r="L312" s="702">
        <v>0</v>
      </c>
      <c r="M312" s="702">
        <v>0</v>
      </c>
      <c r="N312" s="702">
        <v>0</v>
      </c>
      <c r="O312" s="702">
        <v>0</v>
      </c>
      <c r="P312" s="702">
        <v>0</v>
      </c>
      <c r="Q312" s="702">
        <v>0</v>
      </c>
    </row>
    <row r="313" spans="1:17" s="685" customFormat="1">
      <c r="A313" s="791" t="s">
        <v>334</v>
      </c>
      <c r="B313" s="792" t="s">
        <v>517</v>
      </c>
      <c r="C313" s="880">
        <v>0</v>
      </c>
      <c r="D313" s="880">
        <v>0</v>
      </c>
      <c r="E313" s="880">
        <v>0</v>
      </c>
      <c r="F313" s="880">
        <v>0</v>
      </c>
      <c r="G313" s="880">
        <v>0</v>
      </c>
      <c r="H313" s="880">
        <v>0</v>
      </c>
      <c r="I313" s="880">
        <v>0</v>
      </c>
      <c r="J313" s="880">
        <v>0</v>
      </c>
      <c r="K313" s="880">
        <v>0</v>
      </c>
      <c r="L313" s="880">
        <v>0</v>
      </c>
      <c r="M313" s="880">
        <v>0</v>
      </c>
      <c r="N313" s="880">
        <v>0</v>
      </c>
      <c r="O313" s="880">
        <v>0</v>
      </c>
      <c r="P313" s="880">
        <v>0</v>
      </c>
      <c r="Q313" s="880">
        <v>0</v>
      </c>
    </row>
    <row r="314" spans="1:17" s="685" customFormat="1">
      <c r="A314" s="791"/>
      <c r="B314" s="792"/>
      <c r="C314" s="702">
        <v>0</v>
      </c>
      <c r="D314" s="702">
        <v>0</v>
      </c>
      <c r="E314" s="702">
        <v>0</v>
      </c>
      <c r="F314" s="702">
        <v>0</v>
      </c>
      <c r="G314" s="702">
        <v>0</v>
      </c>
      <c r="H314" s="702">
        <v>0</v>
      </c>
      <c r="I314" s="702">
        <v>0</v>
      </c>
      <c r="J314" s="702">
        <v>0</v>
      </c>
      <c r="K314" s="702">
        <v>0</v>
      </c>
      <c r="L314" s="702">
        <v>0</v>
      </c>
      <c r="M314" s="702">
        <v>0</v>
      </c>
      <c r="N314" s="702">
        <v>0</v>
      </c>
      <c r="O314" s="702">
        <v>0</v>
      </c>
      <c r="P314" s="702">
        <v>0</v>
      </c>
      <c r="Q314" s="702">
        <v>0</v>
      </c>
    </row>
    <row r="315" spans="1:17" s="685" customFormat="1">
      <c r="A315" s="791" t="s">
        <v>27</v>
      </c>
      <c r="B315" s="792" t="s">
        <v>303</v>
      </c>
      <c r="C315" s="880">
        <v>0</v>
      </c>
      <c r="D315" s="880">
        <v>0</v>
      </c>
      <c r="E315" s="880">
        <v>0</v>
      </c>
      <c r="F315" s="880">
        <v>500500</v>
      </c>
      <c r="G315" s="880">
        <v>0</v>
      </c>
      <c r="H315" s="880">
        <v>271250</v>
      </c>
      <c r="I315" s="880">
        <v>0</v>
      </c>
      <c r="J315" s="880">
        <v>0</v>
      </c>
      <c r="K315" s="880">
        <v>619000</v>
      </c>
      <c r="L315" s="880">
        <v>0</v>
      </c>
      <c r="M315" s="880">
        <v>0</v>
      </c>
      <c r="N315" s="880">
        <v>20000</v>
      </c>
      <c r="O315" s="880">
        <v>0</v>
      </c>
      <c r="P315" s="880">
        <v>0</v>
      </c>
      <c r="Q315" s="880">
        <v>0</v>
      </c>
    </row>
    <row r="316" spans="1:17" s="685" customFormat="1">
      <c r="A316" s="791"/>
      <c r="B316" s="792"/>
      <c r="C316" s="702">
        <v>1410750</v>
      </c>
      <c r="D316" s="702">
        <v>1410750</v>
      </c>
      <c r="E316" s="702">
        <v>1410750</v>
      </c>
      <c r="F316" s="702">
        <v>1410750</v>
      </c>
      <c r="G316" s="702">
        <v>910250</v>
      </c>
      <c r="H316" s="702">
        <v>910250</v>
      </c>
      <c r="I316" s="702">
        <v>639000</v>
      </c>
      <c r="J316" s="702">
        <v>639000</v>
      </c>
      <c r="K316" s="702">
        <v>639000</v>
      </c>
      <c r="L316" s="702">
        <v>20000</v>
      </c>
      <c r="M316" s="702">
        <v>20000</v>
      </c>
      <c r="N316" s="702">
        <v>20000</v>
      </c>
      <c r="O316" s="702">
        <v>0</v>
      </c>
      <c r="P316" s="702">
        <v>0</v>
      </c>
      <c r="Q316" s="702">
        <v>0</v>
      </c>
    </row>
    <row r="317" spans="1:17" s="685" customFormat="1">
      <c r="A317" s="791" t="s">
        <v>180</v>
      </c>
      <c r="B317" s="792"/>
      <c r="C317" s="1021">
        <v>0</v>
      </c>
      <c r="D317" s="1021">
        <v>0</v>
      </c>
      <c r="E317" s="1021">
        <v>0</v>
      </c>
      <c r="F317" s="1021">
        <v>0</v>
      </c>
      <c r="G317" s="1021">
        <v>0</v>
      </c>
      <c r="H317" s="1021">
        <v>0</v>
      </c>
      <c r="I317" s="1021">
        <v>0</v>
      </c>
      <c r="J317" s="1021">
        <v>0</v>
      </c>
      <c r="K317" s="1021">
        <v>0</v>
      </c>
      <c r="L317" s="1021">
        <v>0</v>
      </c>
      <c r="M317" s="1021">
        <v>0</v>
      </c>
      <c r="N317" s="1021">
        <v>0</v>
      </c>
      <c r="O317" s="1021">
        <v>0</v>
      </c>
      <c r="P317" s="1021">
        <v>0</v>
      </c>
      <c r="Q317" s="1021">
        <v>0</v>
      </c>
    </row>
    <row r="318" spans="1:17" s="685" customFormat="1">
      <c r="A318" s="791"/>
      <c r="B318" s="792"/>
      <c r="C318" s="702">
        <v>0</v>
      </c>
      <c r="D318" s="702">
        <v>0</v>
      </c>
      <c r="E318" s="702">
        <v>0</v>
      </c>
      <c r="F318" s="702">
        <v>0</v>
      </c>
      <c r="G318" s="702">
        <v>0</v>
      </c>
      <c r="H318" s="702">
        <v>0</v>
      </c>
      <c r="I318" s="702">
        <v>0</v>
      </c>
      <c r="J318" s="702">
        <v>0</v>
      </c>
      <c r="K318" s="702">
        <v>0</v>
      </c>
      <c r="L318" s="702">
        <v>0</v>
      </c>
      <c r="M318" s="702">
        <v>0</v>
      </c>
      <c r="N318" s="702">
        <v>0</v>
      </c>
      <c r="O318" s="702">
        <v>0</v>
      </c>
      <c r="P318" s="702">
        <v>0</v>
      </c>
      <c r="Q318" s="702">
        <v>0</v>
      </c>
    </row>
    <row r="319" spans="1:17" s="685" customFormat="1">
      <c r="A319" s="791" t="s">
        <v>59</v>
      </c>
      <c r="B319" s="792"/>
      <c r="C319" s="880">
        <v>1328499</v>
      </c>
      <c r="D319" s="880">
        <v>0</v>
      </c>
      <c r="E319" s="880">
        <v>202400</v>
      </c>
      <c r="F319" s="880">
        <v>500500</v>
      </c>
      <c r="G319" s="880">
        <v>0</v>
      </c>
      <c r="H319" s="880">
        <v>291250</v>
      </c>
      <c r="I319" s="880">
        <v>45999</v>
      </c>
      <c r="J319" s="880">
        <v>0</v>
      </c>
      <c r="K319" s="880">
        <v>639999</v>
      </c>
      <c r="L319" s="880">
        <v>0</v>
      </c>
      <c r="M319" s="880">
        <v>0</v>
      </c>
      <c r="N319" s="880">
        <v>20000</v>
      </c>
      <c r="O319" s="880">
        <v>0</v>
      </c>
      <c r="P319" s="880">
        <v>0</v>
      </c>
      <c r="Q319" s="880">
        <v>0</v>
      </c>
    </row>
    <row r="320" spans="1:17" s="685" customFormat="1">
      <c r="A320" s="791"/>
      <c r="B320" s="792"/>
      <c r="C320" s="702">
        <v>3028647</v>
      </c>
      <c r="D320" s="702">
        <v>1700148</v>
      </c>
      <c r="E320" s="702">
        <v>1700148</v>
      </c>
      <c r="F320" s="702">
        <v>1497748</v>
      </c>
      <c r="G320" s="702">
        <v>997248</v>
      </c>
      <c r="H320" s="702">
        <v>997248</v>
      </c>
      <c r="I320" s="702">
        <v>705998</v>
      </c>
      <c r="J320" s="702">
        <v>659999</v>
      </c>
      <c r="K320" s="702">
        <v>659999</v>
      </c>
      <c r="L320" s="702">
        <v>20000</v>
      </c>
      <c r="M320" s="702">
        <v>20000</v>
      </c>
      <c r="N320" s="702">
        <v>20000</v>
      </c>
      <c r="O320" s="702">
        <v>0</v>
      </c>
      <c r="P320" s="702">
        <v>0</v>
      </c>
      <c r="Q320" s="702">
        <v>0</v>
      </c>
    </row>
    <row r="321" spans="1:17" s="685" customFormat="1">
      <c r="A321" s="793" t="s">
        <v>350</v>
      </c>
      <c r="B321" s="794"/>
      <c r="C321" s="882">
        <v>173812</v>
      </c>
      <c r="D321" s="882">
        <v>363963</v>
      </c>
      <c r="E321" s="882">
        <v>1302862</v>
      </c>
      <c r="F321" s="882">
        <v>128725</v>
      </c>
      <c r="G321" s="882">
        <v>616745</v>
      </c>
      <c r="H321" s="882">
        <v>943951</v>
      </c>
      <c r="I321" s="882">
        <v>184330</v>
      </c>
      <c r="J321" s="882">
        <v>0</v>
      </c>
      <c r="K321" s="882">
        <v>-638999</v>
      </c>
      <c r="L321" s="882">
        <v>350816</v>
      </c>
      <c r="M321" s="882">
        <v>796123</v>
      </c>
      <c r="N321" s="882">
        <v>661646</v>
      </c>
      <c r="O321" s="882">
        <v>246014</v>
      </c>
      <c r="P321" s="882">
        <v>481311</v>
      </c>
      <c r="Q321" s="882">
        <v>0</v>
      </c>
    </row>
    <row r="322" spans="1:17" s="685" customFormat="1">
      <c r="A322" s="793"/>
      <c r="B322" s="794"/>
      <c r="C322" s="702">
        <v>5611299</v>
      </c>
      <c r="D322" s="702">
        <v>5437487</v>
      </c>
      <c r="E322" s="702">
        <v>5073524</v>
      </c>
      <c r="F322" s="702">
        <v>3770662</v>
      </c>
      <c r="G322" s="702">
        <v>3641937</v>
      </c>
      <c r="H322" s="702">
        <v>3025192</v>
      </c>
      <c r="I322" s="702">
        <v>2081241</v>
      </c>
      <c r="J322" s="702">
        <v>1896911</v>
      </c>
      <c r="K322" s="702">
        <v>1896911</v>
      </c>
      <c r="L322" s="702">
        <v>2535910</v>
      </c>
      <c r="M322" s="702">
        <v>2185094</v>
      </c>
      <c r="N322" s="702">
        <v>1388971</v>
      </c>
      <c r="O322" s="702">
        <v>727325</v>
      </c>
      <c r="P322" s="702">
        <v>481311</v>
      </c>
      <c r="Q322" s="702">
        <v>0</v>
      </c>
    </row>
    <row r="323" spans="1:17" s="685" customFormat="1">
      <c r="A323" s="797"/>
      <c r="B323" s="748"/>
      <c r="C323" s="879"/>
      <c r="D323" s="879"/>
      <c r="E323" s="879"/>
      <c r="F323" s="879"/>
      <c r="G323" s="879"/>
      <c r="H323" s="879"/>
      <c r="I323" s="879"/>
      <c r="J323" s="879"/>
      <c r="K323" s="879"/>
      <c r="L323" s="879"/>
      <c r="M323" s="879"/>
      <c r="N323" s="879"/>
      <c r="O323" s="879"/>
      <c r="P323" s="879"/>
      <c r="Q323" s="879"/>
    </row>
    <row r="324" spans="1:17" s="685" customFormat="1">
      <c r="A324" s="796" t="s">
        <v>345</v>
      </c>
      <c r="B324" s="788" t="s">
        <v>518</v>
      </c>
      <c r="C324" s="880">
        <v>1298838</v>
      </c>
      <c r="D324" s="880">
        <v>351270</v>
      </c>
      <c r="E324" s="880">
        <v>1254607</v>
      </c>
      <c r="F324" s="880">
        <v>888152</v>
      </c>
      <c r="G324" s="880">
        <v>352091</v>
      </c>
      <c r="H324" s="880">
        <v>1582756</v>
      </c>
      <c r="I324" s="880">
        <v>639552</v>
      </c>
      <c r="J324" s="880">
        <v>430410</v>
      </c>
      <c r="K324" s="880">
        <v>2163010</v>
      </c>
      <c r="L324" s="880">
        <v>534641</v>
      </c>
      <c r="M324" s="880">
        <v>734096</v>
      </c>
      <c r="N324" s="880">
        <v>478878</v>
      </c>
      <c r="O324" s="880">
        <v>559144</v>
      </c>
      <c r="P324" s="880">
        <v>568219</v>
      </c>
      <c r="Q324" s="880">
        <v>0</v>
      </c>
    </row>
    <row r="325" spans="1:17" s="685" customFormat="1">
      <c r="A325" s="787"/>
      <c r="B325" s="788"/>
      <c r="C325" s="702">
        <v>11835664</v>
      </c>
      <c r="D325" s="702">
        <v>10536826</v>
      </c>
      <c r="E325" s="702">
        <v>10185556</v>
      </c>
      <c r="F325" s="702">
        <v>8930949</v>
      </c>
      <c r="G325" s="702">
        <v>8042797</v>
      </c>
      <c r="H325" s="702">
        <v>7690706</v>
      </c>
      <c r="I325" s="702">
        <v>6107950</v>
      </c>
      <c r="J325" s="702">
        <v>5468398</v>
      </c>
      <c r="K325" s="702">
        <v>5037988</v>
      </c>
      <c r="L325" s="702">
        <v>2874978</v>
      </c>
      <c r="M325" s="702">
        <v>2340337</v>
      </c>
      <c r="N325" s="702">
        <v>1606241</v>
      </c>
      <c r="O325" s="702">
        <v>1127363</v>
      </c>
      <c r="P325" s="702">
        <v>568219</v>
      </c>
      <c r="Q325" s="702">
        <v>0</v>
      </c>
    </row>
    <row r="326" spans="1:17" s="685" customFormat="1">
      <c r="A326" s="789" t="s">
        <v>100</v>
      </c>
      <c r="B326" s="790"/>
      <c r="C326" s="879"/>
      <c r="D326" s="879"/>
      <c r="E326" s="879"/>
      <c r="F326" s="879"/>
      <c r="G326" s="879"/>
      <c r="H326" s="879"/>
      <c r="I326" s="879"/>
      <c r="J326" s="879"/>
      <c r="K326" s="879"/>
      <c r="L326" s="879"/>
      <c r="M326" s="879"/>
      <c r="N326" s="879"/>
      <c r="O326" s="879"/>
      <c r="P326" s="879"/>
      <c r="Q326" s="879"/>
    </row>
    <row r="327" spans="1:17" s="685" customFormat="1">
      <c r="A327" s="791" t="s">
        <v>337</v>
      </c>
      <c r="B327" s="792" t="s">
        <v>519</v>
      </c>
      <c r="C327" s="880">
        <v>0</v>
      </c>
      <c r="D327" s="880">
        <v>0</v>
      </c>
      <c r="E327" s="880">
        <v>0</v>
      </c>
      <c r="F327" s="880">
        <v>0</v>
      </c>
      <c r="G327" s="880">
        <v>0</v>
      </c>
      <c r="H327" s="880">
        <v>0</v>
      </c>
      <c r="I327" s="880">
        <v>0</v>
      </c>
      <c r="J327" s="880">
        <v>0</v>
      </c>
      <c r="K327" s="880">
        <v>0</v>
      </c>
      <c r="L327" s="880">
        <v>0</v>
      </c>
      <c r="M327" s="880">
        <v>0</v>
      </c>
      <c r="N327" s="880">
        <v>0</v>
      </c>
      <c r="O327" s="880">
        <v>0</v>
      </c>
      <c r="P327" s="880">
        <v>0</v>
      </c>
      <c r="Q327" s="880">
        <v>0</v>
      </c>
    </row>
    <row r="328" spans="1:17" s="685" customFormat="1">
      <c r="A328" s="791"/>
      <c r="B328" s="792"/>
      <c r="C328" s="702">
        <v>0</v>
      </c>
      <c r="D328" s="702">
        <v>0</v>
      </c>
      <c r="E328" s="702">
        <v>0</v>
      </c>
      <c r="F328" s="702">
        <v>0</v>
      </c>
      <c r="G328" s="702">
        <v>0</v>
      </c>
      <c r="H328" s="702">
        <v>0</v>
      </c>
      <c r="I328" s="702">
        <v>0</v>
      </c>
      <c r="J328" s="702">
        <v>0</v>
      </c>
      <c r="K328" s="702">
        <v>0</v>
      </c>
      <c r="L328" s="702">
        <v>0</v>
      </c>
      <c r="M328" s="702">
        <v>0</v>
      </c>
      <c r="N328" s="702">
        <v>0</v>
      </c>
      <c r="O328" s="702">
        <v>0</v>
      </c>
      <c r="P328" s="702">
        <v>0</v>
      </c>
      <c r="Q328" s="702">
        <v>0</v>
      </c>
    </row>
    <row r="329" spans="1:17" s="685" customFormat="1">
      <c r="A329" s="791" t="s">
        <v>353</v>
      </c>
      <c r="B329" s="792" t="s">
        <v>520</v>
      </c>
      <c r="C329" s="880">
        <v>0</v>
      </c>
      <c r="D329" s="880">
        <v>0</v>
      </c>
      <c r="E329" s="880">
        <v>0</v>
      </c>
      <c r="F329" s="880">
        <v>15500</v>
      </c>
      <c r="G329" s="880">
        <v>0</v>
      </c>
      <c r="H329" s="880">
        <v>0</v>
      </c>
      <c r="I329" s="880">
        <v>0</v>
      </c>
      <c r="J329" s="880">
        <v>0</v>
      </c>
      <c r="K329" s="880">
        <v>0</v>
      </c>
      <c r="L329" s="880">
        <v>0</v>
      </c>
      <c r="M329" s="880">
        <v>0</v>
      </c>
      <c r="N329" s="880">
        <v>0</v>
      </c>
      <c r="O329" s="880">
        <v>0</v>
      </c>
      <c r="P329" s="880">
        <v>0</v>
      </c>
      <c r="Q329" s="880">
        <v>0</v>
      </c>
    </row>
    <row r="330" spans="1:17" s="685" customFormat="1">
      <c r="A330" s="791"/>
      <c r="B330" s="792"/>
      <c r="C330" s="702">
        <v>15500</v>
      </c>
      <c r="D330" s="702">
        <v>15500</v>
      </c>
      <c r="E330" s="702">
        <v>15500</v>
      </c>
      <c r="F330" s="702">
        <v>15500</v>
      </c>
      <c r="G330" s="702">
        <v>0</v>
      </c>
      <c r="H330" s="702">
        <v>0</v>
      </c>
      <c r="I330" s="702">
        <v>0</v>
      </c>
      <c r="J330" s="702">
        <v>0</v>
      </c>
      <c r="K330" s="702">
        <v>0</v>
      </c>
      <c r="L330" s="702">
        <v>0</v>
      </c>
      <c r="M330" s="702">
        <v>0</v>
      </c>
      <c r="N330" s="702">
        <v>0</v>
      </c>
      <c r="O330" s="702">
        <v>0</v>
      </c>
      <c r="P330" s="702">
        <v>0</v>
      </c>
      <c r="Q330" s="702">
        <v>0</v>
      </c>
    </row>
    <row r="331" spans="1:17" s="685" customFormat="1">
      <c r="A331" s="791" t="s">
        <v>245</v>
      </c>
      <c r="B331" s="792" t="s">
        <v>521</v>
      </c>
      <c r="C331" s="880">
        <v>0</v>
      </c>
      <c r="D331" s="880">
        <v>137500</v>
      </c>
      <c r="E331" s="880">
        <v>0</v>
      </c>
      <c r="F331" s="880">
        <v>0</v>
      </c>
      <c r="G331" s="880">
        <v>0</v>
      </c>
      <c r="H331" s="880">
        <v>0</v>
      </c>
      <c r="I331" s="880">
        <v>0</v>
      </c>
      <c r="J331" s="880">
        <v>0</v>
      </c>
      <c r="K331" s="880">
        <v>20999</v>
      </c>
      <c r="L331" s="880">
        <v>0</v>
      </c>
      <c r="M331" s="880">
        <v>0</v>
      </c>
      <c r="N331" s="880">
        <v>0</v>
      </c>
      <c r="O331" s="880">
        <v>0</v>
      </c>
      <c r="P331" s="880">
        <v>91000</v>
      </c>
      <c r="Q331" s="880">
        <v>0</v>
      </c>
    </row>
    <row r="332" spans="1:17" s="685" customFormat="1">
      <c r="A332" s="791"/>
      <c r="B332" s="792"/>
      <c r="C332" s="702">
        <v>249499</v>
      </c>
      <c r="D332" s="702">
        <v>249499</v>
      </c>
      <c r="E332" s="702">
        <v>111999</v>
      </c>
      <c r="F332" s="702">
        <v>111999</v>
      </c>
      <c r="G332" s="702">
        <v>111999</v>
      </c>
      <c r="H332" s="702">
        <v>111999</v>
      </c>
      <c r="I332" s="702">
        <v>111999</v>
      </c>
      <c r="J332" s="702">
        <v>111999</v>
      </c>
      <c r="K332" s="702">
        <v>111999</v>
      </c>
      <c r="L332" s="702">
        <v>91000</v>
      </c>
      <c r="M332" s="702">
        <v>91000</v>
      </c>
      <c r="N332" s="702">
        <v>91000</v>
      </c>
      <c r="O332" s="702">
        <v>91000</v>
      </c>
      <c r="P332" s="702">
        <v>91000</v>
      </c>
      <c r="Q332" s="702">
        <v>0</v>
      </c>
    </row>
    <row r="333" spans="1:17" s="685" customFormat="1">
      <c r="A333" s="791" t="s">
        <v>349</v>
      </c>
      <c r="B333" s="792" t="s">
        <v>522</v>
      </c>
      <c r="C333" s="880">
        <v>0</v>
      </c>
      <c r="D333" s="880">
        <v>0</v>
      </c>
      <c r="E333" s="880">
        <v>0</v>
      </c>
      <c r="F333" s="880">
        <v>0</v>
      </c>
      <c r="G333" s="880">
        <v>0</v>
      </c>
      <c r="H333" s="880">
        <v>0</v>
      </c>
      <c r="I333" s="880">
        <v>0</v>
      </c>
      <c r="J333" s="880">
        <v>0</v>
      </c>
      <c r="K333" s="880">
        <v>0</v>
      </c>
      <c r="L333" s="880">
        <v>0</v>
      </c>
      <c r="M333" s="880">
        <v>0</v>
      </c>
      <c r="N333" s="880">
        <v>0</v>
      </c>
      <c r="O333" s="880">
        <v>0</v>
      </c>
      <c r="P333" s="880">
        <v>0</v>
      </c>
      <c r="Q333" s="880">
        <v>0</v>
      </c>
    </row>
    <row r="334" spans="1:17" s="685" customFormat="1">
      <c r="A334" s="791"/>
      <c r="B334" s="792"/>
      <c r="C334" s="702">
        <v>0</v>
      </c>
      <c r="D334" s="702">
        <v>0</v>
      </c>
      <c r="E334" s="702">
        <v>0</v>
      </c>
      <c r="F334" s="702">
        <v>0</v>
      </c>
      <c r="G334" s="702">
        <v>0</v>
      </c>
      <c r="H334" s="702">
        <v>0</v>
      </c>
      <c r="I334" s="702">
        <v>0</v>
      </c>
      <c r="J334" s="702">
        <v>0</v>
      </c>
      <c r="K334" s="702">
        <v>0</v>
      </c>
      <c r="L334" s="702">
        <v>0</v>
      </c>
      <c r="M334" s="702">
        <v>0</v>
      </c>
      <c r="N334" s="702">
        <v>0</v>
      </c>
      <c r="O334" s="702">
        <v>0</v>
      </c>
      <c r="P334" s="702">
        <v>0</v>
      </c>
      <c r="Q334" s="702">
        <v>0</v>
      </c>
    </row>
    <row r="335" spans="1:17" s="685" customFormat="1">
      <c r="A335" s="791" t="s">
        <v>247</v>
      </c>
      <c r="B335" s="792" t="s">
        <v>523</v>
      </c>
      <c r="C335" s="880">
        <v>0</v>
      </c>
      <c r="D335" s="880">
        <v>0</v>
      </c>
      <c r="E335" s="880">
        <v>0</v>
      </c>
      <c r="F335" s="880">
        <v>0</v>
      </c>
      <c r="G335" s="880">
        <v>0</v>
      </c>
      <c r="H335" s="880">
        <v>0</v>
      </c>
      <c r="I335" s="880">
        <v>0</v>
      </c>
      <c r="J335" s="880">
        <v>0</v>
      </c>
      <c r="K335" s="880">
        <v>0</v>
      </c>
      <c r="L335" s="880">
        <v>99100</v>
      </c>
      <c r="M335" s="880">
        <v>0</v>
      </c>
      <c r="N335" s="880">
        <v>0</v>
      </c>
      <c r="O335" s="880">
        <v>0</v>
      </c>
      <c r="P335" s="880">
        <v>0</v>
      </c>
      <c r="Q335" s="880">
        <v>0</v>
      </c>
    </row>
    <row r="336" spans="1:17" s="685" customFormat="1">
      <c r="A336" s="791"/>
      <c r="B336" s="792"/>
      <c r="C336" s="702">
        <v>99100</v>
      </c>
      <c r="D336" s="702">
        <v>99100</v>
      </c>
      <c r="E336" s="702">
        <v>99100</v>
      </c>
      <c r="F336" s="702">
        <v>99100</v>
      </c>
      <c r="G336" s="702">
        <v>99100</v>
      </c>
      <c r="H336" s="702">
        <v>99100</v>
      </c>
      <c r="I336" s="702">
        <v>99100</v>
      </c>
      <c r="J336" s="702">
        <v>99100</v>
      </c>
      <c r="K336" s="702">
        <v>99100</v>
      </c>
      <c r="L336" s="702">
        <v>99100</v>
      </c>
      <c r="M336" s="702">
        <v>0</v>
      </c>
      <c r="N336" s="702">
        <v>0</v>
      </c>
      <c r="O336" s="702">
        <v>0</v>
      </c>
      <c r="P336" s="702">
        <v>0</v>
      </c>
      <c r="Q336" s="702">
        <v>0</v>
      </c>
    </row>
    <row r="337" spans="1:17" s="685" customFormat="1">
      <c r="A337" s="791" t="s">
        <v>187</v>
      </c>
      <c r="B337" s="792" t="s">
        <v>524</v>
      </c>
      <c r="C337" s="880">
        <v>1359500</v>
      </c>
      <c r="D337" s="880">
        <v>0</v>
      </c>
      <c r="E337" s="880">
        <v>0</v>
      </c>
      <c r="F337" s="880">
        <v>0</v>
      </c>
      <c r="G337" s="880">
        <v>0</v>
      </c>
      <c r="H337" s="880">
        <v>0</v>
      </c>
      <c r="I337" s="880">
        <v>0</v>
      </c>
      <c r="J337" s="880">
        <v>0</v>
      </c>
      <c r="K337" s="880">
        <v>0</v>
      </c>
      <c r="L337" s="880">
        <v>0</v>
      </c>
      <c r="M337" s="880">
        <v>0</v>
      </c>
      <c r="N337" s="880">
        <v>0</v>
      </c>
      <c r="O337" s="880">
        <v>0</v>
      </c>
      <c r="P337" s="880">
        <v>0</v>
      </c>
      <c r="Q337" s="880">
        <v>0</v>
      </c>
    </row>
    <row r="338" spans="1:17" s="685" customFormat="1">
      <c r="A338" s="791"/>
      <c r="B338" s="792"/>
      <c r="C338" s="702">
        <v>1359500</v>
      </c>
      <c r="D338" s="702">
        <v>0</v>
      </c>
      <c r="E338" s="702">
        <v>0</v>
      </c>
      <c r="F338" s="702">
        <v>0</v>
      </c>
      <c r="G338" s="702">
        <v>0</v>
      </c>
      <c r="H338" s="702">
        <v>0</v>
      </c>
      <c r="I338" s="702">
        <v>0</v>
      </c>
      <c r="J338" s="702">
        <v>0</v>
      </c>
      <c r="K338" s="702">
        <v>0</v>
      </c>
      <c r="L338" s="702">
        <v>0</v>
      </c>
      <c r="M338" s="702">
        <v>0</v>
      </c>
      <c r="N338" s="702">
        <v>0</v>
      </c>
      <c r="O338" s="702">
        <v>0</v>
      </c>
      <c r="P338" s="702">
        <v>0</v>
      </c>
      <c r="Q338" s="702">
        <v>0</v>
      </c>
    </row>
    <row r="339" spans="1:17" s="685" customFormat="1">
      <c r="A339" s="791" t="s">
        <v>246</v>
      </c>
      <c r="B339" s="792" t="s">
        <v>525</v>
      </c>
      <c r="C339" s="880">
        <v>0</v>
      </c>
      <c r="D339" s="880">
        <v>0</v>
      </c>
      <c r="E339" s="880">
        <v>0</v>
      </c>
      <c r="F339" s="880">
        <v>0</v>
      </c>
      <c r="G339" s="880">
        <v>0</v>
      </c>
      <c r="H339" s="880">
        <v>0</v>
      </c>
      <c r="I339" s="880">
        <v>0</v>
      </c>
      <c r="J339" s="880">
        <v>0</v>
      </c>
      <c r="K339" s="880">
        <v>0</v>
      </c>
      <c r="L339" s="880">
        <v>0</v>
      </c>
      <c r="M339" s="880">
        <v>0</v>
      </c>
      <c r="N339" s="880">
        <v>0</v>
      </c>
      <c r="O339" s="880">
        <v>0</v>
      </c>
      <c r="P339" s="880">
        <v>0</v>
      </c>
      <c r="Q339" s="880">
        <v>0</v>
      </c>
    </row>
    <row r="340" spans="1:17" s="685" customFormat="1">
      <c r="A340" s="791"/>
      <c r="B340" s="792"/>
      <c r="C340" s="702">
        <v>0</v>
      </c>
      <c r="D340" s="702">
        <v>0</v>
      </c>
      <c r="E340" s="702">
        <v>0</v>
      </c>
      <c r="F340" s="702">
        <v>0</v>
      </c>
      <c r="G340" s="702">
        <v>0</v>
      </c>
      <c r="H340" s="702">
        <v>0</v>
      </c>
      <c r="I340" s="702">
        <v>0</v>
      </c>
      <c r="J340" s="702">
        <v>0</v>
      </c>
      <c r="K340" s="702">
        <v>0</v>
      </c>
      <c r="L340" s="702">
        <v>0</v>
      </c>
      <c r="M340" s="702">
        <v>0</v>
      </c>
      <c r="N340" s="702">
        <v>0</v>
      </c>
      <c r="O340" s="702">
        <v>0</v>
      </c>
      <c r="P340" s="702">
        <v>0</v>
      </c>
      <c r="Q340" s="702">
        <v>0</v>
      </c>
    </row>
    <row r="341" spans="1:17" s="685" customFormat="1">
      <c r="A341" s="791" t="s">
        <v>334</v>
      </c>
      <c r="B341" s="792" t="s">
        <v>526</v>
      </c>
      <c r="C341" s="880">
        <v>0</v>
      </c>
      <c r="D341" s="880">
        <v>0</v>
      </c>
      <c r="E341" s="880">
        <v>0</v>
      </c>
      <c r="F341" s="880">
        <v>0</v>
      </c>
      <c r="G341" s="880">
        <v>0</v>
      </c>
      <c r="H341" s="880">
        <v>0</v>
      </c>
      <c r="I341" s="880">
        <v>0</v>
      </c>
      <c r="J341" s="880">
        <v>0</v>
      </c>
      <c r="K341" s="880">
        <v>0</v>
      </c>
      <c r="L341" s="880">
        <v>0</v>
      </c>
      <c r="M341" s="880">
        <v>0</v>
      </c>
      <c r="N341" s="880">
        <v>0</v>
      </c>
      <c r="O341" s="880">
        <v>0</v>
      </c>
      <c r="P341" s="880">
        <v>0</v>
      </c>
      <c r="Q341" s="880">
        <v>0</v>
      </c>
    </row>
    <row r="342" spans="1:17" s="685" customFormat="1">
      <c r="A342" s="791"/>
      <c r="B342" s="792"/>
      <c r="C342" s="702">
        <v>0</v>
      </c>
      <c r="D342" s="702">
        <v>0</v>
      </c>
      <c r="E342" s="702">
        <v>0</v>
      </c>
      <c r="F342" s="702">
        <v>0</v>
      </c>
      <c r="G342" s="702">
        <v>0</v>
      </c>
      <c r="H342" s="702">
        <v>0</v>
      </c>
      <c r="I342" s="702">
        <v>0</v>
      </c>
      <c r="J342" s="702">
        <v>0</v>
      </c>
      <c r="K342" s="702">
        <v>0</v>
      </c>
      <c r="L342" s="702">
        <v>0</v>
      </c>
      <c r="M342" s="702">
        <v>0</v>
      </c>
      <c r="N342" s="702">
        <v>0</v>
      </c>
      <c r="O342" s="702">
        <v>0</v>
      </c>
      <c r="P342" s="702">
        <v>0</v>
      </c>
      <c r="Q342" s="702">
        <v>0</v>
      </c>
    </row>
    <row r="343" spans="1:17" s="685" customFormat="1">
      <c r="A343" s="791" t="s">
        <v>27</v>
      </c>
      <c r="B343" s="792" t="s">
        <v>527</v>
      </c>
      <c r="C343" s="880">
        <v>0</v>
      </c>
      <c r="D343" s="880">
        <v>0</v>
      </c>
      <c r="E343" s="880">
        <v>0</v>
      </c>
      <c r="F343" s="880">
        <v>0</v>
      </c>
      <c r="G343" s="880">
        <v>0</v>
      </c>
      <c r="H343" s="880">
        <v>251250</v>
      </c>
      <c r="I343" s="880">
        <v>0</v>
      </c>
      <c r="J343" s="880">
        <v>0</v>
      </c>
      <c r="K343" s="880">
        <v>0</v>
      </c>
      <c r="L343" s="880">
        <v>0</v>
      </c>
      <c r="M343" s="880">
        <v>0</v>
      </c>
      <c r="N343" s="880">
        <v>0</v>
      </c>
      <c r="O343" s="880">
        <v>0</v>
      </c>
      <c r="P343" s="880">
        <v>0</v>
      </c>
      <c r="Q343" s="880">
        <v>0</v>
      </c>
    </row>
    <row r="344" spans="1:17" s="685" customFormat="1">
      <c r="A344" s="791"/>
      <c r="B344" s="792"/>
      <c r="C344" s="702">
        <v>251250</v>
      </c>
      <c r="D344" s="702">
        <v>251250</v>
      </c>
      <c r="E344" s="702">
        <v>251250</v>
      </c>
      <c r="F344" s="702">
        <v>251250</v>
      </c>
      <c r="G344" s="702">
        <v>251250</v>
      </c>
      <c r="H344" s="702">
        <v>251250</v>
      </c>
      <c r="I344" s="702">
        <v>0</v>
      </c>
      <c r="J344" s="702">
        <v>0</v>
      </c>
      <c r="K344" s="702">
        <v>0</v>
      </c>
      <c r="L344" s="702">
        <v>0</v>
      </c>
      <c r="M344" s="702">
        <v>0</v>
      </c>
      <c r="N344" s="702">
        <v>0</v>
      </c>
      <c r="O344" s="702">
        <v>0</v>
      </c>
      <c r="P344" s="702">
        <v>0</v>
      </c>
      <c r="Q344" s="702">
        <v>0</v>
      </c>
    </row>
    <row r="345" spans="1:17" s="685" customFormat="1">
      <c r="A345" s="791" t="s">
        <v>180</v>
      </c>
      <c r="B345" s="792"/>
      <c r="C345" s="1021">
        <v>0</v>
      </c>
      <c r="D345" s="1021">
        <v>0</v>
      </c>
      <c r="E345" s="1021">
        <v>0</v>
      </c>
      <c r="F345" s="1021">
        <v>0</v>
      </c>
      <c r="G345" s="1021">
        <v>0</v>
      </c>
      <c r="H345" s="1021">
        <v>0</v>
      </c>
      <c r="I345" s="1021">
        <v>0</v>
      </c>
      <c r="J345" s="1021">
        <v>0</v>
      </c>
      <c r="K345" s="1021">
        <v>0</v>
      </c>
      <c r="L345" s="1021">
        <v>0</v>
      </c>
      <c r="M345" s="1021">
        <v>0</v>
      </c>
      <c r="N345" s="1021">
        <v>0</v>
      </c>
      <c r="O345" s="1021">
        <v>0</v>
      </c>
      <c r="P345" s="1021">
        <v>0</v>
      </c>
      <c r="Q345" s="1021">
        <v>0</v>
      </c>
    </row>
    <row r="346" spans="1:17" s="685" customFormat="1">
      <c r="A346" s="791"/>
      <c r="B346" s="792"/>
      <c r="C346" s="702">
        <v>0</v>
      </c>
      <c r="D346" s="702">
        <v>0</v>
      </c>
      <c r="E346" s="702">
        <v>0</v>
      </c>
      <c r="F346" s="702">
        <v>0</v>
      </c>
      <c r="G346" s="702">
        <v>0</v>
      </c>
      <c r="H346" s="702">
        <v>0</v>
      </c>
      <c r="I346" s="702">
        <v>0</v>
      </c>
      <c r="J346" s="702">
        <v>0</v>
      </c>
      <c r="K346" s="702">
        <v>0</v>
      </c>
      <c r="L346" s="702">
        <v>0</v>
      </c>
      <c r="M346" s="702">
        <v>0</v>
      </c>
      <c r="N346" s="702">
        <v>0</v>
      </c>
      <c r="O346" s="702">
        <v>0</v>
      </c>
      <c r="P346" s="702">
        <v>0</v>
      </c>
      <c r="Q346" s="702">
        <v>0</v>
      </c>
    </row>
    <row r="347" spans="1:17" s="685" customFormat="1">
      <c r="A347" s="791" t="s">
        <v>59</v>
      </c>
      <c r="B347" s="792"/>
      <c r="C347" s="880">
        <v>1359500</v>
      </c>
      <c r="D347" s="880">
        <v>137500</v>
      </c>
      <c r="E347" s="880">
        <v>0</v>
      </c>
      <c r="F347" s="880">
        <v>15500</v>
      </c>
      <c r="G347" s="880">
        <v>0</v>
      </c>
      <c r="H347" s="880">
        <v>251250</v>
      </c>
      <c r="I347" s="880">
        <v>0</v>
      </c>
      <c r="J347" s="880">
        <v>0</v>
      </c>
      <c r="K347" s="880">
        <v>20999</v>
      </c>
      <c r="L347" s="880">
        <v>99100</v>
      </c>
      <c r="M347" s="880">
        <v>0</v>
      </c>
      <c r="N347" s="880">
        <v>0</v>
      </c>
      <c r="O347" s="880">
        <v>0</v>
      </c>
      <c r="P347" s="880">
        <v>91000</v>
      </c>
      <c r="Q347" s="880">
        <v>0</v>
      </c>
    </row>
    <row r="348" spans="1:17" s="685" customFormat="1">
      <c r="A348" s="791"/>
      <c r="B348" s="792"/>
      <c r="C348" s="702">
        <v>1974849</v>
      </c>
      <c r="D348" s="702">
        <v>615349</v>
      </c>
      <c r="E348" s="702">
        <v>477849</v>
      </c>
      <c r="F348" s="702">
        <v>477849</v>
      </c>
      <c r="G348" s="702">
        <v>462349</v>
      </c>
      <c r="H348" s="702">
        <v>462349</v>
      </c>
      <c r="I348" s="702">
        <v>211099</v>
      </c>
      <c r="J348" s="702">
        <v>211099</v>
      </c>
      <c r="K348" s="702">
        <v>211099</v>
      </c>
      <c r="L348" s="702">
        <v>190100</v>
      </c>
      <c r="M348" s="702">
        <v>91000</v>
      </c>
      <c r="N348" s="702">
        <v>91000</v>
      </c>
      <c r="O348" s="702">
        <v>91000</v>
      </c>
      <c r="P348" s="702">
        <v>91000</v>
      </c>
      <c r="Q348" s="702">
        <v>0</v>
      </c>
    </row>
    <row r="349" spans="1:17" s="685" customFormat="1">
      <c r="A349" s="793" t="s">
        <v>350</v>
      </c>
      <c r="B349" s="794"/>
      <c r="C349" s="882">
        <v>-60662</v>
      </c>
      <c r="D349" s="882">
        <v>213770</v>
      </c>
      <c r="E349" s="882">
        <v>1254607</v>
      </c>
      <c r="F349" s="882">
        <v>872652</v>
      </c>
      <c r="G349" s="882">
        <v>352091</v>
      </c>
      <c r="H349" s="882">
        <v>1331506</v>
      </c>
      <c r="I349" s="882">
        <v>639552</v>
      </c>
      <c r="J349" s="882">
        <v>430410</v>
      </c>
      <c r="K349" s="882">
        <v>2142011</v>
      </c>
      <c r="L349" s="882">
        <v>435541</v>
      </c>
      <c r="M349" s="882">
        <v>734096</v>
      </c>
      <c r="N349" s="882">
        <v>478878</v>
      </c>
      <c r="O349" s="882">
        <v>559144</v>
      </c>
      <c r="P349" s="882">
        <v>477219</v>
      </c>
      <c r="Q349" s="882">
        <v>0</v>
      </c>
    </row>
    <row r="350" spans="1:17" s="685" customFormat="1">
      <c r="A350" s="793"/>
      <c r="B350" s="794"/>
      <c r="C350" s="702">
        <v>9860815</v>
      </c>
      <c r="D350" s="702">
        <v>9921477</v>
      </c>
      <c r="E350" s="702">
        <v>9707707</v>
      </c>
      <c r="F350" s="702">
        <v>8453100</v>
      </c>
      <c r="G350" s="702">
        <v>7580448</v>
      </c>
      <c r="H350" s="702">
        <v>7228357</v>
      </c>
      <c r="I350" s="702">
        <v>5896851</v>
      </c>
      <c r="J350" s="702">
        <v>5257299</v>
      </c>
      <c r="K350" s="702">
        <v>4826889</v>
      </c>
      <c r="L350" s="702">
        <v>2684878</v>
      </c>
      <c r="M350" s="702">
        <v>2249337</v>
      </c>
      <c r="N350" s="702">
        <v>1515241</v>
      </c>
      <c r="O350" s="702">
        <v>1036363</v>
      </c>
      <c r="P350" s="702">
        <v>477219</v>
      </c>
      <c r="Q350" s="702">
        <v>0</v>
      </c>
    </row>
    <row r="351" spans="1:17" s="685" customFormat="1">
      <c r="A351" s="797"/>
      <c r="B351" s="748"/>
      <c r="C351" s="704"/>
      <c r="D351" s="704"/>
      <c r="E351" s="704"/>
      <c r="F351" s="704"/>
      <c r="G351" s="704"/>
      <c r="H351" s="704"/>
      <c r="I351" s="704"/>
      <c r="J351" s="704"/>
      <c r="K351" s="704"/>
      <c r="L351" s="704"/>
      <c r="M351" s="704"/>
      <c r="N351" s="704"/>
      <c r="O351" s="704"/>
      <c r="P351" s="704"/>
      <c r="Q351" s="704"/>
    </row>
    <row r="352" spans="1:17" s="685" customFormat="1">
      <c r="A352" s="1040" t="s">
        <v>24</v>
      </c>
      <c r="B352" s="792"/>
      <c r="C352" s="1021">
        <v>-9000</v>
      </c>
      <c r="D352" s="1021">
        <v>-5000</v>
      </c>
      <c r="E352" s="1021">
        <v>-67623</v>
      </c>
      <c r="F352" s="1021">
        <v>60498</v>
      </c>
      <c r="G352" s="1021">
        <v>0</v>
      </c>
      <c r="H352" s="1021">
        <v>-18954</v>
      </c>
      <c r="I352" s="1021">
        <v>-5000</v>
      </c>
      <c r="J352" s="1021">
        <v>0</v>
      </c>
      <c r="K352" s="1021">
        <v>-13000</v>
      </c>
      <c r="L352" s="1021">
        <v>-4000</v>
      </c>
      <c r="M352" s="1021">
        <v>8500</v>
      </c>
      <c r="N352" s="1021">
        <v>-2501</v>
      </c>
      <c r="O352" s="1021">
        <v>0</v>
      </c>
      <c r="P352" s="1021">
        <v>-13500</v>
      </c>
      <c r="Q352" s="1021">
        <v>0</v>
      </c>
    </row>
    <row r="353" spans="1:17" s="685" customFormat="1">
      <c r="A353" s="1040"/>
      <c r="B353" s="792"/>
      <c r="C353" s="702">
        <v>-69580</v>
      </c>
      <c r="D353" s="702">
        <v>-60580</v>
      </c>
      <c r="E353" s="702">
        <v>-55580</v>
      </c>
      <c r="F353" s="702">
        <v>12043</v>
      </c>
      <c r="G353" s="702">
        <v>-48455</v>
      </c>
      <c r="H353" s="702">
        <v>-48455</v>
      </c>
      <c r="I353" s="702">
        <v>-29501</v>
      </c>
      <c r="J353" s="702">
        <v>-24501</v>
      </c>
      <c r="K353" s="702">
        <v>-24501</v>
      </c>
      <c r="L353" s="702">
        <v>-11501</v>
      </c>
      <c r="M353" s="702">
        <v>-7501</v>
      </c>
      <c r="N353" s="702">
        <v>-16001</v>
      </c>
      <c r="O353" s="702">
        <v>-13500</v>
      </c>
      <c r="P353" s="702">
        <v>-13500</v>
      </c>
      <c r="Q353" s="702">
        <v>0</v>
      </c>
    </row>
    <row r="354" spans="1:17" s="685" customFormat="1">
      <c r="A354" s="797"/>
      <c r="B354" s="748"/>
      <c r="C354" s="879"/>
      <c r="D354" s="879"/>
      <c r="E354" s="879"/>
      <c r="F354" s="879"/>
      <c r="G354" s="879"/>
      <c r="H354" s="879"/>
      <c r="I354" s="879"/>
      <c r="J354" s="879"/>
      <c r="K354" s="879"/>
      <c r="L354" s="879"/>
      <c r="M354" s="879"/>
      <c r="N354" s="879"/>
      <c r="O354" s="879"/>
      <c r="P354" s="879"/>
      <c r="Q354" s="879"/>
    </row>
    <row r="355" spans="1:17" s="685" customFormat="1" ht="18">
      <c r="A355" s="787" t="s">
        <v>151</v>
      </c>
      <c r="B355" s="788"/>
      <c r="C355" s="883">
        <v>5369001</v>
      </c>
      <c r="D355" s="883">
        <v>1542206</v>
      </c>
      <c r="E355" s="883">
        <v>6193447</v>
      </c>
      <c r="F355" s="883">
        <v>4382265</v>
      </c>
      <c r="G355" s="883">
        <v>1901058</v>
      </c>
      <c r="H355" s="883">
        <v>5681950</v>
      </c>
      <c r="I355" s="883">
        <v>1860009</v>
      </c>
      <c r="J355" s="883">
        <v>1183373</v>
      </c>
      <c r="K355" s="883">
        <v>6987644</v>
      </c>
      <c r="L355" s="883">
        <v>1842982</v>
      </c>
      <c r="M355" s="883">
        <v>2596431</v>
      </c>
      <c r="N355" s="883">
        <v>2109633</v>
      </c>
      <c r="O355" s="883">
        <v>1813774</v>
      </c>
      <c r="P355" s="883">
        <v>2117904</v>
      </c>
      <c r="Q355" s="883">
        <v>0</v>
      </c>
    </row>
    <row r="356" spans="1:17" s="707" customFormat="1" ht="21.6" thickBot="1">
      <c r="A356" s="798" t="s">
        <v>48</v>
      </c>
      <c r="B356" s="799"/>
      <c r="C356" s="706">
        <v>45581677</v>
      </c>
      <c r="D356" s="706">
        <v>40212676</v>
      </c>
      <c r="E356" s="706">
        <v>38670470</v>
      </c>
      <c r="F356" s="706">
        <v>32477023</v>
      </c>
      <c r="G356" s="706">
        <v>28094758</v>
      </c>
      <c r="H356" s="706">
        <v>26193700</v>
      </c>
      <c r="I356" s="706">
        <v>20511750</v>
      </c>
      <c r="J356" s="706">
        <v>18651741</v>
      </c>
      <c r="K356" s="706">
        <v>17468368</v>
      </c>
      <c r="L356" s="706">
        <v>10480724</v>
      </c>
      <c r="M356" s="706">
        <v>8637742</v>
      </c>
      <c r="N356" s="706">
        <v>6041311</v>
      </c>
      <c r="O356" s="706">
        <v>3931678</v>
      </c>
      <c r="P356" s="706">
        <v>2117904</v>
      </c>
      <c r="Q356" s="706">
        <v>0</v>
      </c>
    </row>
    <row r="357" spans="1:17" ht="15" thickTop="1">
      <c r="A357" s="25"/>
      <c r="B357" s="735"/>
      <c r="C357" s="884"/>
      <c r="D357" s="884"/>
      <c r="E357" s="884"/>
      <c r="F357" s="884"/>
      <c r="G357" s="884"/>
      <c r="H357" s="884"/>
      <c r="I357" s="884"/>
      <c r="J357" s="884"/>
      <c r="K357" s="884"/>
      <c r="L357" s="884"/>
      <c r="M357" s="884"/>
      <c r="N357" s="884"/>
      <c r="O357" s="884"/>
      <c r="P357" s="884"/>
      <c r="Q357" s="884"/>
    </row>
    <row r="358" spans="1:17">
      <c r="A358" s="800" t="s">
        <v>351</v>
      </c>
      <c r="B358" s="801"/>
      <c r="C358" s="885">
        <v>5497999</v>
      </c>
      <c r="D358" s="885">
        <v>137500</v>
      </c>
      <c r="E358" s="885">
        <v>309800</v>
      </c>
      <c r="F358" s="885">
        <v>636999</v>
      </c>
      <c r="G358" s="885">
        <v>0</v>
      </c>
      <c r="H358" s="885">
        <v>1223499</v>
      </c>
      <c r="I358" s="885">
        <v>145999</v>
      </c>
      <c r="J358" s="885">
        <v>0</v>
      </c>
      <c r="K358" s="885">
        <v>768398</v>
      </c>
      <c r="L358" s="885">
        <v>99100</v>
      </c>
      <c r="M358" s="885">
        <v>0</v>
      </c>
      <c r="N358" s="885">
        <v>20000</v>
      </c>
      <c r="O358" s="885">
        <v>0</v>
      </c>
      <c r="P358" s="885">
        <v>357400</v>
      </c>
      <c r="Q358" s="885">
        <v>0</v>
      </c>
    </row>
    <row r="359" spans="1:17">
      <c r="A359" s="800"/>
      <c r="B359" s="801"/>
      <c r="C359" s="708">
        <v>9196694</v>
      </c>
      <c r="D359" s="708">
        <v>3698695</v>
      </c>
      <c r="E359" s="708">
        <v>3561195</v>
      </c>
      <c r="F359" s="708">
        <v>3251395</v>
      </c>
      <c r="G359" s="708">
        <v>2614396</v>
      </c>
      <c r="H359" s="708">
        <v>2614396</v>
      </c>
      <c r="I359" s="708">
        <v>1390897</v>
      </c>
      <c r="J359" s="708">
        <v>1244898</v>
      </c>
      <c r="K359" s="708">
        <v>1244898</v>
      </c>
      <c r="L359" s="708">
        <v>476500</v>
      </c>
      <c r="M359" s="708">
        <v>377400</v>
      </c>
      <c r="N359" s="708">
        <v>377400</v>
      </c>
      <c r="O359" s="708">
        <v>357400</v>
      </c>
      <c r="P359" s="708">
        <v>357400</v>
      </c>
      <c r="Q359" s="708">
        <v>0</v>
      </c>
    </row>
    <row r="360" spans="1:17">
      <c r="A360" s="25"/>
      <c r="B360" s="735"/>
      <c r="C360" s="884"/>
      <c r="D360" s="884"/>
      <c r="E360" s="884"/>
      <c r="F360" s="884"/>
      <c r="G360" s="884"/>
      <c r="H360" s="884"/>
      <c r="I360" s="884"/>
      <c r="J360" s="884"/>
      <c r="K360" s="884"/>
      <c r="L360" s="884"/>
      <c r="M360" s="884"/>
      <c r="N360" s="884"/>
      <c r="O360" s="884"/>
      <c r="P360" s="884"/>
      <c r="Q360" s="884"/>
    </row>
    <row r="361" spans="1:17" ht="21">
      <c r="A361" s="802" t="s">
        <v>352</v>
      </c>
      <c r="B361" s="803"/>
      <c r="C361" s="886">
        <v>-128998</v>
      </c>
      <c r="D361" s="886">
        <v>1404706</v>
      </c>
      <c r="E361" s="886">
        <v>5883647</v>
      </c>
      <c r="F361" s="886">
        <v>3745266</v>
      </c>
      <c r="G361" s="886">
        <v>1901058</v>
      </c>
      <c r="H361" s="886">
        <v>4458451</v>
      </c>
      <c r="I361" s="886">
        <v>1714010</v>
      </c>
      <c r="J361" s="886">
        <v>1183373</v>
      </c>
      <c r="K361" s="886">
        <v>6219246</v>
      </c>
      <c r="L361" s="886">
        <v>1743882</v>
      </c>
      <c r="M361" s="886">
        <v>2596431</v>
      </c>
      <c r="N361" s="886">
        <v>2089633</v>
      </c>
      <c r="O361" s="886">
        <v>1813774</v>
      </c>
      <c r="P361" s="886">
        <v>1760504</v>
      </c>
      <c r="Q361" s="886">
        <v>0</v>
      </c>
    </row>
    <row r="362" spans="1:17" ht="21">
      <c r="A362" s="804"/>
      <c r="B362" s="803"/>
      <c r="C362" s="709">
        <v>36384983</v>
      </c>
      <c r="D362" s="709">
        <v>36513981</v>
      </c>
      <c r="E362" s="709">
        <v>35109275</v>
      </c>
      <c r="F362" s="709">
        <v>29225628</v>
      </c>
      <c r="G362" s="709">
        <v>25480362</v>
      </c>
      <c r="H362" s="709">
        <v>23579304</v>
      </c>
      <c r="I362" s="709">
        <v>19120853</v>
      </c>
      <c r="J362" s="709">
        <v>17406843</v>
      </c>
      <c r="K362" s="709">
        <v>16223470</v>
      </c>
      <c r="L362" s="709">
        <v>10004224</v>
      </c>
      <c r="M362" s="709">
        <v>8260342</v>
      </c>
      <c r="N362" s="709">
        <v>5663911</v>
      </c>
      <c r="O362" s="709">
        <v>3574278</v>
      </c>
      <c r="P362" s="709">
        <v>1760504</v>
      </c>
      <c r="Q362" s="709">
        <v>0</v>
      </c>
    </row>
    <row r="363" spans="1:17" ht="15" thickBot="1">
      <c r="A363" s="5"/>
      <c r="B363" s="16"/>
      <c r="C363" s="710"/>
      <c r="D363" s="710"/>
      <c r="E363" s="710"/>
      <c r="F363" s="710"/>
      <c r="G363" s="710"/>
      <c r="H363" s="710"/>
      <c r="I363" s="710"/>
      <c r="J363" s="710"/>
      <c r="K363" s="710"/>
      <c r="L363" s="710"/>
      <c r="M363" s="710"/>
      <c r="N363" s="710"/>
      <c r="O363" s="710"/>
      <c r="P363" s="710"/>
      <c r="Q363" s="710"/>
    </row>
    <row r="364" spans="1:17" s="685" customFormat="1">
      <c r="A364" s="805" t="s">
        <v>194</v>
      </c>
      <c r="B364" s="806" t="s">
        <v>290</v>
      </c>
      <c r="C364" s="887">
        <v>0</v>
      </c>
      <c r="D364" s="887">
        <v>0</v>
      </c>
      <c r="E364" s="887">
        <v>0</v>
      </c>
      <c r="F364" s="887">
        <v>0</v>
      </c>
      <c r="G364" s="887">
        <v>0</v>
      </c>
      <c r="H364" s="887">
        <v>0</v>
      </c>
      <c r="I364" s="887">
        <v>0</v>
      </c>
      <c r="J364" s="887">
        <v>0</v>
      </c>
      <c r="K364" s="887">
        <v>0</v>
      </c>
      <c r="L364" s="887">
        <v>0</v>
      </c>
      <c r="M364" s="887">
        <v>0</v>
      </c>
      <c r="N364" s="887">
        <v>0</v>
      </c>
      <c r="O364" s="887">
        <v>0</v>
      </c>
      <c r="P364" s="887">
        <v>0</v>
      </c>
      <c r="Q364" s="887">
        <v>0</v>
      </c>
    </row>
    <row r="365" spans="1:17" s="685" customFormat="1">
      <c r="A365" s="807" t="s">
        <v>196</v>
      </c>
      <c r="B365" s="808"/>
      <c r="C365" s="705">
        <v>0</v>
      </c>
      <c r="D365" s="705">
        <v>0</v>
      </c>
      <c r="E365" s="705">
        <v>0</v>
      </c>
      <c r="F365" s="705">
        <v>0</v>
      </c>
      <c r="G365" s="705">
        <v>0</v>
      </c>
      <c r="H365" s="705">
        <v>0</v>
      </c>
      <c r="I365" s="705">
        <v>0</v>
      </c>
      <c r="J365" s="705">
        <v>0</v>
      </c>
      <c r="K365" s="705">
        <v>0</v>
      </c>
      <c r="L365" s="705">
        <v>0</v>
      </c>
      <c r="M365" s="705">
        <v>0</v>
      </c>
      <c r="N365" s="705">
        <v>0</v>
      </c>
      <c r="O365" s="705">
        <v>0</v>
      </c>
      <c r="P365" s="705">
        <v>0</v>
      </c>
      <c r="Q365" s="705">
        <v>0</v>
      </c>
    </row>
    <row r="366" spans="1:17" s="712" customFormat="1" ht="15" thickBot="1">
      <c r="A366" s="809"/>
      <c r="B366" s="810"/>
      <c r="C366" s="711">
        <v>0</v>
      </c>
      <c r="D366" s="711">
        <v>0</v>
      </c>
      <c r="E366" s="711">
        <v>0</v>
      </c>
      <c r="F366" s="711">
        <v>0</v>
      </c>
      <c r="G366" s="711">
        <v>0</v>
      </c>
      <c r="H366" s="711">
        <v>0</v>
      </c>
      <c r="I366" s="711">
        <v>0</v>
      </c>
      <c r="J366" s="711">
        <v>0</v>
      </c>
      <c r="K366" s="711">
        <v>0</v>
      </c>
      <c r="L366" s="711">
        <v>0</v>
      </c>
      <c r="M366" s="711">
        <v>0</v>
      </c>
      <c r="N366" s="711">
        <v>0</v>
      </c>
      <c r="O366" s="711">
        <v>0</v>
      </c>
      <c r="P366" s="711">
        <v>0</v>
      </c>
      <c r="Q366" s="711">
        <v>0</v>
      </c>
    </row>
    <row r="367" spans="1:17" s="685" customFormat="1">
      <c r="A367" s="805" t="s">
        <v>195</v>
      </c>
      <c r="B367" s="806" t="s">
        <v>277</v>
      </c>
      <c r="C367" s="887">
        <v>0</v>
      </c>
      <c r="D367" s="887">
        <v>0</v>
      </c>
      <c r="E367" s="887">
        <v>0</v>
      </c>
      <c r="F367" s="887">
        <v>0</v>
      </c>
      <c r="G367" s="887">
        <v>0</v>
      </c>
      <c r="H367" s="887">
        <v>0</v>
      </c>
      <c r="I367" s="887">
        <v>0</v>
      </c>
      <c r="J367" s="887">
        <v>0</v>
      </c>
      <c r="K367" s="887">
        <v>0</v>
      </c>
      <c r="L367" s="887">
        <v>0</v>
      </c>
      <c r="M367" s="887">
        <v>0</v>
      </c>
      <c r="N367" s="887">
        <v>0</v>
      </c>
      <c r="O367" s="887">
        <v>0</v>
      </c>
      <c r="P367" s="887">
        <v>0</v>
      </c>
      <c r="Q367" s="887">
        <v>0</v>
      </c>
    </row>
    <row r="368" spans="1:17" s="685" customFormat="1">
      <c r="A368" s="807" t="s">
        <v>196</v>
      </c>
      <c r="B368" s="808"/>
      <c r="C368" s="705">
        <v>0</v>
      </c>
      <c r="D368" s="705">
        <v>0</v>
      </c>
      <c r="E368" s="705">
        <v>0</v>
      </c>
      <c r="F368" s="705">
        <v>0</v>
      </c>
      <c r="G368" s="705">
        <v>0</v>
      </c>
      <c r="H368" s="705">
        <v>0</v>
      </c>
      <c r="I368" s="705">
        <v>0</v>
      </c>
      <c r="J368" s="705">
        <v>0</v>
      </c>
      <c r="K368" s="705">
        <v>0</v>
      </c>
      <c r="L368" s="705">
        <v>0</v>
      </c>
      <c r="M368" s="705">
        <v>0</v>
      </c>
      <c r="N368" s="705">
        <v>0</v>
      </c>
      <c r="O368" s="705">
        <v>0</v>
      </c>
      <c r="P368" s="705">
        <v>0</v>
      </c>
      <c r="Q368" s="705">
        <v>0</v>
      </c>
    </row>
    <row r="369" spans="1:17" s="712" customFormat="1" ht="15" thickBot="1">
      <c r="A369" s="809"/>
      <c r="B369" s="810"/>
      <c r="C369" s="711">
        <v>0</v>
      </c>
      <c r="D369" s="711">
        <v>0</v>
      </c>
      <c r="E369" s="711">
        <v>0</v>
      </c>
      <c r="F369" s="711">
        <v>0</v>
      </c>
      <c r="G369" s="711">
        <v>0</v>
      </c>
      <c r="H369" s="711">
        <v>0</v>
      </c>
      <c r="I369" s="711">
        <v>0</v>
      </c>
      <c r="J369" s="711">
        <v>0</v>
      </c>
      <c r="K369" s="711">
        <v>0</v>
      </c>
      <c r="L369" s="711">
        <v>0</v>
      </c>
      <c r="M369" s="711">
        <v>0</v>
      </c>
      <c r="N369" s="711">
        <v>0</v>
      </c>
      <c r="O369" s="711">
        <v>0</v>
      </c>
      <c r="P369" s="711">
        <v>0</v>
      </c>
      <c r="Q369" s="711">
        <v>0</v>
      </c>
    </row>
    <row r="370" spans="1:17" s="685" customFormat="1">
      <c r="A370" s="811" t="s">
        <v>341</v>
      </c>
      <c r="B370" s="806" t="s">
        <v>342</v>
      </c>
      <c r="C370" s="887">
        <v>0</v>
      </c>
      <c r="D370" s="887">
        <v>0</v>
      </c>
      <c r="E370" s="887">
        <v>0</v>
      </c>
      <c r="F370" s="887">
        <v>0</v>
      </c>
      <c r="G370" s="887">
        <v>0</v>
      </c>
      <c r="H370" s="887">
        <v>0</v>
      </c>
      <c r="I370" s="887">
        <v>0</v>
      </c>
      <c r="J370" s="887">
        <v>0</v>
      </c>
      <c r="K370" s="887">
        <v>0</v>
      </c>
      <c r="L370" s="887">
        <v>0</v>
      </c>
      <c r="M370" s="887">
        <v>0</v>
      </c>
      <c r="N370" s="887">
        <v>0</v>
      </c>
      <c r="O370" s="887">
        <v>0</v>
      </c>
      <c r="P370" s="887">
        <v>0</v>
      </c>
      <c r="Q370" s="887">
        <v>0</v>
      </c>
    </row>
    <row r="371" spans="1:17" s="685" customFormat="1">
      <c r="A371" s="807" t="s">
        <v>196</v>
      </c>
      <c r="B371" s="808"/>
      <c r="C371" s="705">
        <v>0</v>
      </c>
      <c r="D371" s="705">
        <v>0</v>
      </c>
      <c r="E371" s="705">
        <v>0</v>
      </c>
      <c r="F371" s="705">
        <v>0</v>
      </c>
      <c r="G371" s="705">
        <v>0</v>
      </c>
      <c r="H371" s="705">
        <v>0</v>
      </c>
      <c r="I371" s="705">
        <v>0</v>
      </c>
      <c r="J371" s="705">
        <v>0</v>
      </c>
      <c r="K371" s="705">
        <v>0</v>
      </c>
      <c r="L371" s="705">
        <v>0</v>
      </c>
      <c r="M371" s="705">
        <v>0</v>
      </c>
      <c r="N371" s="705">
        <v>0</v>
      </c>
      <c r="O371" s="705">
        <v>0</v>
      </c>
      <c r="P371" s="705">
        <v>0</v>
      </c>
      <c r="Q371" s="705">
        <v>0</v>
      </c>
    </row>
    <row r="372" spans="1:17" s="712" customFormat="1" ht="15" thickBot="1">
      <c r="A372" s="809"/>
      <c r="B372" s="810"/>
      <c r="C372" s="711">
        <v>0</v>
      </c>
      <c r="D372" s="711">
        <v>0</v>
      </c>
      <c r="E372" s="711">
        <v>0</v>
      </c>
      <c r="F372" s="711">
        <v>0</v>
      </c>
      <c r="G372" s="711">
        <v>0</v>
      </c>
      <c r="H372" s="711">
        <v>0</v>
      </c>
      <c r="I372" s="711">
        <v>0</v>
      </c>
      <c r="J372" s="711">
        <v>0</v>
      </c>
      <c r="K372" s="711">
        <v>0</v>
      </c>
      <c r="L372" s="711">
        <v>0</v>
      </c>
      <c r="M372" s="711">
        <v>0</v>
      </c>
      <c r="N372" s="711">
        <v>0</v>
      </c>
      <c r="O372" s="711">
        <v>0</v>
      </c>
      <c r="P372" s="711">
        <v>0</v>
      </c>
      <c r="Q372" s="711">
        <v>0</v>
      </c>
    </row>
    <row r="373" spans="1:17" s="713" customFormat="1" ht="18">
      <c r="A373" s="812" t="s">
        <v>362</v>
      </c>
      <c r="B373" s="813"/>
      <c r="C373" s="958">
        <v>0</v>
      </c>
      <c r="D373" s="958">
        <v>0</v>
      </c>
      <c r="E373" s="958">
        <v>0</v>
      </c>
      <c r="F373" s="958">
        <v>0</v>
      </c>
      <c r="G373" s="958">
        <v>0</v>
      </c>
      <c r="H373" s="958">
        <v>0</v>
      </c>
      <c r="I373" s="958">
        <v>0</v>
      </c>
      <c r="J373" s="958">
        <v>0</v>
      </c>
      <c r="K373" s="958">
        <v>0</v>
      </c>
      <c r="L373" s="958">
        <v>0</v>
      </c>
      <c r="M373" s="958">
        <v>0</v>
      </c>
      <c r="N373" s="958">
        <v>0</v>
      </c>
      <c r="O373" s="958">
        <v>0</v>
      </c>
      <c r="P373" s="958">
        <v>0</v>
      </c>
      <c r="Q373" s="958">
        <v>0</v>
      </c>
    </row>
    <row r="374" spans="1:17" s="715" customFormat="1" ht="18">
      <c r="A374" s="814" t="s">
        <v>85</v>
      </c>
      <c r="B374" s="815"/>
      <c r="C374" s="714">
        <v>0</v>
      </c>
      <c r="D374" s="714">
        <v>0</v>
      </c>
      <c r="E374" s="714">
        <v>0</v>
      </c>
      <c r="F374" s="714">
        <v>0</v>
      </c>
      <c r="G374" s="714">
        <v>0</v>
      </c>
      <c r="H374" s="714">
        <v>0</v>
      </c>
      <c r="I374" s="714">
        <v>0</v>
      </c>
      <c r="J374" s="714">
        <v>0</v>
      </c>
      <c r="K374" s="714">
        <v>0</v>
      </c>
      <c r="L374" s="714">
        <v>0</v>
      </c>
      <c r="M374" s="714">
        <v>0</v>
      </c>
      <c r="N374" s="714">
        <v>0</v>
      </c>
      <c r="O374" s="714">
        <v>0</v>
      </c>
      <c r="P374" s="714">
        <v>0</v>
      </c>
      <c r="Q374" s="714">
        <v>0</v>
      </c>
    </row>
    <row r="375" spans="1:17" s="426" customFormat="1" ht="15" thickBot="1">
      <c r="A375" s="65"/>
      <c r="B375" s="753"/>
      <c r="C375" s="971"/>
      <c r="D375" s="971"/>
      <c r="E375" s="971"/>
      <c r="F375" s="971"/>
      <c r="G375" s="971"/>
      <c r="H375" s="971"/>
      <c r="I375" s="971"/>
      <c r="J375" s="971"/>
      <c r="K375" s="971"/>
      <c r="L375" s="971"/>
      <c r="M375" s="971"/>
      <c r="N375" s="971"/>
      <c r="O375" s="971"/>
      <c r="P375" s="971"/>
      <c r="Q375" s="971"/>
    </row>
    <row r="376" spans="1:17" s="426" customFormat="1">
      <c r="A376" s="3" t="s">
        <v>576</v>
      </c>
      <c r="B376" s="734"/>
      <c r="C376" s="974"/>
      <c r="D376" s="974"/>
      <c r="E376" s="974"/>
      <c r="F376" s="974"/>
      <c r="G376" s="974"/>
      <c r="H376" s="974"/>
      <c r="I376" s="974"/>
      <c r="J376" s="974"/>
      <c r="K376" s="974"/>
      <c r="L376" s="974"/>
      <c r="M376" s="974"/>
      <c r="N376" s="974"/>
      <c r="O376" s="974"/>
      <c r="P376" s="974"/>
      <c r="Q376" s="974"/>
    </row>
    <row r="377" spans="1:17">
      <c r="A377" s="1" t="s">
        <v>573</v>
      </c>
      <c r="B377" s="736"/>
      <c r="C377" s="876">
        <v>0</v>
      </c>
      <c r="D377" s="876">
        <v>0</v>
      </c>
      <c r="E377" s="876">
        <v>0</v>
      </c>
      <c r="F377" s="876">
        <v>0</v>
      </c>
      <c r="G377" s="876">
        <v>0</v>
      </c>
      <c r="H377" s="876">
        <v>60000</v>
      </c>
      <c r="I377" s="876">
        <v>0</v>
      </c>
      <c r="J377" s="876">
        <v>0</v>
      </c>
      <c r="K377" s="876">
        <v>0</v>
      </c>
      <c r="L377" s="876">
        <v>0</v>
      </c>
      <c r="M377" s="876">
        <v>0</v>
      </c>
      <c r="N377" s="876">
        <v>440000</v>
      </c>
      <c r="O377" s="876">
        <v>0</v>
      </c>
      <c r="P377" s="876">
        <v>0</v>
      </c>
      <c r="Q377" s="876">
        <v>0</v>
      </c>
    </row>
    <row r="378" spans="1:17" s="426" customFormat="1">
      <c r="A378" s="969" t="s">
        <v>13</v>
      </c>
      <c r="B378" s="748"/>
      <c r="C378" s="970">
        <v>500000</v>
      </c>
      <c r="D378" s="970">
        <v>500000</v>
      </c>
      <c r="E378" s="970">
        <v>500000</v>
      </c>
      <c r="F378" s="970">
        <v>500000</v>
      </c>
      <c r="G378" s="970">
        <v>500000</v>
      </c>
      <c r="H378" s="970">
        <v>500000</v>
      </c>
      <c r="I378" s="970">
        <v>440000</v>
      </c>
      <c r="J378" s="970">
        <v>440000</v>
      </c>
      <c r="K378" s="970">
        <v>440000</v>
      </c>
      <c r="L378" s="970">
        <v>440000</v>
      </c>
      <c r="M378" s="970">
        <v>440000</v>
      </c>
      <c r="N378" s="970">
        <v>440000</v>
      </c>
      <c r="O378" s="970">
        <v>0</v>
      </c>
      <c r="P378" s="970">
        <v>0</v>
      </c>
      <c r="Q378" s="970">
        <v>0</v>
      </c>
    </row>
    <row r="379" spans="1:17">
      <c r="A379" s="1" t="s">
        <v>574</v>
      </c>
      <c r="B379" s="736"/>
      <c r="C379" s="876">
        <v>0</v>
      </c>
      <c r="D379" s="876">
        <v>0</v>
      </c>
      <c r="E379" s="876">
        <v>0</v>
      </c>
      <c r="F379" s="876">
        <v>0</v>
      </c>
      <c r="G379" s="876">
        <v>20000</v>
      </c>
      <c r="H379" s="876">
        <v>0</v>
      </c>
      <c r="I379" s="876">
        <v>0</v>
      </c>
      <c r="J379" s="876">
        <v>0</v>
      </c>
      <c r="K379" s="876">
        <v>0</v>
      </c>
      <c r="L379" s="876">
        <v>0</v>
      </c>
      <c r="M379" s="876">
        <v>0</v>
      </c>
      <c r="N379" s="876">
        <v>0</v>
      </c>
      <c r="O379" s="876">
        <v>0</v>
      </c>
      <c r="P379" s="876">
        <v>0</v>
      </c>
      <c r="Q379" s="876">
        <v>0</v>
      </c>
    </row>
    <row r="380" spans="1:17" s="426" customFormat="1">
      <c r="A380" s="969" t="s">
        <v>13</v>
      </c>
      <c r="B380" s="748"/>
      <c r="C380" s="970">
        <v>20000</v>
      </c>
      <c r="D380" s="970">
        <v>20000</v>
      </c>
      <c r="E380" s="970">
        <v>20000</v>
      </c>
      <c r="F380" s="970">
        <v>20000</v>
      </c>
      <c r="G380" s="970">
        <v>20000</v>
      </c>
      <c r="H380" s="970">
        <v>0</v>
      </c>
      <c r="I380" s="970">
        <v>0</v>
      </c>
      <c r="J380" s="970">
        <v>0</v>
      </c>
      <c r="K380" s="970">
        <v>0</v>
      </c>
      <c r="L380" s="970">
        <v>0</v>
      </c>
      <c r="M380" s="970">
        <v>0</v>
      </c>
      <c r="N380" s="970">
        <v>0</v>
      </c>
      <c r="O380" s="970">
        <v>0</v>
      </c>
      <c r="P380" s="970">
        <v>0</v>
      </c>
      <c r="Q380" s="970">
        <v>0</v>
      </c>
    </row>
    <row r="381" spans="1:17">
      <c r="A381" s="1" t="s">
        <v>575</v>
      </c>
      <c r="B381" s="736"/>
      <c r="C381" s="876">
        <v>0</v>
      </c>
      <c r="D381" s="876">
        <v>0</v>
      </c>
      <c r="E381" s="876">
        <v>0</v>
      </c>
      <c r="F381" s="876">
        <v>0</v>
      </c>
      <c r="G381" s="876">
        <v>0</v>
      </c>
      <c r="H381" s="876">
        <v>0</v>
      </c>
      <c r="I381" s="876">
        <v>0</v>
      </c>
      <c r="J381" s="876">
        <v>0</v>
      </c>
      <c r="K381" s="876">
        <v>0</v>
      </c>
      <c r="L381" s="876">
        <v>0</v>
      </c>
      <c r="M381" s="876">
        <v>0</v>
      </c>
      <c r="N381" s="876">
        <v>0</v>
      </c>
      <c r="O381" s="876">
        <v>0</v>
      </c>
      <c r="P381" s="876">
        <v>0</v>
      </c>
      <c r="Q381" s="876">
        <v>0</v>
      </c>
    </row>
    <row r="382" spans="1:17" s="426" customFormat="1">
      <c r="A382" s="969" t="s">
        <v>13</v>
      </c>
      <c r="B382" s="748"/>
      <c r="C382" s="970">
        <v>0</v>
      </c>
      <c r="D382" s="970">
        <v>0</v>
      </c>
      <c r="E382" s="970">
        <v>0</v>
      </c>
      <c r="F382" s="970">
        <v>0</v>
      </c>
      <c r="G382" s="970">
        <v>0</v>
      </c>
      <c r="H382" s="970">
        <v>0</v>
      </c>
      <c r="I382" s="970">
        <v>0</v>
      </c>
      <c r="J382" s="970">
        <v>0</v>
      </c>
      <c r="K382" s="970">
        <v>0</v>
      </c>
      <c r="L382" s="970">
        <v>0</v>
      </c>
      <c r="M382" s="970">
        <v>0</v>
      </c>
      <c r="N382" s="970">
        <v>0</v>
      </c>
      <c r="O382" s="970">
        <v>0</v>
      </c>
      <c r="P382" s="970">
        <v>0</v>
      </c>
      <c r="Q382" s="970">
        <v>0</v>
      </c>
    </row>
    <row r="383" spans="1:17">
      <c r="A383" s="965" t="s">
        <v>27</v>
      </c>
      <c r="B383" s="736"/>
      <c r="C383" s="876">
        <v>0</v>
      </c>
      <c r="D383" s="876">
        <v>0</v>
      </c>
      <c r="E383" s="876">
        <v>0</v>
      </c>
      <c r="F383" s="876">
        <v>0</v>
      </c>
      <c r="G383" s="876">
        <v>3000000</v>
      </c>
      <c r="H383" s="876">
        <v>70000</v>
      </c>
      <c r="I383" s="876">
        <v>0</v>
      </c>
      <c r="J383" s="876">
        <v>0</v>
      </c>
      <c r="K383" s="876">
        <v>536000</v>
      </c>
      <c r="L383" s="876">
        <v>500000</v>
      </c>
      <c r="M383" s="876">
        <v>0</v>
      </c>
      <c r="N383" s="876">
        <v>2000000</v>
      </c>
      <c r="O383" s="876">
        <v>0</v>
      </c>
      <c r="P383" s="876">
        <v>0</v>
      </c>
      <c r="Q383" s="876">
        <v>0</v>
      </c>
    </row>
    <row r="384" spans="1:17" s="426" customFormat="1">
      <c r="A384" s="969" t="s">
        <v>13</v>
      </c>
      <c r="B384" s="748"/>
      <c r="C384" s="970">
        <v>6106000</v>
      </c>
      <c r="D384" s="970">
        <v>6106000</v>
      </c>
      <c r="E384" s="970">
        <v>6106000</v>
      </c>
      <c r="F384" s="970">
        <v>6106000</v>
      </c>
      <c r="G384" s="970">
        <v>6106000</v>
      </c>
      <c r="H384" s="970">
        <v>3106000</v>
      </c>
      <c r="I384" s="970">
        <v>3036000</v>
      </c>
      <c r="J384" s="970">
        <v>3036000</v>
      </c>
      <c r="K384" s="970">
        <v>3036000</v>
      </c>
      <c r="L384" s="970">
        <v>2500000</v>
      </c>
      <c r="M384" s="970">
        <v>2000000</v>
      </c>
      <c r="N384" s="970">
        <v>2000000</v>
      </c>
      <c r="O384" s="970">
        <v>0</v>
      </c>
      <c r="P384" s="970">
        <v>0</v>
      </c>
      <c r="Q384" s="970">
        <v>0</v>
      </c>
    </row>
    <row r="385" spans="1:17" s="426" customFormat="1">
      <c r="A385" s="965" t="s">
        <v>180</v>
      </c>
      <c r="B385" s="748"/>
      <c r="C385" s="892">
        <v>0</v>
      </c>
      <c r="D385" s="892">
        <v>0</v>
      </c>
      <c r="E385" s="892">
        <v>100000</v>
      </c>
      <c r="F385" s="892">
        <v>0</v>
      </c>
      <c r="G385" s="892">
        <v>0</v>
      </c>
      <c r="H385" s="892">
        <v>0</v>
      </c>
      <c r="I385" s="892">
        <v>0</v>
      </c>
      <c r="J385" s="892">
        <v>0</v>
      </c>
      <c r="K385" s="892">
        <v>0</v>
      </c>
      <c r="L385" s="892">
        <v>0</v>
      </c>
      <c r="M385" s="892">
        <v>20000</v>
      </c>
      <c r="N385" s="892">
        <v>75000</v>
      </c>
      <c r="O385" s="892">
        <v>0</v>
      </c>
      <c r="P385" s="892">
        <v>40000</v>
      </c>
      <c r="Q385" s="892">
        <v>0</v>
      </c>
    </row>
    <row r="386" spans="1:17" s="426" customFormat="1">
      <c r="A386" s="969" t="s">
        <v>13</v>
      </c>
      <c r="B386" s="748"/>
      <c r="C386" s="970">
        <v>235000</v>
      </c>
      <c r="D386" s="970">
        <v>235000</v>
      </c>
      <c r="E386" s="970">
        <v>235000</v>
      </c>
      <c r="F386" s="970">
        <v>135000</v>
      </c>
      <c r="G386" s="970">
        <v>135000</v>
      </c>
      <c r="H386" s="970">
        <v>135000</v>
      </c>
      <c r="I386" s="970">
        <v>135000</v>
      </c>
      <c r="J386" s="970">
        <v>135000</v>
      </c>
      <c r="K386" s="970">
        <v>135000</v>
      </c>
      <c r="L386" s="970">
        <v>135000</v>
      </c>
      <c r="M386" s="970">
        <v>135000</v>
      </c>
      <c r="N386" s="970">
        <v>115000</v>
      </c>
      <c r="O386" s="970">
        <v>40000</v>
      </c>
      <c r="P386" s="970">
        <v>40000</v>
      </c>
      <c r="Q386" s="970">
        <v>0</v>
      </c>
    </row>
    <row r="387" spans="1:17" s="426" customFormat="1">
      <c r="A387" s="29" t="s">
        <v>151</v>
      </c>
      <c r="B387" s="748"/>
      <c r="C387" s="892">
        <v>0</v>
      </c>
      <c r="D387" s="892">
        <v>0</v>
      </c>
      <c r="E387" s="892">
        <v>100000</v>
      </c>
      <c r="F387" s="892">
        <v>0</v>
      </c>
      <c r="G387" s="892">
        <v>3020000</v>
      </c>
      <c r="H387" s="892">
        <v>130000</v>
      </c>
      <c r="I387" s="892">
        <v>0</v>
      </c>
      <c r="J387" s="892">
        <v>0</v>
      </c>
      <c r="K387" s="892">
        <v>536000</v>
      </c>
      <c r="L387" s="892">
        <v>500000</v>
      </c>
      <c r="M387" s="892">
        <v>20000</v>
      </c>
      <c r="N387" s="892">
        <v>2515000</v>
      </c>
      <c r="O387" s="892">
        <v>0</v>
      </c>
      <c r="P387" s="892">
        <v>40000</v>
      </c>
      <c r="Q387" s="892">
        <v>0</v>
      </c>
    </row>
    <row r="388" spans="1:17" s="426" customFormat="1" ht="15" thickBot="1">
      <c r="A388" s="975" t="s">
        <v>13</v>
      </c>
      <c r="B388" s="976"/>
      <c r="C388" s="977">
        <v>6861000</v>
      </c>
      <c r="D388" s="977">
        <v>6861000</v>
      </c>
      <c r="E388" s="977">
        <v>6861000</v>
      </c>
      <c r="F388" s="977">
        <v>6761000</v>
      </c>
      <c r="G388" s="977">
        <v>6761000</v>
      </c>
      <c r="H388" s="977">
        <v>3741000</v>
      </c>
      <c r="I388" s="977">
        <v>3611000</v>
      </c>
      <c r="J388" s="977">
        <v>3611000</v>
      </c>
      <c r="K388" s="977">
        <v>3611000</v>
      </c>
      <c r="L388" s="977">
        <v>3075000</v>
      </c>
      <c r="M388" s="977">
        <v>2575000</v>
      </c>
      <c r="N388" s="977">
        <v>2555000</v>
      </c>
      <c r="O388" s="977">
        <v>40000</v>
      </c>
      <c r="P388" s="977">
        <v>40000</v>
      </c>
      <c r="Q388" s="977">
        <v>0</v>
      </c>
    </row>
    <row r="389" spans="1:17" s="1090" customFormat="1" ht="15" thickBot="1">
      <c r="A389" s="1087"/>
      <c r="B389" s="1088"/>
      <c r="C389" s="1089"/>
      <c r="D389" s="1089"/>
      <c r="E389" s="1089"/>
      <c r="F389" s="1089"/>
      <c r="G389" s="1089"/>
      <c r="H389" s="1089"/>
      <c r="I389" s="1089"/>
      <c r="J389" s="1089"/>
      <c r="K389" s="1089"/>
      <c r="L389" s="1089"/>
      <c r="M389" s="1089"/>
      <c r="N389" s="1089"/>
      <c r="O389" s="1089"/>
      <c r="P389" s="1089"/>
      <c r="Q389" s="1089"/>
    </row>
    <row r="390" spans="1:17" s="1090" customFormat="1">
      <c r="A390" s="1106" t="s">
        <v>788</v>
      </c>
      <c r="B390" s="1094"/>
      <c r="C390" s="1095"/>
      <c r="D390" s="1095"/>
      <c r="E390" s="1095"/>
      <c r="F390" s="1095"/>
      <c r="G390" s="1095"/>
      <c r="H390" s="1095"/>
      <c r="I390" s="1095"/>
      <c r="J390" s="1095"/>
      <c r="K390" s="1095"/>
      <c r="L390" s="1095"/>
      <c r="M390" s="1095"/>
      <c r="N390" s="1095"/>
      <c r="O390" s="1095"/>
      <c r="P390" s="1095"/>
      <c r="Q390" s="1095"/>
    </row>
    <row r="391" spans="1:17" s="1123" customFormat="1">
      <c r="A391" s="1120" t="s">
        <v>180</v>
      </c>
      <c r="B391" s="1121"/>
      <c r="C391" s="1122">
        <v>1762000</v>
      </c>
      <c r="D391" s="1122">
        <v>0</v>
      </c>
      <c r="E391" s="1122">
        <v>0</v>
      </c>
      <c r="F391" s="1122"/>
      <c r="G391" s="1122"/>
      <c r="H391" s="1122"/>
      <c r="I391" s="1122"/>
      <c r="J391" s="1122"/>
      <c r="K391" s="1122"/>
      <c r="L391" s="1122"/>
      <c r="M391" s="1122"/>
      <c r="N391" s="1122"/>
      <c r="O391" s="1122"/>
      <c r="P391" s="1122"/>
      <c r="Q391" s="1122"/>
    </row>
    <row r="392" spans="1:17" s="1090" customFormat="1">
      <c r="A392" s="1107" t="s">
        <v>13</v>
      </c>
      <c r="B392" s="1108"/>
      <c r="C392" s="1109">
        <v>1762000</v>
      </c>
      <c r="D392" s="1109">
        <v>0</v>
      </c>
      <c r="E392" s="1109"/>
      <c r="F392" s="1109"/>
      <c r="G392" s="1109"/>
      <c r="H392" s="1109"/>
      <c r="I392" s="1109"/>
      <c r="J392" s="1109"/>
      <c r="K392" s="1109"/>
      <c r="L392" s="1109"/>
      <c r="M392" s="1109"/>
      <c r="N392" s="1109"/>
      <c r="O392" s="1109"/>
      <c r="P392" s="1109"/>
      <c r="Q392" s="1109"/>
    </row>
    <row r="393" spans="1:17" s="1123" customFormat="1">
      <c r="A393" s="1124" t="s">
        <v>27</v>
      </c>
      <c r="B393" s="1125"/>
      <c r="C393" s="1126">
        <v>4275000</v>
      </c>
      <c r="D393" s="1126">
        <v>432811</v>
      </c>
      <c r="E393" s="1126">
        <v>500000</v>
      </c>
      <c r="F393" s="1126"/>
      <c r="G393" s="1126"/>
      <c r="H393" s="1126"/>
      <c r="I393" s="1126"/>
      <c r="J393" s="1126"/>
      <c r="K393" s="1126"/>
      <c r="L393" s="1126"/>
      <c r="M393" s="1126"/>
      <c r="N393" s="1126"/>
      <c r="O393" s="1126"/>
      <c r="P393" s="1126"/>
      <c r="Q393" s="1126"/>
    </row>
    <row r="394" spans="1:17" s="1090" customFormat="1">
      <c r="A394" s="1107" t="s">
        <v>13</v>
      </c>
      <c r="B394" s="1108"/>
      <c r="C394" s="1109">
        <v>5207811</v>
      </c>
      <c r="D394" s="1109">
        <v>932811</v>
      </c>
      <c r="E394" s="1109">
        <v>500000</v>
      </c>
      <c r="F394" s="1109"/>
      <c r="G394" s="1109"/>
      <c r="H394" s="1109"/>
      <c r="I394" s="1109"/>
      <c r="J394" s="1109"/>
      <c r="K394" s="1109"/>
      <c r="L394" s="1109"/>
      <c r="M394" s="1109"/>
      <c r="N394" s="1109"/>
      <c r="O394" s="1109"/>
      <c r="P394" s="1109"/>
      <c r="Q394" s="1109"/>
    </row>
    <row r="395" spans="1:17" s="1123" customFormat="1">
      <c r="A395" s="1120" t="s">
        <v>151</v>
      </c>
      <c r="B395" s="1121"/>
      <c r="C395" s="1122">
        <v>6037000</v>
      </c>
      <c r="D395" s="1122">
        <v>432811</v>
      </c>
      <c r="E395" s="1122">
        <v>500000</v>
      </c>
      <c r="F395" s="1122"/>
      <c r="G395" s="1122"/>
      <c r="H395" s="1122"/>
      <c r="I395" s="1122"/>
      <c r="J395" s="1122"/>
      <c r="K395" s="1122"/>
      <c r="L395" s="1122"/>
      <c r="M395" s="1122"/>
      <c r="N395" s="1122"/>
      <c r="O395" s="1122"/>
      <c r="P395" s="1122"/>
      <c r="Q395" s="1122"/>
    </row>
    <row r="396" spans="1:17" s="1090" customFormat="1" ht="15" thickBot="1">
      <c r="A396" s="1096" t="s">
        <v>13</v>
      </c>
      <c r="B396" s="1097"/>
      <c r="C396" s="977">
        <v>6969811</v>
      </c>
      <c r="D396" s="977">
        <v>932811</v>
      </c>
      <c r="E396" s="977">
        <v>500000</v>
      </c>
      <c r="F396" s="977"/>
      <c r="G396" s="977"/>
      <c r="H396" s="977"/>
      <c r="I396" s="977"/>
      <c r="J396" s="977"/>
      <c r="K396" s="977"/>
      <c r="L396" s="977"/>
      <c r="M396" s="977"/>
      <c r="N396" s="977"/>
      <c r="O396" s="977"/>
      <c r="P396" s="977"/>
      <c r="Q396" s="977"/>
    </row>
    <row r="397" spans="1:17" s="1090" customFormat="1">
      <c r="A397" s="1091"/>
      <c r="B397" s="1092"/>
      <c r="C397" s="1093"/>
      <c r="D397" s="1093"/>
      <c r="E397" s="1093"/>
      <c r="F397" s="1093"/>
      <c r="G397" s="1093"/>
      <c r="H397" s="1093"/>
      <c r="I397" s="1093"/>
      <c r="J397" s="1093"/>
      <c r="K397" s="1093"/>
      <c r="L397" s="1093"/>
      <c r="M397" s="1093"/>
      <c r="N397" s="1093"/>
      <c r="O397" s="1093"/>
      <c r="P397" s="1093"/>
      <c r="Q397" s="1093"/>
    </row>
    <row r="398" spans="1:17" s="685" customFormat="1">
      <c r="A398" s="73" t="s">
        <v>49</v>
      </c>
      <c r="B398" s="808" t="s">
        <v>291</v>
      </c>
      <c r="C398" s="875">
        <v>190000</v>
      </c>
      <c r="D398" s="875">
        <v>0</v>
      </c>
      <c r="E398" s="875">
        <v>2515193</v>
      </c>
      <c r="F398" s="875">
        <v>767000</v>
      </c>
      <c r="G398" s="875">
        <v>100000</v>
      </c>
      <c r="H398" s="875">
        <v>340000</v>
      </c>
      <c r="I398" s="875">
        <v>520000</v>
      </c>
      <c r="J398" s="875">
        <v>4000</v>
      </c>
      <c r="K398" s="875">
        <v>795000</v>
      </c>
      <c r="L398" s="875">
        <v>10000</v>
      </c>
      <c r="M398" s="875">
        <v>95000</v>
      </c>
      <c r="N398" s="875">
        <v>100000</v>
      </c>
      <c r="O398" s="875">
        <v>755000</v>
      </c>
      <c r="P398" s="875">
        <v>423033</v>
      </c>
      <c r="Q398" s="875">
        <v>0</v>
      </c>
    </row>
    <row r="399" spans="1:17" s="426" customFormat="1">
      <c r="A399" s="816" t="s">
        <v>109</v>
      </c>
      <c r="B399" s="746"/>
      <c r="C399" s="702">
        <v>6614226</v>
      </c>
      <c r="D399" s="702">
        <v>6424226</v>
      </c>
      <c r="E399" s="702">
        <v>6424226</v>
      </c>
      <c r="F399" s="702">
        <v>3909033</v>
      </c>
      <c r="G399" s="702">
        <v>3142033</v>
      </c>
      <c r="H399" s="702">
        <v>3042033</v>
      </c>
      <c r="I399" s="702">
        <v>2702033</v>
      </c>
      <c r="J399" s="702">
        <v>2182033</v>
      </c>
      <c r="K399" s="702">
        <v>2178033</v>
      </c>
      <c r="L399" s="702">
        <v>1383033</v>
      </c>
      <c r="M399" s="702">
        <v>1373033</v>
      </c>
      <c r="N399" s="702">
        <v>1278033</v>
      </c>
      <c r="O399" s="702">
        <v>1178033</v>
      </c>
      <c r="P399" s="702">
        <v>423033</v>
      </c>
      <c r="Q399" s="702">
        <v>0</v>
      </c>
    </row>
    <row r="400" spans="1:17" s="426" customFormat="1">
      <c r="A400" s="817"/>
      <c r="B400" s="748"/>
      <c r="C400" s="879"/>
      <c r="D400" s="879"/>
      <c r="E400" s="879"/>
      <c r="F400" s="879"/>
      <c r="G400" s="879"/>
      <c r="H400" s="879"/>
      <c r="I400" s="879"/>
      <c r="J400" s="879"/>
      <c r="K400" s="879"/>
      <c r="L400" s="879"/>
      <c r="M400" s="879"/>
      <c r="N400" s="879"/>
      <c r="O400" s="879"/>
      <c r="P400" s="879"/>
      <c r="Q400" s="879"/>
    </row>
    <row r="401" spans="1:17" s="426" customFormat="1">
      <c r="A401" s="817" t="s">
        <v>154</v>
      </c>
      <c r="B401" s="748"/>
      <c r="C401" s="879"/>
      <c r="D401" s="879"/>
      <c r="E401" s="879"/>
      <c r="F401" s="879"/>
      <c r="G401" s="879"/>
      <c r="H401" s="879"/>
      <c r="I401" s="879"/>
      <c r="J401" s="879"/>
      <c r="K401" s="879"/>
      <c r="L401" s="879"/>
      <c r="M401" s="879"/>
      <c r="N401" s="879"/>
      <c r="O401" s="879"/>
      <c r="P401" s="879"/>
      <c r="Q401" s="879"/>
    </row>
    <row r="402" spans="1:17" s="426" customFormat="1">
      <c r="A402" s="818" t="s">
        <v>138</v>
      </c>
      <c r="B402" s="746" t="s">
        <v>292</v>
      </c>
      <c r="C402" s="888">
        <v>1015000</v>
      </c>
      <c r="D402" s="888">
        <v>0</v>
      </c>
      <c r="E402" s="888">
        <v>0</v>
      </c>
      <c r="F402" s="888">
        <v>0</v>
      </c>
      <c r="G402" s="888">
        <v>0</v>
      </c>
      <c r="H402" s="888">
        <v>0</v>
      </c>
      <c r="I402" s="888">
        <v>250000</v>
      </c>
      <c r="J402" s="888">
        <v>0</v>
      </c>
      <c r="K402" s="888">
        <v>250000</v>
      </c>
      <c r="L402" s="888">
        <v>0</v>
      </c>
      <c r="M402" s="888">
        <v>0</v>
      </c>
      <c r="N402" s="888">
        <v>0</v>
      </c>
      <c r="O402" s="888">
        <v>0</v>
      </c>
      <c r="P402" s="888">
        <v>0</v>
      </c>
      <c r="Q402" s="888">
        <v>0</v>
      </c>
    </row>
    <row r="403" spans="1:17" s="426" customFormat="1">
      <c r="A403" s="819" t="s">
        <v>13</v>
      </c>
      <c r="B403" s="746"/>
      <c r="C403" s="702">
        <v>1515000</v>
      </c>
      <c r="D403" s="702">
        <v>500000</v>
      </c>
      <c r="E403" s="702">
        <v>500000</v>
      </c>
      <c r="F403" s="702">
        <v>500000</v>
      </c>
      <c r="G403" s="702">
        <v>500000</v>
      </c>
      <c r="H403" s="702">
        <v>500000</v>
      </c>
      <c r="I403" s="702">
        <v>500000</v>
      </c>
      <c r="J403" s="702">
        <v>250000</v>
      </c>
      <c r="K403" s="702">
        <v>250000</v>
      </c>
      <c r="L403" s="702">
        <v>0</v>
      </c>
      <c r="M403" s="702">
        <v>0</v>
      </c>
      <c r="N403" s="702">
        <v>0</v>
      </c>
      <c r="O403" s="702">
        <v>0</v>
      </c>
      <c r="P403" s="702">
        <v>0</v>
      </c>
      <c r="Q403" s="702">
        <v>0</v>
      </c>
    </row>
    <row r="404" spans="1:17" s="426" customFormat="1">
      <c r="A404" s="818" t="s">
        <v>139</v>
      </c>
      <c r="B404" s="746" t="s">
        <v>293</v>
      </c>
      <c r="C404" s="889">
        <v>0</v>
      </c>
      <c r="D404" s="889">
        <v>0</v>
      </c>
      <c r="E404" s="889">
        <v>0</v>
      </c>
      <c r="F404" s="889">
        <v>0</v>
      </c>
      <c r="G404" s="889">
        <v>0</v>
      </c>
      <c r="H404" s="889">
        <v>0</v>
      </c>
      <c r="I404" s="889">
        <v>0</v>
      </c>
      <c r="J404" s="889">
        <v>0</v>
      </c>
      <c r="K404" s="889">
        <v>1500000</v>
      </c>
      <c r="L404" s="889">
        <v>0</v>
      </c>
      <c r="M404" s="889">
        <v>0</v>
      </c>
      <c r="N404" s="889">
        <v>0</v>
      </c>
      <c r="O404" s="889">
        <v>0</v>
      </c>
      <c r="P404" s="889">
        <v>0</v>
      </c>
      <c r="Q404" s="889">
        <v>0</v>
      </c>
    </row>
    <row r="405" spans="1:17" s="426" customFormat="1">
      <c r="A405" s="819" t="s">
        <v>13</v>
      </c>
      <c r="B405" s="746"/>
      <c r="C405" s="702">
        <v>1500000</v>
      </c>
      <c r="D405" s="702">
        <v>1500000</v>
      </c>
      <c r="E405" s="702">
        <v>1500000</v>
      </c>
      <c r="F405" s="702">
        <v>1500000</v>
      </c>
      <c r="G405" s="702">
        <v>1500000</v>
      </c>
      <c r="H405" s="702">
        <v>1500000</v>
      </c>
      <c r="I405" s="702">
        <v>1500000</v>
      </c>
      <c r="J405" s="702">
        <v>1500000</v>
      </c>
      <c r="K405" s="702">
        <v>1500000</v>
      </c>
      <c r="L405" s="702">
        <v>0</v>
      </c>
      <c r="M405" s="702">
        <v>0</v>
      </c>
      <c r="N405" s="702">
        <v>0</v>
      </c>
      <c r="O405" s="702">
        <v>0</v>
      </c>
      <c r="P405" s="702">
        <v>0</v>
      </c>
      <c r="Q405" s="702">
        <v>0</v>
      </c>
    </row>
    <row r="406" spans="1:17" s="426" customFormat="1">
      <c r="A406" s="818" t="s">
        <v>27</v>
      </c>
      <c r="B406" s="746" t="s">
        <v>294</v>
      </c>
      <c r="C406" s="889">
        <v>0</v>
      </c>
      <c r="D406" s="889">
        <v>0</v>
      </c>
      <c r="E406" s="889">
        <v>0</v>
      </c>
      <c r="F406" s="889">
        <v>0</v>
      </c>
      <c r="G406" s="889">
        <v>0</v>
      </c>
      <c r="H406" s="889">
        <v>0</v>
      </c>
      <c r="I406" s="889">
        <v>0</v>
      </c>
      <c r="J406" s="889">
        <v>0</v>
      </c>
      <c r="K406" s="889">
        <v>0</v>
      </c>
      <c r="L406" s="889">
        <v>0</v>
      </c>
      <c r="M406" s="889">
        <v>0</v>
      </c>
      <c r="N406" s="889">
        <v>0</v>
      </c>
      <c r="O406" s="889">
        <v>0</v>
      </c>
      <c r="P406" s="889">
        <v>0</v>
      </c>
      <c r="Q406" s="889">
        <v>0</v>
      </c>
    </row>
    <row r="407" spans="1:17" s="426" customFormat="1">
      <c r="A407" s="819" t="s">
        <v>13</v>
      </c>
      <c r="B407" s="746"/>
      <c r="C407" s="702">
        <v>0</v>
      </c>
      <c r="D407" s="702">
        <v>0</v>
      </c>
      <c r="E407" s="702">
        <v>0</v>
      </c>
      <c r="F407" s="702">
        <v>0</v>
      </c>
      <c r="G407" s="702">
        <v>0</v>
      </c>
      <c r="H407" s="702">
        <v>0</v>
      </c>
      <c r="I407" s="702">
        <v>0</v>
      </c>
      <c r="J407" s="702">
        <v>0</v>
      </c>
      <c r="K407" s="702">
        <v>0</v>
      </c>
      <c r="L407" s="702">
        <v>0</v>
      </c>
      <c r="M407" s="702">
        <v>0</v>
      </c>
      <c r="N407" s="702">
        <v>0</v>
      </c>
      <c r="O407" s="702">
        <v>0</v>
      </c>
      <c r="P407" s="702">
        <v>0</v>
      </c>
      <c r="Q407" s="702">
        <v>0</v>
      </c>
    </row>
    <row r="408" spans="1:17" s="426" customFormat="1">
      <c r="A408" s="820" t="s">
        <v>151</v>
      </c>
      <c r="B408" s="746"/>
      <c r="C408" s="889">
        <v>1015000</v>
      </c>
      <c r="D408" s="889">
        <v>0</v>
      </c>
      <c r="E408" s="889">
        <v>0</v>
      </c>
      <c r="F408" s="889">
        <v>0</v>
      </c>
      <c r="G408" s="889">
        <v>0</v>
      </c>
      <c r="H408" s="889">
        <v>0</v>
      </c>
      <c r="I408" s="889">
        <v>250000</v>
      </c>
      <c r="J408" s="889">
        <v>0</v>
      </c>
      <c r="K408" s="889">
        <v>1750000</v>
      </c>
      <c r="L408" s="889">
        <v>0</v>
      </c>
      <c r="M408" s="889">
        <v>0</v>
      </c>
      <c r="N408" s="889">
        <v>0</v>
      </c>
      <c r="O408" s="889">
        <v>0</v>
      </c>
      <c r="P408" s="889">
        <v>0</v>
      </c>
      <c r="Q408" s="889">
        <v>0</v>
      </c>
    </row>
    <row r="409" spans="1:17" s="426" customFormat="1">
      <c r="A409" s="821" t="s">
        <v>13</v>
      </c>
      <c r="B409" s="792"/>
      <c r="C409" s="702">
        <v>3015000</v>
      </c>
      <c r="D409" s="702">
        <v>2000000</v>
      </c>
      <c r="E409" s="702">
        <v>2000000</v>
      </c>
      <c r="F409" s="702">
        <v>2000000</v>
      </c>
      <c r="G409" s="702">
        <v>2000000</v>
      </c>
      <c r="H409" s="702">
        <v>2000000</v>
      </c>
      <c r="I409" s="702">
        <v>2000000</v>
      </c>
      <c r="J409" s="702">
        <v>1750000</v>
      </c>
      <c r="K409" s="702">
        <v>1750000</v>
      </c>
      <c r="L409" s="702">
        <v>0</v>
      </c>
      <c r="M409" s="702">
        <v>0</v>
      </c>
      <c r="N409" s="702">
        <v>0</v>
      </c>
      <c r="O409" s="702">
        <v>0</v>
      </c>
      <c r="P409" s="702">
        <v>0</v>
      </c>
      <c r="Q409" s="702">
        <v>0</v>
      </c>
    </row>
    <row r="410" spans="1:17">
      <c r="A410" s="1"/>
      <c r="B410" s="748"/>
      <c r="C410" s="890"/>
      <c r="D410" s="890"/>
      <c r="E410" s="890"/>
      <c r="F410" s="890"/>
      <c r="G410" s="890"/>
      <c r="H410" s="890"/>
      <c r="I410" s="890"/>
      <c r="J410" s="890"/>
      <c r="K410" s="890"/>
      <c r="L410" s="890"/>
      <c r="M410" s="890"/>
      <c r="N410" s="890"/>
      <c r="O410" s="890"/>
      <c r="P410" s="890"/>
      <c r="Q410" s="890"/>
    </row>
    <row r="411" spans="1:17">
      <c r="A411" s="822" t="s">
        <v>61</v>
      </c>
      <c r="B411" s="748"/>
      <c r="C411" s="890"/>
      <c r="D411" s="890"/>
      <c r="E411" s="890"/>
      <c r="F411" s="890"/>
      <c r="G411" s="890"/>
      <c r="H411" s="890"/>
      <c r="I411" s="890"/>
      <c r="J411" s="890"/>
      <c r="K411" s="890"/>
      <c r="L411" s="890"/>
      <c r="M411" s="890"/>
      <c r="N411" s="890"/>
      <c r="O411" s="890"/>
      <c r="P411" s="890"/>
      <c r="Q411" s="890"/>
    </row>
    <row r="412" spans="1:17">
      <c r="A412" s="28" t="s">
        <v>135</v>
      </c>
      <c r="B412" s="746" t="s">
        <v>295</v>
      </c>
      <c r="C412" s="875">
        <v>0</v>
      </c>
      <c r="D412" s="875">
        <v>0</v>
      </c>
      <c r="E412" s="875">
        <v>0</v>
      </c>
      <c r="F412" s="875">
        <v>46500</v>
      </c>
      <c r="G412" s="875">
        <v>0</v>
      </c>
      <c r="H412" s="875">
        <v>0</v>
      </c>
      <c r="I412" s="875">
        <v>0</v>
      </c>
      <c r="J412" s="875">
        <v>0</v>
      </c>
      <c r="K412" s="875">
        <v>26998</v>
      </c>
      <c r="L412" s="875">
        <v>0</v>
      </c>
      <c r="M412" s="875">
        <v>0</v>
      </c>
      <c r="N412" s="875">
        <v>0</v>
      </c>
      <c r="O412" s="875">
        <v>0</v>
      </c>
      <c r="P412" s="875">
        <v>0</v>
      </c>
      <c r="Q412" s="875">
        <v>0</v>
      </c>
    </row>
    <row r="413" spans="1:17" s="717" customFormat="1" ht="15.6">
      <c r="A413" s="823" t="s">
        <v>13</v>
      </c>
      <c r="B413" s="824"/>
      <c r="C413" s="716">
        <v>73498</v>
      </c>
      <c r="D413" s="716">
        <v>73498</v>
      </c>
      <c r="E413" s="716">
        <v>73498</v>
      </c>
      <c r="F413" s="716">
        <v>73498</v>
      </c>
      <c r="G413" s="716">
        <v>26998</v>
      </c>
      <c r="H413" s="716">
        <v>26998</v>
      </c>
      <c r="I413" s="716">
        <v>26998</v>
      </c>
      <c r="J413" s="716">
        <v>26998</v>
      </c>
      <c r="K413" s="716">
        <v>26998</v>
      </c>
      <c r="L413" s="716">
        <v>0</v>
      </c>
      <c r="M413" s="716">
        <v>0</v>
      </c>
      <c r="N413" s="716">
        <v>0</v>
      </c>
      <c r="O413" s="716">
        <v>0</v>
      </c>
      <c r="P413" s="716">
        <v>0</v>
      </c>
      <c r="Q413" s="716">
        <v>0</v>
      </c>
    </row>
    <row r="414" spans="1:17">
      <c r="A414" s="28" t="s">
        <v>4</v>
      </c>
      <c r="B414" s="746" t="s">
        <v>296</v>
      </c>
      <c r="C414" s="875">
        <v>0</v>
      </c>
      <c r="D414" s="875">
        <v>100999</v>
      </c>
      <c r="E414" s="875">
        <v>16499</v>
      </c>
      <c r="F414" s="875">
        <v>0</v>
      </c>
      <c r="G414" s="875">
        <v>0</v>
      </c>
      <c r="H414" s="875">
        <v>0</v>
      </c>
      <c r="I414" s="875">
        <v>0</v>
      </c>
      <c r="J414" s="875">
        <v>0</v>
      </c>
      <c r="K414" s="875">
        <v>0</v>
      </c>
      <c r="L414" s="875">
        <v>0</v>
      </c>
      <c r="M414" s="875">
        <v>0</v>
      </c>
      <c r="N414" s="875">
        <v>0</v>
      </c>
      <c r="O414" s="875">
        <v>40999</v>
      </c>
      <c r="P414" s="875">
        <v>0</v>
      </c>
      <c r="Q414" s="875">
        <v>0</v>
      </c>
    </row>
    <row r="415" spans="1:17" s="717" customFormat="1" ht="15.6">
      <c r="A415" s="823" t="s">
        <v>13</v>
      </c>
      <c r="B415" s="824"/>
      <c r="C415" s="716">
        <v>158497</v>
      </c>
      <c r="D415" s="716">
        <v>158497</v>
      </c>
      <c r="E415" s="716">
        <v>57498</v>
      </c>
      <c r="F415" s="716">
        <v>40999</v>
      </c>
      <c r="G415" s="716">
        <v>40999</v>
      </c>
      <c r="H415" s="716">
        <v>40999</v>
      </c>
      <c r="I415" s="716">
        <v>40999</v>
      </c>
      <c r="J415" s="716">
        <v>40999</v>
      </c>
      <c r="K415" s="716">
        <v>40999</v>
      </c>
      <c r="L415" s="716">
        <v>40999</v>
      </c>
      <c r="M415" s="716">
        <v>40999</v>
      </c>
      <c r="N415" s="716">
        <v>40999</v>
      </c>
      <c r="O415" s="716">
        <v>40999</v>
      </c>
      <c r="P415" s="716">
        <v>0</v>
      </c>
      <c r="Q415" s="716">
        <v>0</v>
      </c>
    </row>
    <row r="416" spans="1:17">
      <c r="A416" s="28" t="s">
        <v>136</v>
      </c>
      <c r="B416" s="746" t="s">
        <v>297</v>
      </c>
      <c r="C416" s="875">
        <v>0</v>
      </c>
      <c r="D416" s="875">
        <v>23999</v>
      </c>
      <c r="E416" s="875">
        <v>69400</v>
      </c>
      <c r="F416" s="875">
        <v>0</v>
      </c>
      <c r="G416" s="875">
        <v>0</v>
      </c>
      <c r="H416" s="875">
        <v>17200</v>
      </c>
      <c r="I416" s="875">
        <v>0</v>
      </c>
      <c r="J416" s="875">
        <v>0</v>
      </c>
      <c r="K416" s="875">
        <v>0</v>
      </c>
      <c r="L416" s="875">
        <v>0</v>
      </c>
      <c r="M416" s="875">
        <v>0</v>
      </c>
      <c r="N416" s="875">
        <v>0</v>
      </c>
      <c r="O416" s="875">
        <v>0</v>
      </c>
      <c r="P416" s="875">
        <v>0</v>
      </c>
      <c r="Q416" s="875">
        <v>0</v>
      </c>
    </row>
    <row r="417" spans="1:17" s="717" customFormat="1" ht="15.6">
      <c r="A417" s="823" t="s">
        <v>13</v>
      </c>
      <c r="B417" s="824"/>
      <c r="C417" s="716">
        <v>110599</v>
      </c>
      <c r="D417" s="716">
        <v>110599</v>
      </c>
      <c r="E417" s="716">
        <v>86600</v>
      </c>
      <c r="F417" s="716">
        <v>17200</v>
      </c>
      <c r="G417" s="716">
        <v>17200</v>
      </c>
      <c r="H417" s="716">
        <v>17200</v>
      </c>
      <c r="I417" s="716">
        <v>0</v>
      </c>
      <c r="J417" s="716">
        <v>0</v>
      </c>
      <c r="K417" s="716">
        <v>0</v>
      </c>
      <c r="L417" s="716">
        <v>0</v>
      </c>
      <c r="M417" s="716">
        <v>0</v>
      </c>
      <c r="N417" s="716">
        <v>0</v>
      </c>
      <c r="O417" s="716">
        <v>0</v>
      </c>
      <c r="P417" s="716">
        <v>0</v>
      </c>
      <c r="Q417" s="716">
        <v>0</v>
      </c>
    </row>
    <row r="418" spans="1:17">
      <c r="A418" s="28" t="s">
        <v>137</v>
      </c>
      <c r="B418" s="746" t="s">
        <v>298</v>
      </c>
      <c r="C418" s="875">
        <v>0</v>
      </c>
      <c r="D418" s="875">
        <v>0</v>
      </c>
      <c r="E418" s="875">
        <v>0</v>
      </c>
      <c r="F418" s="875">
        <v>0</v>
      </c>
      <c r="G418" s="875">
        <v>0</v>
      </c>
      <c r="H418" s="875">
        <v>0</v>
      </c>
      <c r="I418" s="875">
        <v>0</v>
      </c>
      <c r="J418" s="875">
        <v>0</v>
      </c>
      <c r="K418" s="875">
        <v>0</v>
      </c>
      <c r="L418" s="875">
        <v>0</v>
      </c>
      <c r="M418" s="875">
        <v>0</v>
      </c>
      <c r="N418" s="875">
        <v>0</v>
      </c>
      <c r="O418" s="875">
        <v>0</v>
      </c>
      <c r="P418" s="875">
        <v>0</v>
      </c>
      <c r="Q418" s="875">
        <v>0</v>
      </c>
    </row>
    <row r="419" spans="1:17" s="717" customFormat="1" ht="15.6">
      <c r="A419" s="823" t="s">
        <v>13</v>
      </c>
      <c r="B419" s="824"/>
      <c r="C419" s="716">
        <v>0</v>
      </c>
      <c r="D419" s="716">
        <v>0</v>
      </c>
      <c r="E419" s="716">
        <v>0</v>
      </c>
      <c r="F419" s="716">
        <v>0</v>
      </c>
      <c r="G419" s="716">
        <v>0</v>
      </c>
      <c r="H419" s="716">
        <v>0</v>
      </c>
      <c r="I419" s="716">
        <v>0</v>
      </c>
      <c r="J419" s="716">
        <v>0</v>
      </c>
      <c r="K419" s="716">
        <v>0</v>
      </c>
      <c r="L419" s="716">
        <v>0</v>
      </c>
      <c r="M419" s="716">
        <v>0</v>
      </c>
      <c r="N419" s="716">
        <v>0</v>
      </c>
      <c r="O419" s="716">
        <v>0</v>
      </c>
      <c r="P419" s="716">
        <v>0</v>
      </c>
      <c r="Q419" s="716">
        <v>0</v>
      </c>
    </row>
    <row r="420" spans="1:17">
      <c r="A420" s="28" t="s">
        <v>27</v>
      </c>
      <c r="B420" s="746" t="s">
        <v>299</v>
      </c>
      <c r="C420" s="875">
        <v>51500</v>
      </c>
      <c r="D420" s="875">
        <v>0</v>
      </c>
      <c r="E420" s="875">
        <v>0</v>
      </c>
      <c r="F420" s="875">
        <v>10999</v>
      </c>
      <c r="G420" s="875">
        <v>0</v>
      </c>
      <c r="H420" s="875">
        <v>10999</v>
      </c>
      <c r="I420" s="875">
        <v>0</v>
      </c>
      <c r="J420" s="875">
        <v>0</v>
      </c>
      <c r="K420" s="875">
        <v>0</v>
      </c>
      <c r="L420" s="875">
        <v>0</v>
      </c>
      <c r="M420" s="875">
        <v>0</v>
      </c>
      <c r="N420" s="875">
        <v>0</v>
      </c>
      <c r="O420" s="875">
        <v>0</v>
      </c>
      <c r="P420" s="875">
        <v>0</v>
      </c>
      <c r="Q420" s="875">
        <v>0</v>
      </c>
    </row>
    <row r="421" spans="1:17" s="717" customFormat="1" ht="15.6">
      <c r="A421" s="823" t="s">
        <v>13</v>
      </c>
      <c r="B421" s="824"/>
      <c r="C421" s="716">
        <v>73498</v>
      </c>
      <c r="D421" s="716">
        <v>21998</v>
      </c>
      <c r="E421" s="716">
        <v>21998</v>
      </c>
      <c r="F421" s="716">
        <v>21998</v>
      </c>
      <c r="G421" s="716">
        <v>10999</v>
      </c>
      <c r="H421" s="716">
        <v>10999</v>
      </c>
      <c r="I421" s="716">
        <v>0</v>
      </c>
      <c r="J421" s="716">
        <v>0</v>
      </c>
      <c r="K421" s="716">
        <v>0</v>
      </c>
      <c r="L421" s="716">
        <v>0</v>
      </c>
      <c r="M421" s="716">
        <v>0</v>
      </c>
      <c r="N421" s="716">
        <v>0</v>
      </c>
      <c r="O421" s="716">
        <v>0</v>
      </c>
      <c r="P421" s="716">
        <v>0</v>
      </c>
      <c r="Q421" s="716">
        <v>0</v>
      </c>
    </row>
    <row r="422" spans="1:17">
      <c r="A422" s="825" t="s">
        <v>151</v>
      </c>
      <c r="B422" s="746"/>
      <c r="C422" s="875">
        <v>51500</v>
      </c>
      <c r="D422" s="875">
        <v>124998</v>
      </c>
      <c r="E422" s="875">
        <v>85899</v>
      </c>
      <c r="F422" s="875">
        <v>57499</v>
      </c>
      <c r="G422" s="875">
        <v>0</v>
      </c>
      <c r="H422" s="875">
        <v>28199</v>
      </c>
      <c r="I422" s="875">
        <v>0</v>
      </c>
      <c r="J422" s="875">
        <v>0</v>
      </c>
      <c r="K422" s="875">
        <v>26998</v>
      </c>
      <c r="L422" s="875">
        <v>0</v>
      </c>
      <c r="M422" s="875">
        <v>0</v>
      </c>
      <c r="N422" s="875">
        <v>0</v>
      </c>
      <c r="O422" s="875">
        <v>40999</v>
      </c>
      <c r="P422" s="875">
        <v>0</v>
      </c>
      <c r="Q422" s="875">
        <v>0</v>
      </c>
    </row>
    <row r="423" spans="1:17" s="718" customFormat="1" ht="15.6">
      <c r="A423" s="826" t="s">
        <v>13</v>
      </c>
      <c r="B423" s="827"/>
      <c r="C423" s="716">
        <v>416092</v>
      </c>
      <c r="D423" s="716">
        <v>364592</v>
      </c>
      <c r="E423" s="716">
        <v>239594</v>
      </c>
      <c r="F423" s="716">
        <v>153695</v>
      </c>
      <c r="G423" s="716">
        <v>96196</v>
      </c>
      <c r="H423" s="716">
        <v>96196</v>
      </c>
      <c r="I423" s="716">
        <v>67997</v>
      </c>
      <c r="J423" s="716">
        <v>67997</v>
      </c>
      <c r="K423" s="716">
        <v>67997</v>
      </c>
      <c r="L423" s="716">
        <v>40999</v>
      </c>
      <c r="M423" s="716">
        <v>40999</v>
      </c>
      <c r="N423" s="716">
        <v>40999</v>
      </c>
      <c r="O423" s="716">
        <v>40999</v>
      </c>
      <c r="P423" s="716">
        <v>0</v>
      </c>
      <c r="Q423" s="716">
        <v>0</v>
      </c>
    </row>
    <row r="424" spans="1:17" s="426" customFormat="1">
      <c r="A424" s="29"/>
      <c r="B424" s="748"/>
      <c r="C424" s="719"/>
      <c r="D424" s="719"/>
      <c r="E424" s="719"/>
      <c r="F424" s="719"/>
      <c r="G424" s="719"/>
      <c r="H424" s="719"/>
      <c r="I424" s="719"/>
      <c r="J424" s="719"/>
      <c r="K424" s="719"/>
      <c r="L424" s="719"/>
      <c r="M424" s="719"/>
      <c r="N424" s="719"/>
      <c r="O424" s="719"/>
      <c r="P424" s="719"/>
      <c r="Q424" s="719"/>
    </row>
    <row r="425" spans="1:17">
      <c r="A425" s="28" t="s">
        <v>107</v>
      </c>
      <c r="B425" s="746" t="s">
        <v>300</v>
      </c>
      <c r="C425" s="875">
        <v>0</v>
      </c>
      <c r="D425" s="875">
        <v>0</v>
      </c>
      <c r="E425" s="875">
        <v>0</v>
      </c>
      <c r="F425" s="875">
        <v>0</v>
      </c>
      <c r="G425" s="875">
        <v>0</v>
      </c>
      <c r="H425" s="875">
        <v>0</v>
      </c>
      <c r="I425" s="875">
        <v>0</v>
      </c>
      <c r="J425" s="875">
        <v>0</v>
      </c>
      <c r="K425" s="875">
        <v>250000</v>
      </c>
      <c r="L425" s="875">
        <v>0</v>
      </c>
      <c r="M425" s="875">
        <v>0</v>
      </c>
      <c r="N425" s="875">
        <v>0</v>
      </c>
      <c r="O425" s="875">
        <v>0</v>
      </c>
      <c r="P425" s="875">
        <v>0</v>
      </c>
      <c r="Q425" s="875">
        <v>0</v>
      </c>
    </row>
    <row r="426" spans="1:17" s="426" customFormat="1">
      <c r="A426" s="828" t="s">
        <v>108</v>
      </c>
      <c r="B426" s="792"/>
      <c r="C426" s="702">
        <v>250000</v>
      </c>
      <c r="D426" s="702">
        <v>250000</v>
      </c>
      <c r="E426" s="702">
        <v>250000</v>
      </c>
      <c r="F426" s="702">
        <v>250000</v>
      </c>
      <c r="G426" s="702">
        <v>250000</v>
      </c>
      <c r="H426" s="702">
        <v>250000</v>
      </c>
      <c r="I426" s="702">
        <v>250000</v>
      </c>
      <c r="J426" s="702">
        <v>250000</v>
      </c>
      <c r="K426" s="702">
        <v>250000</v>
      </c>
      <c r="L426" s="702">
        <v>0</v>
      </c>
      <c r="M426" s="702">
        <v>0</v>
      </c>
      <c r="N426" s="702">
        <v>0</v>
      </c>
      <c r="O426" s="702">
        <v>0</v>
      </c>
      <c r="P426" s="702">
        <v>0</v>
      </c>
      <c r="Q426" s="702">
        <v>0</v>
      </c>
    </row>
    <row r="427" spans="1:17" s="426" customFormat="1">
      <c r="A427" s="29"/>
      <c r="B427" s="748"/>
      <c r="C427" s="891"/>
      <c r="D427" s="891"/>
      <c r="E427" s="891"/>
      <c r="F427" s="891"/>
      <c r="G427" s="891"/>
      <c r="H427" s="891"/>
      <c r="I427" s="891"/>
      <c r="J427" s="891"/>
      <c r="K427" s="891"/>
      <c r="L427" s="891"/>
      <c r="M427" s="891"/>
      <c r="N427" s="891"/>
      <c r="O427" s="891"/>
      <c r="P427" s="891"/>
      <c r="Q427" s="891"/>
    </row>
    <row r="428" spans="1:17" s="426" customFormat="1">
      <c r="A428" s="29" t="s">
        <v>97</v>
      </c>
      <c r="B428" s="748"/>
      <c r="C428" s="891"/>
      <c r="D428" s="891"/>
      <c r="E428" s="891"/>
      <c r="F428" s="891"/>
      <c r="G428" s="891"/>
      <c r="H428" s="891"/>
      <c r="I428" s="891"/>
      <c r="J428" s="891"/>
      <c r="K428" s="891"/>
      <c r="L428" s="891"/>
      <c r="M428" s="891"/>
      <c r="N428" s="891"/>
      <c r="O428" s="891"/>
      <c r="P428" s="891"/>
      <c r="Q428" s="891"/>
    </row>
    <row r="429" spans="1:17">
      <c r="A429" s="28" t="s">
        <v>24</v>
      </c>
      <c r="B429" s="746" t="s">
        <v>301</v>
      </c>
      <c r="C429" s="875">
        <v>0</v>
      </c>
      <c r="D429" s="875">
        <v>0</v>
      </c>
      <c r="E429" s="875">
        <v>0</v>
      </c>
      <c r="F429" s="875">
        <v>0</v>
      </c>
      <c r="G429" s="875">
        <v>0</v>
      </c>
      <c r="H429" s="875">
        <v>0</v>
      </c>
      <c r="I429" s="875">
        <v>0</v>
      </c>
      <c r="J429" s="875">
        <v>0</v>
      </c>
      <c r="K429" s="875">
        <v>0</v>
      </c>
      <c r="L429" s="875">
        <v>0</v>
      </c>
      <c r="M429" s="875">
        <v>0</v>
      </c>
      <c r="N429" s="875">
        <v>0</v>
      </c>
      <c r="O429" s="875">
        <v>0</v>
      </c>
      <c r="P429" s="875">
        <v>0</v>
      </c>
      <c r="Q429" s="875">
        <v>0</v>
      </c>
    </row>
    <row r="430" spans="1:17" s="712" customFormat="1">
      <c r="A430" s="819" t="s">
        <v>13</v>
      </c>
      <c r="B430" s="780"/>
      <c r="C430" s="702">
        <v>0</v>
      </c>
      <c r="D430" s="702">
        <v>0</v>
      </c>
      <c r="E430" s="702">
        <v>0</v>
      </c>
      <c r="F430" s="702">
        <v>0</v>
      </c>
      <c r="G430" s="702">
        <v>0</v>
      </c>
      <c r="H430" s="702">
        <v>0</v>
      </c>
      <c r="I430" s="702">
        <v>0</v>
      </c>
      <c r="J430" s="702">
        <v>0</v>
      </c>
      <c r="K430" s="702">
        <v>0</v>
      </c>
      <c r="L430" s="702">
        <v>0</v>
      </c>
      <c r="M430" s="702">
        <v>0</v>
      </c>
      <c r="N430" s="702">
        <v>0</v>
      </c>
      <c r="O430" s="702">
        <v>0</v>
      </c>
      <c r="P430" s="702">
        <v>0</v>
      </c>
      <c r="Q430" s="702">
        <v>0</v>
      </c>
    </row>
    <row r="431" spans="1:17">
      <c r="A431" s="28" t="s">
        <v>138</v>
      </c>
      <c r="B431" s="746" t="s">
        <v>302</v>
      </c>
      <c r="C431" s="875">
        <v>0</v>
      </c>
      <c r="D431" s="875">
        <v>0</v>
      </c>
      <c r="E431" s="875">
        <v>0</v>
      </c>
      <c r="F431" s="875">
        <v>51500</v>
      </c>
      <c r="G431" s="875">
        <v>0</v>
      </c>
      <c r="H431" s="875">
        <v>0</v>
      </c>
      <c r="I431" s="875">
        <v>0</v>
      </c>
      <c r="J431" s="875">
        <v>0</v>
      </c>
      <c r="K431" s="875">
        <v>0</v>
      </c>
      <c r="L431" s="875">
        <v>0</v>
      </c>
      <c r="M431" s="875">
        <v>102400</v>
      </c>
      <c r="N431" s="875">
        <v>0</v>
      </c>
      <c r="O431" s="875">
        <v>0</v>
      </c>
      <c r="P431" s="875">
        <v>0</v>
      </c>
      <c r="Q431" s="875">
        <v>0</v>
      </c>
    </row>
    <row r="432" spans="1:17" s="712" customFormat="1">
      <c r="A432" s="819" t="s">
        <v>13</v>
      </c>
      <c r="B432" s="780"/>
      <c r="C432" s="702">
        <v>153900</v>
      </c>
      <c r="D432" s="702">
        <v>153900</v>
      </c>
      <c r="E432" s="702">
        <v>153900</v>
      </c>
      <c r="F432" s="702">
        <v>153900</v>
      </c>
      <c r="G432" s="702">
        <v>102400</v>
      </c>
      <c r="H432" s="702">
        <v>102400</v>
      </c>
      <c r="I432" s="702">
        <v>102400</v>
      </c>
      <c r="J432" s="702">
        <v>102400</v>
      </c>
      <c r="K432" s="702">
        <v>102400</v>
      </c>
      <c r="L432" s="702">
        <v>102400</v>
      </c>
      <c r="M432" s="702">
        <v>102400</v>
      </c>
      <c r="N432" s="702">
        <v>0</v>
      </c>
      <c r="O432" s="702">
        <v>0</v>
      </c>
      <c r="P432" s="702">
        <v>0</v>
      </c>
      <c r="Q432" s="702">
        <v>0</v>
      </c>
    </row>
    <row r="433" spans="1:17">
      <c r="A433" s="28" t="s">
        <v>139</v>
      </c>
      <c r="B433" s="746" t="s">
        <v>303</v>
      </c>
      <c r="C433" s="875">
        <v>0</v>
      </c>
      <c r="D433" s="875">
        <v>0</v>
      </c>
      <c r="E433" s="875">
        <v>0</v>
      </c>
      <c r="F433" s="875">
        <v>0</v>
      </c>
      <c r="G433" s="875">
        <v>0</v>
      </c>
      <c r="H433" s="875">
        <v>0</v>
      </c>
      <c r="I433" s="875">
        <v>0</v>
      </c>
      <c r="J433" s="875">
        <v>0</v>
      </c>
      <c r="K433" s="875">
        <v>0</v>
      </c>
      <c r="L433" s="875">
        <v>0</v>
      </c>
      <c r="M433" s="875">
        <v>0</v>
      </c>
      <c r="N433" s="875">
        <v>0</v>
      </c>
      <c r="O433" s="875">
        <v>0</v>
      </c>
      <c r="P433" s="875">
        <v>0</v>
      </c>
      <c r="Q433" s="875">
        <v>0</v>
      </c>
    </row>
    <row r="434" spans="1:17" s="712" customFormat="1">
      <c r="A434" s="819" t="s">
        <v>13</v>
      </c>
      <c r="B434" s="780"/>
      <c r="C434" s="702">
        <v>0</v>
      </c>
      <c r="D434" s="702">
        <v>0</v>
      </c>
      <c r="E434" s="702">
        <v>0</v>
      </c>
      <c r="F434" s="702">
        <v>0</v>
      </c>
      <c r="G434" s="702">
        <v>0</v>
      </c>
      <c r="H434" s="702">
        <v>0</v>
      </c>
      <c r="I434" s="702">
        <v>0</v>
      </c>
      <c r="J434" s="702">
        <v>0</v>
      </c>
      <c r="K434" s="702">
        <v>0</v>
      </c>
      <c r="L434" s="702">
        <v>0</v>
      </c>
      <c r="M434" s="702">
        <v>0</v>
      </c>
      <c r="N434" s="702">
        <v>0</v>
      </c>
      <c r="O434" s="702">
        <v>0</v>
      </c>
      <c r="P434" s="702">
        <v>0</v>
      </c>
      <c r="Q434" s="702">
        <v>0</v>
      </c>
    </row>
    <row r="435" spans="1:17" s="712" customFormat="1">
      <c r="A435" s="820" t="s">
        <v>172</v>
      </c>
      <c r="B435" s="780" t="s">
        <v>304</v>
      </c>
      <c r="C435" s="889">
        <v>0</v>
      </c>
      <c r="D435" s="889">
        <v>0</v>
      </c>
      <c r="E435" s="889">
        <v>0</v>
      </c>
      <c r="F435" s="889">
        <v>0</v>
      </c>
      <c r="G435" s="889">
        <v>0</v>
      </c>
      <c r="H435" s="889">
        <v>0</v>
      </c>
      <c r="I435" s="889">
        <v>0</v>
      </c>
      <c r="J435" s="889">
        <v>0</v>
      </c>
      <c r="K435" s="889">
        <v>0</v>
      </c>
      <c r="L435" s="889">
        <v>0</v>
      </c>
      <c r="M435" s="889">
        <v>0</v>
      </c>
      <c r="N435" s="889">
        <v>0</v>
      </c>
      <c r="O435" s="889">
        <v>0</v>
      </c>
      <c r="P435" s="889">
        <v>0</v>
      </c>
      <c r="Q435" s="889">
        <v>0</v>
      </c>
    </row>
    <row r="436" spans="1:17" s="712" customFormat="1">
      <c r="A436" s="819" t="s">
        <v>13</v>
      </c>
      <c r="B436" s="780"/>
      <c r="C436" s="702">
        <v>0</v>
      </c>
      <c r="D436" s="702">
        <v>0</v>
      </c>
      <c r="E436" s="702">
        <v>0</v>
      </c>
      <c r="F436" s="702">
        <v>0</v>
      </c>
      <c r="G436" s="702">
        <v>0</v>
      </c>
      <c r="H436" s="702">
        <v>0</v>
      </c>
      <c r="I436" s="702">
        <v>0</v>
      </c>
      <c r="J436" s="702">
        <v>0</v>
      </c>
      <c r="K436" s="702">
        <v>0</v>
      </c>
      <c r="L436" s="702">
        <v>0</v>
      </c>
      <c r="M436" s="702">
        <v>0</v>
      </c>
      <c r="N436" s="702">
        <v>0</v>
      </c>
      <c r="O436" s="702">
        <v>0</v>
      </c>
      <c r="P436" s="702">
        <v>0</v>
      </c>
      <c r="Q436" s="702">
        <v>0</v>
      </c>
    </row>
    <row r="437" spans="1:17" s="712" customFormat="1">
      <c r="A437" s="820" t="s">
        <v>193</v>
      </c>
      <c r="B437" s="780" t="s">
        <v>305</v>
      </c>
      <c r="C437" s="889">
        <v>0</v>
      </c>
      <c r="D437" s="889">
        <v>0</v>
      </c>
      <c r="E437" s="889">
        <v>0</v>
      </c>
      <c r="F437" s="889">
        <v>0</v>
      </c>
      <c r="G437" s="889">
        <v>0</v>
      </c>
      <c r="H437" s="889">
        <v>0</v>
      </c>
      <c r="I437" s="889">
        <v>0</v>
      </c>
      <c r="J437" s="889">
        <v>0</v>
      </c>
      <c r="K437" s="889">
        <v>0</v>
      </c>
      <c r="L437" s="889">
        <v>0</v>
      </c>
      <c r="M437" s="889">
        <v>0</v>
      </c>
      <c r="N437" s="889">
        <v>0</v>
      </c>
      <c r="O437" s="889">
        <v>0</v>
      </c>
      <c r="P437" s="889">
        <v>0</v>
      </c>
      <c r="Q437" s="889">
        <v>0</v>
      </c>
    </row>
    <row r="438" spans="1:17" s="712" customFormat="1">
      <c r="A438" s="819" t="s">
        <v>13</v>
      </c>
      <c r="B438" s="780"/>
      <c r="C438" s="702">
        <v>0</v>
      </c>
      <c r="D438" s="702">
        <v>0</v>
      </c>
      <c r="E438" s="702">
        <v>0</v>
      </c>
      <c r="F438" s="702">
        <v>0</v>
      </c>
      <c r="G438" s="702">
        <v>0</v>
      </c>
      <c r="H438" s="702">
        <v>0</v>
      </c>
      <c r="I438" s="702">
        <v>0</v>
      </c>
      <c r="J438" s="702">
        <v>0</v>
      </c>
      <c r="K438" s="702">
        <v>0</v>
      </c>
      <c r="L438" s="702">
        <v>0</v>
      </c>
      <c r="M438" s="702">
        <v>0</v>
      </c>
      <c r="N438" s="702">
        <v>0</v>
      </c>
      <c r="O438" s="702">
        <v>0</v>
      </c>
      <c r="P438" s="702">
        <v>0</v>
      </c>
      <c r="Q438" s="702">
        <v>0</v>
      </c>
    </row>
    <row r="439" spans="1:17">
      <c r="A439" s="825" t="s">
        <v>151</v>
      </c>
      <c r="B439" s="746"/>
      <c r="C439" s="875">
        <v>0</v>
      </c>
      <c r="D439" s="875">
        <v>0</v>
      </c>
      <c r="E439" s="875">
        <v>0</v>
      </c>
      <c r="F439" s="875">
        <v>51500</v>
      </c>
      <c r="G439" s="875">
        <v>0</v>
      </c>
      <c r="H439" s="875">
        <v>0</v>
      </c>
      <c r="I439" s="875">
        <v>0</v>
      </c>
      <c r="J439" s="875">
        <v>0</v>
      </c>
      <c r="K439" s="875">
        <v>0</v>
      </c>
      <c r="L439" s="875">
        <v>0</v>
      </c>
      <c r="M439" s="875">
        <v>102400</v>
      </c>
      <c r="N439" s="875">
        <v>0</v>
      </c>
      <c r="O439" s="875">
        <v>0</v>
      </c>
      <c r="P439" s="875">
        <v>0</v>
      </c>
      <c r="Q439" s="875">
        <v>0</v>
      </c>
    </row>
    <row r="440" spans="1:17" s="426" customFormat="1">
      <c r="A440" s="821" t="s">
        <v>13</v>
      </c>
      <c r="B440" s="792"/>
      <c r="C440" s="702">
        <v>153900</v>
      </c>
      <c r="D440" s="702">
        <v>153900</v>
      </c>
      <c r="E440" s="702">
        <v>153900</v>
      </c>
      <c r="F440" s="702">
        <v>153900</v>
      </c>
      <c r="G440" s="702">
        <v>102400</v>
      </c>
      <c r="H440" s="702">
        <v>102400</v>
      </c>
      <c r="I440" s="702">
        <v>102400</v>
      </c>
      <c r="J440" s="702">
        <v>102400</v>
      </c>
      <c r="K440" s="702">
        <v>102400</v>
      </c>
      <c r="L440" s="702">
        <v>102400</v>
      </c>
      <c r="M440" s="702">
        <v>102400</v>
      </c>
      <c r="N440" s="702">
        <v>0</v>
      </c>
      <c r="O440" s="702">
        <v>0</v>
      </c>
      <c r="P440" s="702">
        <v>0</v>
      </c>
      <c r="Q440" s="702">
        <v>0</v>
      </c>
    </row>
    <row r="441" spans="1:17" s="426" customFormat="1">
      <c r="A441" s="817"/>
      <c r="B441" s="748"/>
      <c r="C441" s="879"/>
      <c r="D441" s="879"/>
      <c r="E441" s="879"/>
      <c r="F441" s="879"/>
      <c r="G441" s="879"/>
      <c r="H441" s="879"/>
      <c r="I441" s="879"/>
      <c r="J441" s="879"/>
      <c r="K441" s="879"/>
      <c r="L441" s="879"/>
      <c r="M441" s="879"/>
      <c r="N441" s="879"/>
      <c r="O441" s="879"/>
      <c r="P441" s="879"/>
      <c r="Q441" s="879"/>
    </row>
    <row r="442" spans="1:17" s="426" customFormat="1">
      <c r="A442" s="817" t="s">
        <v>140</v>
      </c>
      <c r="B442" s="748"/>
      <c r="C442" s="879"/>
      <c r="D442" s="879"/>
      <c r="E442" s="879"/>
      <c r="F442" s="879"/>
      <c r="G442" s="879"/>
      <c r="H442" s="879"/>
      <c r="I442" s="879"/>
      <c r="J442" s="879"/>
      <c r="K442" s="879"/>
      <c r="L442" s="879"/>
      <c r="M442" s="879"/>
      <c r="N442" s="879"/>
      <c r="O442" s="879"/>
      <c r="P442" s="879"/>
      <c r="Q442" s="879"/>
    </row>
    <row r="443" spans="1:17" s="426" customFormat="1">
      <c r="A443" s="818" t="s">
        <v>141</v>
      </c>
      <c r="B443" s="746" t="s">
        <v>306</v>
      </c>
      <c r="C443" s="888">
        <v>0</v>
      </c>
      <c r="D443" s="888">
        <v>0</v>
      </c>
      <c r="E443" s="888">
        <v>0</v>
      </c>
      <c r="F443" s="888">
        <v>0</v>
      </c>
      <c r="G443" s="888">
        <v>0</v>
      </c>
      <c r="H443" s="888">
        <v>0</v>
      </c>
      <c r="I443" s="888">
        <v>0</v>
      </c>
      <c r="J443" s="888">
        <v>0</v>
      </c>
      <c r="K443" s="888">
        <v>0</v>
      </c>
      <c r="L443" s="888">
        <v>0</v>
      </c>
      <c r="M443" s="888">
        <v>0</v>
      </c>
      <c r="N443" s="888">
        <v>0</v>
      </c>
      <c r="O443" s="888">
        <v>0</v>
      </c>
      <c r="P443" s="888">
        <v>0</v>
      </c>
      <c r="Q443" s="888">
        <v>0</v>
      </c>
    </row>
    <row r="444" spans="1:17" s="426" customFormat="1">
      <c r="A444" s="829" t="s">
        <v>13</v>
      </c>
      <c r="B444" s="746"/>
      <c r="C444" s="702">
        <v>0</v>
      </c>
      <c r="D444" s="702">
        <v>0</v>
      </c>
      <c r="E444" s="702">
        <v>0</v>
      </c>
      <c r="F444" s="702">
        <v>0</v>
      </c>
      <c r="G444" s="702">
        <v>0</v>
      </c>
      <c r="H444" s="702">
        <v>0</v>
      </c>
      <c r="I444" s="702">
        <v>0</v>
      </c>
      <c r="J444" s="702">
        <v>0</v>
      </c>
      <c r="K444" s="702">
        <v>0</v>
      </c>
      <c r="L444" s="702">
        <v>0</v>
      </c>
      <c r="M444" s="702">
        <v>0</v>
      </c>
      <c r="N444" s="702">
        <v>0</v>
      </c>
      <c r="O444" s="702">
        <v>0</v>
      </c>
      <c r="P444" s="702">
        <v>0</v>
      </c>
      <c r="Q444" s="702">
        <v>0</v>
      </c>
    </row>
    <row r="445" spans="1:17" s="426" customFormat="1">
      <c r="A445" s="818" t="s">
        <v>142</v>
      </c>
      <c r="B445" s="746" t="s">
        <v>307</v>
      </c>
      <c r="C445" s="888">
        <v>0</v>
      </c>
      <c r="D445" s="888">
        <v>0</v>
      </c>
      <c r="E445" s="888">
        <v>0</v>
      </c>
      <c r="F445" s="888">
        <v>18500</v>
      </c>
      <c r="G445" s="888">
        <v>0</v>
      </c>
      <c r="H445" s="888">
        <v>0</v>
      </c>
      <c r="I445" s="888">
        <v>0</v>
      </c>
      <c r="J445" s="888">
        <v>0</v>
      </c>
      <c r="K445" s="888">
        <v>0</v>
      </c>
      <c r="L445" s="888">
        <v>0</v>
      </c>
      <c r="M445" s="888">
        <v>0</v>
      </c>
      <c r="N445" s="888">
        <v>0</v>
      </c>
      <c r="O445" s="888">
        <v>0</v>
      </c>
      <c r="P445" s="888">
        <v>0</v>
      </c>
      <c r="Q445" s="888">
        <v>0</v>
      </c>
    </row>
    <row r="446" spans="1:17" s="426" customFormat="1">
      <c r="A446" s="829" t="s">
        <v>13</v>
      </c>
      <c r="B446" s="746"/>
      <c r="C446" s="702">
        <v>18500</v>
      </c>
      <c r="D446" s="702">
        <v>18500</v>
      </c>
      <c r="E446" s="702">
        <v>18500</v>
      </c>
      <c r="F446" s="702">
        <v>18500</v>
      </c>
      <c r="G446" s="702">
        <v>0</v>
      </c>
      <c r="H446" s="702">
        <v>0</v>
      </c>
      <c r="I446" s="702">
        <v>0</v>
      </c>
      <c r="J446" s="702">
        <v>0</v>
      </c>
      <c r="K446" s="702">
        <v>0</v>
      </c>
      <c r="L446" s="702">
        <v>0</v>
      </c>
      <c r="M446" s="702">
        <v>0</v>
      </c>
      <c r="N446" s="702">
        <v>0</v>
      </c>
      <c r="O446" s="702">
        <v>0</v>
      </c>
      <c r="P446" s="702">
        <v>0</v>
      </c>
      <c r="Q446" s="702">
        <v>0</v>
      </c>
    </row>
    <row r="447" spans="1:17" s="426" customFormat="1">
      <c r="A447" s="818" t="s">
        <v>143</v>
      </c>
      <c r="B447" s="746" t="s">
        <v>308</v>
      </c>
      <c r="C447" s="888">
        <v>0</v>
      </c>
      <c r="D447" s="888">
        <v>0</v>
      </c>
      <c r="E447" s="888">
        <v>0</v>
      </c>
      <c r="F447" s="888">
        <v>0</v>
      </c>
      <c r="G447" s="888">
        <v>0</v>
      </c>
      <c r="H447" s="888">
        <v>0</v>
      </c>
      <c r="I447" s="888">
        <v>0</v>
      </c>
      <c r="J447" s="888">
        <v>0</v>
      </c>
      <c r="K447" s="888">
        <v>0</v>
      </c>
      <c r="L447" s="888">
        <v>0</v>
      </c>
      <c r="M447" s="888">
        <v>0</v>
      </c>
      <c r="N447" s="888">
        <v>0</v>
      </c>
      <c r="O447" s="888">
        <v>0</v>
      </c>
      <c r="P447" s="888">
        <v>0</v>
      </c>
      <c r="Q447" s="888">
        <v>0</v>
      </c>
    </row>
    <row r="448" spans="1:17" s="426" customFormat="1">
      <c r="A448" s="829" t="s">
        <v>13</v>
      </c>
      <c r="B448" s="746"/>
      <c r="C448" s="702">
        <v>0</v>
      </c>
      <c r="D448" s="702">
        <v>0</v>
      </c>
      <c r="E448" s="702">
        <v>0</v>
      </c>
      <c r="F448" s="702">
        <v>0</v>
      </c>
      <c r="G448" s="702">
        <v>0</v>
      </c>
      <c r="H448" s="702">
        <v>0</v>
      </c>
      <c r="I448" s="702">
        <v>0</v>
      </c>
      <c r="J448" s="702">
        <v>0</v>
      </c>
      <c r="K448" s="702">
        <v>0</v>
      </c>
      <c r="L448" s="702">
        <v>0</v>
      </c>
      <c r="M448" s="702">
        <v>0</v>
      </c>
      <c r="N448" s="702">
        <v>0</v>
      </c>
      <c r="O448" s="702">
        <v>0</v>
      </c>
      <c r="P448" s="702">
        <v>0</v>
      </c>
      <c r="Q448" s="702">
        <v>0</v>
      </c>
    </row>
    <row r="449" spans="1:17" s="426" customFormat="1">
      <c r="A449" s="820" t="s">
        <v>242</v>
      </c>
      <c r="B449" s="746" t="s">
        <v>309</v>
      </c>
      <c r="C449" s="889">
        <v>0</v>
      </c>
      <c r="D449" s="889">
        <v>0</v>
      </c>
      <c r="E449" s="889">
        <v>0</v>
      </c>
      <c r="F449" s="889">
        <v>0</v>
      </c>
      <c r="G449" s="889">
        <v>0</v>
      </c>
      <c r="H449" s="889">
        <v>0</v>
      </c>
      <c r="I449" s="889">
        <v>0</v>
      </c>
      <c r="J449" s="889">
        <v>0</v>
      </c>
      <c r="K449" s="889">
        <v>0</v>
      </c>
      <c r="L449" s="889">
        <v>0</v>
      </c>
      <c r="M449" s="889">
        <v>0</v>
      </c>
      <c r="N449" s="889">
        <v>0</v>
      </c>
      <c r="O449" s="889">
        <v>0</v>
      </c>
      <c r="P449" s="889">
        <v>0</v>
      </c>
      <c r="Q449" s="889">
        <v>0</v>
      </c>
    </row>
    <row r="450" spans="1:17" s="426" customFormat="1">
      <c r="A450" s="829" t="s">
        <v>13</v>
      </c>
      <c r="B450" s="746"/>
      <c r="C450" s="702">
        <v>0</v>
      </c>
      <c r="D450" s="702">
        <v>0</v>
      </c>
      <c r="E450" s="702">
        <v>0</v>
      </c>
      <c r="F450" s="702">
        <v>0</v>
      </c>
      <c r="G450" s="702">
        <v>0</v>
      </c>
      <c r="H450" s="702">
        <v>0</v>
      </c>
      <c r="I450" s="702">
        <v>0</v>
      </c>
      <c r="J450" s="702">
        <v>0</v>
      </c>
      <c r="K450" s="702">
        <v>0</v>
      </c>
      <c r="L450" s="702">
        <v>0</v>
      </c>
      <c r="M450" s="702">
        <v>0</v>
      </c>
      <c r="N450" s="702">
        <v>0</v>
      </c>
      <c r="O450" s="702">
        <v>0</v>
      </c>
      <c r="P450" s="702">
        <v>0</v>
      </c>
      <c r="Q450" s="702">
        <v>0</v>
      </c>
    </row>
    <row r="451" spans="1:17" s="426" customFormat="1">
      <c r="A451" s="820" t="s">
        <v>241</v>
      </c>
      <c r="B451" s="746" t="s">
        <v>310</v>
      </c>
      <c r="C451" s="889">
        <v>0</v>
      </c>
      <c r="D451" s="889">
        <v>0</v>
      </c>
      <c r="E451" s="889">
        <v>0</v>
      </c>
      <c r="F451" s="889">
        <v>0</v>
      </c>
      <c r="G451" s="889">
        <v>0</v>
      </c>
      <c r="H451" s="889">
        <v>0</v>
      </c>
      <c r="I451" s="889">
        <v>0</v>
      </c>
      <c r="J451" s="889">
        <v>0</v>
      </c>
      <c r="K451" s="889">
        <v>0</v>
      </c>
      <c r="L451" s="889">
        <v>0</v>
      </c>
      <c r="M451" s="889">
        <v>0</v>
      </c>
      <c r="N451" s="889">
        <v>0</v>
      </c>
      <c r="O451" s="889">
        <v>0</v>
      </c>
      <c r="P451" s="889">
        <v>0</v>
      </c>
      <c r="Q451" s="889">
        <v>0</v>
      </c>
    </row>
    <row r="452" spans="1:17" s="426" customFormat="1">
      <c r="A452" s="829" t="s">
        <v>13</v>
      </c>
      <c r="B452" s="746"/>
      <c r="C452" s="702">
        <v>0</v>
      </c>
      <c r="D452" s="702">
        <v>0</v>
      </c>
      <c r="E452" s="702">
        <v>0</v>
      </c>
      <c r="F452" s="702">
        <v>0</v>
      </c>
      <c r="G452" s="702">
        <v>0</v>
      </c>
      <c r="H452" s="702">
        <v>0</v>
      </c>
      <c r="I452" s="702">
        <v>0</v>
      </c>
      <c r="J452" s="702">
        <v>0</v>
      </c>
      <c r="K452" s="702">
        <v>0</v>
      </c>
      <c r="L452" s="702">
        <v>0</v>
      </c>
      <c r="M452" s="702">
        <v>0</v>
      </c>
      <c r="N452" s="702">
        <v>0</v>
      </c>
      <c r="O452" s="702">
        <v>0</v>
      </c>
      <c r="P452" s="702">
        <v>0</v>
      </c>
      <c r="Q452" s="702">
        <v>0</v>
      </c>
    </row>
    <row r="453" spans="1:17" s="426" customFormat="1">
      <c r="A453" s="818" t="s">
        <v>144</v>
      </c>
      <c r="B453" s="746" t="s">
        <v>311</v>
      </c>
      <c r="C453" s="875">
        <v>0</v>
      </c>
      <c r="D453" s="875">
        <v>0</v>
      </c>
      <c r="E453" s="875">
        <v>0</v>
      </c>
      <c r="F453" s="875">
        <v>0</v>
      </c>
      <c r="G453" s="875">
        <v>0</v>
      </c>
      <c r="H453" s="875">
        <v>0</v>
      </c>
      <c r="I453" s="875">
        <v>0</v>
      </c>
      <c r="J453" s="875">
        <v>0</v>
      </c>
      <c r="K453" s="875">
        <v>0</v>
      </c>
      <c r="L453" s="875">
        <v>0</v>
      </c>
      <c r="M453" s="875">
        <v>0</v>
      </c>
      <c r="N453" s="875">
        <v>0</v>
      </c>
      <c r="O453" s="875">
        <v>0</v>
      </c>
      <c r="P453" s="875">
        <v>0</v>
      </c>
      <c r="Q453" s="875">
        <v>0</v>
      </c>
    </row>
    <row r="454" spans="1:17" s="426" customFormat="1">
      <c r="A454" s="829" t="s">
        <v>13</v>
      </c>
      <c r="B454" s="746"/>
      <c r="C454" s="702">
        <v>0</v>
      </c>
      <c r="D454" s="702">
        <v>0</v>
      </c>
      <c r="E454" s="702">
        <v>0</v>
      </c>
      <c r="F454" s="702">
        <v>0</v>
      </c>
      <c r="G454" s="702">
        <v>0</v>
      </c>
      <c r="H454" s="702">
        <v>0</v>
      </c>
      <c r="I454" s="702">
        <v>0</v>
      </c>
      <c r="J454" s="702">
        <v>0</v>
      </c>
      <c r="K454" s="702">
        <v>0</v>
      </c>
      <c r="L454" s="702">
        <v>0</v>
      </c>
      <c r="M454" s="702">
        <v>0</v>
      </c>
      <c r="N454" s="702">
        <v>0</v>
      </c>
      <c r="O454" s="702">
        <v>0</v>
      </c>
      <c r="P454" s="702">
        <v>0</v>
      </c>
      <c r="Q454" s="702">
        <v>0</v>
      </c>
    </row>
    <row r="455" spans="1:17" s="426" customFormat="1">
      <c r="A455" s="818" t="s">
        <v>145</v>
      </c>
      <c r="B455" s="746" t="s">
        <v>312</v>
      </c>
      <c r="C455" s="875">
        <v>0</v>
      </c>
      <c r="D455" s="875">
        <v>0</v>
      </c>
      <c r="E455" s="875">
        <v>0</v>
      </c>
      <c r="F455" s="875">
        <v>14266</v>
      </c>
      <c r="G455" s="875">
        <v>0</v>
      </c>
      <c r="H455" s="875">
        <v>0</v>
      </c>
      <c r="I455" s="875">
        <v>0</v>
      </c>
      <c r="J455" s="875">
        <v>0</v>
      </c>
      <c r="K455" s="875">
        <v>0</v>
      </c>
      <c r="L455" s="875">
        <v>0</v>
      </c>
      <c r="M455" s="875">
        <v>0</v>
      </c>
      <c r="N455" s="875">
        <v>0</v>
      </c>
      <c r="O455" s="875">
        <v>0</v>
      </c>
      <c r="P455" s="875">
        <v>0</v>
      </c>
      <c r="Q455" s="875">
        <v>0</v>
      </c>
    </row>
    <row r="456" spans="1:17" s="426" customFormat="1">
      <c r="A456" s="829" t="s">
        <v>13</v>
      </c>
      <c r="B456" s="746"/>
      <c r="C456" s="702">
        <v>14266</v>
      </c>
      <c r="D456" s="702">
        <v>14266</v>
      </c>
      <c r="E456" s="702">
        <v>14266</v>
      </c>
      <c r="F456" s="702">
        <v>14266</v>
      </c>
      <c r="G456" s="702">
        <v>0</v>
      </c>
      <c r="H456" s="702">
        <v>0</v>
      </c>
      <c r="I456" s="702">
        <v>0</v>
      </c>
      <c r="J456" s="702">
        <v>0</v>
      </c>
      <c r="K456" s="702">
        <v>0</v>
      </c>
      <c r="L456" s="702">
        <v>0</v>
      </c>
      <c r="M456" s="702">
        <v>0</v>
      </c>
      <c r="N456" s="702">
        <v>0</v>
      </c>
      <c r="O456" s="702">
        <v>0</v>
      </c>
      <c r="P456" s="702">
        <v>0</v>
      </c>
      <c r="Q456" s="702">
        <v>0</v>
      </c>
    </row>
    <row r="457" spans="1:17" s="426" customFormat="1">
      <c r="A457" s="820" t="s">
        <v>346</v>
      </c>
      <c r="B457" s="746" t="s">
        <v>528</v>
      </c>
      <c r="C457" s="875">
        <v>0</v>
      </c>
      <c r="D457" s="875">
        <v>0</v>
      </c>
      <c r="E457" s="875">
        <v>0</v>
      </c>
      <c r="F457" s="875">
        <v>0</v>
      </c>
      <c r="G457" s="875">
        <v>0</v>
      </c>
      <c r="H457" s="875">
        <v>0</v>
      </c>
      <c r="I457" s="875">
        <v>0</v>
      </c>
      <c r="J457" s="875">
        <v>0</v>
      </c>
      <c r="K457" s="875">
        <v>0</v>
      </c>
      <c r="L457" s="875">
        <v>0</v>
      </c>
      <c r="M457" s="875">
        <v>0</v>
      </c>
      <c r="N457" s="875">
        <v>0</v>
      </c>
      <c r="O457" s="875">
        <v>0</v>
      </c>
      <c r="P457" s="875">
        <v>0</v>
      </c>
      <c r="Q457" s="875">
        <v>0</v>
      </c>
    </row>
    <row r="458" spans="1:17" s="426" customFormat="1">
      <c r="A458" s="829" t="s">
        <v>13</v>
      </c>
      <c r="B458" s="746"/>
      <c r="C458" s="702">
        <v>0</v>
      </c>
      <c r="D458" s="702">
        <v>0</v>
      </c>
      <c r="E458" s="702">
        <v>0</v>
      </c>
      <c r="F458" s="702">
        <v>0</v>
      </c>
      <c r="G458" s="702">
        <v>0</v>
      </c>
      <c r="H458" s="702">
        <v>0</v>
      </c>
      <c r="I458" s="702">
        <v>0</v>
      </c>
      <c r="J458" s="702">
        <v>0</v>
      </c>
      <c r="K458" s="702">
        <v>0</v>
      </c>
      <c r="L458" s="702">
        <v>0</v>
      </c>
      <c r="M458" s="702">
        <v>0</v>
      </c>
      <c r="N458" s="702">
        <v>0</v>
      </c>
      <c r="O458" s="702">
        <v>0</v>
      </c>
      <c r="P458" s="702">
        <v>0</v>
      </c>
      <c r="Q458" s="702">
        <v>0</v>
      </c>
    </row>
    <row r="459" spans="1:17" s="426" customFormat="1">
      <c r="A459" s="818" t="s">
        <v>146</v>
      </c>
      <c r="B459" s="746" t="s">
        <v>313</v>
      </c>
      <c r="C459" s="875">
        <v>20000</v>
      </c>
      <c r="D459" s="875">
        <v>0</v>
      </c>
      <c r="E459" s="875">
        <v>0</v>
      </c>
      <c r="F459" s="875">
        <v>0</v>
      </c>
      <c r="G459" s="875">
        <v>0</v>
      </c>
      <c r="H459" s="875">
        <v>0</v>
      </c>
      <c r="I459" s="875">
        <v>0</v>
      </c>
      <c r="J459" s="875">
        <v>0</v>
      </c>
      <c r="K459" s="875">
        <v>0</v>
      </c>
      <c r="L459" s="875">
        <v>0</v>
      </c>
      <c r="M459" s="875">
        <v>0</v>
      </c>
      <c r="N459" s="875">
        <v>0</v>
      </c>
      <c r="O459" s="875">
        <v>0</v>
      </c>
      <c r="P459" s="875">
        <v>0</v>
      </c>
      <c r="Q459" s="875">
        <v>0</v>
      </c>
    </row>
    <row r="460" spans="1:17" s="426" customFormat="1">
      <c r="A460" s="830" t="s">
        <v>13</v>
      </c>
      <c r="B460" s="746"/>
      <c r="C460" s="720">
        <v>20000</v>
      </c>
      <c r="D460" s="720">
        <v>0</v>
      </c>
      <c r="E460" s="720">
        <v>0</v>
      </c>
      <c r="F460" s="720">
        <v>0</v>
      </c>
      <c r="G460" s="720">
        <v>0</v>
      </c>
      <c r="H460" s="720">
        <v>0</v>
      </c>
      <c r="I460" s="720">
        <v>0</v>
      </c>
      <c r="J460" s="720">
        <v>0</v>
      </c>
      <c r="K460" s="720">
        <v>0</v>
      </c>
      <c r="L460" s="720">
        <v>0</v>
      </c>
      <c r="M460" s="720">
        <v>0</v>
      </c>
      <c r="N460" s="720">
        <v>0</v>
      </c>
      <c r="O460" s="720">
        <v>0</v>
      </c>
      <c r="P460" s="720">
        <v>0</v>
      </c>
      <c r="Q460" s="720">
        <v>0</v>
      </c>
    </row>
    <row r="461" spans="1:17">
      <c r="A461" s="28" t="s">
        <v>147</v>
      </c>
      <c r="B461" s="746" t="s">
        <v>314</v>
      </c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0</v>
      </c>
      <c r="K461" s="875">
        <v>0</v>
      </c>
      <c r="L461" s="875">
        <v>0</v>
      </c>
      <c r="M461" s="875">
        <v>0</v>
      </c>
      <c r="N461" s="875">
        <v>0</v>
      </c>
      <c r="O461" s="875">
        <v>0</v>
      </c>
      <c r="P461" s="875">
        <v>0</v>
      </c>
      <c r="Q461" s="875">
        <v>0</v>
      </c>
    </row>
    <row r="462" spans="1:17" s="426" customFormat="1">
      <c r="A462" s="830" t="s">
        <v>13</v>
      </c>
      <c r="B462" s="746"/>
      <c r="C462" s="702">
        <v>0</v>
      </c>
      <c r="D462" s="702">
        <v>0</v>
      </c>
      <c r="E462" s="702">
        <v>0</v>
      </c>
      <c r="F462" s="702">
        <v>0</v>
      </c>
      <c r="G462" s="702">
        <v>0</v>
      </c>
      <c r="H462" s="702">
        <v>0</v>
      </c>
      <c r="I462" s="702">
        <v>0</v>
      </c>
      <c r="J462" s="702">
        <v>0</v>
      </c>
      <c r="K462" s="702">
        <v>0</v>
      </c>
      <c r="L462" s="702">
        <v>0</v>
      </c>
      <c r="M462" s="702">
        <v>0</v>
      </c>
      <c r="N462" s="702">
        <v>0</v>
      </c>
      <c r="O462" s="702">
        <v>0</v>
      </c>
      <c r="P462" s="702">
        <v>0</v>
      </c>
      <c r="Q462" s="702">
        <v>0</v>
      </c>
    </row>
    <row r="463" spans="1:17" s="426" customFormat="1">
      <c r="A463" s="825" t="s">
        <v>230</v>
      </c>
      <c r="B463" s="746" t="s">
        <v>315</v>
      </c>
      <c r="C463" s="875">
        <v>19000</v>
      </c>
      <c r="D463" s="875">
        <v>0</v>
      </c>
      <c r="E463" s="875">
        <v>0</v>
      </c>
      <c r="F463" s="875">
        <v>0</v>
      </c>
      <c r="G463" s="875">
        <v>0</v>
      </c>
      <c r="H463" s="875">
        <v>0</v>
      </c>
      <c r="I463" s="875">
        <v>0</v>
      </c>
      <c r="J463" s="875">
        <v>0</v>
      </c>
      <c r="K463" s="875">
        <v>0</v>
      </c>
      <c r="L463" s="875">
        <v>0</v>
      </c>
      <c r="M463" s="875">
        <v>0</v>
      </c>
      <c r="N463" s="875">
        <v>0</v>
      </c>
      <c r="O463" s="875">
        <v>0</v>
      </c>
      <c r="P463" s="875">
        <v>0</v>
      </c>
      <c r="Q463" s="875">
        <v>0</v>
      </c>
    </row>
    <row r="464" spans="1:17" s="426" customFormat="1">
      <c r="A464" s="830" t="s">
        <v>13</v>
      </c>
      <c r="B464" s="746"/>
      <c r="C464" s="702">
        <v>19000</v>
      </c>
      <c r="D464" s="702">
        <v>0</v>
      </c>
      <c r="E464" s="702">
        <v>0</v>
      </c>
      <c r="F464" s="702">
        <v>0</v>
      </c>
      <c r="G464" s="702">
        <v>0</v>
      </c>
      <c r="H464" s="702">
        <v>0</v>
      </c>
      <c r="I464" s="702">
        <v>0</v>
      </c>
      <c r="J464" s="702">
        <v>0</v>
      </c>
      <c r="K464" s="702">
        <v>0</v>
      </c>
      <c r="L464" s="702">
        <v>0</v>
      </c>
      <c r="M464" s="702">
        <v>0</v>
      </c>
      <c r="N464" s="702">
        <v>0</v>
      </c>
      <c r="O464" s="702">
        <v>0</v>
      </c>
      <c r="P464" s="702">
        <v>0</v>
      </c>
      <c r="Q464" s="702">
        <v>0</v>
      </c>
    </row>
    <row r="465" spans="1:17" s="426" customFormat="1">
      <c r="A465" s="825" t="s">
        <v>231</v>
      </c>
      <c r="B465" s="746" t="s">
        <v>316</v>
      </c>
      <c r="C465" s="875">
        <v>0</v>
      </c>
      <c r="D465" s="875">
        <v>0</v>
      </c>
      <c r="E465" s="875">
        <v>0</v>
      </c>
      <c r="F465" s="875">
        <v>0</v>
      </c>
      <c r="G465" s="875">
        <v>0</v>
      </c>
      <c r="H465" s="875">
        <v>0</v>
      </c>
      <c r="I465" s="875">
        <v>0</v>
      </c>
      <c r="J465" s="875">
        <v>0</v>
      </c>
      <c r="K465" s="875">
        <v>0</v>
      </c>
      <c r="L465" s="875">
        <v>0</v>
      </c>
      <c r="M465" s="875">
        <v>0</v>
      </c>
      <c r="N465" s="875">
        <v>0</v>
      </c>
      <c r="O465" s="875">
        <v>0</v>
      </c>
      <c r="P465" s="875">
        <v>0</v>
      </c>
      <c r="Q465" s="875">
        <v>0</v>
      </c>
    </row>
    <row r="466" spans="1:17" s="426" customFormat="1">
      <c r="A466" s="830" t="s">
        <v>13</v>
      </c>
      <c r="B466" s="746"/>
      <c r="C466" s="702">
        <v>0</v>
      </c>
      <c r="D466" s="702">
        <v>0</v>
      </c>
      <c r="E466" s="702">
        <v>0</v>
      </c>
      <c r="F466" s="702">
        <v>0</v>
      </c>
      <c r="G466" s="702">
        <v>0</v>
      </c>
      <c r="H466" s="702">
        <v>0</v>
      </c>
      <c r="I466" s="702">
        <v>0</v>
      </c>
      <c r="J466" s="702">
        <v>0</v>
      </c>
      <c r="K466" s="702">
        <v>0</v>
      </c>
      <c r="L466" s="702">
        <v>0</v>
      </c>
      <c r="M466" s="702">
        <v>0</v>
      </c>
      <c r="N466" s="702">
        <v>0</v>
      </c>
      <c r="O466" s="702">
        <v>0</v>
      </c>
      <c r="P466" s="702">
        <v>0</v>
      </c>
      <c r="Q466" s="702">
        <v>0</v>
      </c>
    </row>
    <row r="467" spans="1:17" s="426" customFormat="1">
      <c r="A467" s="825" t="s">
        <v>232</v>
      </c>
      <c r="B467" s="746" t="s">
        <v>317</v>
      </c>
      <c r="C467" s="875">
        <v>6000</v>
      </c>
      <c r="D467" s="875">
        <v>0</v>
      </c>
      <c r="E467" s="875">
        <v>0</v>
      </c>
      <c r="F467" s="875">
        <v>0</v>
      </c>
      <c r="G467" s="875">
        <v>0</v>
      </c>
      <c r="H467" s="875">
        <v>0</v>
      </c>
      <c r="I467" s="875">
        <v>0</v>
      </c>
      <c r="J467" s="875">
        <v>0</v>
      </c>
      <c r="K467" s="875">
        <v>6000</v>
      </c>
      <c r="L467" s="875">
        <v>0</v>
      </c>
      <c r="M467" s="875">
        <v>0</v>
      </c>
      <c r="N467" s="875">
        <v>0</v>
      </c>
      <c r="O467" s="875">
        <v>0</v>
      </c>
      <c r="P467" s="875">
        <v>0</v>
      </c>
      <c r="Q467" s="875">
        <v>0</v>
      </c>
    </row>
    <row r="468" spans="1:17" s="426" customFormat="1">
      <c r="A468" s="830" t="s">
        <v>13</v>
      </c>
      <c r="B468" s="746"/>
      <c r="C468" s="702">
        <v>12000</v>
      </c>
      <c r="D468" s="702">
        <v>6000</v>
      </c>
      <c r="E468" s="702">
        <v>6000</v>
      </c>
      <c r="F468" s="702">
        <v>6000</v>
      </c>
      <c r="G468" s="702">
        <v>6000</v>
      </c>
      <c r="H468" s="702">
        <v>6000</v>
      </c>
      <c r="I468" s="702">
        <v>6000</v>
      </c>
      <c r="J468" s="702">
        <v>6000</v>
      </c>
      <c r="K468" s="702">
        <v>6000</v>
      </c>
      <c r="L468" s="702">
        <v>0</v>
      </c>
      <c r="M468" s="702">
        <v>0</v>
      </c>
      <c r="N468" s="702">
        <v>0</v>
      </c>
      <c r="O468" s="702">
        <v>0</v>
      </c>
      <c r="P468" s="702">
        <v>0</v>
      </c>
      <c r="Q468" s="702">
        <v>0</v>
      </c>
    </row>
    <row r="469" spans="1:17" s="426" customFormat="1">
      <c r="A469" s="825" t="s">
        <v>233</v>
      </c>
      <c r="B469" s="746" t="s">
        <v>318</v>
      </c>
      <c r="C469" s="875">
        <v>0</v>
      </c>
      <c r="D469" s="875">
        <v>0</v>
      </c>
      <c r="E469" s="875">
        <v>0</v>
      </c>
      <c r="F469" s="875">
        <v>0</v>
      </c>
      <c r="G469" s="875">
        <v>0</v>
      </c>
      <c r="H469" s="875">
        <v>0</v>
      </c>
      <c r="I469" s="875">
        <v>0</v>
      </c>
      <c r="J469" s="875">
        <v>0</v>
      </c>
      <c r="K469" s="875">
        <v>0</v>
      </c>
      <c r="L469" s="875">
        <v>0</v>
      </c>
      <c r="M469" s="875">
        <v>0</v>
      </c>
      <c r="N469" s="875">
        <v>0</v>
      </c>
      <c r="O469" s="875">
        <v>0</v>
      </c>
      <c r="P469" s="875">
        <v>0</v>
      </c>
      <c r="Q469" s="875">
        <v>0</v>
      </c>
    </row>
    <row r="470" spans="1:17" s="426" customFormat="1">
      <c r="A470" s="830" t="s">
        <v>13</v>
      </c>
      <c r="B470" s="746"/>
      <c r="C470" s="702">
        <v>0</v>
      </c>
      <c r="D470" s="702">
        <v>0</v>
      </c>
      <c r="E470" s="702">
        <v>0</v>
      </c>
      <c r="F470" s="702">
        <v>0</v>
      </c>
      <c r="G470" s="702">
        <v>0</v>
      </c>
      <c r="H470" s="702">
        <v>0</v>
      </c>
      <c r="I470" s="702">
        <v>0</v>
      </c>
      <c r="J470" s="702">
        <v>0</v>
      </c>
      <c r="K470" s="702">
        <v>0</v>
      </c>
      <c r="L470" s="702">
        <v>0</v>
      </c>
      <c r="M470" s="702">
        <v>0</v>
      </c>
      <c r="N470" s="702">
        <v>0</v>
      </c>
      <c r="O470" s="702">
        <v>0</v>
      </c>
      <c r="P470" s="702">
        <v>0</v>
      </c>
      <c r="Q470" s="702">
        <v>0</v>
      </c>
    </row>
    <row r="471" spans="1:17" s="426" customFormat="1">
      <c r="A471" s="825" t="s">
        <v>234</v>
      </c>
      <c r="B471" s="746" t="s">
        <v>319</v>
      </c>
      <c r="C471" s="875">
        <v>0</v>
      </c>
      <c r="D471" s="875">
        <v>0</v>
      </c>
      <c r="E471" s="875">
        <v>0</v>
      </c>
      <c r="F471" s="875">
        <v>0</v>
      </c>
      <c r="G471" s="875">
        <v>0</v>
      </c>
      <c r="H471" s="875">
        <v>0</v>
      </c>
      <c r="I471" s="875">
        <v>0</v>
      </c>
      <c r="J471" s="875">
        <v>0</v>
      </c>
      <c r="K471" s="875">
        <v>0</v>
      </c>
      <c r="L471" s="875">
        <v>0</v>
      </c>
      <c r="M471" s="875">
        <v>0</v>
      </c>
      <c r="N471" s="875">
        <v>0</v>
      </c>
      <c r="O471" s="875">
        <v>0</v>
      </c>
      <c r="P471" s="875">
        <v>0</v>
      </c>
      <c r="Q471" s="875">
        <v>0</v>
      </c>
    </row>
    <row r="472" spans="1:17" s="426" customFormat="1">
      <c r="A472" s="830" t="s">
        <v>13</v>
      </c>
      <c r="B472" s="746"/>
      <c r="C472" s="702">
        <v>0</v>
      </c>
      <c r="D472" s="702">
        <v>0</v>
      </c>
      <c r="E472" s="702">
        <v>0</v>
      </c>
      <c r="F472" s="702">
        <v>0</v>
      </c>
      <c r="G472" s="702">
        <v>0</v>
      </c>
      <c r="H472" s="702">
        <v>0</v>
      </c>
      <c r="I472" s="702">
        <v>0</v>
      </c>
      <c r="J472" s="702">
        <v>0</v>
      </c>
      <c r="K472" s="702">
        <v>0</v>
      </c>
      <c r="L472" s="702">
        <v>0</v>
      </c>
      <c r="M472" s="702">
        <v>0</v>
      </c>
      <c r="N472" s="702">
        <v>0</v>
      </c>
      <c r="O472" s="702">
        <v>0</v>
      </c>
      <c r="P472" s="702">
        <v>0</v>
      </c>
      <c r="Q472" s="702">
        <v>0</v>
      </c>
    </row>
    <row r="473" spans="1:17" s="426" customFormat="1">
      <c r="A473" s="825" t="s">
        <v>235</v>
      </c>
      <c r="B473" s="746" t="s">
        <v>320</v>
      </c>
      <c r="C473" s="875">
        <v>0</v>
      </c>
      <c r="D473" s="875">
        <v>0</v>
      </c>
      <c r="E473" s="875">
        <v>0</v>
      </c>
      <c r="F473" s="875">
        <v>0</v>
      </c>
      <c r="G473" s="875">
        <v>0</v>
      </c>
      <c r="H473" s="875">
        <v>0</v>
      </c>
      <c r="I473" s="875">
        <v>0</v>
      </c>
      <c r="J473" s="875">
        <v>0</v>
      </c>
      <c r="K473" s="875">
        <v>0</v>
      </c>
      <c r="L473" s="875">
        <v>0</v>
      </c>
      <c r="M473" s="875">
        <v>0</v>
      </c>
      <c r="N473" s="875">
        <v>0</v>
      </c>
      <c r="O473" s="875">
        <v>0</v>
      </c>
      <c r="P473" s="875">
        <v>0</v>
      </c>
      <c r="Q473" s="875">
        <v>0</v>
      </c>
    </row>
    <row r="474" spans="1:17" s="426" customFormat="1">
      <c r="A474" s="830" t="s">
        <v>13</v>
      </c>
      <c r="B474" s="746"/>
      <c r="C474" s="702">
        <v>0</v>
      </c>
      <c r="D474" s="702">
        <v>0</v>
      </c>
      <c r="E474" s="702">
        <v>0</v>
      </c>
      <c r="F474" s="702">
        <v>0</v>
      </c>
      <c r="G474" s="702">
        <v>0</v>
      </c>
      <c r="H474" s="702">
        <v>0</v>
      </c>
      <c r="I474" s="702">
        <v>0</v>
      </c>
      <c r="J474" s="702">
        <v>0</v>
      </c>
      <c r="K474" s="702">
        <v>0</v>
      </c>
      <c r="L474" s="702">
        <v>0</v>
      </c>
      <c r="M474" s="702">
        <v>0</v>
      </c>
      <c r="N474" s="702">
        <v>0</v>
      </c>
      <c r="O474" s="702">
        <v>0</v>
      </c>
      <c r="P474" s="702">
        <v>0</v>
      </c>
      <c r="Q474" s="702">
        <v>0</v>
      </c>
    </row>
    <row r="475" spans="1:17" s="426" customFormat="1">
      <c r="A475" s="825" t="s">
        <v>236</v>
      </c>
      <c r="B475" s="746" t="s">
        <v>321</v>
      </c>
      <c r="C475" s="875">
        <v>0</v>
      </c>
      <c r="D475" s="875">
        <v>0</v>
      </c>
      <c r="E475" s="875">
        <v>0</v>
      </c>
      <c r="F475" s="875">
        <v>0</v>
      </c>
      <c r="G475" s="875">
        <v>0</v>
      </c>
      <c r="H475" s="875">
        <v>0</v>
      </c>
      <c r="I475" s="875">
        <v>0</v>
      </c>
      <c r="J475" s="875">
        <v>0</v>
      </c>
      <c r="K475" s="875">
        <v>0</v>
      </c>
      <c r="L475" s="875">
        <v>0</v>
      </c>
      <c r="M475" s="875">
        <v>0</v>
      </c>
      <c r="N475" s="875">
        <v>0</v>
      </c>
      <c r="O475" s="875">
        <v>0</v>
      </c>
      <c r="P475" s="875">
        <v>0</v>
      </c>
      <c r="Q475" s="875">
        <v>0</v>
      </c>
    </row>
    <row r="476" spans="1:17" s="426" customFormat="1">
      <c r="A476" s="830" t="s">
        <v>13</v>
      </c>
      <c r="B476" s="746"/>
      <c r="C476" s="702">
        <v>0</v>
      </c>
      <c r="D476" s="702">
        <v>0</v>
      </c>
      <c r="E476" s="702">
        <v>0</v>
      </c>
      <c r="F476" s="702">
        <v>0</v>
      </c>
      <c r="G476" s="702">
        <v>0</v>
      </c>
      <c r="H476" s="702">
        <v>0</v>
      </c>
      <c r="I476" s="702">
        <v>0</v>
      </c>
      <c r="J476" s="702">
        <v>0</v>
      </c>
      <c r="K476" s="702">
        <v>0</v>
      </c>
      <c r="L476" s="702">
        <v>0</v>
      </c>
      <c r="M476" s="702">
        <v>0</v>
      </c>
      <c r="N476" s="702">
        <v>0</v>
      </c>
      <c r="O476" s="702">
        <v>0</v>
      </c>
      <c r="P476" s="702">
        <v>0</v>
      </c>
      <c r="Q476" s="702">
        <v>0</v>
      </c>
    </row>
    <row r="477" spans="1:17">
      <c r="A477" s="825" t="s">
        <v>151</v>
      </c>
      <c r="B477" s="746"/>
      <c r="C477" s="875">
        <v>45000</v>
      </c>
      <c r="D477" s="875">
        <v>0</v>
      </c>
      <c r="E477" s="875">
        <v>0</v>
      </c>
      <c r="F477" s="875">
        <v>32766</v>
      </c>
      <c r="G477" s="875">
        <v>0</v>
      </c>
      <c r="H477" s="875">
        <v>0</v>
      </c>
      <c r="I477" s="875">
        <v>0</v>
      </c>
      <c r="J477" s="875">
        <v>0</v>
      </c>
      <c r="K477" s="875">
        <v>6000</v>
      </c>
      <c r="L477" s="875">
        <v>0</v>
      </c>
      <c r="M477" s="875">
        <v>0</v>
      </c>
      <c r="N477" s="875">
        <v>0</v>
      </c>
      <c r="O477" s="875">
        <v>0</v>
      </c>
      <c r="P477" s="875">
        <v>0</v>
      </c>
      <c r="Q477" s="875">
        <v>0</v>
      </c>
    </row>
    <row r="478" spans="1:17" s="426" customFormat="1">
      <c r="A478" s="831" t="s">
        <v>13</v>
      </c>
      <c r="B478" s="792"/>
      <c r="C478" s="702">
        <v>83766</v>
      </c>
      <c r="D478" s="702">
        <v>38766</v>
      </c>
      <c r="E478" s="702">
        <v>38766</v>
      </c>
      <c r="F478" s="702">
        <v>38766</v>
      </c>
      <c r="G478" s="702">
        <v>6000</v>
      </c>
      <c r="H478" s="702">
        <v>6000</v>
      </c>
      <c r="I478" s="702">
        <v>6000</v>
      </c>
      <c r="J478" s="702">
        <v>6000</v>
      </c>
      <c r="K478" s="702">
        <v>6000</v>
      </c>
      <c r="L478" s="702">
        <v>0</v>
      </c>
      <c r="M478" s="702">
        <v>0</v>
      </c>
      <c r="N478" s="702">
        <v>0</v>
      </c>
      <c r="O478" s="702">
        <v>0</v>
      </c>
      <c r="P478" s="702">
        <v>0</v>
      </c>
      <c r="Q478" s="702">
        <v>0</v>
      </c>
    </row>
    <row r="479" spans="1:17">
      <c r="A479" s="1"/>
      <c r="B479" s="748"/>
      <c r="C479" s="890"/>
      <c r="D479" s="890"/>
      <c r="E479" s="890"/>
      <c r="F479" s="890"/>
      <c r="G479" s="890"/>
      <c r="H479" s="890"/>
      <c r="I479" s="890"/>
      <c r="J479" s="890"/>
      <c r="K479" s="890"/>
      <c r="L479" s="890"/>
      <c r="M479" s="890"/>
      <c r="N479" s="890"/>
      <c r="O479" s="890"/>
      <c r="P479" s="890"/>
      <c r="Q479" s="890"/>
    </row>
    <row r="480" spans="1:17" s="426" customFormat="1">
      <c r="A480" s="29" t="s">
        <v>156</v>
      </c>
      <c r="B480" s="748"/>
      <c r="C480" s="891"/>
      <c r="D480" s="891"/>
      <c r="E480" s="891"/>
      <c r="F480" s="891"/>
      <c r="G480" s="891"/>
      <c r="H480" s="891"/>
      <c r="I480" s="891"/>
      <c r="J480" s="891"/>
      <c r="K480" s="891"/>
      <c r="L480" s="891"/>
      <c r="M480" s="891"/>
      <c r="N480" s="891"/>
      <c r="O480" s="891"/>
      <c r="P480" s="891"/>
      <c r="Q480" s="891"/>
    </row>
    <row r="481" spans="1:17">
      <c r="A481" s="28" t="s">
        <v>157</v>
      </c>
      <c r="B481" s="746"/>
      <c r="C481" s="875"/>
      <c r="D481" s="875"/>
      <c r="E481" s="875"/>
      <c r="F481" s="875"/>
      <c r="G481" s="875"/>
      <c r="H481" s="875"/>
      <c r="I481" s="875"/>
      <c r="J481" s="875"/>
      <c r="K481" s="875"/>
      <c r="L481" s="875"/>
      <c r="M481" s="875"/>
      <c r="N481" s="875"/>
      <c r="O481" s="875"/>
      <c r="P481" s="875"/>
      <c r="Q481" s="875"/>
    </row>
    <row r="482" spans="1:17">
      <c r="A482" s="28" t="s">
        <v>158</v>
      </c>
      <c r="B482" s="746" t="s">
        <v>322</v>
      </c>
      <c r="C482" s="875">
        <v>0</v>
      </c>
      <c r="D482" s="875">
        <v>0</v>
      </c>
      <c r="E482" s="875">
        <v>0</v>
      </c>
      <c r="F482" s="875">
        <v>0</v>
      </c>
      <c r="G482" s="875">
        <v>0</v>
      </c>
      <c r="H482" s="875">
        <v>3894000</v>
      </c>
      <c r="I482" s="875">
        <v>0</v>
      </c>
      <c r="J482" s="875">
        <v>0</v>
      </c>
      <c r="K482" s="875">
        <v>0</v>
      </c>
      <c r="L482" s="875">
        <v>0</v>
      </c>
      <c r="M482" s="875">
        <v>0</v>
      </c>
      <c r="N482" s="875">
        <v>0</v>
      </c>
      <c r="O482" s="875">
        <v>0</v>
      </c>
      <c r="P482" s="875">
        <v>0</v>
      </c>
      <c r="Q482" s="875">
        <v>0</v>
      </c>
    </row>
    <row r="483" spans="1:17" s="712" customFormat="1">
      <c r="A483" s="829" t="s">
        <v>13</v>
      </c>
      <c r="B483" s="780"/>
      <c r="C483" s="702">
        <v>3894000</v>
      </c>
      <c r="D483" s="702">
        <v>3894000</v>
      </c>
      <c r="E483" s="702">
        <v>3894000</v>
      </c>
      <c r="F483" s="702">
        <v>3894000</v>
      </c>
      <c r="G483" s="702">
        <v>3894000</v>
      </c>
      <c r="H483" s="702">
        <v>3894000</v>
      </c>
      <c r="I483" s="702">
        <v>0</v>
      </c>
      <c r="J483" s="702">
        <v>0</v>
      </c>
      <c r="K483" s="702">
        <v>0</v>
      </c>
      <c r="L483" s="702">
        <v>0</v>
      </c>
      <c r="M483" s="702">
        <v>0</v>
      </c>
      <c r="N483" s="702">
        <v>0</v>
      </c>
      <c r="O483" s="702">
        <v>0</v>
      </c>
      <c r="P483" s="702">
        <v>0</v>
      </c>
      <c r="Q483" s="702">
        <v>0</v>
      </c>
    </row>
    <row r="484" spans="1:17">
      <c r="A484" s="28" t="s">
        <v>159</v>
      </c>
      <c r="B484" s="746" t="s">
        <v>323</v>
      </c>
      <c r="C484" s="875">
        <v>0</v>
      </c>
      <c r="D484" s="875">
        <v>0</v>
      </c>
      <c r="E484" s="875">
        <v>0</v>
      </c>
      <c r="F484" s="875">
        <v>0</v>
      </c>
      <c r="G484" s="875">
        <v>0</v>
      </c>
      <c r="H484" s="875">
        <v>0</v>
      </c>
      <c r="I484" s="875">
        <v>0</v>
      </c>
      <c r="J484" s="875">
        <v>0</v>
      </c>
      <c r="K484" s="875">
        <v>0</v>
      </c>
      <c r="L484" s="875">
        <v>0</v>
      </c>
      <c r="M484" s="875">
        <v>0</v>
      </c>
      <c r="N484" s="875">
        <v>0</v>
      </c>
      <c r="O484" s="875">
        <v>0</v>
      </c>
      <c r="P484" s="875">
        <v>0</v>
      </c>
      <c r="Q484" s="875">
        <v>0</v>
      </c>
    </row>
    <row r="485" spans="1:17" s="712" customFormat="1">
      <c r="A485" s="829" t="s">
        <v>13</v>
      </c>
      <c r="B485" s="780"/>
      <c r="C485" s="702">
        <v>0</v>
      </c>
      <c r="D485" s="702">
        <v>0</v>
      </c>
      <c r="E485" s="702">
        <v>0</v>
      </c>
      <c r="F485" s="702">
        <v>0</v>
      </c>
      <c r="G485" s="702">
        <v>0</v>
      </c>
      <c r="H485" s="702">
        <v>0</v>
      </c>
      <c r="I485" s="702">
        <v>0</v>
      </c>
      <c r="J485" s="702">
        <v>0</v>
      </c>
      <c r="K485" s="702">
        <v>0</v>
      </c>
      <c r="L485" s="702">
        <v>0</v>
      </c>
      <c r="M485" s="702">
        <v>0</v>
      </c>
      <c r="N485" s="702">
        <v>0</v>
      </c>
      <c r="O485" s="702">
        <v>0</v>
      </c>
      <c r="P485" s="702">
        <v>0</v>
      </c>
      <c r="Q485" s="702">
        <v>0</v>
      </c>
    </row>
    <row r="486" spans="1:17" s="265" customFormat="1">
      <c r="A486" s="820" t="s">
        <v>151</v>
      </c>
      <c r="B486" s="832"/>
      <c r="C486" s="875">
        <v>0</v>
      </c>
      <c r="D486" s="875">
        <v>0</v>
      </c>
      <c r="E486" s="875">
        <v>0</v>
      </c>
      <c r="F486" s="875">
        <v>0</v>
      </c>
      <c r="G486" s="875">
        <v>0</v>
      </c>
      <c r="H486" s="875">
        <v>3894000</v>
      </c>
      <c r="I486" s="875">
        <v>0</v>
      </c>
      <c r="J486" s="875">
        <v>0</v>
      </c>
      <c r="K486" s="875">
        <v>0</v>
      </c>
      <c r="L486" s="875">
        <v>0</v>
      </c>
      <c r="M486" s="875">
        <v>0</v>
      </c>
      <c r="N486" s="875">
        <v>0</v>
      </c>
      <c r="O486" s="875">
        <v>0</v>
      </c>
      <c r="P486" s="875">
        <v>0</v>
      </c>
      <c r="Q486" s="875">
        <v>0</v>
      </c>
    </row>
    <row r="487" spans="1:17">
      <c r="A487" s="830" t="s">
        <v>13</v>
      </c>
      <c r="B487" s="746"/>
      <c r="C487" s="720">
        <v>3894000</v>
      </c>
      <c r="D487" s="720">
        <v>3894000</v>
      </c>
      <c r="E487" s="720">
        <v>3894000</v>
      </c>
      <c r="F487" s="720">
        <v>3894000</v>
      </c>
      <c r="G487" s="720">
        <v>3894000</v>
      </c>
      <c r="H487" s="720">
        <v>3894000</v>
      </c>
      <c r="I487" s="720">
        <v>0</v>
      </c>
      <c r="J487" s="720">
        <v>0</v>
      </c>
      <c r="K487" s="720">
        <v>0</v>
      </c>
      <c r="L487" s="720">
        <v>0</v>
      </c>
      <c r="M487" s="720">
        <v>0</v>
      </c>
      <c r="N487" s="720">
        <v>0</v>
      </c>
      <c r="O487" s="720">
        <v>0</v>
      </c>
      <c r="P487" s="720">
        <v>0</v>
      </c>
      <c r="Q487" s="720">
        <v>0</v>
      </c>
    </row>
    <row r="488" spans="1:17">
      <c r="A488" s="833" t="s">
        <v>167</v>
      </c>
      <c r="B488" s="746"/>
      <c r="C488" s="720">
        <v>-3894000</v>
      </c>
      <c r="D488" s="720">
        <v>-3894000</v>
      </c>
      <c r="E488" s="720">
        <v>-3894000</v>
      </c>
      <c r="F488" s="720">
        <v>-3894000</v>
      </c>
      <c r="G488" s="720">
        <v>-3894000</v>
      </c>
      <c r="H488" s="720">
        <v>-3894000</v>
      </c>
      <c r="I488" s="720">
        <v>0</v>
      </c>
      <c r="J488" s="720">
        <v>0</v>
      </c>
      <c r="K488" s="720">
        <v>0</v>
      </c>
      <c r="L488" s="720">
        <v>0</v>
      </c>
      <c r="M488" s="720">
        <v>0</v>
      </c>
      <c r="N488" s="720">
        <v>0</v>
      </c>
      <c r="O488" s="720">
        <v>0</v>
      </c>
      <c r="P488" s="720">
        <v>0</v>
      </c>
      <c r="Q488" s="720">
        <v>0</v>
      </c>
    </row>
    <row r="489" spans="1:17">
      <c r="A489" s="834"/>
      <c r="B489" s="748"/>
      <c r="C489" s="892"/>
      <c r="D489" s="892"/>
      <c r="E489" s="892"/>
      <c r="F489" s="892"/>
      <c r="G489" s="892"/>
      <c r="H489" s="892"/>
      <c r="I489" s="892"/>
      <c r="J489" s="892"/>
      <c r="K489" s="892"/>
      <c r="L489" s="892"/>
      <c r="M489" s="892"/>
      <c r="N489" s="892"/>
      <c r="O489" s="892"/>
      <c r="P489" s="892"/>
      <c r="Q489" s="892"/>
    </row>
    <row r="490" spans="1:17">
      <c r="A490" s="834" t="s">
        <v>364</v>
      </c>
      <c r="B490" s="748"/>
      <c r="C490" s="892">
        <v>0</v>
      </c>
      <c r="D490" s="892">
        <v>0</v>
      </c>
      <c r="E490" s="892">
        <v>0</v>
      </c>
      <c r="F490" s="892">
        <v>100000</v>
      </c>
      <c r="G490" s="892">
        <v>0</v>
      </c>
      <c r="H490" s="892">
        <v>0</v>
      </c>
      <c r="I490" s="892">
        <v>0</v>
      </c>
      <c r="J490" s="892">
        <v>0</v>
      </c>
      <c r="K490" s="892">
        <v>0</v>
      </c>
      <c r="L490" s="892">
        <v>0</v>
      </c>
      <c r="M490" s="892">
        <v>0</v>
      </c>
      <c r="N490" s="892">
        <v>0</v>
      </c>
      <c r="O490" s="892">
        <v>0</v>
      </c>
      <c r="P490" s="892">
        <v>0</v>
      </c>
      <c r="Q490" s="892">
        <v>0</v>
      </c>
    </row>
    <row r="491" spans="1:17">
      <c r="A491" s="835" t="s">
        <v>13</v>
      </c>
      <c r="B491" s="748"/>
      <c r="C491" s="720">
        <v>100000</v>
      </c>
      <c r="D491" s="720">
        <v>100000</v>
      </c>
      <c r="E491" s="720">
        <v>100000</v>
      </c>
      <c r="F491" s="720">
        <v>100000</v>
      </c>
      <c r="G491" s="720">
        <v>0</v>
      </c>
      <c r="H491" s="720">
        <v>0</v>
      </c>
      <c r="I491" s="720">
        <v>0</v>
      </c>
      <c r="J491" s="720">
        <v>0</v>
      </c>
      <c r="K491" s="720">
        <v>0</v>
      </c>
      <c r="L491" s="720">
        <v>0</v>
      </c>
      <c r="M491" s="720">
        <v>0</v>
      </c>
      <c r="N491" s="720">
        <v>0</v>
      </c>
      <c r="O491" s="720">
        <v>0</v>
      </c>
      <c r="P491" s="720">
        <v>0</v>
      </c>
      <c r="Q491" s="720">
        <v>0</v>
      </c>
    </row>
    <row r="492" spans="1:17">
      <c r="A492" s="836" t="s">
        <v>365</v>
      </c>
      <c r="B492" s="748" t="s">
        <v>529</v>
      </c>
      <c r="C492" s="892">
        <v>0</v>
      </c>
      <c r="D492" s="892">
        <v>0</v>
      </c>
      <c r="E492" s="892">
        <v>0</v>
      </c>
      <c r="F492" s="892">
        <v>0</v>
      </c>
      <c r="G492" s="892">
        <v>0</v>
      </c>
      <c r="H492" s="892">
        <v>0</v>
      </c>
      <c r="I492" s="892">
        <v>0</v>
      </c>
      <c r="J492" s="892">
        <v>0</v>
      </c>
      <c r="K492" s="892">
        <v>0</v>
      </c>
      <c r="L492" s="892">
        <v>0</v>
      </c>
      <c r="M492" s="892">
        <v>0</v>
      </c>
      <c r="N492" s="892">
        <v>0</v>
      </c>
      <c r="O492" s="892">
        <v>0</v>
      </c>
      <c r="P492" s="892">
        <v>0</v>
      </c>
      <c r="Q492" s="892">
        <v>0</v>
      </c>
    </row>
    <row r="493" spans="1:17">
      <c r="A493" s="835" t="s">
        <v>13</v>
      </c>
      <c r="B493" s="748"/>
      <c r="C493" s="720">
        <v>0</v>
      </c>
      <c r="D493" s="720">
        <v>0</v>
      </c>
      <c r="E493" s="720">
        <v>0</v>
      </c>
      <c r="F493" s="720">
        <v>0</v>
      </c>
      <c r="G493" s="720">
        <v>0</v>
      </c>
      <c r="H493" s="720">
        <v>0</v>
      </c>
      <c r="I493" s="720">
        <v>0</v>
      </c>
      <c r="J493" s="720">
        <v>0</v>
      </c>
      <c r="K493" s="720">
        <v>0</v>
      </c>
      <c r="L493" s="720">
        <v>0</v>
      </c>
      <c r="M493" s="720">
        <v>0</v>
      </c>
      <c r="N493" s="720">
        <v>0</v>
      </c>
      <c r="O493" s="720">
        <v>0</v>
      </c>
      <c r="P493" s="720">
        <v>0</v>
      </c>
      <c r="Q493" s="720">
        <v>0</v>
      </c>
    </row>
    <row r="494" spans="1:17">
      <c r="A494" s="836" t="s">
        <v>366</v>
      </c>
      <c r="B494" s="748" t="s">
        <v>530</v>
      </c>
      <c r="C494" s="892">
        <v>0</v>
      </c>
      <c r="D494" s="892">
        <v>0</v>
      </c>
      <c r="E494" s="892">
        <v>0</v>
      </c>
      <c r="F494" s="892">
        <v>100000</v>
      </c>
      <c r="G494" s="892">
        <v>0</v>
      </c>
      <c r="H494" s="892">
        <v>0</v>
      </c>
      <c r="I494" s="892">
        <v>0</v>
      </c>
      <c r="J494" s="892">
        <v>0</v>
      </c>
      <c r="K494" s="892">
        <v>0</v>
      </c>
      <c r="L494" s="892">
        <v>0</v>
      </c>
      <c r="M494" s="892">
        <v>0</v>
      </c>
      <c r="N494" s="892">
        <v>0</v>
      </c>
      <c r="O494" s="892">
        <v>0</v>
      </c>
      <c r="P494" s="892">
        <v>0</v>
      </c>
      <c r="Q494" s="892">
        <v>0</v>
      </c>
    </row>
    <row r="495" spans="1:17">
      <c r="A495" s="835" t="s">
        <v>13</v>
      </c>
      <c r="B495" s="748"/>
      <c r="C495" s="720">
        <v>100000</v>
      </c>
      <c r="D495" s="720">
        <v>100000</v>
      </c>
      <c r="E495" s="720">
        <v>100000</v>
      </c>
      <c r="F495" s="720">
        <v>100000</v>
      </c>
      <c r="G495" s="720">
        <v>0</v>
      </c>
      <c r="H495" s="720">
        <v>0</v>
      </c>
      <c r="I495" s="720">
        <v>0</v>
      </c>
      <c r="J495" s="720">
        <v>0</v>
      </c>
      <c r="K495" s="720">
        <v>0</v>
      </c>
      <c r="L495" s="720">
        <v>0</v>
      </c>
      <c r="M495" s="720">
        <v>0</v>
      </c>
      <c r="N495" s="720">
        <v>0</v>
      </c>
      <c r="O495" s="720">
        <v>0</v>
      </c>
      <c r="P495" s="720">
        <v>0</v>
      </c>
      <c r="Q495" s="720">
        <v>0</v>
      </c>
    </row>
    <row r="496" spans="1:17">
      <c r="A496" s="834"/>
      <c r="B496" s="748"/>
      <c r="C496" s="892"/>
      <c r="D496" s="892"/>
      <c r="E496" s="892"/>
      <c r="F496" s="892"/>
      <c r="G496" s="892"/>
      <c r="H496" s="892"/>
      <c r="I496" s="892"/>
      <c r="J496" s="892"/>
      <c r="K496" s="892"/>
      <c r="L496" s="892"/>
      <c r="M496" s="892"/>
      <c r="N496" s="892"/>
      <c r="O496" s="892"/>
      <c r="P496" s="892"/>
      <c r="Q496" s="892"/>
    </row>
    <row r="497" spans="1:17">
      <c r="A497" s="834" t="s">
        <v>187</v>
      </c>
      <c r="B497" s="748" t="s">
        <v>531</v>
      </c>
      <c r="C497" s="892">
        <v>5334500</v>
      </c>
      <c r="D497" s="892">
        <v>0</v>
      </c>
      <c r="E497" s="892">
        <v>0</v>
      </c>
      <c r="F497" s="892">
        <v>100000</v>
      </c>
      <c r="G497" s="892">
        <v>0</v>
      </c>
      <c r="H497" s="892">
        <v>0</v>
      </c>
      <c r="I497" s="892">
        <v>100000</v>
      </c>
      <c r="J497" s="892">
        <v>0</v>
      </c>
      <c r="K497" s="892">
        <v>0</v>
      </c>
      <c r="L497" s="892">
        <v>0</v>
      </c>
      <c r="M497" s="892">
        <v>0</v>
      </c>
      <c r="N497" s="892">
        <v>0</v>
      </c>
      <c r="O497" s="892">
        <v>0</v>
      </c>
      <c r="P497" s="892">
        <v>0</v>
      </c>
      <c r="Q497" s="892">
        <v>0</v>
      </c>
    </row>
    <row r="498" spans="1:17">
      <c r="A498" s="834" t="s">
        <v>13</v>
      </c>
      <c r="B498" s="748"/>
      <c r="C498" s="720">
        <v>5534500</v>
      </c>
      <c r="D498" s="720">
        <v>200000</v>
      </c>
      <c r="E498" s="720">
        <v>200000</v>
      </c>
      <c r="F498" s="720">
        <v>200000</v>
      </c>
      <c r="G498" s="720">
        <v>100000</v>
      </c>
      <c r="H498" s="720">
        <v>100000</v>
      </c>
      <c r="I498" s="720">
        <v>100000</v>
      </c>
      <c r="J498" s="720">
        <v>0</v>
      </c>
      <c r="K498" s="720">
        <v>0</v>
      </c>
      <c r="L498" s="720">
        <v>0</v>
      </c>
      <c r="M498" s="720">
        <v>0</v>
      </c>
      <c r="N498" s="720">
        <v>0</v>
      </c>
      <c r="O498" s="720">
        <v>0</v>
      </c>
      <c r="P498" s="720">
        <v>0</v>
      </c>
      <c r="Q498" s="720">
        <v>0</v>
      </c>
    </row>
    <row r="499" spans="1:17">
      <c r="A499" s="1"/>
      <c r="B499" s="748"/>
      <c r="C499" s="890"/>
      <c r="D499" s="890"/>
      <c r="E499" s="890"/>
      <c r="F499" s="890"/>
      <c r="G499" s="890"/>
      <c r="H499" s="890"/>
      <c r="I499" s="890"/>
      <c r="J499" s="890"/>
      <c r="K499" s="890"/>
      <c r="L499" s="890"/>
      <c r="M499" s="890"/>
      <c r="N499" s="890"/>
      <c r="O499" s="890"/>
      <c r="P499" s="890"/>
      <c r="Q499" s="890"/>
    </row>
    <row r="500" spans="1:17">
      <c r="A500" s="11" t="s">
        <v>100</v>
      </c>
      <c r="B500" s="792"/>
      <c r="C500" s="880">
        <v>12836499</v>
      </c>
      <c r="D500" s="880">
        <v>745309</v>
      </c>
      <c r="E500" s="880">
        <v>3760892</v>
      </c>
      <c r="F500" s="880">
        <v>1895764</v>
      </c>
      <c r="G500" s="880">
        <v>3220000</v>
      </c>
      <c r="H500" s="880">
        <v>5615698</v>
      </c>
      <c r="I500" s="880">
        <v>915999</v>
      </c>
      <c r="J500" s="880">
        <v>54000</v>
      </c>
      <c r="K500" s="880">
        <v>4382396</v>
      </c>
      <c r="L500" s="880">
        <v>677100</v>
      </c>
      <c r="M500" s="880">
        <v>267400</v>
      </c>
      <c r="N500" s="880">
        <v>2685000</v>
      </c>
      <c r="O500" s="880">
        <v>845999</v>
      </c>
      <c r="P500" s="880">
        <v>870433</v>
      </c>
      <c r="Q500" s="880">
        <v>0</v>
      </c>
    </row>
    <row r="501" spans="1:17" s="426" customFormat="1">
      <c r="A501" s="828" t="s">
        <v>59</v>
      </c>
      <c r="B501" s="792"/>
      <c r="C501" s="720">
        <v>38772489</v>
      </c>
      <c r="D501" s="720">
        <v>25935990</v>
      </c>
      <c r="E501" s="720">
        <v>25190681</v>
      </c>
      <c r="F501" s="720">
        <v>21429789</v>
      </c>
      <c r="G501" s="720">
        <v>19534025</v>
      </c>
      <c r="H501" s="720">
        <v>16314025</v>
      </c>
      <c r="I501" s="720">
        <v>10698327</v>
      </c>
      <c r="J501" s="720">
        <v>9782328</v>
      </c>
      <c r="K501" s="720">
        <v>9728328</v>
      </c>
      <c r="L501" s="720">
        <v>5345932</v>
      </c>
      <c r="M501" s="720">
        <v>4668832</v>
      </c>
      <c r="N501" s="720">
        <v>4401432</v>
      </c>
      <c r="O501" s="720">
        <v>1716432</v>
      </c>
      <c r="P501" s="720">
        <v>870433</v>
      </c>
      <c r="Q501" s="720">
        <v>0</v>
      </c>
    </row>
    <row r="502" spans="1:17">
      <c r="A502" s="11"/>
      <c r="B502" s="837"/>
      <c r="C502" s="893"/>
      <c r="D502" s="893"/>
      <c r="E502" s="893"/>
      <c r="F502" s="893"/>
      <c r="G502" s="893"/>
      <c r="H502" s="893"/>
      <c r="I502" s="893"/>
      <c r="J502" s="893"/>
      <c r="K502" s="893"/>
      <c r="L502" s="893"/>
      <c r="M502" s="893"/>
      <c r="N502" s="893"/>
      <c r="O502" s="893"/>
      <c r="P502" s="893"/>
      <c r="Q502" s="893"/>
    </row>
    <row r="503" spans="1:17" s="722" customFormat="1" ht="21">
      <c r="A503" s="838" t="s">
        <v>60</v>
      </c>
      <c r="B503" s="839"/>
      <c r="C503" s="894">
        <v>6809188</v>
      </c>
      <c r="D503" s="894">
        <v>14276686</v>
      </c>
      <c r="E503" s="894">
        <v>13479789</v>
      </c>
      <c r="F503" s="894">
        <v>11047234</v>
      </c>
      <c r="G503" s="894">
        <v>8560733</v>
      </c>
      <c r="H503" s="894">
        <v>9879675</v>
      </c>
      <c r="I503" s="894">
        <v>9813423</v>
      </c>
      <c r="J503" s="894">
        <v>8869413</v>
      </c>
      <c r="K503" s="894">
        <v>7740040</v>
      </c>
      <c r="L503" s="894">
        <v>5134792</v>
      </c>
      <c r="M503" s="894">
        <v>3968910</v>
      </c>
      <c r="N503" s="894">
        <v>1639879</v>
      </c>
      <c r="O503" s="894">
        <v>2215246</v>
      </c>
      <c r="P503" s="894">
        <v>1247471</v>
      </c>
      <c r="Q503" s="894">
        <v>0</v>
      </c>
    </row>
    <row r="504" spans="1:17">
      <c r="A504" s="1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6"/>
      <c r="P504" s="736"/>
      <c r="Q504" s="736"/>
    </row>
    <row r="505" spans="1:17">
      <c r="A505" s="1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6"/>
      <c r="P505" s="736"/>
      <c r="Q505" s="736"/>
    </row>
    <row r="506" spans="1:17" s="723" customFormat="1" ht="21">
      <c r="A506" s="840" t="s">
        <v>117</v>
      </c>
      <c r="B506" s="841" t="s">
        <v>532</v>
      </c>
      <c r="C506" s="895">
        <v>276249375</v>
      </c>
      <c r="D506" s="895">
        <v>287426162</v>
      </c>
      <c r="E506" s="895">
        <v>286225265</v>
      </c>
      <c r="F506" s="895">
        <v>292570467</v>
      </c>
      <c r="G506" s="895">
        <v>292774303</v>
      </c>
      <c r="H506" s="895">
        <v>292868243</v>
      </c>
      <c r="I506" s="895">
        <v>292900436</v>
      </c>
      <c r="J506" s="895">
        <v>291339426</v>
      </c>
      <c r="K506" s="895">
        <v>289756053</v>
      </c>
      <c r="L506" s="895">
        <v>293145856</v>
      </c>
      <c r="M506" s="895">
        <v>291823974</v>
      </c>
      <c r="N506" s="895">
        <v>290124943</v>
      </c>
      <c r="O506" s="895">
        <v>289772939</v>
      </c>
      <c r="P506" s="895">
        <v>288121164</v>
      </c>
      <c r="Q506" s="895">
        <v>286957452</v>
      </c>
    </row>
    <row r="507" spans="1:17" s="724" customFormat="1" ht="18">
      <c r="A507" s="842" t="s">
        <v>21</v>
      </c>
      <c r="B507" s="843" t="s">
        <v>533</v>
      </c>
      <c r="C507" s="896">
        <v>11925333</v>
      </c>
      <c r="D507" s="896">
        <v>11989850</v>
      </c>
      <c r="E507" s="896">
        <v>11989850</v>
      </c>
      <c r="F507" s="896">
        <v>5315333</v>
      </c>
      <c r="G507" s="896">
        <v>5315333</v>
      </c>
      <c r="H507" s="896">
        <v>5315333</v>
      </c>
      <c r="I507" s="896">
        <v>4915333</v>
      </c>
      <c r="J507" s="896">
        <v>4915333</v>
      </c>
      <c r="K507" s="896">
        <v>4915333</v>
      </c>
      <c r="L507" s="896">
        <v>4805333</v>
      </c>
      <c r="M507" s="896">
        <v>4805333</v>
      </c>
      <c r="N507" s="896">
        <v>4805333</v>
      </c>
      <c r="O507" s="896">
        <v>4805333</v>
      </c>
      <c r="P507" s="896">
        <v>4805333</v>
      </c>
      <c r="Q507" s="896">
        <v>4805333</v>
      </c>
    </row>
    <row r="508" spans="1:17" s="724" customFormat="1" ht="18">
      <c r="A508" s="842" t="s">
        <v>11</v>
      </c>
      <c r="B508" s="843" t="s">
        <v>534</v>
      </c>
      <c r="C508" s="896">
        <v>74160000</v>
      </c>
      <c r="D508" s="896">
        <v>77325000</v>
      </c>
      <c r="E508" s="896">
        <v>77325000</v>
      </c>
      <c r="F508" s="896">
        <v>80291833</v>
      </c>
      <c r="G508" s="896">
        <v>81566587</v>
      </c>
      <c r="H508" s="896">
        <v>81566587</v>
      </c>
      <c r="I508" s="896">
        <v>80150000</v>
      </c>
      <c r="J508" s="896">
        <v>80150000</v>
      </c>
      <c r="K508" s="896">
        <v>80150000</v>
      </c>
      <c r="L508" s="896">
        <v>87674000</v>
      </c>
      <c r="M508" s="896">
        <v>87674000</v>
      </c>
      <c r="N508" s="896">
        <v>87674000</v>
      </c>
      <c r="O508" s="896">
        <v>87674000</v>
      </c>
      <c r="P508" s="896">
        <v>87674000</v>
      </c>
      <c r="Q508" s="896">
        <v>87674000</v>
      </c>
    </row>
    <row r="509" spans="1:17" s="725" customFormat="1" ht="23.4">
      <c r="A509" s="844" t="s">
        <v>162</v>
      </c>
      <c r="B509" s="845"/>
      <c r="C509" s="897">
        <v>214014708</v>
      </c>
      <c r="D509" s="897">
        <v>222091012</v>
      </c>
      <c r="E509" s="897">
        <v>220890115</v>
      </c>
      <c r="F509" s="897">
        <v>217593967</v>
      </c>
      <c r="G509" s="897">
        <v>216523049</v>
      </c>
      <c r="H509" s="897">
        <v>216616989</v>
      </c>
      <c r="I509" s="897">
        <v>217665769</v>
      </c>
      <c r="J509" s="897">
        <v>216104759</v>
      </c>
      <c r="K509" s="897">
        <v>214521386</v>
      </c>
      <c r="L509" s="897">
        <v>210277189</v>
      </c>
      <c r="M509" s="897">
        <v>208955307</v>
      </c>
      <c r="N509" s="897">
        <v>207256276</v>
      </c>
      <c r="O509" s="897">
        <v>206904272</v>
      </c>
      <c r="P509" s="897">
        <v>205252497</v>
      </c>
      <c r="Q509" s="897">
        <v>204088785</v>
      </c>
    </row>
    <row r="510" spans="1:17">
      <c r="A510" s="1"/>
      <c r="B510" s="736"/>
      <c r="C510" s="736"/>
      <c r="D510" s="736"/>
      <c r="E510" s="736"/>
      <c r="F510" s="736"/>
      <c r="G510" s="736"/>
      <c r="H510" s="736"/>
      <c r="I510" s="736"/>
      <c r="J510" s="736"/>
      <c r="K510" s="736"/>
      <c r="L510" s="736"/>
      <c r="M510" s="736"/>
      <c r="N510" s="736"/>
      <c r="O510" s="736"/>
      <c r="P510" s="736"/>
      <c r="Q510" s="736"/>
    </row>
    <row r="511" spans="1:17" s="724" customFormat="1" ht="18">
      <c r="A511" s="842" t="s">
        <v>24</v>
      </c>
      <c r="B511" s="843" t="s">
        <v>210</v>
      </c>
      <c r="C511" s="896">
        <v>2891164</v>
      </c>
      <c r="D511" s="896">
        <v>3500453</v>
      </c>
      <c r="E511" s="896">
        <v>3206453</v>
      </c>
      <c r="F511" s="896">
        <v>3980384</v>
      </c>
      <c r="G511" s="896">
        <v>2399530</v>
      </c>
      <c r="H511" s="896">
        <v>2884529</v>
      </c>
      <c r="I511" s="896">
        <v>4299561</v>
      </c>
      <c r="J511" s="896">
        <v>3392561</v>
      </c>
      <c r="K511" s="896">
        <v>2938561</v>
      </c>
      <c r="L511" s="896">
        <v>1433612</v>
      </c>
      <c r="M511" s="896">
        <v>1277612</v>
      </c>
      <c r="N511" s="896">
        <v>1607612</v>
      </c>
      <c r="O511" s="896">
        <v>980241</v>
      </c>
      <c r="P511" s="896">
        <v>296241</v>
      </c>
      <c r="Q511" s="896">
        <v>-4756098</v>
      </c>
    </row>
    <row r="512" spans="1:17" s="724" customFormat="1" ht="18">
      <c r="A512" s="846" t="s">
        <v>46</v>
      </c>
      <c r="B512" s="847"/>
      <c r="C512" s="898">
        <v>211123544</v>
      </c>
      <c r="D512" s="898">
        <v>218590559</v>
      </c>
      <c r="E512" s="898">
        <v>217683662</v>
      </c>
      <c r="F512" s="898">
        <v>213613583</v>
      </c>
      <c r="G512" s="898">
        <v>214123519</v>
      </c>
      <c r="H512" s="898">
        <v>213732460</v>
      </c>
      <c r="I512" s="898">
        <v>213366208</v>
      </c>
      <c r="J512" s="898">
        <v>212712198</v>
      </c>
      <c r="K512" s="898">
        <v>211582825</v>
      </c>
      <c r="L512" s="898">
        <v>208843577</v>
      </c>
      <c r="M512" s="898">
        <v>207677695</v>
      </c>
      <c r="N512" s="898">
        <v>205648664</v>
      </c>
      <c r="O512" s="898">
        <v>205924031</v>
      </c>
      <c r="P512" s="898">
        <v>204956256</v>
      </c>
      <c r="Q512" s="898">
        <v>208844883</v>
      </c>
    </row>
    <row r="513" spans="1:17">
      <c r="A513" s="5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</row>
    <row r="514" spans="1:17" ht="15" thickBot="1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ht="15" thickBot="1">
      <c r="A515" s="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</row>
    <row r="516" spans="1:17">
      <c r="A516" s="606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</row>
  </sheetData>
  <mergeCells count="9">
    <mergeCell ref="A127:B127"/>
    <mergeCell ref="A224:B224"/>
    <mergeCell ref="A225:B225"/>
    <mergeCell ref="A33:B33"/>
    <mergeCell ref="A48:B48"/>
    <mergeCell ref="A60:B60"/>
    <mergeCell ref="A73:B73"/>
    <mergeCell ref="A86:B86"/>
    <mergeCell ref="A123:B1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516"/>
  <sheetViews>
    <sheetView topLeftCell="A493" zoomScale="70" zoomScaleNormal="70" workbookViewId="0">
      <selection activeCell="J176" sqref="J176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20" width="25.6640625" style="263" customWidth="1"/>
    <col min="21" max="21" width="8.88671875" style="263"/>
    <col min="22" max="22" width="8.88671875" style="263" customWidth="1"/>
    <col min="23" max="16384" width="8.88671875" style="263"/>
  </cols>
  <sheetData>
    <row r="1" spans="1:20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</row>
    <row r="2" spans="1:20" ht="15" thickBot="1"/>
    <row r="3" spans="1:20">
      <c r="A3" s="727"/>
      <c r="B3" s="726"/>
      <c r="C3" s="679" t="s">
        <v>836</v>
      </c>
      <c r="D3" s="679" t="s">
        <v>835</v>
      </c>
      <c r="E3" s="679" t="s">
        <v>833</v>
      </c>
      <c r="F3" s="679" t="s">
        <v>830</v>
      </c>
      <c r="G3" s="679" t="s">
        <v>829</v>
      </c>
      <c r="H3" s="679" t="s">
        <v>826</v>
      </c>
      <c r="I3" s="679" t="s">
        <v>825</v>
      </c>
      <c r="J3" s="679" t="s">
        <v>824</v>
      </c>
      <c r="K3" s="679" t="s">
        <v>822</v>
      </c>
      <c r="L3" s="679" t="s">
        <v>821</v>
      </c>
      <c r="M3" s="679" t="s">
        <v>820</v>
      </c>
      <c r="N3" s="679" t="s">
        <v>817</v>
      </c>
      <c r="O3" s="679" t="s">
        <v>816</v>
      </c>
      <c r="P3" s="679" t="s">
        <v>807</v>
      </c>
      <c r="Q3" s="679" t="s">
        <v>805</v>
      </c>
      <c r="R3" s="679" t="s">
        <v>804</v>
      </c>
      <c r="S3" s="679" t="s">
        <v>803</v>
      </c>
      <c r="T3" s="679" t="s">
        <v>799</v>
      </c>
    </row>
    <row r="4" spans="1:20" s="267" customFormat="1" ht="15" thickBot="1">
      <c r="A4" s="728"/>
      <c r="B4" s="729"/>
      <c r="C4" s="680" t="s">
        <v>837</v>
      </c>
      <c r="D4" s="680" t="s">
        <v>834</v>
      </c>
      <c r="E4" s="680" t="s">
        <v>130</v>
      </c>
      <c r="F4" s="680" t="s">
        <v>831</v>
      </c>
      <c r="G4" s="680" t="s">
        <v>650</v>
      </c>
      <c r="H4" s="680" t="s">
        <v>133</v>
      </c>
      <c r="I4" s="680" t="s">
        <v>134</v>
      </c>
      <c r="J4" s="680" t="s">
        <v>128</v>
      </c>
      <c r="K4" s="680" t="s">
        <v>129</v>
      </c>
      <c r="L4" s="680" t="s">
        <v>130</v>
      </c>
      <c r="M4" s="680" t="s">
        <v>131</v>
      </c>
      <c r="N4" s="680" t="s">
        <v>722</v>
      </c>
      <c r="O4" s="680" t="s">
        <v>128</v>
      </c>
      <c r="P4" s="680" t="s">
        <v>129</v>
      </c>
      <c r="Q4" s="680" t="s">
        <v>130</v>
      </c>
      <c r="R4" s="680" t="s">
        <v>636</v>
      </c>
      <c r="S4" s="680" t="s">
        <v>133</v>
      </c>
      <c r="T4" s="680" t="s">
        <v>802</v>
      </c>
    </row>
    <row r="5" spans="1:20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</row>
    <row r="6" spans="1:20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</row>
    <row r="7" spans="1:20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</row>
    <row r="8" spans="1:20">
      <c r="A8" s="25" t="s">
        <v>101</v>
      </c>
      <c r="B8" s="735"/>
      <c r="C8" s="641">
        <v>393000</v>
      </c>
      <c r="D8" s="641">
        <v>393000</v>
      </c>
      <c r="E8" s="641">
        <v>363000</v>
      </c>
      <c r="F8" s="641">
        <v>363000</v>
      </c>
      <c r="G8" s="641">
        <v>363000</v>
      </c>
      <c r="H8" s="641">
        <v>363000</v>
      </c>
      <c r="I8" s="641">
        <v>363000</v>
      </c>
      <c r="J8" s="641">
        <v>363000</v>
      </c>
      <c r="K8" s="641">
        <v>363000</v>
      </c>
      <c r="L8" s="641">
        <v>363000</v>
      </c>
      <c r="M8" s="641">
        <v>363000</v>
      </c>
      <c r="N8" s="641">
        <v>363000</v>
      </c>
      <c r="O8" s="641">
        <v>363000</v>
      </c>
      <c r="P8" s="641">
        <v>342000</v>
      </c>
      <c r="Q8" s="641">
        <v>342000</v>
      </c>
      <c r="R8" s="641">
        <v>342000</v>
      </c>
      <c r="S8" s="641">
        <v>342000</v>
      </c>
      <c r="T8" s="641">
        <v>342000</v>
      </c>
    </row>
    <row r="9" spans="1:20">
      <c r="A9" s="25" t="s">
        <v>336</v>
      </c>
      <c r="B9" s="735"/>
      <c r="C9" s="641">
        <v>1560000</v>
      </c>
      <c r="D9" s="641">
        <v>1560000</v>
      </c>
      <c r="E9" s="641">
        <v>1560000</v>
      </c>
      <c r="F9" s="641">
        <v>1560000</v>
      </c>
      <c r="G9" s="641">
        <v>1560000</v>
      </c>
      <c r="H9" s="641">
        <v>1560000</v>
      </c>
      <c r="I9" s="641">
        <v>1560000</v>
      </c>
      <c r="J9" s="641">
        <v>1560000</v>
      </c>
      <c r="K9" s="641">
        <v>1560000</v>
      </c>
      <c r="L9" s="641">
        <v>1560000</v>
      </c>
      <c r="M9" s="641">
        <v>1560000</v>
      </c>
      <c r="N9" s="641">
        <v>1560000</v>
      </c>
      <c r="O9" s="641">
        <v>1560000</v>
      </c>
      <c r="P9" s="641">
        <v>1560000</v>
      </c>
      <c r="Q9" s="641">
        <v>1560000</v>
      </c>
      <c r="R9" s="641">
        <v>1560000</v>
      </c>
      <c r="S9" s="641">
        <v>1560000</v>
      </c>
      <c r="T9" s="641">
        <v>1560000</v>
      </c>
    </row>
    <row r="10" spans="1:20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  <c r="T10" s="641">
        <v>0</v>
      </c>
    </row>
    <row r="11" spans="1:20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  <c r="T11" s="641">
        <v>0</v>
      </c>
    </row>
    <row r="12" spans="1:20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</row>
    <row r="13" spans="1:20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  <c r="T13" s="641">
        <v>0</v>
      </c>
    </row>
    <row r="14" spans="1:20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</row>
    <row r="15" spans="1:20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  <c r="T15" s="641">
        <v>0</v>
      </c>
    </row>
    <row r="16" spans="1:20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  <c r="T16" s="641">
        <v>0</v>
      </c>
    </row>
    <row r="17" spans="1:23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  <c r="T17" s="642">
        <v>0</v>
      </c>
    </row>
    <row r="18" spans="1:23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  <c r="T18" s="642">
        <v>0</v>
      </c>
    </row>
    <row r="19" spans="1:23" ht="16.2" thickBot="1">
      <c r="A19" s="737"/>
      <c r="B19" s="738"/>
      <c r="C19" s="848">
        <v>1953000</v>
      </c>
      <c r="D19" s="848">
        <v>1953000</v>
      </c>
      <c r="E19" s="848">
        <v>1923000</v>
      </c>
      <c r="F19" s="848">
        <v>1923000</v>
      </c>
      <c r="G19" s="848">
        <v>1923000</v>
      </c>
      <c r="H19" s="848">
        <v>1923000</v>
      </c>
      <c r="I19" s="848">
        <v>1923000</v>
      </c>
      <c r="J19" s="848">
        <v>1923000</v>
      </c>
      <c r="K19" s="848">
        <v>1923000</v>
      </c>
      <c r="L19" s="848">
        <v>1923000</v>
      </c>
      <c r="M19" s="848">
        <v>1923000</v>
      </c>
      <c r="N19" s="848">
        <v>1923000</v>
      </c>
      <c r="O19" s="848">
        <v>1923000</v>
      </c>
      <c r="P19" s="848">
        <v>1902000</v>
      </c>
      <c r="Q19" s="848">
        <v>1902000</v>
      </c>
      <c r="R19" s="848">
        <v>1902000</v>
      </c>
      <c r="S19" s="848">
        <v>1902000</v>
      </c>
      <c r="T19" s="848">
        <v>1902000</v>
      </c>
      <c r="W19"/>
    </row>
    <row r="20" spans="1:23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  <c r="T20" s="852"/>
    </row>
    <row r="21" spans="1:23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</row>
    <row r="22" spans="1:23">
      <c r="A22" s="739" t="s">
        <v>0</v>
      </c>
      <c r="B22" s="740"/>
      <c r="C22" s="956">
        <v>71072000</v>
      </c>
      <c r="D22" s="956">
        <v>94000000</v>
      </c>
      <c r="E22" s="956">
        <v>96810000</v>
      </c>
      <c r="F22" s="956">
        <v>141657000</v>
      </c>
      <c r="G22" s="956">
        <v>70000000</v>
      </c>
      <c r="H22" s="956">
        <v>185700000</v>
      </c>
      <c r="I22" s="956">
        <v>109000000</v>
      </c>
      <c r="J22" s="956">
        <v>58247000</v>
      </c>
      <c r="K22" s="956">
        <v>135000000</v>
      </c>
      <c r="L22" s="956">
        <v>134150000</v>
      </c>
      <c r="M22" s="956">
        <v>120227000</v>
      </c>
      <c r="N22" s="956">
        <v>103190000</v>
      </c>
      <c r="O22" s="956">
        <v>98200000</v>
      </c>
      <c r="P22" s="956">
        <v>89300000</v>
      </c>
      <c r="Q22" s="956">
        <v>123012000</v>
      </c>
      <c r="R22" s="956">
        <v>233012000</v>
      </c>
      <c r="S22" s="956">
        <v>220700000</v>
      </c>
      <c r="T22" s="956">
        <v>99550000</v>
      </c>
    </row>
    <row r="23" spans="1:23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  <c r="T23" s="686">
        <v>0</v>
      </c>
    </row>
    <row r="24" spans="1:23">
      <c r="A24" s="25" t="s">
        <v>555</v>
      </c>
      <c r="B24" s="741"/>
      <c r="C24" s="686">
        <v>16000</v>
      </c>
      <c r="D24" s="686">
        <v>10000</v>
      </c>
      <c r="E24" s="686">
        <v>71000</v>
      </c>
      <c r="F24" s="686">
        <v>15000</v>
      </c>
      <c r="G24" s="686">
        <v>19000</v>
      </c>
      <c r="H24" s="686">
        <v>41000</v>
      </c>
      <c r="I24" s="686">
        <v>9000</v>
      </c>
      <c r="J24" s="686">
        <v>16000</v>
      </c>
      <c r="K24" s="686">
        <v>36000</v>
      </c>
      <c r="L24" s="686">
        <v>37000</v>
      </c>
      <c r="M24" s="686">
        <v>39000</v>
      </c>
      <c r="N24" s="686">
        <v>34000</v>
      </c>
      <c r="O24" s="686">
        <v>64000</v>
      </c>
      <c r="P24" s="686">
        <v>25000</v>
      </c>
      <c r="Q24" s="686">
        <v>20000</v>
      </c>
      <c r="R24" s="686">
        <v>19500</v>
      </c>
      <c r="S24" s="686">
        <v>45500</v>
      </c>
      <c r="T24" s="686">
        <v>24500</v>
      </c>
    </row>
    <row r="25" spans="1:23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0</v>
      </c>
      <c r="O25" s="686">
        <v>0</v>
      </c>
      <c r="P25" s="686">
        <v>0</v>
      </c>
      <c r="Q25" s="686">
        <v>0</v>
      </c>
      <c r="R25" s="686">
        <v>0</v>
      </c>
      <c r="S25" s="686">
        <v>0</v>
      </c>
      <c r="T25" s="686">
        <v>0</v>
      </c>
    </row>
    <row r="26" spans="1:23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0</v>
      </c>
      <c r="O26" s="686">
        <v>0</v>
      </c>
      <c r="P26" s="686">
        <v>0</v>
      </c>
      <c r="Q26" s="686">
        <v>0</v>
      </c>
      <c r="R26" s="686">
        <v>0</v>
      </c>
      <c r="S26" s="686">
        <v>0</v>
      </c>
      <c r="T26" s="686">
        <v>0</v>
      </c>
    </row>
    <row r="27" spans="1:23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0</v>
      </c>
      <c r="O27" s="686">
        <v>0</v>
      </c>
      <c r="P27" s="686">
        <v>0</v>
      </c>
      <c r="Q27" s="686">
        <v>0</v>
      </c>
      <c r="R27" s="686">
        <v>0</v>
      </c>
      <c r="S27" s="686">
        <v>0</v>
      </c>
      <c r="T27" s="686">
        <v>0</v>
      </c>
    </row>
    <row r="28" spans="1:23">
      <c r="A28" s="25" t="s">
        <v>333</v>
      </c>
      <c r="B28" s="741"/>
      <c r="C28" s="686">
        <v>27284000</v>
      </c>
      <c r="D28" s="686">
        <v>4131000</v>
      </c>
      <c r="E28" s="686">
        <v>20327000</v>
      </c>
      <c r="F28" s="686">
        <v>15521000</v>
      </c>
      <c r="G28" s="686">
        <v>0</v>
      </c>
      <c r="H28" s="686">
        <v>0</v>
      </c>
      <c r="I28" s="686">
        <v>1755000</v>
      </c>
      <c r="J28" s="686">
        <v>24993000</v>
      </c>
      <c r="K28" s="686">
        <v>40718000</v>
      </c>
      <c r="L28" s="686">
        <v>7584000</v>
      </c>
      <c r="M28" s="686">
        <v>10165000</v>
      </c>
      <c r="N28" s="686">
        <v>0</v>
      </c>
      <c r="O28" s="686">
        <v>19103000</v>
      </c>
      <c r="P28" s="686">
        <v>0</v>
      </c>
      <c r="Q28" s="686">
        <v>15197000</v>
      </c>
      <c r="R28" s="686">
        <v>0</v>
      </c>
      <c r="S28" s="686">
        <v>0</v>
      </c>
      <c r="T28" s="686">
        <v>0</v>
      </c>
    </row>
    <row r="29" spans="1:23">
      <c r="A29" s="1" t="s">
        <v>562</v>
      </c>
      <c r="B29" s="736"/>
      <c r="C29" s="641">
        <v>0</v>
      </c>
      <c r="D29" s="641">
        <v>0</v>
      </c>
      <c r="E29" s="641">
        <v>0</v>
      </c>
      <c r="F29" s="641">
        <v>0</v>
      </c>
      <c r="G29" s="641">
        <v>0</v>
      </c>
      <c r="H29" s="641">
        <v>0</v>
      </c>
      <c r="I29" s="641">
        <v>0</v>
      </c>
      <c r="J29" s="641">
        <v>0</v>
      </c>
      <c r="K29" s="641">
        <v>0</v>
      </c>
      <c r="L29" s="641">
        <v>0</v>
      </c>
      <c r="M29" s="641">
        <v>0</v>
      </c>
      <c r="N29" s="641">
        <v>0</v>
      </c>
      <c r="O29" s="641">
        <v>0</v>
      </c>
      <c r="P29" s="641">
        <v>0</v>
      </c>
      <c r="Q29" s="641">
        <v>27083000</v>
      </c>
      <c r="R29" s="641">
        <v>0</v>
      </c>
      <c r="S29" s="641">
        <v>0</v>
      </c>
      <c r="T29" s="641">
        <v>0</v>
      </c>
    </row>
    <row r="30" spans="1:23">
      <c r="A30" s="1" t="s">
        <v>563</v>
      </c>
      <c r="B30" s="736"/>
      <c r="C30" s="641">
        <v>0</v>
      </c>
      <c r="D30" s="641">
        <v>0</v>
      </c>
      <c r="E30" s="641">
        <v>0</v>
      </c>
      <c r="F30" s="641">
        <v>45000</v>
      </c>
      <c r="G30" s="641">
        <v>0</v>
      </c>
      <c r="H30" s="641">
        <v>0</v>
      </c>
      <c r="I30" s="641">
        <v>0</v>
      </c>
      <c r="J30" s="641">
        <v>0</v>
      </c>
      <c r="K30" s="641">
        <v>0</v>
      </c>
      <c r="L30" s="641">
        <v>0</v>
      </c>
      <c r="M30" s="641">
        <v>0</v>
      </c>
      <c r="N30" s="641">
        <v>0</v>
      </c>
      <c r="O30" s="641">
        <v>0</v>
      </c>
      <c r="P30" s="641">
        <v>0</v>
      </c>
      <c r="Q30" s="641">
        <v>40000000</v>
      </c>
      <c r="R30" s="641">
        <v>0</v>
      </c>
      <c r="S30" s="641">
        <v>0</v>
      </c>
      <c r="T30" s="641">
        <v>0</v>
      </c>
    </row>
    <row r="31" spans="1:23" s="687" customFormat="1" ht="15" thickBot="1">
      <c r="A31" s="742"/>
      <c r="B31" s="743"/>
      <c r="C31" s="849">
        <v>98372000</v>
      </c>
      <c r="D31" s="849">
        <v>98141000</v>
      </c>
      <c r="E31" s="849">
        <v>117208000</v>
      </c>
      <c r="F31" s="849">
        <v>157238000</v>
      </c>
      <c r="G31" s="849">
        <v>70019000</v>
      </c>
      <c r="H31" s="849">
        <v>185741000</v>
      </c>
      <c r="I31" s="849">
        <v>110764000</v>
      </c>
      <c r="J31" s="849">
        <v>83256000</v>
      </c>
      <c r="K31" s="849">
        <v>175754000</v>
      </c>
      <c r="L31" s="849">
        <v>141771000</v>
      </c>
      <c r="M31" s="849">
        <v>130431000</v>
      </c>
      <c r="N31" s="849">
        <v>103224000</v>
      </c>
      <c r="O31" s="849">
        <v>117367000</v>
      </c>
      <c r="P31" s="849">
        <v>89325000</v>
      </c>
      <c r="Q31" s="849">
        <v>205312000</v>
      </c>
      <c r="R31" s="849">
        <v>233031500</v>
      </c>
      <c r="S31" s="849">
        <v>220745500</v>
      </c>
      <c r="T31" s="849">
        <v>99574500</v>
      </c>
    </row>
    <row r="32" spans="1:23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  <c r="T32" s="851"/>
    </row>
    <row r="33" spans="1:20" s="688" customFormat="1" ht="21">
      <c r="A33" s="1446" t="s">
        <v>225</v>
      </c>
      <c r="B33" s="1446"/>
      <c r="C33" s="850">
        <v>100325000</v>
      </c>
      <c r="D33" s="850">
        <v>100094000</v>
      </c>
      <c r="E33" s="850">
        <v>119131000</v>
      </c>
      <c r="F33" s="850">
        <v>159161000</v>
      </c>
      <c r="G33" s="850">
        <v>71942000</v>
      </c>
      <c r="H33" s="850">
        <v>187664000</v>
      </c>
      <c r="I33" s="850">
        <v>112687000</v>
      </c>
      <c r="J33" s="850">
        <v>85179000</v>
      </c>
      <c r="K33" s="850">
        <v>177677000</v>
      </c>
      <c r="L33" s="850">
        <v>143694000</v>
      </c>
      <c r="M33" s="850">
        <v>132354000</v>
      </c>
      <c r="N33" s="850">
        <v>105147000</v>
      </c>
      <c r="O33" s="850">
        <v>119290000</v>
      </c>
      <c r="P33" s="850">
        <v>91227000</v>
      </c>
      <c r="Q33" s="850">
        <v>207214000</v>
      </c>
      <c r="R33" s="850">
        <v>234933500</v>
      </c>
      <c r="S33" s="850">
        <v>222647500</v>
      </c>
      <c r="T33" s="850">
        <v>101476500</v>
      </c>
    </row>
    <row r="34" spans="1:20" s="688" customFormat="1" ht="21">
      <c r="A34" s="1148"/>
      <c r="B34" s="1148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  <c r="T34" s="850"/>
    </row>
    <row r="35" spans="1:20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  <c r="T35" s="851"/>
    </row>
    <row r="36" spans="1:20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4"/>
    </row>
    <row r="37" spans="1:20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</row>
    <row r="38" spans="1:20">
      <c r="A38" s="28" t="s">
        <v>812</v>
      </c>
      <c r="B38" s="747" t="s">
        <v>266</v>
      </c>
      <c r="C38" s="855">
        <v>62640886</v>
      </c>
      <c r="D38" s="855">
        <v>5000000</v>
      </c>
      <c r="E38" s="855">
        <v>5000000</v>
      </c>
      <c r="F38" s="855">
        <v>5000000</v>
      </c>
      <c r="G38" s="855">
        <v>5000000</v>
      </c>
      <c r="H38" s="855">
        <v>5000000</v>
      </c>
      <c r="I38" s="855">
        <v>5000000</v>
      </c>
      <c r="J38" s="855">
        <v>5000000</v>
      </c>
      <c r="K38" s="855">
        <v>5000000</v>
      </c>
      <c r="L38" s="855">
        <v>5000000</v>
      </c>
      <c r="M38" s="855">
        <v>5000000</v>
      </c>
      <c r="N38" s="855">
        <v>5000000</v>
      </c>
      <c r="O38" s="855">
        <v>5000000</v>
      </c>
      <c r="P38" s="855">
        <v>5000000</v>
      </c>
      <c r="Q38" s="855">
        <v>5000000</v>
      </c>
      <c r="R38" s="855">
        <v>5000000</v>
      </c>
      <c r="S38" s="855">
        <v>5000000</v>
      </c>
      <c r="T38" s="855">
        <v>5000001</v>
      </c>
    </row>
    <row r="39" spans="1:20">
      <c r="A39" s="28" t="s">
        <v>74</v>
      </c>
      <c r="B39" s="746" t="s">
        <v>267</v>
      </c>
      <c r="C39" s="855">
        <v>926746</v>
      </c>
      <c r="D39" s="855">
        <v>76196</v>
      </c>
      <c r="E39" s="855">
        <v>76196</v>
      </c>
      <c r="F39" s="855">
        <v>30696</v>
      </c>
      <c r="G39" s="855">
        <v>189396</v>
      </c>
      <c r="H39" s="855">
        <v>356646</v>
      </c>
      <c r="I39" s="855">
        <v>884496</v>
      </c>
      <c r="J39" s="855">
        <v>884496</v>
      </c>
      <c r="K39" s="855">
        <v>884496</v>
      </c>
      <c r="L39" s="855">
        <v>884496</v>
      </c>
      <c r="M39" s="855">
        <v>884496</v>
      </c>
      <c r="N39" s="855">
        <v>935246</v>
      </c>
      <c r="O39" s="855">
        <v>311446</v>
      </c>
      <c r="P39" s="855">
        <v>356996</v>
      </c>
      <c r="Q39" s="855">
        <v>457996</v>
      </c>
      <c r="R39" s="855">
        <v>508746</v>
      </c>
      <c r="S39" s="855">
        <v>968096</v>
      </c>
      <c r="T39" s="855">
        <v>593346</v>
      </c>
    </row>
    <row r="40" spans="1:20">
      <c r="A40" s="28" t="s">
        <v>1</v>
      </c>
      <c r="B40" s="746" t="s">
        <v>268</v>
      </c>
      <c r="C40" s="855">
        <v>2046746</v>
      </c>
      <c r="D40" s="855">
        <v>465701</v>
      </c>
      <c r="E40" s="855">
        <v>1140089</v>
      </c>
      <c r="F40" s="855">
        <v>1666274</v>
      </c>
      <c r="G40" s="855">
        <v>986137</v>
      </c>
      <c r="H40" s="855">
        <v>738295</v>
      </c>
      <c r="I40" s="855">
        <v>1665279</v>
      </c>
      <c r="J40" s="855">
        <v>1838271</v>
      </c>
      <c r="K40" s="855">
        <v>2011263</v>
      </c>
      <c r="L40" s="855">
        <v>338458</v>
      </c>
      <c r="M40" s="855">
        <v>776108</v>
      </c>
      <c r="N40" s="855">
        <v>421093</v>
      </c>
      <c r="O40" s="855">
        <v>318217</v>
      </c>
      <c r="P40" s="855">
        <v>887794</v>
      </c>
      <c r="Q40" s="855">
        <v>1248287</v>
      </c>
      <c r="R40" s="855">
        <v>1928174</v>
      </c>
      <c r="S40" s="855">
        <v>464957</v>
      </c>
      <c r="T40" s="855">
        <v>699149</v>
      </c>
    </row>
    <row r="41" spans="1:20">
      <c r="A41" s="28" t="s">
        <v>111</v>
      </c>
      <c r="B41" s="746" t="s">
        <v>269</v>
      </c>
      <c r="C41" s="855">
        <v>393743</v>
      </c>
      <c r="D41" s="855">
        <v>441193</v>
      </c>
      <c r="E41" s="855">
        <v>528693</v>
      </c>
      <c r="F41" s="855">
        <v>159353</v>
      </c>
      <c r="G41" s="855">
        <v>941583</v>
      </c>
      <c r="H41" s="855">
        <v>261173</v>
      </c>
      <c r="I41" s="855">
        <v>358993</v>
      </c>
      <c r="J41" s="855">
        <v>328493</v>
      </c>
      <c r="K41" s="855">
        <v>392493</v>
      </c>
      <c r="L41" s="855">
        <v>477493</v>
      </c>
      <c r="M41" s="855">
        <v>27443</v>
      </c>
      <c r="N41" s="855">
        <v>100443</v>
      </c>
      <c r="O41" s="855">
        <v>240943</v>
      </c>
      <c r="P41" s="855">
        <v>412943</v>
      </c>
      <c r="Q41" s="855">
        <v>1230293</v>
      </c>
      <c r="R41" s="855">
        <v>43293</v>
      </c>
      <c r="S41" s="855">
        <v>283373</v>
      </c>
      <c r="T41" s="855">
        <v>420873</v>
      </c>
    </row>
    <row r="42" spans="1:20">
      <c r="A42" s="28" t="s">
        <v>168</v>
      </c>
      <c r="B42" s="746" t="s">
        <v>204</v>
      </c>
      <c r="C42" s="855">
        <v>640470</v>
      </c>
      <c r="D42" s="855">
        <v>186970</v>
      </c>
      <c r="E42" s="855">
        <v>207970</v>
      </c>
      <c r="F42" s="855">
        <v>231470</v>
      </c>
      <c r="G42" s="855">
        <v>434470</v>
      </c>
      <c r="H42" s="855">
        <v>447670</v>
      </c>
      <c r="I42" s="855">
        <v>583920</v>
      </c>
      <c r="J42" s="855">
        <v>583920</v>
      </c>
      <c r="K42" s="855">
        <v>599920</v>
      </c>
      <c r="L42" s="855">
        <v>617920</v>
      </c>
      <c r="M42" s="855">
        <v>706420</v>
      </c>
      <c r="N42" s="855">
        <v>752920</v>
      </c>
      <c r="O42" s="855">
        <v>791920</v>
      </c>
      <c r="P42" s="855">
        <v>809420</v>
      </c>
      <c r="Q42" s="855">
        <v>309420</v>
      </c>
      <c r="R42" s="855">
        <v>324520</v>
      </c>
      <c r="S42" s="855">
        <v>346520</v>
      </c>
      <c r="T42" s="855">
        <v>424020</v>
      </c>
    </row>
    <row r="43" spans="1:20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  <c r="T43" s="855">
        <v>0</v>
      </c>
    </row>
    <row r="44" spans="1:20">
      <c r="A44" s="28" t="s">
        <v>9</v>
      </c>
      <c r="B44" s="746" t="s">
        <v>270</v>
      </c>
      <c r="C44" s="855">
        <v>1259299</v>
      </c>
      <c r="D44" s="855">
        <v>1441925</v>
      </c>
      <c r="E44" s="855">
        <v>441925</v>
      </c>
      <c r="F44" s="855">
        <v>441925</v>
      </c>
      <c r="G44" s="855">
        <v>439988</v>
      </c>
      <c r="H44" s="855">
        <v>439988</v>
      </c>
      <c r="I44" s="855">
        <v>439988</v>
      </c>
      <c r="J44" s="855">
        <v>439988</v>
      </c>
      <c r="K44" s="855">
        <v>439988</v>
      </c>
      <c r="L44" s="855">
        <v>439988</v>
      </c>
      <c r="M44" s="855">
        <v>638651</v>
      </c>
      <c r="N44" s="855">
        <v>961140</v>
      </c>
      <c r="O44" s="855">
        <v>961140</v>
      </c>
      <c r="P44" s="855">
        <v>961140</v>
      </c>
      <c r="Q44" s="855">
        <v>961140</v>
      </c>
      <c r="R44" s="855">
        <v>961140</v>
      </c>
      <c r="S44" s="855">
        <v>224066</v>
      </c>
      <c r="T44" s="855">
        <v>224066</v>
      </c>
    </row>
    <row r="45" spans="1:20">
      <c r="A45" s="1" t="s">
        <v>819</v>
      </c>
      <c r="B45" s="748"/>
      <c r="C45" s="641">
        <v>3615</v>
      </c>
      <c r="D45" s="641">
        <v>3615</v>
      </c>
      <c r="E45" s="641">
        <v>3615</v>
      </c>
      <c r="F45" s="641">
        <v>3615</v>
      </c>
      <c r="G45" s="641">
        <v>3615</v>
      </c>
      <c r="H45" s="641">
        <v>106555</v>
      </c>
      <c r="I45" s="641">
        <v>1687955</v>
      </c>
      <c r="J45" s="641">
        <v>395265</v>
      </c>
      <c r="K45" s="641">
        <v>50665</v>
      </c>
      <c r="L45" s="641">
        <v>499635</v>
      </c>
      <c r="M45" s="641">
        <v>800000</v>
      </c>
      <c r="N45" s="641">
        <v>800000</v>
      </c>
      <c r="O45" s="641">
        <v>0</v>
      </c>
      <c r="P45" s="641">
        <v>0</v>
      </c>
      <c r="Q45" s="641">
        <v>4149</v>
      </c>
      <c r="R45" s="641">
        <v>4149</v>
      </c>
      <c r="S45" s="641">
        <v>4149</v>
      </c>
      <c r="T45" s="641">
        <v>4149</v>
      </c>
    </row>
    <row r="46" spans="1:20">
      <c r="A46" s="1" t="s">
        <v>828</v>
      </c>
      <c r="B46" s="748"/>
      <c r="C46" s="641">
        <v>850000</v>
      </c>
      <c r="D46" s="641">
        <v>150000</v>
      </c>
      <c r="E46" s="641">
        <v>150000</v>
      </c>
      <c r="F46" s="641">
        <v>150000</v>
      </c>
      <c r="G46" s="641">
        <v>150000</v>
      </c>
      <c r="H46" s="641">
        <v>0</v>
      </c>
      <c r="I46" s="641">
        <v>0</v>
      </c>
      <c r="J46" s="641">
        <v>0</v>
      </c>
      <c r="K46" s="641">
        <v>0</v>
      </c>
      <c r="L46" s="641">
        <v>0</v>
      </c>
      <c r="M46" s="641">
        <v>0</v>
      </c>
      <c r="N46" s="641">
        <v>0</v>
      </c>
      <c r="O46" s="641">
        <v>0</v>
      </c>
      <c r="P46" s="641">
        <v>0</v>
      </c>
      <c r="Q46" s="641">
        <v>22000</v>
      </c>
      <c r="R46" s="641">
        <v>22000</v>
      </c>
      <c r="S46" s="641">
        <v>22000</v>
      </c>
      <c r="T46" s="641">
        <v>22000</v>
      </c>
    </row>
    <row r="47" spans="1:20">
      <c r="A47" s="1" t="s">
        <v>550</v>
      </c>
      <c r="B47" s="748"/>
      <c r="C47" s="641">
        <v>47500</v>
      </c>
      <c r="D47" s="641">
        <v>47500</v>
      </c>
      <c r="E47" s="641">
        <v>47500</v>
      </c>
      <c r="F47" s="641">
        <v>47500</v>
      </c>
      <c r="G47" s="641">
        <v>47500</v>
      </c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</row>
    <row r="48" spans="1:20" s="687" customFormat="1" ht="15" thickBot="1">
      <c r="A48" s="1447" t="s">
        <v>224</v>
      </c>
      <c r="B48" s="1448"/>
      <c r="C48" s="856">
        <v>68809005</v>
      </c>
      <c r="D48" s="856">
        <v>7813100</v>
      </c>
      <c r="E48" s="856">
        <v>7595988</v>
      </c>
      <c r="F48" s="856">
        <v>7730833</v>
      </c>
      <c r="G48" s="856">
        <v>8192689</v>
      </c>
      <c r="H48" s="856">
        <v>7350327</v>
      </c>
      <c r="I48" s="856">
        <v>10620631</v>
      </c>
      <c r="J48" s="856">
        <v>9470433</v>
      </c>
      <c r="K48" s="856">
        <v>9378825</v>
      </c>
      <c r="L48" s="856">
        <v>8257990</v>
      </c>
      <c r="M48" s="856">
        <v>8833118</v>
      </c>
      <c r="N48" s="856">
        <v>8970842</v>
      </c>
      <c r="O48" s="856">
        <v>7623666</v>
      </c>
      <c r="P48" s="856">
        <v>8428293</v>
      </c>
      <c r="Q48" s="856">
        <v>9233285</v>
      </c>
      <c r="R48" s="856">
        <v>8792022</v>
      </c>
      <c r="S48" s="856">
        <v>7313161</v>
      </c>
      <c r="T48" s="856">
        <v>7387604</v>
      </c>
    </row>
    <row r="49" spans="1:20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</row>
    <row r="50" spans="1:20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  <c r="T50" s="854"/>
    </row>
    <row r="51" spans="1:20">
      <c r="A51" s="28" t="s">
        <v>813</v>
      </c>
      <c r="B51" s="747" t="s">
        <v>206</v>
      </c>
      <c r="C51" s="855">
        <v>122810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5000000</v>
      </c>
      <c r="P51" s="855">
        <v>5000000</v>
      </c>
      <c r="Q51" s="855">
        <v>5000000</v>
      </c>
      <c r="R51" s="855">
        <v>1248000</v>
      </c>
      <c r="S51" s="855">
        <v>5000000</v>
      </c>
      <c r="T51" s="855">
        <v>5000000</v>
      </c>
    </row>
    <row r="52" spans="1:20">
      <c r="A52" s="28" t="s">
        <v>73</v>
      </c>
      <c r="B52" s="746" t="s">
        <v>81</v>
      </c>
      <c r="C52" s="855">
        <v>761838</v>
      </c>
      <c r="D52" s="855">
        <v>770338</v>
      </c>
      <c r="E52" s="855">
        <v>786763</v>
      </c>
      <c r="F52" s="855">
        <v>833112</v>
      </c>
      <c r="G52" s="855">
        <v>904862</v>
      </c>
      <c r="H52" s="855">
        <v>159712</v>
      </c>
      <c r="I52" s="855">
        <v>170012</v>
      </c>
      <c r="J52" s="855">
        <v>170012</v>
      </c>
      <c r="K52" s="855">
        <v>185562</v>
      </c>
      <c r="L52" s="855">
        <v>185562</v>
      </c>
      <c r="M52" s="855">
        <v>185562</v>
      </c>
      <c r="N52" s="855">
        <v>185562</v>
      </c>
      <c r="O52" s="855">
        <v>185562</v>
      </c>
      <c r="P52" s="855">
        <v>416462</v>
      </c>
      <c r="Q52" s="855">
        <v>517462</v>
      </c>
      <c r="R52" s="855">
        <v>517462</v>
      </c>
      <c r="S52" s="855">
        <v>690806</v>
      </c>
      <c r="T52" s="855">
        <v>1063306</v>
      </c>
    </row>
    <row r="53" spans="1:20">
      <c r="A53" s="28" t="s">
        <v>1</v>
      </c>
      <c r="B53" s="746" t="s">
        <v>271</v>
      </c>
      <c r="C53" s="855">
        <v>1033722</v>
      </c>
      <c r="D53" s="855">
        <v>285399</v>
      </c>
      <c r="E53" s="855">
        <v>540896</v>
      </c>
      <c r="F53" s="855">
        <v>769341</v>
      </c>
      <c r="G53" s="855">
        <v>158830</v>
      </c>
      <c r="H53" s="855">
        <v>1831669</v>
      </c>
      <c r="I53" s="855">
        <v>396757</v>
      </c>
      <c r="J53" s="855">
        <v>835942</v>
      </c>
      <c r="K53" s="855">
        <v>1249336</v>
      </c>
      <c r="L53" s="855">
        <v>227928</v>
      </c>
      <c r="M53" s="855">
        <v>51514</v>
      </c>
      <c r="N53" s="855">
        <v>454880</v>
      </c>
      <c r="O53" s="855">
        <v>1060968</v>
      </c>
      <c r="P53" s="855">
        <v>482444</v>
      </c>
      <c r="Q53" s="855">
        <v>1182633</v>
      </c>
      <c r="R53" s="855">
        <v>1182633</v>
      </c>
      <c r="S53" s="855">
        <v>1622816</v>
      </c>
      <c r="T53" s="855">
        <v>1895165</v>
      </c>
    </row>
    <row r="54" spans="1:20">
      <c r="A54" s="28" t="s">
        <v>111</v>
      </c>
      <c r="B54" s="746" t="s">
        <v>83</v>
      </c>
      <c r="C54" s="855">
        <v>645815</v>
      </c>
      <c r="D54" s="855">
        <v>662705</v>
      </c>
      <c r="E54" s="855">
        <v>683405</v>
      </c>
      <c r="F54" s="855">
        <v>683405</v>
      </c>
      <c r="G54" s="855">
        <v>683405</v>
      </c>
      <c r="H54" s="855">
        <v>266795</v>
      </c>
      <c r="I54" s="855">
        <v>418175</v>
      </c>
      <c r="J54" s="855">
        <v>118175</v>
      </c>
      <c r="K54" s="855">
        <v>178175</v>
      </c>
      <c r="L54" s="855">
        <v>301425</v>
      </c>
      <c r="M54" s="855">
        <v>367625</v>
      </c>
      <c r="N54" s="855">
        <v>415625</v>
      </c>
      <c r="O54" s="855">
        <v>445505</v>
      </c>
      <c r="P54" s="855">
        <v>527005</v>
      </c>
      <c r="Q54" s="855">
        <v>354505</v>
      </c>
      <c r="R54" s="855">
        <v>354505</v>
      </c>
      <c r="S54" s="855">
        <v>472005</v>
      </c>
      <c r="T54" s="855">
        <v>472005</v>
      </c>
    </row>
    <row r="55" spans="1:20">
      <c r="A55" s="28" t="s">
        <v>168</v>
      </c>
      <c r="B55" s="746" t="s">
        <v>272</v>
      </c>
      <c r="C55" s="855">
        <v>457533</v>
      </c>
      <c r="D55" s="855">
        <v>222633</v>
      </c>
      <c r="E55" s="855">
        <v>303133</v>
      </c>
      <c r="F55" s="855">
        <v>303133</v>
      </c>
      <c r="G55" s="855">
        <v>303133</v>
      </c>
      <c r="H55" s="855">
        <v>424133</v>
      </c>
      <c r="I55" s="855">
        <v>437333</v>
      </c>
      <c r="J55" s="855">
        <v>437333</v>
      </c>
      <c r="K55" s="855">
        <v>437333</v>
      </c>
      <c r="L55" s="855">
        <v>437333</v>
      </c>
      <c r="M55" s="855">
        <v>437333</v>
      </c>
      <c r="N55" s="855">
        <v>460833</v>
      </c>
      <c r="O55" s="855">
        <v>460833</v>
      </c>
      <c r="P55" s="855">
        <v>460833</v>
      </c>
      <c r="Q55" s="855">
        <v>491833</v>
      </c>
      <c r="R55" s="855">
        <v>491833</v>
      </c>
      <c r="S55" s="855">
        <v>525133</v>
      </c>
      <c r="T55" s="855">
        <v>525133</v>
      </c>
    </row>
    <row r="56" spans="1:20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  <c r="T56" s="855">
        <v>0</v>
      </c>
    </row>
    <row r="57" spans="1:20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  <c r="T57" s="855">
        <v>208871</v>
      </c>
    </row>
    <row r="58" spans="1:20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  <c r="T58" s="855">
        <v>4634</v>
      </c>
    </row>
    <row r="59" spans="1:20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</row>
    <row r="60" spans="1:20" s="687" customFormat="1" ht="15" thickBot="1">
      <c r="A60" s="1447" t="s">
        <v>224</v>
      </c>
      <c r="B60" s="1448"/>
      <c r="C60" s="856">
        <v>3235223</v>
      </c>
      <c r="D60" s="856">
        <v>7154580</v>
      </c>
      <c r="E60" s="856">
        <v>7527702</v>
      </c>
      <c r="F60" s="856">
        <v>7802496</v>
      </c>
      <c r="G60" s="856">
        <v>7263735</v>
      </c>
      <c r="H60" s="856">
        <v>7895814</v>
      </c>
      <c r="I60" s="856">
        <v>6635782</v>
      </c>
      <c r="J60" s="856">
        <v>6774967</v>
      </c>
      <c r="K60" s="856">
        <v>7263911</v>
      </c>
      <c r="L60" s="856">
        <v>6365753</v>
      </c>
      <c r="M60" s="856">
        <v>6255539</v>
      </c>
      <c r="N60" s="856">
        <v>6730405</v>
      </c>
      <c r="O60" s="856">
        <v>7366373</v>
      </c>
      <c r="P60" s="856">
        <v>7100249</v>
      </c>
      <c r="Q60" s="856">
        <v>7759938</v>
      </c>
      <c r="R60" s="856">
        <v>4007938</v>
      </c>
      <c r="S60" s="856">
        <v>8524265</v>
      </c>
      <c r="T60" s="856">
        <v>9169114</v>
      </c>
    </row>
    <row r="61" spans="1:20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</row>
    <row r="62" spans="1:20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  <c r="T62" s="858"/>
    </row>
    <row r="63" spans="1:20">
      <c r="A63" s="751" t="s">
        <v>1</v>
      </c>
      <c r="B63" s="752" t="s">
        <v>275</v>
      </c>
      <c r="C63" s="859">
        <v>977269</v>
      </c>
      <c r="D63" s="859">
        <v>145460</v>
      </c>
      <c r="E63" s="859">
        <v>600252</v>
      </c>
      <c r="F63" s="859">
        <v>1155543</v>
      </c>
      <c r="G63" s="859">
        <v>810705</v>
      </c>
      <c r="H63" s="859">
        <v>487538</v>
      </c>
      <c r="I63" s="859">
        <v>701929</v>
      </c>
      <c r="J63" s="859">
        <v>1251009</v>
      </c>
      <c r="K63" s="859">
        <v>437788</v>
      </c>
      <c r="L63" s="859">
        <v>1054473</v>
      </c>
      <c r="M63" s="859">
        <v>1662861</v>
      </c>
      <c r="N63" s="859">
        <v>244550</v>
      </c>
      <c r="O63" s="859">
        <v>932738</v>
      </c>
      <c r="P63" s="859">
        <v>1654593</v>
      </c>
      <c r="Q63" s="859">
        <v>439272</v>
      </c>
      <c r="R63" s="859">
        <v>854160</v>
      </c>
      <c r="S63" s="859">
        <v>854160</v>
      </c>
      <c r="T63" s="859">
        <v>1671933</v>
      </c>
    </row>
    <row r="64" spans="1:20">
      <c r="A64" s="751" t="s">
        <v>212</v>
      </c>
      <c r="B64" s="752" t="s">
        <v>274</v>
      </c>
      <c r="C64" s="859">
        <v>372266</v>
      </c>
      <c r="D64" s="859">
        <v>33766</v>
      </c>
      <c r="E64" s="859">
        <v>94766</v>
      </c>
      <c r="F64" s="859">
        <v>266</v>
      </c>
      <c r="G64" s="859">
        <v>18366</v>
      </c>
      <c r="H64" s="859">
        <v>94396</v>
      </c>
      <c r="I64" s="859">
        <v>185396</v>
      </c>
      <c r="J64" s="859">
        <v>342396</v>
      </c>
      <c r="K64" s="859">
        <v>145396</v>
      </c>
      <c r="L64" s="859">
        <v>347449</v>
      </c>
      <c r="M64" s="859">
        <v>429749</v>
      </c>
      <c r="N64" s="859">
        <v>429749</v>
      </c>
      <c r="O64" s="859">
        <v>659549</v>
      </c>
      <c r="P64" s="859">
        <v>16549</v>
      </c>
      <c r="Q64" s="859">
        <v>67549</v>
      </c>
      <c r="R64" s="859">
        <v>118549</v>
      </c>
      <c r="S64" s="859">
        <v>118549</v>
      </c>
      <c r="T64" s="859">
        <v>118549</v>
      </c>
    </row>
    <row r="65" spans="1:20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  <c r="T65" s="859">
        <v>159814</v>
      </c>
    </row>
    <row r="66" spans="1:20">
      <c r="A66" s="751" t="s">
        <v>747</v>
      </c>
      <c r="B66" s="752" t="s">
        <v>277</v>
      </c>
      <c r="C66" s="859">
        <v>63296</v>
      </c>
      <c r="D66" s="859">
        <v>586296</v>
      </c>
      <c r="E66" s="859">
        <v>455507</v>
      </c>
      <c r="F66" s="859">
        <v>1858007</v>
      </c>
      <c r="G66" s="859">
        <v>1646057</v>
      </c>
      <c r="H66" s="859">
        <v>396398</v>
      </c>
      <c r="I66" s="859">
        <v>138398</v>
      </c>
      <c r="J66" s="859">
        <v>1158398</v>
      </c>
      <c r="K66" s="859">
        <v>1223448</v>
      </c>
      <c r="L66" s="859">
        <v>2304829</v>
      </c>
      <c r="M66" s="859">
        <v>1044829</v>
      </c>
      <c r="N66" s="859">
        <v>2286436</v>
      </c>
      <c r="O66" s="859">
        <v>928936</v>
      </c>
      <c r="P66" s="859">
        <v>2500000</v>
      </c>
      <c r="Q66" s="859">
        <v>22810000</v>
      </c>
      <c r="R66" s="859">
        <v>395000</v>
      </c>
      <c r="S66" s="859">
        <v>395000</v>
      </c>
      <c r="T66" s="859">
        <v>1000000</v>
      </c>
    </row>
    <row r="67" spans="1:20">
      <c r="A67" s="751" t="s">
        <v>200</v>
      </c>
      <c r="B67" s="752" t="s">
        <v>278</v>
      </c>
      <c r="C67" s="859">
        <v>24907</v>
      </c>
      <c r="D67" s="859">
        <v>24907</v>
      </c>
      <c r="E67" s="859">
        <v>24907</v>
      </c>
      <c r="F67" s="859">
        <v>24907</v>
      </c>
      <c r="G67" s="859">
        <v>24907</v>
      </c>
      <c r="H67" s="859">
        <v>24907</v>
      </c>
      <c r="I67" s="859">
        <v>24907</v>
      </c>
      <c r="J67" s="859">
        <v>24907</v>
      </c>
      <c r="K67" s="859">
        <v>24907</v>
      </c>
      <c r="L67" s="859">
        <v>24907</v>
      </c>
      <c r="M67" s="859">
        <v>24907</v>
      </c>
      <c r="N67" s="859">
        <v>24907</v>
      </c>
      <c r="O67" s="859">
        <v>24907</v>
      </c>
      <c r="P67" s="859">
        <v>24907</v>
      </c>
      <c r="Q67" s="859">
        <v>24907</v>
      </c>
      <c r="R67" s="859">
        <v>24907</v>
      </c>
      <c r="S67" s="859">
        <v>24907</v>
      </c>
      <c r="T67" s="859">
        <v>27907</v>
      </c>
    </row>
    <row r="68" spans="1:20">
      <c r="A68" s="751" t="s">
        <v>201</v>
      </c>
      <c r="B68" s="752" t="s">
        <v>279</v>
      </c>
      <c r="C68" s="859">
        <v>96000</v>
      </c>
      <c r="D68" s="859">
        <v>96000</v>
      </c>
      <c r="E68" s="859">
        <v>96000</v>
      </c>
      <c r="F68" s="859">
        <v>96000</v>
      </c>
      <c r="G68" s="859">
        <v>96000</v>
      </c>
      <c r="H68" s="859">
        <v>96000</v>
      </c>
      <c r="I68" s="859">
        <v>96000</v>
      </c>
      <c r="J68" s="859">
        <v>96000</v>
      </c>
      <c r="K68" s="859">
        <v>96000</v>
      </c>
      <c r="L68" s="859">
        <v>96000</v>
      </c>
      <c r="M68" s="859">
        <v>96000</v>
      </c>
      <c r="N68" s="859">
        <v>96000</v>
      </c>
      <c r="O68" s="859">
        <v>96000</v>
      </c>
      <c r="P68" s="859">
        <v>96000</v>
      </c>
      <c r="Q68" s="859">
        <v>96000</v>
      </c>
      <c r="R68" s="859">
        <v>96000</v>
      </c>
      <c r="S68" s="859">
        <v>96000</v>
      </c>
      <c r="T68" s="859">
        <v>29000</v>
      </c>
    </row>
    <row r="69" spans="1:20">
      <c r="A69" s="751" t="s">
        <v>202</v>
      </c>
      <c r="B69" s="752" t="s">
        <v>280</v>
      </c>
      <c r="C69" s="859">
        <v>106000</v>
      </c>
      <c r="D69" s="859">
        <v>106000</v>
      </c>
      <c r="E69" s="859">
        <v>106000</v>
      </c>
      <c r="F69" s="859">
        <v>106000</v>
      </c>
      <c r="G69" s="859">
        <v>106000</v>
      </c>
      <c r="H69" s="859">
        <v>106000</v>
      </c>
      <c r="I69" s="859">
        <v>106000</v>
      </c>
      <c r="J69" s="859">
        <v>106000</v>
      </c>
      <c r="K69" s="859">
        <v>106000</v>
      </c>
      <c r="L69" s="859">
        <v>106000</v>
      </c>
      <c r="M69" s="859">
        <v>106000</v>
      </c>
      <c r="N69" s="859">
        <v>106000</v>
      </c>
      <c r="O69" s="859">
        <v>106000</v>
      </c>
      <c r="P69" s="859">
        <v>106000</v>
      </c>
      <c r="Q69" s="859">
        <v>106000</v>
      </c>
      <c r="R69" s="859">
        <v>106000</v>
      </c>
      <c r="S69" s="859">
        <v>106000</v>
      </c>
      <c r="T69" s="859">
        <v>116000</v>
      </c>
    </row>
    <row r="70" spans="1:20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  <c r="T70" s="859">
        <v>69862</v>
      </c>
    </row>
    <row r="71" spans="1:20">
      <c r="A71" s="751" t="s">
        <v>800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52533</v>
      </c>
      <c r="P71" s="859">
        <v>52533</v>
      </c>
      <c r="Q71" s="859">
        <v>52533</v>
      </c>
      <c r="R71" s="859">
        <v>52533</v>
      </c>
      <c r="S71" s="859">
        <v>48613</v>
      </c>
      <c r="T71" s="859">
        <v>20333</v>
      </c>
    </row>
    <row r="72" spans="1:20">
      <c r="A72" s="751" t="s">
        <v>810</v>
      </c>
      <c r="B72" s="752"/>
      <c r="C72" s="859">
        <v>63446031</v>
      </c>
      <c r="D72" s="859">
        <v>253221</v>
      </c>
      <c r="E72" s="859">
        <v>84831</v>
      </c>
      <c r="F72" s="859">
        <v>343051</v>
      </c>
      <c r="G72" s="859">
        <v>128070</v>
      </c>
      <c r="H72" s="859">
        <v>225090</v>
      </c>
      <c r="I72" s="859">
        <v>56560</v>
      </c>
      <c r="J72" s="859">
        <v>100000</v>
      </c>
      <c r="K72" s="859">
        <v>770320</v>
      </c>
      <c r="L72" s="859">
        <v>72260</v>
      </c>
      <c r="M72" s="859">
        <v>100000</v>
      </c>
      <c r="N72" s="859">
        <v>100000</v>
      </c>
      <c r="O72" s="859">
        <v>5000000</v>
      </c>
      <c r="P72" s="859">
        <v>100000</v>
      </c>
      <c r="Q72" s="1139"/>
      <c r="R72" s="1139"/>
      <c r="S72" s="1139"/>
      <c r="T72" s="1139"/>
    </row>
    <row r="73" spans="1:20" s="687" customFormat="1" ht="15" thickBot="1">
      <c r="A73" s="1447" t="s">
        <v>224</v>
      </c>
      <c r="B73" s="1448"/>
      <c r="C73" s="856">
        <v>65315445</v>
      </c>
      <c r="D73" s="856">
        <v>1475326</v>
      </c>
      <c r="E73" s="856">
        <v>1691939</v>
      </c>
      <c r="F73" s="856">
        <v>3813450</v>
      </c>
      <c r="G73" s="856">
        <v>3059781</v>
      </c>
      <c r="H73" s="856">
        <v>1660005</v>
      </c>
      <c r="I73" s="856">
        <v>1538866</v>
      </c>
      <c r="J73" s="856">
        <v>3308386</v>
      </c>
      <c r="K73" s="856">
        <v>3033535</v>
      </c>
      <c r="L73" s="856">
        <v>4235594</v>
      </c>
      <c r="M73" s="856">
        <v>3694022</v>
      </c>
      <c r="N73" s="856">
        <v>3517318</v>
      </c>
      <c r="O73" s="856">
        <v>8030339</v>
      </c>
      <c r="P73" s="856">
        <v>4780258</v>
      </c>
      <c r="Q73" s="856">
        <v>23825937</v>
      </c>
      <c r="R73" s="856">
        <v>1876825</v>
      </c>
      <c r="S73" s="856">
        <v>1872905</v>
      </c>
      <c r="T73" s="856">
        <v>3213398</v>
      </c>
    </row>
    <row r="74" spans="1:20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  <c r="T74" s="861"/>
    </row>
    <row r="75" spans="1:20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  <c r="T75" s="848"/>
    </row>
    <row r="76" spans="1:20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  <c r="T76" s="852"/>
    </row>
    <row r="77" spans="1:20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</row>
    <row r="78" spans="1:20">
      <c r="A78" s="28" t="s">
        <v>814</v>
      </c>
      <c r="B78" s="747" t="s">
        <v>266</v>
      </c>
      <c r="C78" s="855">
        <v>37635030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5000001</v>
      </c>
      <c r="T78" s="855">
        <v>5000001</v>
      </c>
    </row>
    <row r="79" spans="1:20">
      <c r="A79" s="28" t="s">
        <v>73</v>
      </c>
      <c r="B79" s="746" t="s">
        <v>485</v>
      </c>
      <c r="C79" s="855">
        <v>952942</v>
      </c>
      <c r="D79" s="855">
        <v>49692</v>
      </c>
      <c r="E79" s="855">
        <v>150692</v>
      </c>
      <c r="F79" s="855">
        <v>150692</v>
      </c>
      <c r="G79" s="855">
        <v>947692</v>
      </c>
      <c r="H79" s="855">
        <v>146692</v>
      </c>
      <c r="I79" s="855">
        <v>146692</v>
      </c>
      <c r="J79" s="855">
        <v>234692</v>
      </c>
      <c r="K79" s="855">
        <v>234692</v>
      </c>
      <c r="L79" s="855">
        <v>234692</v>
      </c>
      <c r="M79" s="855">
        <v>265337</v>
      </c>
      <c r="N79" s="855">
        <v>265337</v>
      </c>
      <c r="O79" s="855">
        <v>361637</v>
      </c>
      <c r="P79" s="855">
        <v>531487</v>
      </c>
      <c r="Q79" s="855">
        <v>32487</v>
      </c>
      <c r="R79" s="855">
        <v>48212</v>
      </c>
      <c r="S79" s="855">
        <v>175287</v>
      </c>
      <c r="T79" s="855">
        <v>378262</v>
      </c>
    </row>
    <row r="80" spans="1:20">
      <c r="A80" s="28" t="s">
        <v>1</v>
      </c>
      <c r="B80" s="746" t="s">
        <v>486</v>
      </c>
      <c r="C80" s="855">
        <v>452573</v>
      </c>
      <c r="D80" s="855">
        <v>1128862</v>
      </c>
      <c r="E80" s="855">
        <v>1486652</v>
      </c>
      <c r="F80" s="855">
        <v>543506</v>
      </c>
      <c r="G80" s="855">
        <v>1027376</v>
      </c>
      <c r="H80" s="855">
        <v>325196</v>
      </c>
      <c r="I80" s="855">
        <v>734776</v>
      </c>
      <c r="J80" s="855">
        <v>1207520</v>
      </c>
      <c r="K80" s="855">
        <v>1492709</v>
      </c>
      <c r="L80" s="855">
        <v>336799</v>
      </c>
      <c r="M80" s="855">
        <v>772587</v>
      </c>
      <c r="N80" s="855">
        <v>65640</v>
      </c>
      <c r="O80" s="855">
        <v>707829</v>
      </c>
      <c r="P80" s="855">
        <v>264196</v>
      </c>
      <c r="Q80" s="855">
        <v>584989</v>
      </c>
      <c r="R80" s="855">
        <v>1457467</v>
      </c>
      <c r="S80" s="855">
        <v>624752</v>
      </c>
      <c r="T80" s="855">
        <v>122636</v>
      </c>
    </row>
    <row r="81" spans="1:20">
      <c r="A81" s="28" t="s">
        <v>111</v>
      </c>
      <c r="B81" s="746" t="s">
        <v>487</v>
      </c>
      <c r="C81" s="855">
        <v>405307</v>
      </c>
      <c r="D81" s="855">
        <v>368087</v>
      </c>
      <c r="E81" s="855">
        <v>508587</v>
      </c>
      <c r="F81" s="855">
        <v>8587</v>
      </c>
      <c r="G81" s="855">
        <v>306047</v>
      </c>
      <c r="H81" s="855">
        <v>466947</v>
      </c>
      <c r="I81" s="855">
        <v>516674</v>
      </c>
      <c r="J81" s="855">
        <v>347397</v>
      </c>
      <c r="K81" s="855">
        <v>482897</v>
      </c>
      <c r="L81" s="855">
        <v>500397</v>
      </c>
      <c r="M81" s="855">
        <v>70897</v>
      </c>
      <c r="N81" s="855">
        <v>251497</v>
      </c>
      <c r="O81" s="855">
        <v>274997</v>
      </c>
      <c r="P81" s="855">
        <v>346947</v>
      </c>
      <c r="Q81" s="855">
        <v>88047</v>
      </c>
      <c r="R81" s="855">
        <v>88047</v>
      </c>
      <c r="S81" s="855">
        <v>161247</v>
      </c>
      <c r="T81" s="855">
        <v>161247</v>
      </c>
    </row>
    <row r="82" spans="1:20">
      <c r="A82" s="28" t="s">
        <v>168</v>
      </c>
      <c r="B82" s="746" t="s">
        <v>488</v>
      </c>
      <c r="C82" s="855">
        <v>444900</v>
      </c>
      <c r="D82" s="855">
        <v>444900</v>
      </c>
      <c r="E82" s="855">
        <v>444900</v>
      </c>
      <c r="F82" s="855">
        <v>545400</v>
      </c>
      <c r="G82" s="855">
        <v>545400</v>
      </c>
      <c r="H82" s="855">
        <v>545400</v>
      </c>
      <c r="I82" s="855">
        <v>545400</v>
      </c>
      <c r="J82" s="855">
        <v>621900</v>
      </c>
      <c r="K82" s="855">
        <v>621900</v>
      </c>
      <c r="L82" s="855">
        <v>621900</v>
      </c>
      <c r="M82" s="855">
        <v>621900</v>
      </c>
      <c r="N82" s="855">
        <v>621900</v>
      </c>
      <c r="O82" s="855">
        <v>621900</v>
      </c>
      <c r="P82" s="855">
        <v>672400</v>
      </c>
      <c r="Q82" s="855">
        <v>216900</v>
      </c>
      <c r="R82" s="855">
        <v>294150</v>
      </c>
      <c r="S82" s="855">
        <v>357650</v>
      </c>
      <c r="T82" s="855">
        <v>364400</v>
      </c>
    </row>
    <row r="83" spans="1:20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  <c r="T83" s="855">
        <v>0</v>
      </c>
    </row>
    <row r="84" spans="1:20">
      <c r="A84" s="28" t="s">
        <v>9</v>
      </c>
      <c r="B84" s="746" t="s">
        <v>490</v>
      </c>
      <c r="C84" s="855">
        <v>625970</v>
      </c>
      <c r="D84" s="855">
        <v>625970</v>
      </c>
      <c r="E84" s="855">
        <v>625970</v>
      </c>
      <c r="F84" s="855">
        <v>625970</v>
      </c>
      <c r="G84" s="855">
        <v>625970</v>
      </c>
      <c r="H84" s="855">
        <v>657833</v>
      </c>
      <c r="I84" s="855">
        <v>657833</v>
      </c>
      <c r="J84" s="855">
        <v>657833</v>
      </c>
      <c r="K84" s="855">
        <v>657833</v>
      </c>
      <c r="L84" s="855">
        <v>657833</v>
      </c>
      <c r="M84" s="855">
        <v>657833</v>
      </c>
      <c r="N84" s="855">
        <v>657833</v>
      </c>
      <c r="O84" s="855">
        <v>657833</v>
      </c>
      <c r="P84" s="855">
        <v>657833</v>
      </c>
      <c r="Q84" s="855">
        <v>657833</v>
      </c>
      <c r="R84" s="855">
        <v>657833</v>
      </c>
      <c r="S84" s="855">
        <v>657833</v>
      </c>
      <c r="T84" s="855">
        <v>657833</v>
      </c>
    </row>
    <row r="85" spans="1:20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</row>
    <row r="86" spans="1:20" s="687" customFormat="1" ht="15" thickBot="1">
      <c r="A86" s="1447" t="s">
        <v>224</v>
      </c>
      <c r="B86" s="1448"/>
      <c r="C86" s="856">
        <v>40516722</v>
      </c>
      <c r="D86" s="856">
        <v>7617511</v>
      </c>
      <c r="E86" s="856">
        <v>8216801</v>
      </c>
      <c r="F86" s="856">
        <v>6874155</v>
      </c>
      <c r="G86" s="856">
        <v>8452485</v>
      </c>
      <c r="H86" s="856">
        <v>7142068</v>
      </c>
      <c r="I86" s="856">
        <v>7601375</v>
      </c>
      <c r="J86" s="856">
        <v>8069342</v>
      </c>
      <c r="K86" s="856">
        <v>8490031</v>
      </c>
      <c r="L86" s="856">
        <v>7351621</v>
      </c>
      <c r="M86" s="856">
        <v>7388554</v>
      </c>
      <c r="N86" s="856">
        <v>6862207</v>
      </c>
      <c r="O86" s="856">
        <v>7624196</v>
      </c>
      <c r="P86" s="856">
        <v>7472863</v>
      </c>
      <c r="Q86" s="856">
        <v>6580256</v>
      </c>
      <c r="R86" s="856">
        <v>7545709</v>
      </c>
      <c r="S86" s="856">
        <v>6976770</v>
      </c>
      <c r="T86" s="856">
        <v>6684379</v>
      </c>
    </row>
    <row r="87" spans="1:20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  <c r="T87" s="852"/>
    </row>
    <row r="88" spans="1:20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  <c r="T88" s="852"/>
    </row>
    <row r="89" spans="1:20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  <c r="T89" s="862"/>
    </row>
    <row r="90" spans="1:20">
      <c r="A90" s="28" t="s">
        <v>95</v>
      </c>
      <c r="B90" s="747" t="s">
        <v>207</v>
      </c>
      <c r="C90" s="855">
        <v>595095</v>
      </c>
      <c r="D90" s="855">
        <v>56418595</v>
      </c>
      <c r="E90" s="855">
        <v>8594309</v>
      </c>
      <c r="F90" s="855">
        <v>16119169</v>
      </c>
      <c r="G90" s="855">
        <v>9404165</v>
      </c>
      <c r="H90" s="855">
        <v>5018371</v>
      </c>
      <c r="I90" s="855">
        <v>7727850</v>
      </c>
      <c r="J90" s="855">
        <v>4446850</v>
      </c>
      <c r="K90" s="855">
        <v>4003350</v>
      </c>
      <c r="L90" s="855">
        <v>8038960</v>
      </c>
      <c r="M90" s="855">
        <v>5580460</v>
      </c>
      <c r="N90" s="855">
        <v>19518460</v>
      </c>
      <c r="O90" s="855">
        <v>3104474</v>
      </c>
      <c r="P90" s="855">
        <v>460000</v>
      </c>
      <c r="Q90" s="855">
        <v>450000</v>
      </c>
      <c r="R90" s="855">
        <v>450000</v>
      </c>
      <c r="S90" s="855">
        <v>450000</v>
      </c>
      <c r="T90" s="855">
        <v>450000</v>
      </c>
    </row>
    <row r="91" spans="1:20">
      <c r="A91" s="28" t="s">
        <v>96</v>
      </c>
      <c r="B91" s="747" t="s">
        <v>208</v>
      </c>
      <c r="C91" s="855"/>
      <c r="D91" s="855"/>
      <c r="E91" s="855"/>
      <c r="F91" s="855"/>
      <c r="G91" s="855"/>
      <c r="H91" s="855">
        <v>100000</v>
      </c>
      <c r="I91" s="855">
        <v>100000</v>
      </c>
      <c r="J91" s="855">
        <v>120000</v>
      </c>
      <c r="K91" s="855">
        <v>100000</v>
      </c>
      <c r="L91" s="855">
        <v>100000</v>
      </c>
      <c r="M91" s="855">
        <v>100000</v>
      </c>
      <c r="N91" s="855">
        <v>100000</v>
      </c>
      <c r="O91" s="855">
        <v>800756</v>
      </c>
      <c r="P91" s="855">
        <v>550756</v>
      </c>
      <c r="Q91" s="855">
        <v>600756</v>
      </c>
      <c r="R91" s="855">
        <v>68030</v>
      </c>
      <c r="S91" s="855">
        <v>0</v>
      </c>
      <c r="T91" s="855">
        <v>0</v>
      </c>
    </row>
    <row r="92" spans="1:20">
      <c r="A92" s="28"/>
      <c r="B92" s="747"/>
      <c r="C92" s="855"/>
      <c r="D92" s="855"/>
      <c r="E92" s="855"/>
      <c r="F92" s="855"/>
      <c r="G92" s="855"/>
      <c r="H92" s="855"/>
      <c r="I92" s="855"/>
      <c r="J92" s="855"/>
      <c r="K92" s="855"/>
      <c r="L92" s="855"/>
      <c r="M92" s="855"/>
      <c r="N92" s="855"/>
      <c r="O92" s="855"/>
      <c r="P92" s="855"/>
      <c r="Q92" s="855">
        <v>5000000</v>
      </c>
      <c r="R92" s="855">
        <v>9149085</v>
      </c>
      <c r="S92" s="855">
        <v>14467353</v>
      </c>
      <c r="T92" s="855">
        <v>62767353</v>
      </c>
    </row>
    <row r="93" spans="1:20">
      <c r="A93" s="28"/>
      <c r="B93" s="747"/>
      <c r="C93" s="855"/>
      <c r="D93" s="855"/>
      <c r="E93" s="855"/>
      <c r="F93" s="855"/>
      <c r="G93" s="855"/>
      <c r="H93" s="855"/>
      <c r="I93" s="855"/>
      <c r="J93" s="855"/>
      <c r="K93" s="855"/>
      <c r="L93" s="855"/>
      <c r="M93" s="855"/>
      <c r="N93" s="855"/>
      <c r="O93" s="855"/>
      <c r="P93" s="855"/>
      <c r="Q93" s="855">
        <v>0</v>
      </c>
      <c r="R93" s="855">
        <v>0</v>
      </c>
      <c r="S93" s="855">
        <v>0</v>
      </c>
      <c r="T93" s="855">
        <v>0</v>
      </c>
    </row>
    <row r="94" spans="1:20">
      <c r="A94" s="28" t="s">
        <v>94</v>
      </c>
      <c r="B94" s="747" t="s">
        <v>82</v>
      </c>
      <c r="C94" s="855">
        <v>150000</v>
      </c>
      <c r="D94" s="855">
        <v>150000</v>
      </c>
      <c r="E94" s="855">
        <v>150000</v>
      </c>
      <c r="F94" s="855">
        <v>100000</v>
      </c>
      <c r="G94" s="855">
        <v>100000</v>
      </c>
      <c r="H94" s="855">
        <v>100000</v>
      </c>
      <c r="I94" s="855">
        <v>100000</v>
      </c>
      <c r="J94" s="855">
        <v>100000</v>
      </c>
      <c r="K94" s="855">
        <v>100000</v>
      </c>
      <c r="L94" s="855">
        <v>100000</v>
      </c>
      <c r="M94" s="855">
        <v>100000</v>
      </c>
      <c r="N94" s="855">
        <v>100000</v>
      </c>
      <c r="O94" s="855">
        <v>100000</v>
      </c>
      <c r="P94" s="855">
        <v>100000</v>
      </c>
      <c r="Q94" s="855">
        <v>100000</v>
      </c>
      <c r="R94" s="855">
        <v>100000</v>
      </c>
      <c r="S94" s="855">
        <v>100000</v>
      </c>
      <c r="T94" s="855">
        <v>100000</v>
      </c>
    </row>
    <row r="95" spans="1:20">
      <c r="A95" s="28" t="s">
        <v>103</v>
      </c>
      <c r="B95" s="747" t="s">
        <v>209</v>
      </c>
      <c r="C95" s="855">
        <v>100000</v>
      </c>
      <c r="D95" s="855">
        <v>100000</v>
      </c>
      <c r="E95" s="855">
        <v>100000</v>
      </c>
      <c r="F95" s="855">
        <v>100000</v>
      </c>
      <c r="G95" s="855">
        <v>100000</v>
      </c>
      <c r="H95" s="855">
        <v>100000</v>
      </c>
      <c r="I95" s="855">
        <v>100000</v>
      </c>
      <c r="J95" s="855">
        <v>100000</v>
      </c>
      <c r="K95" s="855">
        <v>100000</v>
      </c>
      <c r="L95" s="855">
        <v>100000</v>
      </c>
      <c r="M95" s="855">
        <v>100000</v>
      </c>
      <c r="N95" s="855">
        <v>100000</v>
      </c>
      <c r="O95" s="855">
        <v>100000</v>
      </c>
      <c r="P95" s="855">
        <v>100000</v>
      </c>
      <c r="Q95" s="855">
        <v>100000</v>
      </c>
      <c r="R95" s="855">
        <v>100000</v>
      </c>
      <c r="S95" s="855">
        <v>100000</v>
      </c>
      <c r="T95" s="855">
        <v>100000</v>
      </c>
    </row>
    <row r="96" spans="1:20">
      <c r="A96" s="28" t="s">
        <v>70</v>
      </c>
      <c r="B96" s="747" t="s">
        <v>210</v>
      </c>
      <c r="C96" s="855">
        <v>132002</v>
      </c>
      <c r="D96" s="855">
        <v>132002</v>
      </c>
      <c r="E96" s="855">
        <v>132002</v>
      </c>
      <c r="F96" s="855">
        <v>132002</v>
      </c>
      <c r="G96" s="855">
        <v>132002</v>
      </c>
      <c r="H96" s="855">
        <v>132002</v>
      </c>
      <c r="I96" s="855">
        <v>132002</v>
      </c>
      <c r="J96" s="855">
        <v>136002</v>
      </c>
      <c r="K96" s="855">
        <v>136002</v>
      </c>
      <c r="L96" s="855">
        <v>136002</v>
      </c>
      <c r="M96" s="855">
        <v>136002</v>
      </c>
      <c r="N96" s="855">
        <v>136002</v>
      </c>
      <c r="O96" s="855">
        <v>136002</v>
      </c>
      <c r="P96" s="855">
        <v>136002</v>
      </c>
      <c r="Q96" s="855">
        <v>136002</v>
      </c>
      <c r="R96" s="855">
        <v>136002</v>
      </c>
      <c r="S96" s="855">
        <v>136002</v>
      </c>
      <c r="T96" s="855">
        <v>136002</v>
      </c>
    </row>
    <row r="97" spans="1:20">
      <c r="A97" s="28" t="s">
        <v>220</v>
      </c>
      <c r="B97" s="747" t="s">
        <v>204</v>
      </c>
      <c r="C97" s="855">
        <v>2047222</v>
      </c>
      <c r="D97" s="855">
        <v>2047222</v>
      </c>
      <c r="E97" s="855">
        <v>2047222</v>
      </c>
      <c r="F97" s="855">
        <v>2047222</v>
      </c>
      <c r="G97" s="855">
        <v>47222</v>
      </c>
      <c r="H97" s="855">
        <v>47222</v>
      </c>
      <c r="I97" s="855">
        <v>47222</v>
      </c>
      <c r="J97" s="855">
        <v>102222</v>
      </c>
      <c r="K97" s="855">
        <v>102222</v>
      </c>
      <c r="L97" s="855">
        <v>102222</v>
      </c>
      <c r="M97" s="855">
        <v>102222</v>
      </c>
      <c r="N97" s="855">
        <v>102222</v>
      </c>
      <c r="O97" s="855">
        <v>102222</v>
      </c>
      <c r="P97" s="855">
        <v>102222</v>
      </c>
      <c r="Q97" s="855">
        <v>102222</v>
      </c>
      <c r="R97" s="855">
        <v>102222</v>
      </c>
      <c r="S97" s="855">
        <v>102222</v>
      </c>
      <c r="T97" s="855">
        <v>2222</v>
      </c>
    </row>
    <row r="98" spans="1:20">
      <c r="A98" s="28" t="s">
        <v>221</v>
      </c>
      <c r="B98" s="747" t="s">
        <v>205</v>
      </c>
      <c r="C98" s="855">
        <v>36999</v>
      </c>
      <c r="D98" s="855">
        <v>36999</v>
      </c>
      <c r="E98" s="855">
        <v>36999</v>
      </c>
      <c r="F98" s="855">
        <v>36999</v>
      </c>
      <c r="G98" s="855">
        <v>36999</v>
      </c>
      <c r="H98" s="855">
        <v>36999</v>
      </c>
      <c r="I98" s="855">
        <v>36999</v>
      </c>
      <c r="J98" s="855">
        <v>42999</v>
      </c>
      <c r="K98" s="855">
        <v>42999</v>
      </c>
      <c r="L98" s="855">
        <v>42999</v>
      </c>
      <c r="M98" s="855">
        <v>42999</v>
      </c>
      <c r="N98" s="855">
        <v>42999</v>
      </c>
      <c r="O98" s="855">
        <v>42999</v>
      </c>
      <c r="P98" s="855">
        <v>42999</v>
      </c>
      <c r="Q98" s="855">
        <v>42999</v>
      </c>
      <c r="R98" s="855">
        <v>42999</v>
      </c>
      <c r="S98" s="855">
        <v>42999</v>
      </c>
      <c r="T98" s="855">
        <v>42999</v>
      </c>
    </row>
    <row r="99" spans="1:20">
      <c r="A99" s="1" t="s">
        <v>5</v>
      </c>
      <c r="B99" s="756"/>
      <c r="C99" s="641">
        <v>0</v>
      </c>
      <c r="D99" s="641">
        <v>0</v>
      </c>
      <c r="E99" s="641">
        <v>0</v>
      </c>
      <c r="F99" s="641">
        <v>0</v>
      </c>
      <c r="G99" s="641">
        <v>0</v>
      </c>
      <c r="H99" s="641">
        <v>0</v>
      </c>
      <c r="I99" s="641">
        <v>0</v>
      </c>
      <c r="J99" s="641">
        <v>0</v>
      </c>
      <c r="K99" s="641">
        <v>0</v>
      </c>
      <c r="L99" s="641">
        <v>0</v>
      </c>
      <c r="M99" s="641">
        <v>0</v>
      </c>
      <c r="N99" s="641">
        <v>0</v>
      </c>
      <c r="O99" s="641">
        <v>0</v>
      </c>
      <c r="P99" s="641">
        <v>0</v>
      </c>
      <c r="Q99" s="641">
        <v>0</v>
      </c>
      <c r="R99" s="641">
        <v>0</v>
      </c>
      <c r="S99" s="641">
        <v>0</v>
      </c>
      <c r="T99" s="641">
        <v>0</v>
      </c>
    </row>
    <row r="100" spans="1:20">
      <c r="A100" s="1" t="s">
        <v>6</v>
      </c>
      <c r="B100" s="756"/>
      <c r="C100" s="641">
        <v>0</v>
      </c>
      <c r="D100" s="641">
        <v>0</v>
      </c>
      <c r="E100" s="641">
        <v>0</v>
      </c>
      <c r="F100" s="641">
        <v>0</v>
      </c>
      <c r="G100" s="641">
        <v>0</v>
      </c>
      <c r="H100" s="641">
        <v>0</v>
      </c>
      <c r="I100" s="641">
        <v>0</v>
      </c>
      <c r="J100" s="641">
        <v>0</v>
      </c>
      <c r="K100" s="641">
        <v>0</v>
      </c>
      <c r="L100" s="641">
        <v>0</v>
      </c>
      <c r="M100" s="641">
        <v>0</v>
      </c>
      <c r="N100" s="641">
        <v>0</v>
      </c>
      <c r="O100" s="641">
        <v>0</v>
      </c>
      <c r="P100" s="641">
        <v>0</v>
      </c>
      <c r="Q100" s="641">
        <v>0</v>
      </c>
      <c r="R100" s="641">
        <v>0</v>
      </c>
      <c r="S100" s="641">
        <v>0</v>
      </c>
      <c r="T100" s="641">
        <v>0</v>
      </c>
    </row>
    <row r="101" spans="1:20">
      <c r="A101" s="1" t="s">
        <v>7</v>
      </c>
      <c r="B101" s="756"/>
      <c r="C101" s="641">
        <v>0</v>
      </c>
      <c r="D101" s="641">
        <v>0</v>
      </c>
      <c r="E101" s="641">
        <v>0</v>
      </c>
      <c r="F101" s="641">
        <v>0</v>
      </c>
      <c r="G101" s="641">
        <v>0</v>
      </c>
      <c r="H101" s="641">
        <v>0</v>
      </c>
      <c r="I101" s="641">
        <v>0</v>
      </c>
      <c r="J101" s="641">
        <v>0</v>
      </c>
      <c r="K101" s="641">
        <v>0</v>
      </c>
      <c r="L101" s="641">
        <v>0</v>
      </c>
      <c r="M101" s="641">
        <v>0</v>
      </c>
      <c r="N101" s="641">
        <v>0</v>
      </c>
      <c r="O101" s="641">
        <v>0</v>
      </c>
      <c r="P101" s="641">
        <v>0</v>
      </c>
      <c r="Q101" s="641">
        <v>5000</v>
      </c>
      <c r="R101" s="641">
        <v>5000</v>
      </c>
      <c r="S101" s="641">
        <v>5000</v>
      </c>
      <c r="T101" s="641">
        <v>5000</v>
      </c>
    </row>
    <row r="102" spans="1:20">
      <c r="A102" s="4" t="s">
        <v>815</v>
      </c>
      <c r="B102" s="757"/>
      <c r="C102" s="689">
        <v>2000</v>
      </c>
      <c r="D102" s="689">
        <v>2000</v>
      </c>
      <c r="E102" s="689">
        <v>2000</v>
      </c>
      <c r="F102" s="689">
        <v>2000</v>
      </c>
      <c r="G102" s="689">
        <v>2000</v>
      </c>
      <c r="H102" s="689">
        <v>2000</v>
      </c>
      <c r="I102" s="689">
        <v>2000</v>
      </c>
      <c r="J102" s="689">
        <v>2000</v>
      </c>
      <c r="K102" s="689">
        <v>2000</v>
      </c>
      <c r="L102" s="689">
        <v>2000</v>
      </c>
      <c r="M102" s="689">
        <v>2000</v>
      </c>
      <c r="N102" s="689">
        <v>2000</v>
      </c>
      <c r="O102" s="689">
        <v>27500</v>
      </c>
      <c r="P102" s="689">
        <v>27500</v>
      </c>
      <c r="Q102" s="689">
        <v>27500</v>
      </c>
      <c r="R102" s="689">
        <v>27500</v>
      </c>
      <c r="S102" s="689">
        <v>27500</v>
      </c>
      <c r="T102" s="689">
        <v>27500</v>
      </c>
    </row>
    <row r="103" spans="1:20">
      <c r="A103" s="4" t="s">
        <v>566</v>
      </c>
      <c r="B103" s="757"/>
      <c r="C103" s="689">
        <v>877</v>
      </c>
      <c r="D103" s="689">
        <v>877</v>
      </c>
      <c r="E103" s="689">
        <v>877</v>
      </c>
      <c r="F103" s="689">
        <v>877</v>
      </c>
      <c r="G103" s="689">
        <v>877</v>
      </c>
      <c r="H103" s="689">
        <v>877</v>
      </c>
      <c r="I103" s="689">
        <v>877</v>
      </c>
      <c r="J103" s="689">
        <v>877</v>
      </c>
      <c r="K103" s="689">
        <v>877</v>
      </c>
      <c r="L103" s="689">
        <v>877</v>
      </c>
      <c r="M103" s="689">
        <v>877</v>
      </c>
      <c r="N103" s="689">
        <v>877</v>
      </c>
      <c r="O103" s="689">
        <v>877</v>
      </c>
      <c r="P103" s="689">
        <v>877</v>
      </c>
      <c r="Q103" s="689">
        <v>877</v>
      </c>
      <c r="R103" s="689">
        <v>877</v>
      </c>
      <c r="S103" s="689">
        <v>877</v>
      </c>
      <c r="T103" s="689">
        <v>877</v>
      </c>
    </row>
    <row r="104" spans="1:20">
      <c r="A104" s="4" t="s">
        <v>567</v>
      </c>
      <c r="B104" s="757"/>
      <c r="C104" s="689">
        <v>1345</v>
      </c>
      <c r="D104" s="689">
        <v>1345</v>
      </c>
      <c r="E104" s="689">
        <v>1345</v>
      </c>
      <c r="F104" s="689">
        <v>1345</v>
      </c>
      <c r="G104" s="689">
        <v>1345</v>
      </c>
      <c r="H104" s="689">
        <v>1345</v>
      </c>
      <c r="I104" s="689">
        <v>1345</v>
      </c>
      <c r="J104" s="689">
        <v>1345</v>
      </c>
      <c r="K104" s="689">
        <v>1345</v>
      </c>
      <c r="L104" s="689">
        <v>1345</v>
      </c>
      <c r="M104" s="689">
        <v>1345</v>
      </c>
      <c r="N104" s="689">
        <v>1345</v>
      </c>
      <c r="O104" s="689">
        <v>1345</v>
      </c>
      <c r="P104" s="689">
        <v>1345</v>
      </c>
      <c r="Q104" s="689">
        <v>1345</v>
      </c>
      <c r="R104" s="689">
        <v>1345</v>
      </c>
      <c r="S104" s="689">
        <v>1345</v>
      </c>
      <c r="T104" s="689">
        <v>1345</v>
      </c>
    </row>
    <row r="105" spans="1:20">
      <c r="A105" s="4" t="s">
        <v>568</v>
      </c>
      <c r="B105" s="757"/>
      <c r="C105" s="689">
        <v>3500</v>
      </c>
      <c r="D105" s="689">
        <v>3500</v>
      </c>
      <c r="E105" s="689">
        <v>3500</v>
      </c>
      <c r="F105" s="689">
        <v>3500</v>
      </c>
      <c r="G105" s="689">
        <v>3500</v>
      </c>
      <c r="H105" s="689">
        <v>3500</v>
      </c>
      <c r="I105" s="689">
        <v>3500</v>
      </c>
      <c r="J105" s="689">
        <v>3500</v>
      </c>
      <c r="K105" s="689">
        <v>3500</v>
      </c>
      <c r="L105" s="689">
        <v>3500</v>
      </c>
      <c r="M105" s="689">
        <v>3500</v>
      </c>
      <c r="N105" s="689">
        <v>3500</v>
      </c>
      <c r="O105" s="689">
        <v>3500</v>
      </c>
      <c r="P105" s="689">
        <v>3500</v>
      </c>
      <c r="Q105" s="689">
        <v>3500</v>
      </c>
      <c r="R105" s="689">
        <v>3500</v>
      </c>
      <c r="S105" s="689">
        <v>3500</v>
      </c>
      <c r="T105" s="689">
        <v>3500</v>
      </c>
    </row>
    <row r="106" spans="1:20">
      <c r="A106" s="4" t="s">
        <v>10</v>
      </c>
      <c r="B106" s="757"/>
      <c r="C106" s="689">
        <v>36500000</v>
      </c>
      <c r="D106" s="689">
        <v>47500000</v>
      </c>
      <c r="E106" s="689">
        <v>47500000</v>
      </c>
      <c r="F106" s="689">
        <v>45950000</v>
      </c>
      <c r="G106" s="689">
        <v>52450000</v>
      </c>
      <c r="H106" s="689">
        <v>52233000</v>
      </c>
      <c r="I106" s="689">
        <v>56233000</v>
      </c>
      <c r="J106" s="689">
        <v>55100000</v>
      </c>
      <c r="K106" s="689">
        <v>58100000</v>
      </c>
      <c r="L106" s="689">
        <v>60500000</v>
      </c>
      <c r="M106" s="689">
        <v>63500000</v>
      </c>
      <c r="N106" s="689">
        <v>65500000</v>
      </c>
      <c r="O106" s="689">
        <v>58100000</v>
      </c>
      <c r="P106" s="689">
        <v>69870000</v>
      </c>
      <c r="Q106" s="689">
        <v>0</v>
      </c>
      <c r="R106" s="689">
        <v>0</v>
      </c>
      <c r="S106" s="689">
        <v>0</v>
      </c>
      <c r="T106" s="689">
        <v>0</v>
      </c>
    </row>
    <row r="107" spans="1:20">
      <c r="A107" s="4"/>
      <c r="B107" s="757"/>
      <c r="C107" s="689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</row>
    <row r="108" spans="1:20" ht="16.2" thickBot="1">
      <c r="A108" s="737"/>
      <c r="B108" s="738"/>
      <c r="C108" s="848">
        <v>39569040</v>
      </c>
      <c r="D108" s="848">
        <v>106392540</v>
      </c>
      <c r="E108" s="848">
        <v>58568254</v>
      </c>
      <c r="F108" s="848">
        <v>64493114</v>
      </c>
      <c r="G108" s="848">
        <v>62278110</v>
      </c>
      <c r="H108" s="848">
        <v>57775316</v>
      </c>
      <c r="I108" s="848">
        <v>64484795</v>
      </c>
      <c r="J108" s="848">
        <v>60155795</v>
      </c>
      <c r="K108" s="848">
        <v>62692295</v>
      </c>
      <c r="L108" s="848">
        <v>69127905</v>
      </c>
      <c r="M108" s="848">
        <v>69669405</v>
      </c>
      <c r="N108" s="848">
        <v>85607405</v>
      </c>
      <c r="O108" s="848">
        <v>62519675</v>
      </c>
      <c r="P108" s="848">
        <v>71395201</v>
      </c>
      <c r="Q108" s="848">
        <v>6570201</v>
      </c>
      <c r="R108" s="848">
        <v>10186560</v>
      </c>
      <c r="S108" s="848">
        <v>15436798</v>
      </c>
      <c r="T108" s="848">
        <v>63636798</v>
      </c>
    </row>
    <row r="109" spans="1:20">
      <c r="A109" s="5"/>
      <c r="B109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685"/>
      <c r="Q109" s="685"/>
      <c r="R109" s="685"/>
      <c r="S109" s="685"/>
      <c r="T109" s="685"/>
    </row>
    <row r="110" spans="1:20">
      <c r="A110" s="5"/>
      <c r="B110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685"/>
      <c r="Q110" s="685"/>
      <c r="R110" s="685"/>
      <c r="S110" s="685"/>
      <c r="T110" s="685"/>
    </row>
    <row r="111" spans="1:20">
      <c r="A111" s="754" t="s">
        <v>3</v>
      </c>
      <c r="B111" s="755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90"/>
      <c r="P111" s="690"/>
      <c r="Q111" s="690"/>
      <c r="R111" s="690"/>
      <c r="S111" s="690"/>
      <c r="T111" s="690"/>
    </row>
    <row r="112" spans="1:20">
      <c r="A112" s="28" t="s">
        <v>223</v>
      </c>
      <c r="B112" s="747" t="s">
        <v>282</v>
      </c>
      <c r="C112" s="855">
        <v>113484</v>
      </c>
      <c r="D112" s="855">
        <v>113484</v>
      </c>
      <c r="E112" s="855">
        <v>113484</v>
      </c>
      <c r="F112" s="855">
        <v>113484</v>
      </c>
      <c r="G112" s="855">
        <v>113484</v>
      </c>
      <c r="H112" s="855">
        <v>77234</v>
      </c>
      <c r="I112" s="855">
        <v>77234</v>
      </c>
      <c r="J112" s="855">
        <v>77234</v>
      </c>
      <c r="K112" s="855">
        <v>77234</v>
      </c>
      <c r="L112" s="855">
        <v>77234</v>
      </c>
      <c r="M112" s="855">
        <v>77234</v>
      </c>
      <c r="N112" s="855">
        <v>77234</v>
      </c>
      <c r="O112" s="855">
        <v>77234</v>
      </c>
      <c r="P112" s="855">
        <v>77234</v>
      </c>
      <c r="Q112" s="855">
        <v>67234</v>
      </c>
      <c r="R112" s="855">
        <v>67234</v>
      </c>
      <c r="S112" s="855">
        <v>67234</v>
      </c>
      <c r="T112" s="855">
        <v>67234</v>
      </c>
    </row>
    <row r="113" spans="1:20">
      <c r="A113" s="28" t="s">
        <v>764</v>
      </c>
      <c r="B113" s="747"/>
      <c r="C113" s="855">
        <v>14337503</v>
      </c>
      <c r="D113" s="855">
        <v>44932503</v>
      </c>
      <c r="E113" s="855">
        <v>70107941</v>
      </c>
      <c r="F113" s="855">
        <v>20863551</v>
      </c>
      <c r="G113" s="855">
        <v>110502696</v>
      </c>
      <c r="H113" s="855">
        <v>2729972</v>
      </c>
      <c r="I113" s="855">
        <v>70098192</v>
      </c>
      <c r="J113" s="855">
        <v>100129522</v>
      </c>
      <c r="K113" s="855">
        <v>7303793</v>
      </c>
      <c r="L113" s="855">
        <v>35186293</v>
      </c>
      <c r="M113" s="855">
        <v>39499896</v>
      </c>
      <c r="N113" s="855">
        <v>51073929</v>
      </c>
      <c r="O113" s="855">
        <v>56206569</v>
      </c>
      <c r="P113" s="855">
        <v>78900026</v>
      </c>
      <c r="Q113" s="855">
        <v>6530719</v>
      </c>
      <c r="R113" s="855">
        <v>5000000</v>
      </c>
      <c r="S113" s="855">
        <v>14494223</v>
      </c>
      <c r="T113" s="855">
        <v>84361046</v>
      </c>
    </row>
    <row r="114" spans="1:20">
      <c r="A114" s="28" t="s">
        <v>832</v>
      </c>
      <c r="B114" s="747"/>
      <c r="C114" s="855">
        <v>53000</v>
      </c>
      <c r="D114" s="855">
        <v>53000</v>
      </c>
      <c r="E114" s="855">
        <v>53000</v>
      </c>
      <c r="F114" s="855">
        <v>53000</v>
      </c>
      <c r="G114" s="855"/>
      <c r="H114" s="855"/>
      <c r="I114" s="855"/>
      <c r="J114" s="855"/>
      <c r="K114" s="855"/>
      <c r="L114" s="855"/>
      <c r="M114" s="855"/>
      <c r="N114" s="855"/>
      <c r="O114" s="855"/>
      <c r="P114" s="855"/>
      <c r="Q114" s="855">
        <v>0</v>
      </c>
      <c r="R114" s="855">
        <v>0</v>
      </c>
      <c r="S114" s="855">
        <v>0</v>
      </c>
      <c r="T114" s="855">
        <v>0</v>
      </c>
    </row>
    <row r="115" spans="1:20">
      <c r="A115" s="1" t="s">
        <v>5</v>
      </c>
      <c r="B115" s="756"/>
      <c r="C115" s="641">
        <v>0</v>
      </c>
      <c r="D115" s="641">
        <v>0</v>
      </c>
      <c r="E115" s="641">
        <v>0</v>
      </c>
      <c r="F115" s="641">
        <v>0</v>
      </c>
      <c r="G115" s="641">
        <v>0</v>
      </c>
      <c r="H115" s="641">
        <v>0</v>
      </c>
      <c r="I115" s="641">
        <v>0</v>
      </c>
      <c r="J115" s="641">
        <v>0</v>
      </c>
      <c r="K115" s="641">
        <v>0</v>
      </c>
      <c r="L115" s="641">
        <v>0</v>
      </c>
      <c r="M115" s="641">
        <v>0</v>
      </c>
      <c r="N115" s="641">
        <v>0</v>
      </c>
      <c r="O115" s="641">
        <v>0</v>
      </c>
      <c r="P115" s="641">
        <v>0</v>
      </c>
      <c r="Q115" s="641">
        <v>5</v>
      </c>
      <c r="R115" s="641">
        <v>5</v>
      </c>
      <c r="S115" s="641">
        <v>5</v>
      </c>
      <c r="T115" s="641">
        <v>5</v>
      </c>
    </row>
    <row r="116" spans="1:20">
      <c r="A116" s="1" t="s">
        <v>6</v>
      </c>
      <c r="B116" s="756"/>
      <c r="C116" s="641">
        <v>0</v>
      </c>
      <c r="D116" s="641">
        <v>0</v>
      </c>
      <c r="E116" s="641">
        <v>0</v>
      </c>
      <c r="F116" s="641">
        <v>0</v>
      </c>
      <c r="G116" s="641">
        <v>0</v>
      </c>
      <c r="H116" s="641">
        <v>0</v>
      </c>
      <c r="I116" s="641">
        <v>0</v>
      </c>
      <c r="J116" s="641">
        <v>0</v>
      </c>
      <c r="K116" s="641">
        <v>0</v>
      </c>
      <c r="L116" s="641">
        <v>0</v>
      </c>
      <c r="M116" s="641">
        <v>0</v>
      </c>
      <c r="N116" s="641">
        <v>0</v>
      </c>
      <c r="O116" s="641">
        <v>0</v>
      </c>
      <c r="P116" s="641">
        <v>0</v>
      </c>
      <c r="Q116" s="641">
        <v>3148</v>
      </c>
      <c r="R116" s="641">
        <v>3148</v>
      </c>
      <c r="S116" s="641">
        <v>3148</v>
      </c>
      <c r="T116" s="641">
        <v>3148</v>
      </c>
    </row>
    <row r="117" spans="1:20">
      <c r="A117" s="1" t="s">
        <v>7</v>
      </c>
      <c r="B117" s="756"/>
      <c r="C117" s="641">
        <v>0</v>
      </c>
      <c r="D117" s="641">
        <v>0</v>
      </c>
      <c r="E117" s="641">
        <v>0</v>
      </c>
      <c r="F117" s="641">
        <v>0</v>
      </c>
      <c r="G117" s="641">
        <v>0</v>
      </c>
      <c r="H117" s="641">
        <v>0</v>
      </c>
      <c r="I117" s="641">
        <v>0</v>
      </c>
      <c r="J117" s="641">
        <v>0</v>
      </c>
      <c r="K117" s="641">
        <v>0</v>
      </c>
      <c r="L117" s="641">
        <v>0</v>
      </c>
      <c r="M117" s="641">
        <v>0</v>
      </c>
      <c r="N117" s="641">
        <v>0</v>
      </c>
      <c r="O117" s="641">
        <v>0</v>
      </c>
      <c r="P117" s="641">
        <v>0</v>
      </c>
      <c r="Q117" s="641">
        <v>149</v>
      </c>
      <c r="R117" s="641">
        <v>149</v>
      </c>
      <c r="S117" s="641">
        <v>149</v>
      </c>
      <c r="T117" s="641">
        <v>149</v>
      </c>
    </row>
    <row r="118" spans="1:20">
      <c r="A118" s="1"/>
      <c r="B118" s="756"/>
      <c r="C118" s="641">
        <v>0</v>
      </c>
      <c r="D118" s="641">
        <v>0</v>
      </c>
      <c r="E118" s="641">
        <v>0</v>
      </c>
      <c r="F118" s="641">
        <v>0</v>
      </c>
      <c r="G118" s="641">
        <v>0</v>
      </c>
      <c r="H118" s="641">
        <v>0</v>
      </c>
      <c r="I118" s="641">
        <v>0</v>
      </c>
      <c r="J118" s="641">
        <v>0</v>
      </c>
      <c r="K118" s="641">
        <v>0</v>
      </c>
      <c r="L118" s="641">
        <v>0</v>
      </c>
      <c r="M118" s="641">
        <v>0</v>
      </c>
      <c r="N118" s="641">
        <v>0</v>
      </c>
      <c r="O118" s="641">
        <v>0</v>
      </c>
      <c r="P118" s="641">
        <v>0</v>
      </c>
      <c r="Q118" s="641">
        <v>250000</v>
      </c>
      <c r="R118" s="641">
        <v>250000</v>
      </c>
      <c r="S118" s="641">
        <v>250000</v>
      </c>
      <c r="T118" s="641">
        <v>250000</v>
      </c>
    </row>
    <row r="119" spans="1:20">
      <c r="A119" s="1"/>
      <c r="B119" s="736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1"/>
      <c r="P119" s="641"/>
      <c r="Q119" s="641"/>
      <c r="R119" s="641"/>
      <c r="S119" s="641"/>
      <c r="T119" s="641"/>
    </row>
    <row r="120" spans="1:20" ht="15.6">
      <c r="A120" s="1"/>
      <c r="B120" s="736"/>
      <c r="C120" s="863">
        <v>14503987</v>
      </c>
      <c r="D120" s="863">
        <v>45098987</v>
      </c>
      <c r="E120" s="863">
        <v>70274425</v>
      </c>
      <c r="F120" s="863">
        <v>21030035</v>
      </c>
      <c r="G120" s="863">
        <v>110616180</v>
      </c>
      <c r="H120" s="863">
        <v>2807206</v>
      </c>
      <c r="I120" s="863">
        <v>70175426</v>
      </c>
      <c r="J120" s="863">
        <v>100206756</v>
      </c>
      <c r="K120" s="863">
        <v>7381027</v>
      </c>
      <c r="L120" s="863">
        <v>35263527</v>
      </c>
      <c r="M120" s="863">
        <v>39577130</v>
      </c>
      <c r="N120" s="863">
        <v>51151163</v>
      </c>
      <c r="O120" s="863">
        <v>56283803</v>
      </c>
      <c r="P120" s="863">
        <v>78977260</v>
      </c>
      <c r="Q120" s="863">
        <v>6851255</v>
      </c>
      <c r="R120" s="863">
        <v>5320536</v>
      </c>
      <c r="S120" s="863">
        <v>14814759</v>
      </c>
      <c r="T120" s="863">
        <v>84681582</v>
      </c>
    </row>
    <row r="121" spans="1:20">
      <c r="A121" s="4"/>
      <c r="B121" s="15"/>
      <c r="C121" s="865"/>
      <c r="D121" s="865"/>
      <c r="E121" s="865"/>
      <c r="F121" s="865"/>
      <c r="G121" s="865"/>
      <c r="H121" s="865"/>
      <c r="I121" s="865"/>
      <c r="J121" s="865"/>
      <c r="K121" s="865"/>
      <c r="L121" s="865"/>
      <c r="M121" s="865"/>
      <c r="N121" s="865"/>
      <c r="O121" s="865"/>
      <c r="P121" s="865"/>
      <c r="Q121" s="865"/>
      <c r="R121" s="865"/>
      <c r="S121" s="865"/>
      <c r="T121" s="865"/>
    </row>
    <row r="122" spans="1:20">
      <c r="A122" s="5"/>
      <c r="B122"/>
      <c r="C122" s="864"/>
      <c r="D122" s="864"/>
      <c r="E122" s="864"/>
      <c r="F122" s="864"/>
      <c r="G122" s="864"/>
      <c r="H122" s="864"/>
      <c r="I122" s="864"/>
      <c r="J122" s="864"/>
      <c r="K122" s="864"/>
      <c r="L122" s="864"/>
      <c r="M122" s="864"/>
      <c r="N122" s="864"/>
      <c r="O122" s="864"/>
      <c r="P122" s="864"/>
      <c r="Q122" s="864"/>
      <c r="R122" s="864"/>
      <c r="S122" s="864"/>
      <c r="T122" s="864"/>
    </row>
    <row r="123" spans="1:20" s="688" customFormat="1" ht="21">
      <c r="A123" s="1449" t="s">
        <v>226</v>
      </c>
      <c r="B123" s="1446"/>
      <c r="C123" s="850">
        <v>231949422</v>
      </c>
      <c r="D123" s="850">
        <v>175552044</v>
      </c>
      <c r="E123" s="850">
        <v>153875109</v>
      </c>
      <c r="F123" s="850">
        <v>111744083</v>
      </c>
      <c r="G123" s="850">
        <v>199862980</v>
      </c>
      <c r="H123" s="850">
        <v>84630736</v>
      </c>
      <c r="I123" s="850">
        <v>161056875</v>
      </c>
      <c r="J123" s="850">
        <v>187985679</v>
      </c>
      <c r="K123" s="850">
        <v>98239624</v>
      </c>
      <c r="L123" s="850">
        <v>130602390</v>
      </c>
      <c r="M123" s="850">
        <v>135417768</v>
      </c>
      <c r="N123" s="850">
        <v>162839340</v>
      </c>
      <c r="O123" s="850">
        <v>149448052</v>
      </c>
      <c r="P123" s="850">
        <v>178154124</v>
      </c>
      <c r="Q123" s="850">
        <v>60820872</v>
      </c>
      <c r="R123" s="850">
        <v>37729590</v>
      </c>
      <c r="S123" s="850">
        <v>54938658</v>
      </c>
      <c r="T123" s="850">
        <v>174772875</v>
      </c>
    </row>
    <row r="124" spans="1:20">
      <c r="A124" s="5"/>
      <c r="B124"/>
      <c r="C124" s="864"/>
      <c r="D124" s="864"/>
      <c r="E124" s="864"/>
      <c r="F124" s="864"/>
      <c r="G124" s="864"/>
      <c r="H124" s="864"/>
      <c r="I124" s="864"/>
      <c r="J124" s="864"/>
      <c r="K124" s="864"/>
      <c r="L124" s="864"/>
      <c r="M124" s="864"/>
      <c r="N124" s="864"/>
      <c r="O124" s="864"/>
      <c r="P124" s="864"/>
      <c r="Q124" s="864"/>
      <c r="R124" s="864"/>
      <c r="S124" s="864"/>
      <c r="T124" s="864"/>
    </row>
    <row r="125" spans="1:20" ht="16.2" thickBot="1">
      <c r="A125" s="758"/>
      <c r="B125" s="759"/>
      <c r="C125" s="866"/>
      <c r="D125" s="866"/>
      <c r="E125" s="866"/>
      <c r="F125" s="866"/>
      <c r="G125" s="866"/>
      <c r="H125" s="866"/>
      <c r="I125" s="866"/>
      <c r="J125" s="866"/>
      <c r="K125" s="866"/>
      <c r="L125" s="866"/>
      <c r="M125" s="866"/>
      <c r="N125" s="866"/>
      <c r="O125" s="866"/>
      <c r="P125" s="866"/>
      <c r="Q125" s="866"/>
      <c r="R125" s="866"/>
      <c r="S125" s="866"/>
      <c r="T125" s="866"/>
    </row>
    <row r="126" spans="1:20" ht="15" thickTop="1">
      <c r="A126" s="5"/>
      <c r="B126"/>
      <c r="C126" s="864"/>
      <c r="D126" s="864"/>
      <c r="E126" s="864"/>
      <c r="F126" s="864"/>
      <c r="G126" s="864"/>
      <c r="H126" s="864"/>
      <c r="I126" s="864"/>
      <c r="J126" s="864"/>
      <c r="K126" s="864"/>
      <c r="L126" s="864"/>
      <c r="M126" s="864"/>
      <c r="N126" s="864"/>
      <c r="O126" s="864"/>
      <c r="P126" s="864"/>
      <c r="Q126" s="864"/>
      <c r="R126" s="864"/>
      <c r="S126" s="864"/>
      <c r="T126" s="864"/>
    </row>
    <row r="127" spans="1:20" s="691" customFormat="1" ht="21">
      <c r="A127" s="1442" t="s">
        <v>227</v>
      </c>
      <c r="B127" s="1443"/>
      <c r="C127" s="867">
        <v>332274422</v>
      </c>
      <c r="D127" s="867">
        <v>275646044</v>
      </c>
      <c r="E127" s="867">
        <v>273006109</v>
      </c>
      <c r="F127" s="867">
        <v>270905083</v>
      </c>
      <c r="G127" s="867">
        <v>271804980</v>
      </c>
      <c r="H127" s="867">
        <v>272294736</v>
      </c>
      <c r="I127" s="867">
        <v>273743875</v>
      </c>
      <c r="J127" s="867">
        <v>273164679</v>
      </c>
      <c r="K127" s="867">
        <v>275916624</v>
      </c>
      <c r="L127" s="867">
        <v>274296390</v>
      </c>
      <c r="M127" s="867">
        <v>267771768</v>
      </c>
      <c r="N127" s="867">
        <v>267986340</v>
      </c>
      <c r="O127" s="867">
        <v>268738052</v>
      </c>
      <c r="P127" s="867">
        <v>269381124</v>
      </c>
      <c r="Q127" s="867">
        <v>268034872</v>
      </c>
      <c r="R127" s="867">
        <v>272663090</v>
      </c>
      <c r="S127" s="867">
        <v>277586158</v>
      </c>
      <c r="T127" s="867">
        <v>276249375</v>
      </c>
    </row>
    <row r="128" spans="1:20">
      <c r="A128" s="5"/>
      <c r="B128"/>
      <c r="C128" s="852"/>
      <c r="D128" s="852"/>
      <c r="E128" s="852"/>
      <c r="F128" s="852"/>
      <c r="G128" s="852"/>
      <c r="H128" s="852"/>
      <c r="I128" s="852"/>
      <c r="J128" s="852"/>
      <c r="K128" s="852"/>
      <c r="L128" s="852"/>
      <c r="M128" s="852"/>
      <c r="N128" s="852"/>
      <c r="O128" s="852"/>
      <c r="P128" s="852"/>
      <c r="Q128" s="852"/>
      <c r="R128" s="852"/>
      <c r="S128" s="852"/>
      <c r="T128" s="852"/>
    </row>
    <row r="129" spans="1:20" ht="18">
      <c r="A129" s="754" t="s">
        <v>21</v>
      </c>
      <c r="B129" s="755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</row>
    <row r="130" spans="1:20">
      <c r="A130" s="1"/>
      <c r="B130" s="736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  <c r="R130" s="641"/>
      <c r="S130" s="641"/>
      <c r="T130" s="641"/>
    </row>
    <row r="131" spans="1:20">
      <c r="A131" s="4" t="s">
        <v>76</v>
      </c>
      <c r="B131" s="15"/>
      <c r="C131" s="689">
        <v>5000000</v>
      </c>
      <c r="D131" s="689">
        <v>5000000</v>
      </c>
      <c r="E131" s="689">
        <v>5000000</v>
      </c>
      <c r="F131" s="689">
        <v>5000000</v>
      </c>
      <c r="G131" s="689">
        <v>5000000</v>
      </c>
      <c r="H131" s="689">
        <v>5000000</v>
      </c>
      <c r="I131" s="689">
        <v>5000000</v>
      </c>
      <c r="J131" s="689">
        <v>5000000</v>
      </c>
      <c r="K131" s="689">
        <v>5000000</v>
      </c>
      <c r="L131" s="689">
        <v>5000000</v>
      </c>
      <c r="M131" s="689">
        <v>5000000</v>
      </c>
      <c r="N131" s="689">
        <v>5000000</v>
      </c>
      <c r="O131" s="689">
        <v>5000000</v>
      </c>
      <c r="P131" s="689">
        <v>5000000</v>
      </c>
      <c r="Q131" s="689">
        <v>5000000</v>
      </c>
      <c r="R131" s="689">
        <v>5000000</v>
      </c>
      <c r="S131" s="689">
        <v>5000000</v>
      </c>
      <c r="T131" s="689">
        <v>5000000</v>
      </c>
    </row>
    <row r="132" spans="1:20">
      <c r="A132" s="4" t="s">
        <v>120</v>
      </c>
      <c r="B132" s="15"/>
      <c r="C132" s="1066">
        <v>4500000</v>
      </c>
      <c r="D132" s="693">
        <v>4500000</v>
      </c>
      <c r="E132" s="1066">
        <v>6500000</v>
      </c>
      <c r="F132" s="1066">
        <v>6500000</v>
      </c>
      <c r="G132" s="1066">
        <v>6500000</v>
      </c>
      <c r="H132" s="1066">
        <v>6500000</v>
      </c>
      <c r="I132" s="1066">
        <v>6500000</v>
      </c>
      <c r="J132" s="1066">
        <v>6500000</v>
      </c>
      <c r="K132" s="1066">
        <v>6500000</v>
      </c>
      <c r="L132" s="1066">
        <v>6500000</v>
      </c>
      <c r="M132" s="1066">
        <v>6500000</v>
      </c>
      <c r="N132" s="1066">
        <v>6500000</v>
      </c>
      <c r="O132" s="1066">
        <v>6500000</v>
      </c>
      <c r="P132" s="1066">
        <v>6500000</v>
      </c>
      <c r="Q132" s="1066">
        <v>6500000</v>
      </c>
      <c r="R132" s="1066">
        <v>6500000</v>
      </c>
      <c r="S132" s="1066">
        <v>6500000</v>
      </c>
      <c r="T132" s="1066">
        <v>6500000</v>
      </c>
    </row>
    <row r="133" spans="1:20">
      <c r="A133" s="4" t="s">
        <v>790</v>
      </c>
      <c r="B133" s="15"/>
      <c r="C133" s="1066">
        <v>0</v>
      </c>
      <c r="D133" s="1066">
        <v>0</v>
      </c>
      <c r="E133" s="1066">
        <v>0</v>
      </c>
      <c r="F133" s="1066">
        <v>0</v>
      </c>
      <c r="G133" s="1066">
        <v>0</v>
      </c>
      <c r="H133" s="1066">
        <v>0</v>
      </c>
      <c r="I133" s="1066">
        <v>0</v>
      </c>
      <c r="J133" s="1066">
        <v>0</v>
      </c>
      <c r="K133" s="1066">
        <v>0</v>
      </c>
      <c r="L133" s="1066">
        <v>0</v>
      </c>
      <c r="M133" s="1066">
        <v>0</v>
      </c>
      <c r="N133" s="1066">
        <v>0</v>
      </c>
      <c r="O133" s="1066">
        <v>0</v>
      </c>
      <c r="P133" s="1066">
        <v>0</v>
      </c>
      <c r="Q133" s="1066">
        <v>0</v>
      </c>
      <c r="R133" s="1066">
        <v>0</v>
      </c>
      <c r="S133" s="693">
        <v>0</v>
      </c>
      <c r="T133" s="693">
        <v>0</v>
      </c>
    </row>
    <row r="134" spans="1:20">
      <c r="A134" s="4" t="s">
        <v>186</v>
      </c>
      <c r="B134" s="15"/>
      <c r="C134" s="689">
        <v>679000</v>
      </c>
      <c r="D134" s="689">
        <v>679000</v>
      </c>
      <c r="E134" s="689">
        <v>679000</v>
      </c>
      <c r="F134" s="689">
        <v>679000</v>
      </c>
      <c r="G134" s="689">
        <v>679000</v>
      </c>
      <c r="H134" s="689">
        <v>679000</v>
      </c>
      <c r="I134" s="689">
        <v>679000</v>
      </c>
      <c r="J134" s="689">
        <v>679000</v>
      </c>
      <c r="K134" s="689">
        <v>679000</v>
      </c>
      <c r="L134" s="689">
        <v>679000</v>
      </c>
      <c r="M134" s="689">
        <v>679000</v>
      </c>
      <c r="N134" s="689">
        <v>679000</v>
      </c>
      <c r="O134" s="689">
        <v>679000</v>
      </c>
      <c r="P134" s="689">
        <v>679000</v>
      </c>
      <c r="Q134" s="689">
        <v>679000</v>
      </c>
      <c r="R134" s="689">
        <v>679000</v>
      </c>
      <c r="S134" s="689">
        <v>679000</v>
      </c>
      <c r="T134" s="689">
        <v>679000</v>
      </c>
    </row>
    <row r="135" spans="1:20">
      <c r="A135" s="4" t="s">
        <v>261</v>
      </c>
      <c r="B135" s="15"/>
      <c r="C135" s="689">
        <v>200000</v>
      </c>
      <c r="D135" s="689">
        <v>200000</v>
      </c>
      <c r="E135" s="689">
        <v>200000</v>
      </c>
      <c r="F135" s="689">
        <v>200000</v>
      </c>
      <c r="G135" s="689">
        <v>200000</v>
      </c>
      <c r="H135" s="689">
        <v>200000</v>
      </c>
      <c r="I135" s="689">
        <v>200000</v>
      </c>
      <c r="J135" s="689">
        <v>200000</v>
      </c>
      <c r="K135" s="689">
        <v>200000</v>
      </c>
      <c r="L135" s="689">
        <v>200000</v>
      </c>
      <c r="M135" s="689">
        <v>200000</v>
      </c>
      <c r="N135" s="689">
        <v>200000</v>
      </c>
      <c r="O135" s="689">
        <v>200000</v>
      </c>
      <c r="P135" s="689">
        <v>200000</v>
      </c>
      <c r="Q135" s="689">
        <v>200000</v>
      </c>
      <c r="R135" s="689">
        <v>200000</v>
      </c>
      <c r="S135" s="689">
        <v>200000</v>
      </c>
      <c r="T135" s="689">
        <v>200000</v>
      </c>
    </row>
    <row r="136" spans="1:20">
      <c r="A136" s="4" t="s">
        <v>669</v>
      </c>
      <c r="B136" s="15"/>
      <c r="C136" s="689">
        <v>55000</v>
      </c>
      <c r="D136" s="689">
        <v>55000</v>
      </c>
      <c r="E136" s="689">
        <v>55000</v>
      </c>
      <c r="F136" s="689">
        <v>55000</v>
      </c>
      <c r="G136" s="689">
        <v>55000</v>
      </c>
      <c r="H136" s="689">
        <v>55000</v>
      </c>
      <c r="I136" s="689">
        <v>55000</v>
      </c>
      <c r="J136" s="689">
        <v>55000</v>
      </c>
      <c r="K136" s="689">
        <v>55000</v>
      </c>
      <c r="L136" s="689">
        <v>55000</v>
      </c>
      <c r="M136" s="689">
        <v>55000</v>
      </c>
      <c r="N136" s="689">
        <v>55000</v>
      </c>
      <c r="O136" s="689">
        <v>55000</v>
      </c>
      <c r="P136" s="689">
        <v>55000</v>
      </c>
      <c r="Q136" s="689">
        <v>55000</v>
      </c>
      <c r="R136" s="689">
        <v>55000</v>
      </c>
      <c r="S136" s="689">
        <v>55000</v>
      </c>
      <c r="T136" s="689">
        <v>55000</v>
      </c>
    </row>
    <row r="137" spans="1:20">
      <c r="A137" s="4" t="s">
        <v>731</v>
      </c>
      <c r="B137" s="15"/>
      <c r="C137" s="1066">
        <v>0</v>
      </c>
      <c r="D137" s="1066">
        <v>0</v>
      </c>
      <c r="E137" s="1066">
        <v>0</v>
      </c>
      <c r="F137" s="1066">
        <v>0</v>
      </c>
      <c r="G137" s="1066">
        <v>0</v>
      </c>
      <c r="H137" s="1066">
        <v>0</v>
      </c>
      <c r="I137" s="1066">
        <v>0</v>
      </c>
      <c r="J137" s="1066">
        <v>0</v>
      </c>
      <c r="K137" s="1066">
        <v>0</v>
      </c>
      <c r="L137" s="693">
        <v>0</v>
      </c>
      <c r="M137" s="693">
        <v>55000</v>
      </c>
      <c r="N137" s="689">
        <v>0</v>
      </c>
      <c r="O137" s="689">
        <v>0</v>
      </c>
      <c r="P137" s="689">
        <v>0</v>
      </c>
      <c r="Q137" s="689">
        <v>0</v>
      </c>
      <c r="R137" s="689">
        <v>0</v>
      </c>
      <c r="S137" s="689">
        <v>0</v>
      </c>
      <c r="T137" s="689">
        <v>0</v>
      </c>
    </row>
    <row r="138" spans="1:20">
      <c r="A138" s="4" t="s">
        <v>736</v>
      </c>
      <c r="B138" s="15"/>
      <c r="C138" s="1066">
        <v>600000</v>
      </c>
      <c r="D138" s="1066">
        <v>600000</v>
      </c>
      <c r="E138" s="1066">
        <v>600000</v>
      </c>
      <c r="F138" s="1066">
        <v>600000</v>
      </c>
      <c r="G138" s="1066">
        <v>600000</v>
      </c>
      <c r="H138" s="693">
        <v>600000</v>
      </c>
      <c r="I138" s="689">
        <v>225000</v>
      </c>
      <c r="J138" s="689">
        <v>225000</v>
      </c>
      <c r="K138" s="689">
        <v>225000</v>
      </c>
      <c r="L138" s="689">
        <v>225000</v>
      </c>
      <c r="M138" s="689">
        <v>225000</v>
      </c>
      <c r="N138" s="689">
        <v>225000</v>
      </c>
      <c r="O138" s="689">
        <v>225000</v>
      </c>
      <c r="P138" s="689">
        <v>225000</v>
      </c>
      <c r="Q138" s="689">
        <v>225000</v>
      </c>
      <c r="R138" s="689">
        <v>225000</v>
      </c>
      <c r="S138" s="689">
        <v>225000</v>
      </c>
      <c r="T138" s="689">
        <v>225000</v>
      </c>
    </row>
    <row r="139" spans="1:20">
      <c r="A139" s="1" t="s">
        <v>26</v>
      </c>
      <c r="B139" s="736"/>
      <c r="C139" s="641">
        <v>50000</v>
      </c>
      <c r="D139" s="641">
        <v>50000</v>
      </c>
      <c r="E139" s="641">
        <v>50000</v>
      </c>
      <c r="F139" s="641">
        <v>50000</v>
      </c>
      <c r="G139" s="641">
        <v>50000</v>
      </c>
      <c r="H139" s="641">
        <v>50000</v>
      </c>
      <c r="I139" s="641">
        <v>50000</v>
      </c>
      <c r="J139" s="641">
        <v>50000</v>
      </c>
      <c r="K139" s="641">
        <v>50000</v>
      </c>
      <c r="L139" s="641">
        <v>50000</v>
      </c>
      <c r="M139" s="641">
        <v>50000</v>
      </c>
      <c r="N139" s="641">
        <v>50000</v>
      </c>
      <c r="O139" s="641">
        <v>50000</v>
      </c>
      <c r="P139" s="641">
        <v>50000</v>
      </c>
      <c r="Q139" s="641">
        <v>50000</v>
      </c>
      <c r="R139" s="641">
        <v>50000</v>
      </c>
      <c r="S139" s="641">
        <v>50000</v>
      </c>
      <c r="T139" s="641">
        <v>50000</v>
      </c>
    </row>
    <row r="140" spans="1:20">
      <c r="A140" s="1" t="s">
        <v>570</v>
      </c>
      <c r="B140" s="736"/>
      <c r="C140" s="1067">
        <v>0</v>
      </c>
      <c r="D140" s="684">
        <v>0</v>
      </c>
      <c r="E140" s="641">
        <v>2250000</v>
      </c>
      <c r="F140" s="641">
        <v>2250000</v>
      </c>
      <c r="G140" s="641">
        <v>2250000</v>
      </c>
      <c r="H140" s="641">
        <v>2250000</v>
      </c>
      <c r="I140" s="641">
        <v>2250000</v>
      </c>
      <c r="J140" s="641">
        <v>2250000</v>
      </c>
      <c r="K140" s="641">
        <v>2250000</v>
      </c>
      <c r="L140" s="641">
        <v>2250000</v>
      </c>
      <c r="M140" s="641">
        <v>2250000</v>
      </c>
      <c r="N140" s="641">
        <v>2250000</v>
      </c>
      <c r="O140" s="641">
        <v>2250000</v>
      </c>
      <c r="P140" s="641">
        <v>2250000</v>
      </c>
      <c r="Q140" s="641">
        <v>2250000</v>
      </c>
      <c r="R140" s="641">
        <v>2250000</v>
      </c>
      <c r="S140" s="641">
        <v>2250000</v>
      </c>
      <c r="T140" s="641">
        <v>2250000</v>
      </c>
    </row>
    <row r="141" spans="1:20">
      <c r="A141" s="1" t="s">
        <v>571</v>
      </c>
      <c r="B141" s="736"/>
      <c r="C141" s="641">
        <v>190000</v>
      </c>
      <c r="D141" s="641">
        <v>190000</v>
      </c>
      <c r="E141" s="641">
        <v>190000</v>
      </c>
      <c r="F141" s="641">
        <v>190000</v>
      </c>
      <c r="G141" s="641">
        <v>190000</v>
      </c>
      <c r="H141" s="641">
        <v>190000</v>
      </c>
      <c r="I141" s="641">
        <v>190000</v>
      </c>
      <c r="J141" s="641">
        <v>190000</v>
      </c>
      <c r="K141" s="641">
        <v>190000</v>
      </c>
      <c r="L141" s="641">
        <v>190000</v>
      </c>
      <c r="M141" s="641">
        <v>190000</v>
      </c>
      <c r="N141" s="641">
        <v>190000</v>
      </c>
      <c r="O141" s="641">
        <v>190000</v>
      </c>
      <c r="P141" s="641">
        <v>190000</v>
      </c>
      <c r="Q141" s="641">
        <v>190000</v>
      </c>
      <c r="R141" s="641">
        <v>190000</v>
      </c>
      <c r="S141" s="641">
        <v>190000</v>
      </c>
      <c r="T141" s="641">
        <v>190000</v>
      </c>
    </row>
    <row r="142" spans="1:20">
      <c r="A142" s="1" t="s">
        <v>198</v>
      </c>
      <c r="B142" s="736"/>
      <c r="C142" s="1074">
        <v>100000</v>
      </c>
      <c r="D142" s="1074">
        <v>100000</v>
      </c>
      <c r="E142" s="1074">
        <v>100000</v>
      </c>
      <c r="F142" s="1074">
        <v>100000</v>
      </c>
      <c r="G142" s="1074">
        <v>100000</v>
      </c>
      <c r="H142" s="1074">
        <v>100000</v>
      </c>
      <c r="I142" s="1074">
        <v>100000</v>
      </c>
      <c r="J142" s="1074">
        <v>100000</v>
      </c>
      <c r="K142" s="1074">
        <v>100000</v>
      </c>
      <c r="L142" s="1074">
        <v>100000</v>
      </c>
      <c r="M142" s="1074">
        <v>100000</v>
      </c>
      <c r="N142" s="1074">
        <v>100000</v>
      </c>
      <c r="O142" s="1074">
        <v>100000</v>
      </c>
      <c r="P142" s="1074">
        <v>100000</v>
      </c>
      <c r="Q142" s="1074">
        <v>100000</v>
      </c>
      <c r="R142" s="1074">
        <v>100000</v>
      </c>
      <c r="S142" s="1074">
        <v>100000</v>
      </c>
      <c r="T142" s="1074">
        <v>100000</v>
      </c>
    </row>
    <row r="143" spans="1:20">
      <c r="A143" s="1" t="s">
        <v>818</v>
      </c>
      <c r="B143" s="736"/>
      <c r="C143" s="1067">
        <v>1000000</v>
      </c>
      <c r="D143" s="1067">
        <v>1000000</v>
      </c>
      <c r="E143" s="1067">
        <v>1000000</v>
      </c>
      <c r="F143" s="1067">
        <v>1000000</v>
      </c>
      <c r="G143" s="1067">
        <v>1000000</v>
      </c>
      <c r="H143" s="1067">
        <v>1000000</v>
      </c>
      <c r="I143" s="1067">
        <v>1000000</v>
      </c>
      <c r="J143" s="1067">
        <v>1000000</v>
      </c>
      <c r="K143" s="1067">
        <v>1000000</v>
      </c>
      <c r="L143" s="1067">
        <v>1000000</v>
      </c>
      <c r="M143" s="684">
        <v>1000000</v>
      </c>
      <c r="N143" s="684">
        <v>1000000</v>
      </c>
      <c r="O143" s="1067">
        <v>0</v>
      </c>
      <c r="P143" s="1067">
        <v>0</v>
      </c>
      <c r="Q143" s="1067">
        <v>0</v>
      </c>
      <c r="R143" s="1067">
        <v>0</v>
      </c>
      <c r="S143" s="1067">
        <v>0</v>
      </c>
      <c r="T143" s="1067">
        <v>0</v>
      </c>
    </row>
    <row r="144" spans="1:20">
      <c r="A144" s="1" t="s">
        <v>740</v>
      </c>
      <c r="B144" s="736"/>
      <c r="C144" s="641">
        <v>506333</v>
      </c>
      <c r="D144" s="641">
        <v>506333</v>
      </c>
      <c r="E144" s="641">
        <v>506333</v>
      </c>
      <c r="F144" s="641">
        <v>506333</v>
      </c>
      <c r="G144" s="641">
        <v>506333</v>
      </c>
      <c r="H144" s="641">
        <v>506333</v>
      </c>
      <c r="I144" s="641">
        <v>506333</v>
      </c>
      <c r="J144" s="641">
        <v>506333</v>
      </c>
      <c r="K144" s="641">
        <v>506333</v>
      </c>
      <c r="L144" s="641">
        <v>506333</v>
      </c>
      <c r="M144" s="641">
        <v>506333</v>
      </c>
      <c r="N144" s="641">
        <v>506333</v>
      </c>
      <c r="O144" s="641">
        <v>506333</v>
      </c>
      <c r="P144" s="641">
        <v>506333</v>
      </c>
      <c r="Q144" s="641">
        <v>506333</v>
      </c>
      <c r="R144" s="641">
        <v>506333</v>
      </c>
      <c r="S144" s="641">
        <v>506333</v>
      </c>
      <c r="T144" s="641">
        <v>506333</v>
      </c>
    </row>
    <row r="145" spans="1:20">
      <c r="A145" s="1" t="s">
        <v>827</v>
      </c>
      <c r="B145" s="736"/>
      <c r="C145" s="1067">
        <v>0</v>
      </c>
      <c r="D145" s="1067">
        <v>0</v>
      </c>
      <c r="E145" s="1067">
        <v>0</v>
      </c>
      <c r="F145" s="1067">
        <v>0</v>
      </c>
      <c r="G145" s="684">
        <v>0</v>
      </c>
      <c r="H145" s="684">
        <v>2500000</v>
      </c>
      <c r="I145" s="641">
        <v>0</v>
      </c>
      <c r="J145" s="641">
        <v>0</v>
      </c>
      <c r="K145" s="641">
        <v>0</v>
      </c>
      <c r="L145" s="641">
        <v>0</v>
      </c>
      <c r="M145" s="641">
        <v>0</v>
      </c>
      <c r="N145" s="641">
        <v>0</v>
      </c>
      <c r="O145" s="641">
        <v>0</v>
      </c>
      <c r="P145" s="641">
        <v>0</v>
      </c>
      <c r="Q145" s="641">
        <v>0</v>
      </c>
      <c r="R145" s="641">
        <v>0</v>
      </c>
      <c r="S145" s="641">
        <v>0</v>
      </c>
      <c r="T145" s="641">
        <v>0</v>
      </c>
    </row>
    <row r="146" spans="1:20">
      <c r="A146" s="4" t="s">
        <v>660</v>
      </c>
      <c r="B146" s="15"/>
      <c r="C146" s="1066">
        <v>400000</v>
      </c>
      <c r="D146" s="1066">
        <v>400000</v>
      </c>
      <c r="E146" s="1066">
        <v>400000</v>
      </c>
      <c r="F146" s="1066">
        <v>400000</v>
      </c>
      <c r="G146" s="1066">
        <v>400000</v>
      </c>
      <c r="H146" s="1066">
        <v>400000</v>
      </c>
      <c r="I146" s="693">
        <v>400000</v>
      </c>
      <c r="J146" s="693">
        <v>600000</v>
      </c>
      <c r="K146" s="1066">
        <v>400000</v>
      </c>
      <c r="L146" s="1066">
        <v>400000</v>
      </c>
      <c r="M146" s="693">
        <v>400000</v>
      </c>
      <c r="N146" s="693">
        <v>400000</v>
      </c>
      <c r="O146" s="693">
        <v>450000</v>
      </c>
      <c r="P146" s="689">
        <v>400000</v>
      </c>
      <c r="Q146" s="689">
        <v>400000</v>
      </c>
      <c r="R146" s="689">
        <v>400000</v>
      </c>
      <c r="S146" s="689">
        <v>400000</v>
      </c>
      <c r="T146" s="689">
        <v>400000</v>
      </c>
    </row>
    <row r="147" spans="1:20">
      <c r="A147" s="4" t="s">
        <v>191</v>
      </c>
      <c r="B147" s="15"/>
      <c r="C147" s="1066">
        <v>660000</v>
      </c>
      <c r="D147" s="1066">
        <v>660000</v>
      </c>
      <c r="E147" s="1066">
        <v>660000</v>
      </c>
      <c r="F147" s="1066">
        <v>660000</v>
      </c>
      <c r="G147" s="1066">
        <v>660000</v>
      </c>
      <c r="H147" s="1066">
        <v>660000</v>
      </c>
      <c r="I147" s="1066">
        <v>660000</v>
      </c>
      <c r="J147" s="1066">
        <v>660000</v>
      </c>
      <c r="K147" s="1066">
        <v>660000</v>
      </c>
      <c r="L147" s="1066">
        <v>660000</v>
      </c>
      <c r="M147" s="1066">
        <v>660000</v>
      </c>
      <c r="N147" s="1066">
        <v>660000</v>
      </c>
      <c r="O147" s="1066">
        <v>660000</v>
      </c>
      <c r="P147" s="1066">
        <v>660000</v>
      </c>
      <c r="Q147" s="1066">
        <v>660000</v>
      </c>
      <c r="R147" s="1066">
        <v>660000</v>
      </c>
      <c r="S147" s="1066">
        <v>660000</v>
      </c>
      <c r="T147" s="1066">
        <v>660000</v>
      </c>
    </row>
    <row r="148" spans="1:20">
      <c r="A148" s="4" t="s">
        <v>791</v>
      </c>
      <c r="B148" s="15"/>
      <c r="C148" s="1066">
        <v>110000</v>
      </c>
      <c r="D148" s="1066">
        <v>110000</v>
      </c>
      <c r="E148" s="1066">
        <v>110000</v>
      </c>
      <c r="F148" s="1066">
        <v>110000</v>
      </c>
      <c r="G148" s="1066">
        <v>110000</v>
      </c>
      <c r="H148" s="1066">
        <v>110000</v>
      </c>
      <c r="I148" s="1066">
        <v>110000</v>
      </c>
      <c r="J148" s="1066">
        <v>110000</v>
      </c>
      <c r="K148" s="1066">
        <v>110000</v>
      </c>
      <c r="L148" s="1066">
        <v>110000</v>
      </c>
      <c r="M148" s="1066">
        <v>110000</v>
      </c>
      <c r="N148" s="1066">
        <v>110000</v>
      </c>
      <c r="O148" s="1066">
        <v>110000</v>
      </c>
      <c r="P148" s="1066">
        <v>110000</v>
      </c>
      <c r="Q148" s="1066">
        <v>110000</v>
      </c>
      <c r="R148" s="1066">
        <v>110000</v>
      </c>
      <c r="S148" s="1066">
        <v>110000</v>
      </c>
      <c r="T148" s="1066">
        <v>110000</v>
      </c>
    </row>
    <row r="149" spans="1:20">
      <c r="A149" s="4" t="s">
        <v>732</v>
      </c>
      <c r="B149" s="15"/>
      <c r="C149" s="689">
        <v>0</v>
      </c>
      <c r="D149" s="689">
        <v>0</v>
      </c>
      <c r="E149" s="689">
        <v>0</v>
      </c>
      <c r="F149" s="689">
        <v>0</v>
      </c>
      <c r="G149" s="689">
        <v>0</v>
      </c>
      <c r="H149" s="689">
        <v>0</v>
      </c>
      <c r="I149" s="689">
        <v>0</v>
      </c>
      <c r="J149" s="689">
        <v>0</v>
      </c>
      <c r="K149" s="689">
        <v>0</v>
      </c>
      <c r="L149" s="689">
        <v>0</v>
      </c>
      <c r="M149" s="689">
        <v>0</v>
      </c>
      <c r="N149" s="689">
        <v>0</v>
      </c>
      <c r="O149" s="689">
        <v>0</v>
      </c>
      <c r="P149" s="689">
        <v>0</v>
      </c>
      <c r="Q149" s="689">
        <v>0</v>
      </c>
      <c r="R149" s="689">
        <v>0</v>
      </c>
      <c r="S149" s="689">
        <v>0</v>
      </c>
      <c r="T149" s="689">
        <v>0</v>
      </c>
    </row>
    <row r="150" spans="1:20">
      <c r="A150" s="4" t="s">
        <v>823</v>
      </c>
      <c r="B150" s="15"/>
      <c r="C150" s="1066">
        <v>50000</v>
      </c>
      <c r="D150" s="1066">
        <v>50000</v>
      </c>
      <c r="E150" s="1066">
        <v>50000</v>
      </c>
      <c r="F150" s="1066">
        <v>50000</v>
      </c>
      <c r="G150" s="1066">
        <v>50000</v>
      </c>
      <c r="H150" s="1066">
        <v>50000</v>
      </c>
      <c r="I150" s="1066">
        <v>50000</v>
      </c>
      <c r="J150" s="1066">
        <v>50000</v>
      </c>
      <c r="K150" s="693">
        <v>50000</v>
      </c>
      <c r="L150" s="1066">
        <v>0</v>
      </c>
      <c r="M150" s="1066">
        <v>0</v>
      </c>
      <c r="N150" s="1066">
        <v>0</v>
      </c>
      <c r="O150" s="1066">
        <v>0</v>
      </c>
      <c r="P150" s="1066">
        <v>0</v>
      </c>
      <c r="Q150" s="1066">
        <v>0</v>
      </c>
      <c r="R150" s="1066">
        <v>0</v>
      </c>
      <c r="S150" s="1066">
        <v>0</v>
      </c>
      <c r="T150" s="1066">
        <v>0</v>
      </c>
    </row>
    <row r="151" spans="1:20">
      <c r="A151" s="4"/>
      <c r="B151" s="15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689"/>
      <c r="R151" s="689"/>
      <c r="S151" s="689"/>
      <c r="T151" s="689"/>
    </row>
    <row r="152" spans="1:20" ht="16.2" thickBot="1">
      <c r="A152" s="737"/>
      <c r="B152" s="738"/>
      <c r="C152" s="848">
        <v>9100333</v>
      </c>
      <c r="D152" s="848">
        <v>9100333</v>
      </c>
      <c r="E152" s="848">
        <v>13350333</v>
      </c>
      <c r="F152" s="848">
        <v>13350333</v>
      </c>
      <c r="G152" s="848">
        <v>13350333</v>
      </c>
      <c r="H152" s="848">
        <v>15850333</v>
      </c>
      <c r="I152" s="848">
        <v>12975333</v>
      </c>
      <c r="J152" s="848">
        <v>13175333</v>
      </c>
      <c r="K152" s="848">
        <v>12975333</v>
      </c>
      <c r="L152" s="848">
        <v>12925333</v>
      </c>
      <c r="M152" s="848">
        <v>12980333</v>
      </c>
      <c r="N152" s="848">
        <v>12925333</v>
      </c>
      <c r="O152" s="848">
        <v>11975333</v>
      </c>
      <c r="P152" s="848">
        <v>11925333</v>
      </c>
      <c r="Q152" s="848">
        <v>11925333</v>
      </c>
      <c r="R152" s="848">
        <v>11925333</v>
      </c>
      <c r="S152" s="848">
        <v>11925333</v>
      </c>
      <c r="T152" s="848">
        <v>11925333</v>
      </c>
    </row>
    <row r="153" spans="1:20" ht="16.2" thickBot="1">
      <c r="A153" s="5"/>
      <c r="B153"/>
      <c r="C153" s="853"/>
      <c r="D153" s="853"/>
      <c r="E153" s="853"/>
      <c r="F153" s="853"/>
      <c r="G153" s="853"/>
      <c r="H153" s="853"/>
      <c r="I153" s="853"/>
      <c r="J153" s="853"/>
      <c r="K153" s="853"/>
      <c r="L153" s="853"/>
      <c r="M153" s="853"/>
      <c r="N153" s="853"/>
      <c r="O153" s="853"/>
      <c r="P153" s="853"/>
      <c r="Q153" s="853"/>
      <c r="R153" s="853"/>
      <c r="S153" s="853"/>
      <c r="T153" s="853"/>
    </row>
    <row r="154" spans="1:20">
      <c r="A154" s="760" t="s">
        <v>12</v>
      </c>
      <c r="B154" s="761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</row>
    <row r="155" spans="1:20">
      <c r="A155" s="762"/>
      <c r="B155" s="763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5"/>
      <c r="P155" s="695"/>
      <c r="Q155" s="695"/>
      <c r="R155" s="695"/>
      <c r="S155" s="695"/>
      <c r="T155" s="695"/>
    </row>
    <row r="156" spans="1:20">
      <c r="A156" s="1" t="s">
        <v>22</v>
      </c>
      <c r="B156" s="736"/>
      <c r="C156" s="641">
        <v>192000</v>
      </c>
      <c r="D156" s="641">
        <v>192000</v>
      </c>
      <c r="E156" s="641">
        <v>192000</v>
      </c>
      <c r="F156" s="641">
        <v>192000</v>
      </c>
      <c r="G156" s="641">
        <v>192000</v>
      </c>
      <c r="H156" s="641">
        <v>192000</v>
      </c>
      <c r="I156" s="641">
        <v>192000</v>
      </c>
      <c r="J156" s="641">
        <v>192000</v>
      </c>
      <c r="K156" s="641">
        <v>192000</v>
      </c>
      <c r="L156" s="641">
        <v>192000</v>
      </c>
      <c r="M156" s="641">
        <v>192000</v>
      </c>
      <c r="N156" s="641">
        <v>192000</v>
      </c>
      <c r="O156" s="641">
        <v>192000</v>
      </c>
      <c r="P156" s="641">
        <v>192000</v>
      </c>
      <c r="Q156" s="641">
        <v>192000</v>
      </c>
      <c r="R156" s="641">
        <v>192000</v>
      </c>
      <c r="S156" s="641">
        <v>192000</v>
      </c>
      <c r="T156" s="641">
        <v>192000</v>
      </c>
    </row>
    <row r="157" spans="1:20">
      <c r="A157" s="1"/>
      <c r="B157" s="736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  <c r="T157" s="641"/>
    </row>
    <row r="158" spans="1:20">
      <c r="A158" s="1"/>
      <c r="B158" s="736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  <c r="T158" s="641"/>
    </row>
    <row r="159" spans="1:20">
      <c r="A159" s="1"/>
      <c r="B159" s="736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</row>
    <row r="160" spans="1:20">
      <c r="A160" s="1" t="s">
        <v>26</v>
      </c>
      <c r="B160" s="736"/>
      <c r="C160" s="641">
        <v>139500</v>
      </c>
      <c r="D160" s="641">
        <v>139500</v>
      </c>
      <c r="E160" s="641">
        <v>139500</v>
      </c>
      <c r="F160" s="641">
        <v>139500</v>
      </c>
      <c r="G160" s="641">
        <v>139500</v>
      </c>
      <c r="H160" s="641">
        <v>139500</v>
      </c>
      <c r="I160" s="641">
        <v>139500</v>
      </c>
      <c r="J160" s="641">
        <v>139500</v>
      </c>
      <c r="K160" s="641">
        <v>139500</v>
      </c>
      <c r="L160" s="641">
        <v>139500</v>
      </c>
      <c r="M160" s="641">
        <v>139500</v>
      </c>
      <c r="N160" s="641">
        <v>139500</v>
      </c>
      <c r="O160" s="641">
        <v>139500</v>
      </c>
      <c r="P160" s="641">
        <v>139500</v>
      </c>
      <c r="Q160" s="641">
        <v>139500</v>
      </c>
      <c r="R160" s="641">
        <v>139500</v>
      </c>
      <c r="S160" s="641">
        <v>139500</v>
      </c>
      <c r="T160" s="641">
        <v>139500</v>
      </c>
    </row>
    <row r="161" spans="1:20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</row>
    <row r="162" spans="1:20">
      <c r="A162" s="1"/>
      <c r="B162" s="736"/>
      <c r="C162" s="641"/>
      <c r="D162" s="641"/>
      <c r="E162" s="641"/>
      <c r="F162" s="641"/>
      <c r="G162" s="641"/>
      <c r="H162" s="641"/>
      <c r="I162" s="641"/>
      <c r="J162" s="641"/>
      <c r="K162" s="641"/>
      <c r="L162" s="641"/>
      <c r="M162" s="641"/>
      <c r="N162" s="641"/>
      <c r="O162" s="641"/>
      <c r="P162" s="641"/>
      <c r="Q162" s="641"/>
      <c r="R162" s="641"/>
      <c r="S162" s="641"/>
      <c r="T162" s="641"/>
    </row>
    <row r="163" spans="1:20">
      <c r="A163" s="1" t="s">
        <v>571</v>
      </c>
      <c r="B163" s="736"/>
      <c r="C163" s="641">
        <v>100000</v>
      </c>
      <c r="D163" s="641">
        <v>100000</v>
      </c>
      <c r="E163" s="641">
        <v>100000</v>
      </c>
      <c r="F163" s="641">
        <v>100000</v>
      </c>
      <c r="G163" s="641">
        <v>100000</v>
      </c>
      <c r="H163" s="641">
        <v>100000</v>
      </c>
      <c r="I163" s="641">
        <v>100000</v>
      </c>
      <c r="J163" s="641">
        <v>100000</v>
      </c>
      <c r="K163" s="641">
        <v>100000</v>
      </c>
      <c r="L163" s="641">
        <v>100000</v>
      </c>
      <c r="M163" s="641">
        <v>100000</v>
      </c>
      <c r="N163" s="641">
        <v>100000</v>
      </c>
      <c r="O163" s="641">
        <v>100000</v>
      </c>
      <c r="P163" s="641">
        <v>100000</v>
      </c>
      <c r="Q163" s="641">
        <v>100000</v>
      </c>
      <c r="R163" s="641">
        <v>100000</v>
      </c>
      <c r="S163" s="641">
        <v>100000</v>
      </c>
      <c r="T163" s="641">
        <v>100000</v>
      </c>
    </row>
    <row r="164" spans="1:20">
      <c r="A164" s="1"/>
      <c r="B164" s="736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1"/>
      <c r="P164" s="641"/>
      <c r="Q164" s="641"/>
      <c r="R164" s="641"/>
      <c r="S164" s="641"/>
      <c r="T164" s="641"/>
    </row>
    <row r="165" spans="1:20">
      <c r="A165" s="1"/>
      <c r="B165" s="736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1"/>
      <c r="P165" s="641"/>
      <c r="Q165" s="641"/>
      <c r="R165" s="641"/>
      <c r="S165" s="641"/>
      <c r="T165" s="641"/>
    </row>
    <row r="166" spans="1:20">
      <c r="A166" s="1"/>
      <c r="B166" s="736"/>
      <c r="C166" s="641"/>
      <c r="D166" s="641"/>
      <c r="E166" s="641"/>
      <c r="F166" s="641"/>
      <c r="G166" s="641"/>
      <c r="H166" s="641"/>
      <c r="I166" s="641"/>
      <c r="J166" s="641"/>
      <c r="K166" s="641"/>
      <c r="L166" s="641"/>
      <c r="M166" s="641"/>
      <c r="N166" s="641"/>
      <c r="O166" s="641"/>
      <c r="P166" s="641"/>
      <c r="Q166" s="641"/>
      <c r="R166" s="641"/>
      <c r="S166" s="641"/>
      <c r="T166" s="641"/>
    </row>
    <row r="167" spans="1:20">
      <c r="A167" s="1"/>
      <c r="B167" s="736"/>
      <c r="C167" s="641"/>
      <c r="D167" s="641"/>
      <c r="E167" s="641"/>
      <c r="F167" s="641"/>
      <c r="G167" s="641"/>
      <c r="H167" s="641"/>
      <c r="I167" s="641"/>
      <c r="J167" s="641"/>
      <c r="K167" s="641"/>
      <c r="L167" s="641"/>
      <c r="M167" s="641"/>
      <c r="N167" s="641"/>
      <c r="O167" s="641"/>
      <c r="P167" s="641"/>
      <c r="Q167" s="641"/>
      <c r="R167" s="641"/>
      <c r="S167" s="641"/>
      <c r="T167" s="641"/>
    </row>
    <row r="168" spans="1:20">
      <c r="A168" s="1"/>
      <c r="B168" s="736"/>
      <c r="C168" s="641"/>
      <c r="D168" s="641"/>
      <c r="E168" s="641"/>
      <c r="F168" s="641"/>
      <c r="G168" s="641"/>
      <c r="H168" s="641"/>
      <c r="I168" s="641"/>
      <c r="J168" s="641"/>
      <c r="K168" s="641"/>
      <c r="L168" s="641"/>
      <c r="M168" s="641"/>
      <c r="N168" s="641"/>
      <c r="O168" s="641"/>
      <c r="P168" s="641"/>
      <c r="Q168" s="641"/>
      <c r="R168" s="641"/>
      <c r="S168" s="641"/>
      <c r="T168" s="641"/>
    </row>
    <row r="169" spans="1:20">
      <c r="A169" s="4"/>
      <c r="B169" s="15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  <c r="R169" s="689"/>
      <c r="S169" s="689"/>
      <c r="T169" s="689"/>
    </row>
    <row r="170" spans="1:20">
      <c r="A170" s="4"/>
      <c r="B170" s="15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  <c r="R170" s="689"/>
      <c r="S170" s="689"/>
      <c r="T170" s="689"/>
    </row>
    <row r="171" spans="1:20">
      <c r="A171" s="4"/>
      <c r="B171" s="15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689"/>
      <c r="R171" s="689"/>
      <c r="S171" s="689"/>
      <c r="T171" s="689"/>
    </row>
    <row r="172" spans="1:20" ht="16.2" thickBot="1">
      <c r="A172" s="737"/>
      <c r="B172" s="738"/>
      <c r="C172" s="848">
        <v>431500</v>
      </c>
      <c r="D172" s="848">
        <v>431500</v>
      </c>
      <c r="E172" s="848">
        <v>431500</v>
      </c>
      <c r="F172" s="848">
        <v>431500</v>
      </c>
      <c r="G172" s="848">
        <v>431500</v>
      </c>
      <c r="H172" s="848">
        <v>431500</v>
      </c>
      <c r="I172" s="848">
        <v>431500</v>
      </c>
      <c r="J172" s="848">
        <v>431500</v>
      </c>
      <c r="K172" s="848">
        <v>431500</v>
      </c>
      <c r="L172" s="848">
        <v>431500</v>
      </c>
      <c r="M172" s="848">
        <v>431500</v>
      </c>
      <c r="N172" s="848">
        <v>431500</v>
      </c>
      <c r="O172" s="848">
        <v>431500</v>
      </c>
      <c r="P172" s="848">
        <v>431500</v>
      </c>
      <c r="Q172" s="848">
        <v>431500</v>
      </c>
      <c r="R172" s="848">
        <v>431500</v>
      </c>
      <c r="S172" s="848">
        <v>431500</v>
      </c>
      <c r="T172" s="848">
        <v>431500</v>
      </c>
    </row>
    <row r="173" spans="1:20" s="697" customFormat="1">
      <c r="A173" s="764" t="s">
        <v>23</v>
      </c>
      <c r="B173" s="765"/>
      <c r="C173" s="696"/>
      <c r="D173" s="696"/>
      <c r="E173" s="696"/>
      <c r="F173" s="696"/>
      <c r="G173" s="696"/>
      <c r="H173" s="696"/>
      <c r="I173" s="696"/>
      <c r="J173" s="696"/>
      <c r="K173" s="696"/>
      <c r="L173" s="696"/>
      <c r="M173" s="696"/>
      <c r="N173" s="696"/>
      <c r="O173" s="696"/>
      <c r="P173" s="696"/>
      <c r="Q173" s="696"/>
      <c r="R173" s="696"/>
      <c r="S173" s="696"/>
      <c r="T173" s="696"/>
    </row>
    <row r="174" spans="1:20" s="697" customFormat="1">
      <c r="A174" s="766"/>
      <c r="B174" s="767"/>
      <c r="C174" s="698"/>
      <c r="D174" s="698"/>
      <c r="E174" s="698"/>
      <c r="F174" s="698"/>
      <c r="G174" s="698"/>
      <c r="H174" s="698"/>
      <c r="I174" s="698"/>
      <c r="J174" s="698"/>
      <c r="K174" s="698"/>
      <c r="L174" s="698"/>
      <c r="M174" s="698"/>
      <c r="N174" s="698"/>
      <c r="O174" s="698"/>
      <c r="P174" s="698"/>
      <c r="Q174" s="698"/>
      <c r="R174" s="698"/>
      <c r="S174" s="698"/>
      <c r="T174" s="698"/>
    </row>
    <row r="175" spans="1:20">
      <c r="A175" s="14" t="s">
        <v>152</v>
      </c>
      <c r="B175" s="15"/>
      <c r="C175" s="1066">
        <v>1000000</v>
      </c>
      <c r="D175" s="1066">
        <v>1000000</v>
      </c>
      <c r="E175" s="1066">
        <v>1000000</v>
      </c>
      <c r="F175" s="1066">
        <v>1000000</v>
      </c>
      <c r="G175" s="1066">
        <v>1000000</v>
      </c>
      <c r="H175" s="1066">
        <v>1000000</v>
      </c>
      <c r="I175" s="1066">
        <v>1000000</v>
      </c>
      <c r="J175" s="1066">
        <v>1000000</v>
      </c>
      <c r="K175" s="1066">
        <v>1000000</v>
      </c>
      <c r="L175" s="1066">
        <v>1000000</v>
      </c>
      <c r="M175" s="1066">
        <v>1000000</v>
      </c>
      <c r="N175" s="1066">
        <v>1000000</v>
      </c>
      <c r="O175" s="1066">
        <v>1000000</v>
      </c>
      <c r="P175" s="1066">
        <v>1000000</v>
      </c>
      <c r="Q175" s="1066">
        <v>1000000</v>
      </c>
      <c r="R175" s="1066">
        <v>1000000</v>
      </c>
      <c r="S175" s="693">
        <v>1000000</v>
      </c>
      <c r="T175" s="693">
        <v>1000000</v>
      </c>
    </row>
    <row r="176" spans="1:20">
      <c r="A176" s="14" t="s">
        <v>660</v>
      </c>
      <c r="B176" s="15"/>
      <c r="C176" s="1066">
        <v>5500000</v>
      </c>
      <c r="D176" s="1066">
        <v>5500000</v>
      </c>
      <c r="E176" s="1066">
        <v>5500000</v>
      </c>
      <c r="F176" s="1066">
        <v>5500000</v>
      </c>
      <c r="G176" s="1066">
        <v>5500000</v>
      </c>
      <c r="H176" s="1066">
        <v>5500000</v>
      </c>
      <c r="I176" s="693">
        <v>5500000</v>
      </c>
      <c r="J176" s="693">
        <v>2500000</v>
      </c>
      <c r="K176" s="1066">
        <v>5000000</v>
      </c>
      <c r="L176" s="693">
        <v>5000000</v>
      </c>
      <c r="M176" s="1066">
        <v>0</v>
      </c>
      <c r="N176" s="1066">
        <v>0</v>
      </c>
      <c r="O176" s="693">
        <v>0</v>
      </c>
      <c r="P176" s="689">
        <v>0</v>
      </c>
      <c r="Q176" s="689">
        <v>0</v>
      </c>
      <c r="R176" s="689">
        <v>0</v>
      </c>
      <c r="S176" s="689">
        <v>0</v>
      </c>
      <c r="T176" s="689">
        <v>0</v>
      </c>
    </row>
    <row r="177" spans="1:20">
      <c r="A177" s="14" t="s">
        <v>731</v>
      </c>
      <c r="B177" s="15"/>
      <c r="C177" s="1066">
        <v>0</v>
      </c>
      <c r="D177" s="1066">
        <v>0</v>
      </c>
      <c r="E177" s="1066">
        <v>0</v>
      </c>
      <c r="F177" s="1066">
        <v>0</v>
      </c>
      <c r="G177" s="1066">
        <v>0</v>
      </c>
      <c r="H177" s="1066">
        <v>0</v>
      </c>
      <c r="I177" s="1066">
        <v>0</v>
      </c>
      <c r="J177" s="1066">
        <v>0</v>
      </c>
      <c r="K177" s="1066">
        <v>0</v>
      </c>
      <c r="L177" s="693">
        <v>0</v>
      </c>
      <c r="M177" s="693">
        <v>600000</v>
      </c>
      <c r="N177" s="693">
        <v>2400000</v>
      </c>
      <c r="O177" s="1066">
        <v>0</v>
      </c>
      <c r="P177" s="1066">
        <v>0</v>
      </c>
      <c r="Q177" s="1066">
        <v>0</v>
      </c>
      <c r="R177" s="1066">
        <v>0</v>
      </c>
      <c r="S177" s="1066">
        <v>0</v>
      </c>
      <c r="T177" s="1066">
        <v>0</v>
      </c>
    </row>
    <row r="178" spans="1:20">
      <c r="A178" s="14" t="s">
        <v>120</v>
      </c>
      <c r="B178" s="15"/>
      <c r="C178" s="1066">
        <v>0</v>
      </c>
      <c r="D178" s="1066">
        <v>0</v>
      </c>
      <c r="E178" s="1066">
        <v>0</v>
      </c>
      <c r="F178" s="1066">
        <v>0</v>
      </c>
      <c r="G178" s="1066">
        <v>0</v>
      </c>
      <c r="H178" s="1066">
        <v>0</v>
      </c>
      <c r="I178" s="1066">
        <v>0</v>
      </c>
      <c r="J178" s="1066">
        <v>0</v>
      </c>
      <c r="K178" s="1066">
        <v>0</v>
      </c>
      <c r="L178" s="1066">
        <v>0</v>
      </c>
      <c r="M178" s="1066">
        <v>0</v>
      </c>
      <c r="N178" s="1066">
        <v>0</v>
      </c>
      <c r="O178" s="1066">
        <v>0</v>
      </c>
      <c r="P178" s="1066">
        <v>0</v>
      </c>
      <c r="Q178" s="1066">
        <v>0</v>
      </c>
      <c r="R178" s="1066">
        <v>0</v>
      </c>
      <c r="S178" s="693">
        <v>0</v>
      </c>
      <c r="T178" s="693">
        <v>0</v>
      </c>
    </row>
    <row r="179" spans="1:20">
      <c r="A179" s="1017" t="s">
        <v>625</v>
      </c>
      <c r="B179" s="15"/>
      <c r="C179" s="1019">
        <v>450000</v>
      </c>
      <c r="D179" s="1019">
        <v>450000</v>
      </c>
      <c r="E179" s="1019">
        <v>450000</v>
      </c>
      <c r="F179" s="1019">
        <v>450000</v>
      </c>
      <c r="G179" s="1019">
        <v>450000</v>
      </c>
      <c r="H179" s="1019">
        <v>450000</v>
      </c>
      <c r="I179" s="1019">
        <v>450000</v>
      </c>
      <c r="J179" s="1019">
        <v>450000</v>
      </c>
      <c r="K179" s="1019">
        <v>450000</v>
      </c>
      <c r="L179" s="1019">
        <v>450000</v>
      </c>
      <c r="M179" s="1019">
        <v>450000</v>
      </c>
      <c r="N179" s="1019">
        <v>450000</v>
      </c>
      <c r="O179" s="1019">
        <v>450000</v>
      </c>
      <c r="P179" s="1019">
        <v>450000</v>
      </c>
      <c r="Q179" s="1019">
        <v>450000</v>
      </c>
      <c r="R179" s="1019">
        <v>450000</v>
      </c>
      <c r="S179" s="1019">
        <v>450000</v>
      </c>
      <c r="T179" s="1019">
        <v>450000</v>
      </c>
    </row>
    <row r="180" spans="1:20">
      <c r="A180" s="1018" t="s">
        <v>626</v>
      </c>
      <c r="B180" s="736"/>
      <c r="C180" s="1020">
        <v>350000</v>
      </c>
      <c r="D180" s="1020">
        <v>350000</v>
      </c>
      <c r="E180" s="1020">
        <v>350000</v>
      </c>
      <c r="F180" s="1020">
        <v>350000</v>
      </c>
      <c r="G180" s="1020">
        <v>350000</v>
      </c>
      <c r="H180" s="1020">
        <v>350000</v>
      </c>
      <c r="I180" s="1020">
        <v>350000</v>
      </c>
      <c r="J180" s="1020">
        <v>350000</v>
      </c>
      <c r="K180" s="1020">
        <v>350000</v>
      </c>
      <c r="L180" s="1020">
        <v>350000</v>
      </c>
      <c r="M180" s="1020">
        <v>350000</v>
      </c>
      <c r="N180" s="1020">
        <v>350000</v>
      </c>
      <c r="O180" s="1020">
        <v>350000</v>
      </c>
      <c r="P180" s="1020">
        <v>350000</v>
      </c>
      <c r="Q180" s="1020">
        <v>350000</v>
      </c>
      <c r="R180" s="1020">
        <v>350000</v>
      </c>
      <c r="S180" s="1020">
        <v>350000</v>
      </c>
      <c r="T180" s="1020">
        <v>350000</v>
      </c>
    </row>
    <row r="181" spans="1:20">
      <c r="A181" s="6" t="s">
        <v>726</v>
      </c>
      <c r="B181" s="736"/>
      <c r="C181" s="641">
        <v>5000000</v>
      </c>
      <c r="D181" s="641">
        <v>5000000</v>
      </c>
      <c r="E181" s="641">
        <v>5000000</v>
      </c>
      <c r="F181" s="641">
        <v>5000000</v>
      </c>
      <c r="G181" s="641">
        <v>5000000</v>
      </c>
      <c r="H181" s="641">
        <v>5000000</v>
      </c>
      <c r="I181" s="641">
        <v>5000000</v>
      </c>
      <c r="J181" s="641">
        <v>5000000</v>
      </c>
      <c r="K181" s="641">
        <v>5000000</v>
      </c>
      <c r="L181" s="641">
        <v>5000000</v>
      </c>
      <c r="M181" s="641">
        <v>5000000</v>
      </c>
      <c r="N181" s="641">
        <v>5000000</v>
      </c>
      <c r="O181" s="641">
        <v>5000000</v>
      </c>
      <c r="P181" s="641">
        <v>5000000</v>
      </c>
      <c r="Q181" s="641">
        <v>5000000</v>
      </c>
      <c r="R181" s="641">
        <v>5000000</v>
      </c>
      <c r="S181" s="641">
        <v>5000000</v>
      </c>
      <c r="T181" s="641">
        <v>5000000</v>
      </c>
    </row>
    <row r="182" spans="1:20">
      <c r="A182" s="6" t="s">
        <v>768</v>
      </c>
      <c r="B182" s="736"/>
      <c r="C182" s="1067">
        <v>0</v>
      </c>
      <c r="D182" s="1067">
        <v>0</v>
      </c>
      <c r="E182" s="1067">
        <v>0</v>
      </c>
      <c r="F182" s="1067">
        <v>0</v>
      </c>
      <c r="G182" s="1067">
        <v>0</v>
      </c>
      <c r="H182" s="1067">
        <v>0</v>
      </c>
      <c r="I182" s="1067">
        <v>0</v>
      </c>
      <c r="J182" s="1067">
        <v>0</v>
      </c>
      <c r="K182" s="1067">
        <v>0</v>
      </c>
      <c r="L182" s="1067">
        <v>0</v>
      </c>
      <c r="M182" s="1067">
        <v>0</v>
      </c>
      <c r="N182" s="1067">
        <v>0</v>
      </c>
      <c r="O182" s="1067">
        <v>0</v>
      </c>
      <c r="P182" s="1067">
        <v>0</v>
      </c>
      <c r="Q182" s="1067">
        <v>0</v>
      </c>
      <c r="R182" s="1067">
        <v>0</v>
      </c>
      <c r="S182" s="1067">
        <v>0</v>
      </c>
      <c r="T182" s="1067">
        <v>0</v>
      </c>
    </row>
    <row r="183" spans="1:20">
      <c r="A183" s="1080" t="s">
        <v>783</v>
      </c>
      <c r="B183" s="736"/>
      <c r="C183" s="1067">
        <v>0</v>
      </c>
      <c r="D183" s="1067">
        <v>0</v>
      </c>
      <c r="E183" s="1067">
        <v>0</v>
      </c>
      <c r="F183" s="1067">
        <v>0</v>
      </c>
      <c r="G183" s="1067">
        <v>0</v>
      </c>
      <c r="H183" s="1067">
        <v>0</v>
      </c>
      <c r="I183" s="1067">
        <v>0</v>
      </c>
      <c r="J183" s="1067">
        <v>0</v>
      </c>
      <c r="K183" s="1067">
        <v>0</v>
      </c>
      <c r="L183" s="1067">
        <v>0</v>
      </c>
      <c r="M183" s="1067">
        <v>0</v>
      </c>
      <c r="N183" s="1067">
        <v>0</v>
      </c>
      <c r="O183" s="1067">
        <v>0</v>
      </c>
      <c r="P183" s="1067">
        <v>0</v>
      </c>
      <c r="Q183" s="1067">
        <v>0</v>
      </c>
      <c r="R183" s="1067">
        <v>0</v>
      </c>
      <c r="S183" s="1067">
        <v>0</v>
      </c>
      <c r="T183" s="1067">
        <v>0</v>
      </c>
    </row>
    <row r="184" spans="1:20">
      <c r="A184" s="1080" t="s">
        <v>793</v>
      </c>
      <c r="B184" s="736"/>
      <c r="C184" s="1067">
        <v>0</v>
      </c>
      <c r="D184" s="1067">
        <v>0</v>
      </c>
      <c r="E184" s="1067">
        <v>0</v>
      </c>
      <c r="F184" s="1067">
        <v>0</v>
      </c>
      <c r="G184" s="684">
        <v>0</v>
      </c>
      <c r="H184" s="684">
        <v>900000</v>
      </c>
      <c r="I184" s="1067">
        <v>0</v>
      </c>
      <c r="J184" s="1067">
        <v>0</v>
      </c>
      <c r="K184" s="1067">
        <v>0</v>
      </c>
      <c r="L184" s="1067">
        <v>0</v>
      </c>
      <c r="M184" s="1067">
        <v>0</v>
      </c>
      <c r="N184" s="1067">
        <v>0</v>
      </c>
      <c r="O184" s="684">
        <v>0</v>
      </c>
      <c r="P184" s="1067">
        <v>762000</v>
      </c>
      <c r="Q184" s="1067">
        <v>762000</v>
      </c>
      <c r="R184" s="684">
        <v>762000</v>
      </c>
      <c r="S184" s="684">
        <v>785000</v>
      </c>
      <c r="T184" s="684">
        <v>785000</v>
      </c>
    </row>
    <row r="185" spans="1:20">
      <c r="A185" s="6" t="s">
        <v>734</v>
      </c>
      <c r="B185" s="736"/>
      <c r="C185" s="641">
        <v>0</v>
      </c>
      <c r="D185" s="641">
        <v>0</v>
      </c>
      <c r="E185" s="641">
        <v>0</v>
      </c>
      <c r="F185" s="641">
        <v>0</v>
      </c>
      <c r="G185" s="641">
        <v>0</v>
      </c>
      <c r="H185" s="641">
        <v>0</v>
      </c>
      <c r="I185" s="641">
        <v>0</v>
      </c>
      <c r="J185" s="641">
        <v>0</v>
      </c>
      <c r="K185" s="641">
        <v>0</v>
      </c>
      <c r="L185" s="641">
        <v>0</v>
      </c>
      <c r="M185" s="641">
        <v>0</v>
      </c>
      <c r="N185" s="641">
        <v>0</v>
      </c>
      <c r="O185" s="641">
        <v>0</v>
      </c>
      <c r="P185" s="641">
        <v>0</v>
      </c>
      <c r="Q185" s="641">
        <v>0</v>
      </c>
      <c r="R185" s="641">
        <v>0</v>
      </c>
      <c r="S185" s="641">
        <v>0</v>
      </c>
      <c r="T185" s="641">
        <v>0</v>
      </c>
    </row>
    <row r="186" spans="1:20">
      <c r="A186" s="6" t="s">
        <v>750</v>
      </c>
      <c r="B186" s="736"/>
      <c r="C186" s="1067">
        <v>0</v>
      </c>
      <c r="D186" s="1067">
        <v>0</v>
      </c>
      <c r="E186" s="1067">
        <v>0</v>
      </c>
      <c r="F186" s="1067">
        <v>0</v>
      </c>
      <c r="G186" s="1067">
        <v>0</v>
      </c>
      <c r="H186" s="1067">
        <v>0</v>
      </c>
      <c r="I186" s="1067">
        <v>0</v>
      </c>
      <c r="J186" s="1067">
        <v>0</v>
      </c>
      <c r="K186" s="1067">
        <v>0</v>
      </c>
      <c r="L186" s="1067">
        <v>0</v>
      </c>
      <c r="M186" s="1067">
        <v>0</v>
      </c>
      <c r="N186" s="1067">
        <v>0</v>
      </c>
      <c r="O186" s="1067">
        <v>0</v>
      </c>
      <c r="P186" s="1067">
        <v>0</v>
      </c>
      <c r="Q186" s="1067">
        <v>0</v>
      </c>
      <c r="R186" s="1067">
        <v>0</v>
      </c>
      <c r="S186" s="1067">
        <v>0</v>
      </c>
      <c r="T186" s="1067">
        <v>0</v>
      </c>
    </row>
    <row r="187" spans="1:20">
      <c r="A187" s="6" t="s">
        <v>751</v>
      </c>
      <c r="B187" s="736"/>
      <c r="C187" s="1067">
        <v>0</v>
      </c>
      <c r="D187" s="1067">
        <v>0</v>
      </c>
      <c r="E187" s="1067">
        <v>0</v>
      </c>
      <c r="F187" s="1067">
        <v>0</v>
      </c>
      <c r="G187" s="1067">
        <v>0</v>
      </c>
      <c r="H187" s="1067">
        <v>0</v>
      </c>
      <c r="I187" s="1067">
        <v>0</v>
      </c>
      <c r="J187" s="1067">
        <v>0</v>
      </c>
      <c r="K187" s="1067">
        <v>0</v>
      </c>
      <c r="L187" s="1067">
        <v>0</v>
      </c>
      <c r="M187" s="1067">
        <v>0</v>
      </c>
      <c r="N187" s="1067">
        <v>0</v>
      </c>
      <c r="O187" s="1067">
        <v>0</v>
      </c>
      <c r="P187" s="1067">
        <v>0</v>
      </c>
      <c r="Q187" s="1067">
        <v>0</v>
      </c>
      <c r="R187" s="1067">
        <v>0</v>
      </c>
      <c r="S187" s="1067">
        <v>0</v>
      </c>
      <c r="T187" s="1067">
        <v>0</v>
      </c>
    </row>
    <row r="188" spans="1:20">
      <c r="A188" s="6" t="s">
        <v>792</v>
      </c>
      <c r="B188" s="736"/>
      <c r="C188" s="1067">
        <v>75000</v>
      </c>
      <c r="D188" s="1067">
        <v>75000</v>
      </c>
      <c r="E188" s="1067">
        <v>75000</v>
      </c>
      <c r="F188" s="1067">
        <v>75000</v>
      </c>
      <c r="G188" s="1067">
        <v>75000</v>
      </c>
      <c r="H188" s="1067">
        <v>75000</v>
      </c>
      <c r="I188" s="1067">
        <v>75000</v>
      </c>
      <c r="J188" s="1067">
        <v>75000</v>
      </c>
      <c r="K188" s="1067">
        <v>75000</v>
      </c>
      <c r="L188" s="1067">
        <v>75000</v>
      </c>
      <c r="M188" s="1067">
        <v>75000</v>
      </c>
      <c r="N188" s="1067">
        <v>75000</v>
      </c>
      <c r="O188" s="1067">
        <v>75000</v>
      </c>
      <c r="P188" s="1067">
        <v>75000</v>
      </c>
      <c r="Q188" s="1067">
        <v>75000</v>
      </c>
      <c r="R188" s="1067">
        <v>75000</v>
      </c>
      <c r="S188" s="1067">
        <v>75000</v>
      </c>
      <c r="T188" s="1067">
        <v>75000</v>
      </c>
    </row>
    <row r="189" spans="1:20">
      <c r="A189" s="6" t="s">
        <v>717</v>
      </c>
      <c r="B189" s="736"/>
      <c r="C189" s="641">
        <v>0</v>
      </c>
      <c r="D189" s="641">
        <v>0</v>
      </c>
      <c r="E189" s="641">
        <v>0</v>
      </c>
      <c r="F189" s="641">
        <v>0</v>
      </c>
      <c r="G189" s="641">
        <v>0</v>
      </c>
      <c r="H189" s="641">
        <v>0</v>
      </c>
      <c r="I189" s="641">
        <v>0</v>
      </c>
      <c r="J189" s="641">
        <v>0</v>
      </c>
      <c r="K189" s="641">
        <v>0</v>
      </c>
      <c r="L189" s="641">
        <v>0</v>
      </c>
      <c r="M189" s="641">
        <v>0</v>
      </c>
      <c r="N189" s="641">
        <v>0</v>
      </c>
      <c r="O189" s="641">
        <v>0</v>
      </c>
      <c r="P189" s="641">
        <v>0</v>
      </c>
      <c r="Q189" s="641">
        <v>0</v>
      </c>
      <c r="R189" s="641">
        <v>0</v>
      </c>
      <c r="S189" s="641">
        <v>0</v>
      </c>
      <c r="T189" s="641">
        <v>0</v>
      </c>
    </row>
    <row r="190" spans="1:20">
      <c r="A190" s="6" t="s">
        <v>697</v>
      </c>
      <c r="B190" s="736"/>
      <c r="C190" s="641">
        <v>0</v>
      </c>
      <c r="D190" s="641">
        <v>0</v>
      </c>
      <c r="E190" s="641">
        <v>0</v>
      </c>
      <c r="F190" s="641">
        <v>0</v>
      </c>
      <c r="G190" s="641">
        <v>0</v>
      </c>
      <c r="H190" s="641">
        <v>0</v>
      </c>
      <c r="I190" s="641">
        <v>0</v>
      </c>
      <c r="J190" s="641">
        <v>0</v>
      </c>
      <c r="K190" s="641">
        <v>0</v>
      </c>
      <c r="L190" s="641">
        <v>0</v>
      </c>
      <c r="M190" s="641">
        <v>0</v>
      </c>
      <c r="N190" s="641">
        <v>0</v>
      </c>
      <c r="O190" s="641">
        <v>0</v>
      </c>
      <c r="P190" s="641">
        <v>0</v>
      </c>
      <c r="Q190" s="641">
        <v>0</v>
      </c>
      <c r="R190" s="641">
        <v>0</v>
      </c>
      <c r="S190" s="641">
        <v>0</v>
      </c>
      <c r="T190" s="641">
        <v>0</v>
      </c>
    </row>
    <row r="191" spans="1:20">
      <c r="A191" s="6" t="s">
        <v>624</v>
      </c>
      <c r="B191" s="736"/>
      <c r="C191" s="1067">
        <v>2000000</v>
      </c>
      <c r="D191" s="1067">
        <v>2000000</v>
      </c>
      <c r="E191" s="1067">
        <v>2000000</v>
      </c>
      <c r="F191" s="1067">
        <v>2000000</v>
      </c>
      <c r="G191" s="1067">
        <v>2000000</v>
      </c>
      <c r="H191" s="1067">
        <v>2000000</v>
      </c>
      <c r="I191" s="1067">
        <v>2000000</v>
      </c>
      <c r="J191" s="1067">
        <v>2000000</v>
      </c>
      <c r="K191" s="1067">
        <v>2000000</v>
      </c>
      <c r="L191" s="1067">
        <v>2000000</v>
      </c>
      <c r="M191" s="1067">
        <v>2000000</v>
      </c>
      <c r="N191" s="1067">
        <v>2000000</v>
      </c>
      <c r="O191" s="1067">
        <v>2000000</v>
      </c>
      <c r="P191" s="1067">
        <v>2000000</v>
      </c>
      <c r="Q191" s="684">
        <v>2000000</v>
      </c>
      <c r="R191" s="641">
        <v>3000000</v>
      </c>
      <c r="S191" s="641">
        <v>3000000</v>
      </c>
      <c r="T191" s="641">
        <v>3000000</v>
      </c>
    </row>
    <row r="192" spans="1:20">
      <c r="A192" s="6" t="s">
        <v>119</v>
      </c>
      <c r="B192" s="736"/>
      <c r="C192" s="1067">
        <v>8500000</v>
      </c>
      <c r="D192" s="1067">
        <v>8500000</v>
      </c>
      <c r="E192" s="1067">
        <v>8500000</v>
      </c>
      <c r="F192" s="1067">
        <v>8500000</v>
      </c>
      <c r="G192" s="1067">
        <v>8500000</v>
      </c>
      <c r="H192" s="1067">
        <v>8500000</v>
      </c>
      <c r="I192" s="1067">
        <v>8500000</v>
      </c>
      <c r="J192" s="1067">
        <v>8500000</v>
      </c>
      <c r="K192" s="1067">
        <v>8500000</v>
      </c>
      <c r="L192" s="1067">
        <v>8500000</v>
      </c>
      <c r="M192" s="1067">
        <v>8500000</v>
      </c>
      <c r="N192" s="1067">
        <v>8500000</v>
      </c>
      <c r="O192" s="1067">
        <v>8500000</v>
      </c>
      <c r="P192" s="1067">
        <v>8500000</v>
      </c>
      <c r="Q192" s="1067">
        <v>8500000</v>
      </c>
      <c r="R192" s="1067">
        <v>8500000</v>
      </c>
      <c r="S192" s="684">
        <v>8500000</v>
      </c>
      <c r="T192" s="684">
        <v>8500000</v>
      </c>
    </row>
    <row r="193" spans="1:20">
      <c r="A193" s="6" t="s">
        <v>179</v>
      </c>
      <c r="B193" s="736"/>
      <c r="C193" s="1067">
        <v>0</v>
      </c>
      <c r="D193" s="1067">
        <v>0</v>
      </c>
      <c r="E193" s="1067">
        <v>0</v>
      </c>
      <c r="F193" s="1067">
        <v>0</v>
      </c>
      <c r="G193" s="1067">
        <v>0</v>
      </c>
      <c r="H193" s="1067">
        <v>0</v>
      </c>
      <c r="I193" s="1067">
        <v>0</v>
      </c>
      <c r="J193" s="1067">
        <v>0</v>
      </c>
      <c r="K193" s="1067">
        <v>0</v>
      </c>
      <c r="L193" s="1067">
        <v>0</v>
      </c>
      <c r="M193" s="1067">
        <v>0</v>
      </c>
      <c r="N193" s="1067">
        <v>0</v>
      </c>
      <c r="O193" s="1067">
        <v>0</v>
      </c>
      <c r="P193" s="1067">
        <v>0</v>
      </c>
      <c r="Q193" s="1067">
        <v>0</v>
      </c>
      <c r="R193" s="1067">
        <v>0</v>
      </c>
      <c r="S193" s="1067">
        <v>0</v>
      </c>
      <c r="T193" s="1067">
        <v>0</v>
      </c>
    </row>
    <row r="194" spans="1:20">
      <c r="A194" s="6" t="s">
        <v>756</v>
      </c>
      <c r="B194" s="736"/>
      <c r="C194" s="1067">
        <v>47000000</v>
      </c>
      <c r="D194" s="1067">
        <v>47000000</v>
      </c>
      <c r="E194" s="1067">
        <v>47000000</v>
      </c>
      <c r="F194" s="1067">
        <v>47000000</v>
      </c>
      <c r="G194" s="1067">
        <v>47000000</v>
      </c>
      <c r="H194" s="1067">
        <v>47000000</v>
      </c>
      <c r="I194" s="1067">
        <v>47000000</v>
      </c>
      <c r="J194" s="1067">
        <v>47000000</v>
      </c>
      <c r="K194" s="1067">
        <v>47000000</v>
      </c>
      <c r="L194" s="1067">
        <v>47000000</v>
      </c>
      <c r="M194" s="1067">
        <v>47000000</v>
      </c>
      <c r="N194" s="1067">
        <v>47000000</v>
      </c>
      <c r="O194" s="1067">
        <v>47000000</v>
      </c>
      <c r="P194" s="1067">
        <v>47000000</v>
      </c>
      <c r="Q194" s="684">
        <v>47000000</v>
      </c>
      <c r="R194" s="1067">
        <v>48500000</v>
      </c>
      <c r="S194" s="1067">
        <v>48500000</v>
      </c>
      <c r="T194" s="1067">
        <v>48500000</v>
      </c>
    </row>
    <row r="195" spans="1:20">
      <c r="A195" s="6" t="s">
        <v>161</v>
      </c>
      <c r="B195" s="736"/>
      <c r="C195" s="1067">
        <v>6500000</v>
      </c>
      <c r="D195" s="1067">
        <v>6500000</v>
      </c>
      <c r="E195" s="1067">
        <v>6500000</v>
      </c>
      <c r="F195" s="1067">
        <v>6500000</v>
      </c>
      <c r="G195" s="1067">
        <v>6500000</v>
      </c>
      <c r="H195" s="1067">
        <v>6500000</v>
      </c>
      <c r="I195" s="1067">
        <v>6500000</v>
      </c>
      <c r="J195" s="1067">
        <v>6500000</v>
      </c>
      <c r="K195" s="1067">
        <v>6500000</v>
      </c>
      <c r="L195" s="1067">
        <v>6500000</v>
      </c>
      <c r="M195" s="1067">
        <v>6500000</v>
      </c>
      <c r="N195" s="1067">
        <v>6500000</v>
      </c>
      <c r="O195" s="1067">
        <v>6500000</v>
      </c>
      <c r="P195" s="1067">
        <v>6500000</v>
      </c>
      <c r="Q195" s="1067">
        <v>6500000</v>
      </c>
      <c r="R195" s="1067">
        <v>6500000</v>
      </c>
      <c r="S195" s="1067">
        <v>6500000</v>
      </c>
      <c r="T195" s="1067">
        <v>6500000</v>
      </c>
    </row>
    <row r="196" spans="1:20" ht="16.2" thickBot="1">
      <c r="A196" s="7"/>
      <c r="B196" s="738"/>
      <c r="C196" s="848">
        <v>76375000</v>
      </c>
      <c r="D196" s="848">
        <v>76375000</v>
      </c>
      <c r="E196" s="848">
        <v>76375000</v>
      </c>
      <c r="F196" s="848">
        <v>76375000</v>
      </c>
      <c r="G196" s="848">
        <v>76375000</v>
      </c>
      <c r="H196" s="848">
        <v>77275000</v>
      </c>
      <c r="I196" s="848">
        <v>76375000</v>
      </c>
      <c r="J196" s="848">
        <v>73375000</v>
      </c>
      <c r="K196" s="848">
        <v>75875000</v>
      </c>
      <c r="L196" s="848">
        <v>75875000</v>
      </c>
      <c r="M196" s="848">
        <v>71475000</v>
      </c>
      <c r="N196" s="848">
        <v>73275000</v>
      </c>
      <c r="O196" s="848">
        <v>70875000</v>
      </c>
      <c r="P196" s="848">
        <v>71637000</v>
      </c>
      <c r="Q196" s="848">
        <v>71637000</v>
      </c>
      <c r="R196" s="848">
        <v>74137000</v>
      </c>
      <c r="S196" s="848">
        <v>74160000</v>
      </c>
      <c r="T196" s="848">
        <v>74160000</v>
      </c>
    </row>
    <row r="197" spans="1:20" ht="16.2" thickBot="1">
      <c r="A197" s="9"/>
      <c r="B197" s="10"/>
      <c r="C197" s="869"/>
      <c r="D197" s="869"/>
      <c r="E197" s="869"/>
      <c r="F197" s="869"/>
      <c r="G197" s="869"/>
      <c r="H197" s="869"/>
      <c r="I197" s="869"/>
      <c r="J197" s="869"/>
      <c r="K197" s="869"/>
      <c r="L197" s="869"/>
      <c r="M197" s="869"/>
      <c r="N197" s="869"/>
      <c r="O197" s="869"/>
      <c r="P197" s="869"/>
      <c r="Q197" s="869"/>
      <c r="R197" s="869"/>
      <c r="S197" s="869"/>
      <c r="T197" s="869"/>
    </row>
    <row r="198" spans="1:20" ht="16.2" thickBot="1">
      <c r="A198" s="768"/>
      <c r="B198" s="769"/>
      <c r="C198" s="868"/>
      <c r="D198" s="868"/>
      <c r="E198" s="868"/>
      <c r="F198" s="868"/>
      <c r="G198" s="868"/>
      <c r="H198" s="868"/>
      <c r="I198" s="868"/>
      <c r="J198" s="868"/>
      <c r="K198" s="868"/>
      <c r="L198" s="868"/>
      <c r="M198" s="868"/>
      <c r="N198" s="868"/>
      <c r="O198" s="868"/>
      <c r="P198" s="868"/>
      <c r="Q198" s="868"/>
      <c r="R198" s="868"/>
      <c r="S198" s="868"/>
      <c r="T198" s="868"/>
    </row>
    <row r="199" spans="1:20" s="699" customFormat="1" ht="18.600000000000001" thickBot="1">
      <c r="A199" s="770" t="s">
        <v>35</v>
      </c>
      <c r="B199" s="771"/>
      <c r="C199" s="870">
        <v>265431255</v>
      </c>
      <c r="D199" s="870">
        <v>208802877</v>
      </c>
      <c r="E199" s="870">
        <v>210412942</v>
      </c>
      <c r="F199" s="870">
        <v>208311916</v>
      </c>
      <c r="G199" s="870">
        <v>209211813</v>
      </c>
      <c r="H199" s="870">
        <v>211301569</v>
      </c>
      <c r="I199" s="870">
        <v>210775708</v>
      </c>
      <c r="J199" s="870">
        <v>213396512</v>
      </c>
      <c r="K199" s="870">
        <v>213448457</v>
      </c>
      <c r="L199" s="870">
        <v>211778223</v>
      </c>
      <c r="M199" s="870">
        <v>209708601</v>
      </c>
      <c r="N199" s="870">
        <v>208068173</v>
      </c>
      <c r="O199" s="870">
        <v>210269885</v>
      </c>
      <c r="P199" s="870">
        <v>210100957</v>
      </c>
      <c r="Q199" s="870">
        <v>208754705</v>
      </c>
      <c r="R199" s="870">
        <v>210882923</v>
      </c>
      <c r="S199" s="870">
        <v>215782991</v>
      </c>
      <c r="T199" s="870">
        <v>214446208</v>
      </c>
    </row>
    <row r="200" spans="1:20" s="699" customFormat="1" ht="18">
      <c r="A200" s="772"/>
      <c r="B200" s="773"/>
      <c r="C200" s="871"/>
      <c r="D200" s="871"/>
      <c r="E200" s="871"/>
      <c r="F200" s="871"/>
      <c r="G200" s="871"/>
      <c r="H200" s="871"/>
      <c r="I200" s="871"/>
      <c r="J200" s="871"/>
      <c r="K200" s="871"/>
      <c r="L200" s="871"/>
      <c r="M200" s="871"/>
      <c r="N200" s="871"/>
      <c r="O200" s="871"/>
      <c r="P200" s="871"/>
      <c r="Q200" s="871"/>
      <c r="R200" s="871"/>
      <c r="S200" s="871"/>
      <c r="T200" s="871"/>
    </row>
    <row r="201" spans="1:20">
      <c r="A201" s="5"/>
      <c r="B201"/>
      <c r="C201" s="852"/>
      <c r="D201" s="852"/>
      <c r="E201" s="852"/>
      <c r="F201" s="852"/>
      <c r="G201" s="852"/>
      <c r="H201" s="852"/>
      <c r="I201" s="852"/>
      <c r="J201" s="852"/>
      <c r="K201" s="852"/>
      <c r="L201" s="852"/>
      <c r="M201" s="852"/>
      <c r="N201" s="852"/>
      <c r="O201" s="852"/>
      <c r="P201" s="852"/>
      <c r="Q201" s="852"/>
      <c r="R201" s="852"/>
      <c r="S201" s="852"/>
      <c r="T201" s="852"/>
    </row>
    <row r="202" spans="1:20">
      <c r="A202" s="5" t="s">
        <v>25</v>
      </c>
      <c r="B202"/>
      <c r="C202" s="8">
        <v>332274422</v>
      </c>
      <c r="D202" s="8">
        <v>275646044</v>
      </c>
      <c r="E202" s="8">
        <v>273006109</v>
      </c>
      <c r="F202" s="8">
        <v>270905083</v>
      </c>
      <c r="G202" s="8">
        <v>271804980</v>
      </c>
      <c r="H202" s="8">
        <v>272294736</v>
      </c>
      <c r="I202" s="8">
        <v>273743875</v>
      </c>
      <c r="J202" s="8">
        <v>273164679</v>
      </c>
      <c r="K202" s="8">
        <v>275916624</v>
      </c>
      <c r="L202" s="8">
        <v>274296390</v>
      </c>
      <c r="M202" s="8">
        <v>267771768</v>
      </c>
      <c r="N202" s="8">
        <v>267986340</v>
      </c>
      <c r="O202" s="8">
        <v>268738052</v>
      </c>
      <c r="P202" s="8">
        <v>269381124</v>
      </c>
      <c r="Q202" s="8">
        <v>268034872</v>
      </c>
      <c r="R202" s="8">
        <v>272663090</v>
      </c>
      <c r="S202" s="8">
        <v>277586158</v>
      </c>
      <c r="T202" s="8">
        <v>276249375</v>
      </c>
    </row>
    <row r="203" spans="1:20" ht="18">
      <c r="A203" s="774" t="s">
        <v>13</v>
      </c>
      <c r="B203" s="2"/>
      <c r="C203" s="24">
        <v>265431255</v>
      </c>
      <c r="D203" s="24">
        <v>208802877</v>
      </c>
      <c r="E203" s="24">
        <v>210412942</v>
      </c>
      <c r="F203" s="24">
        <v>208311916</v>
      </c>
      <c r="G203" s="24">
        <v>209211813</v>
      </c>
      <c r="H203" s="24">
        <v>211301569</v>
      </c>
      <c r="I203" s="24">
        <v>210775708</v>
      </c>
      <c r="J203" s="24">
        <v>213396512</v>
      </c>
      <c r="K203" s="24">
        <v>213448457</v>
      </c>
      <c r="L203" s="24">
        <v>211778223</v>
      </c>
      <c r="M203" s="24">
        <v>209708601</v>
      </c>
      <c r="N203" s="24">
        <v>208068173</v>
      </c>
      <c r="O203" s="24">
        <v>210269885</v>
      </c>
      <c r="P203" s="24">
        <v>210100957</v>
      </c>
      <c r="Q203" s="24">
        <v>208754705</v>
      </c>
      <c r="R203" s="24">
        <v>210882923</v>
      </c>
      <c r="S203" s="24">
        <v>215782991</v>
      </c>
      <c r="T203" s="24">
        <v>214446208</v>
      </c>
    </row>
    <row r="204" spans="1:20" ht="18">
      <c r="A204" s="774"/>
      <c r="B204" s="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spans="1:20" ht="15" thickBot="1">
      <c r="A205" s="5"/>
      <c r="B20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>
      <c r="A206" s="775" t="s">
        <v>18</v>
      </c>
      <c r="B206" s="726"/>
      <c r="C206" s="700">
        <v>56628378</v>
      </c>
      <c r="D206" s="700">
        <v>2639935</v>
      </c>
      <c r="E206" s="700">
        <v>2101026</v>
      </c>
      <c r="F206" s="700">
        <v>-899897</v>
      </c>
      <c r="G206" s="700">
        <v>-489756</v>
      </c>
      <c r="H206" s="700">
        <v>-1449139</v>
      </c>
      <c r="I206" s="700">
        <v>579196</v>
      </c>
      <c r="J206" s="700">
        <v>-2751945</v>
      </c>
      <c r="K206" s="700">
        <v>1620234</v>
      </c>
      <c r="L206" s="700">
        <v>6524622</v>
      </c>
      <c r="M206" s="700">
        <v>-214572</v>
      </c>
      <c r="N206" s="700">
        <v>-751712</v>
      </c>
      <c r="O206" s="700">
        <v>-643072</v>
      </c>
      <c r="P206" s="700">
        <v>1346252</v>
      </c>
      <c r="Q206" s="700">
        <v>-4628218</v>
      </c>
      <c r="R206" s="700">
        <v>-4923068</v>
      </c>
      <c r="S206" s="700">
        <v>1336783</v>
      </c>
      <c r="T206" s="700">
        <v>0</v>
      </c>
    </row>
    <row r="207" spans="1:20" ht="15" thickBot="1">
      <c r="A207" s="5"/>
      <c r="B20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>
      <c r="A208" s="776"/>
      <c r="B208" s="777"/>
      <c r="C208" s="872"/>
      <c r="D208" s="872"/>
      <c r="E208" s="872"/>
      <c r="F208" s="872"/>
      <c r="G208" s="872"/>
      <c r="H208" s="872"/>
      <c r="I208" s="872"/>
      <c r="J208" s="872"/>
      <c r="K208" s="872"/>
      <c r="L208" s="872"/>
      <c r="M208" s="872"/>
      <c r="N208" s="872"/>
      <c r="O208" s="872"/>
      <c r="P208" s="872"/>
      <c r="Q208" s="872"/>
      <c r="R208" s="872"/>
      <c r="S208" s="872"/>
      <c r="T208" s="872"/>
    </row>
    <row r="209" spans="1:23">
      <c r="A209" s="20" t="s">
        <v>183</v>
      </c>
      <c r="B209" s="778"/>
      <c r="C209" s="873">
        <v>1382000</v>
      </c>
      <c r="D209" s="873">
        <v>364000</v>
      </c>
      <c r="E209" s="873">
        <v>796000</v>
      </c>
      <c r="F209" s="873">
        <v>2674506</v>
      </c>
      <c r="G209" s="873">
        <v>2674500</v>
      </c>
      <c r="H209" s="873">
        <v>1088574</v>
      </c>
      <c r="I209" s="873">
        <v>620027</v>
      </c>
      <c r="J209" s="873">
        <v>615000</v>
      </c>
      <c r="K209" s="873">
        <v>561000</v>
      </c>
      <c r="L209" s="873">
        <v>591000</v>
      </c>
      <c r="M209" s="873">
        <v>694000</v>
      </c>
      <c r="N209" s="873">
        <v>870000</v>
      </c>
      <c r="O209" s="873">
        <v>1800500</v>
      </c>
      <c r="P209" s="873">
        <v>655000</v>
      </c>
      <c r="Q209" s="873">
        <v>585500</v>
      </c>
      <c r="R209" s="873">
        <v>1904448</v>
      </c>
      <c r="S209" s="873">
        <v>614000</v>
      </c>
      <c r="T209" s="873">
        <v>0</v>
      </c>
    </row>
    <row r="210" spans="1:23">
      <c r="A210" s="20" t="s">
        <v>24</v>
      </c>
      <c r="B210" s="778"/>
      <c r="C210" s="873">
        <v>932000</v>
      </c>
      <c r="D210" s="873">
        <v>314000</v>
      </c>
      <c r="E210" s="873">
        <v>746000</v>
      </c>
      <c r="F210" s="873">
        <v>2424506</v>
      </c>
      <c r="G210" s="873">
        <v>2524500</v>
      </c>
      <c r="H210" s="873">
        <v>988574</v>
      </c>
      <c r="I210" s="873">
        <v>570027</v>
      </c>
      <c r="J210" s="873">
        <v>615000</v>
      </c>
      <c r="K210" s="873">
        <v>491000</v>
      </c>
      <c r="L210" s="873">
        <v>571000</v>
      </c>
      <c r="M210" s="873">
        <v>644000</v>
      </c>
      <c r="N210" s="873">
        <v>770000</v>
      </c>
      <c r="O210" s="873">
        <v>1660500</v>
      </c>
      <c r="P210" s="873">
        <v>585000</v>
      </c>
      <c r="Q210" s="873">
        <v>535500</v>
      </c>
      <c r="R210" s="873">
        <v>1854448</v>
      </c>
      <c r="S210" s="873">
        <v>564000</v>
      </c>
      <c r="T210" s="873">
        <v>0</v>
      </c>
    </row>
    <row r="211" spans="1:23">
      <c r="A211" s="28" t="s">
        <v>19</v>
      </c>
      <c r="B211" s="746" t="s">
        <v>283</v>
      </c>
      <c r="C211" s="874">
        <v>1408000</v>
      </c>
      <c r="D211" s="874">
        <v>187000</v>
      </c>
      <c r="E211" s="874">
        <v>0</v>
      </c>
      <c r="F211" s="874">
        <v>3674500</v>
      </c>
      <c r="G211" s="874">
        <v>635000</v>
      </c>
      <c r="H211" s="874">
        <v>367000</v>
      </c>
      <c r="I211" s="874">
        <v>3969000</v>
      </c>
      <c r="J211" s="874">
        <v>1305000</v>
      </c>
      <c r="K211" s="874">
        <v>180000</v>
      </c>
      <c r="L211" s="874">
        <v>200000</v>
      </c>
      <c r="M211" s="874">
        <v>435000</v>
      </c>
      <c r="N211" s="874">
        <v>0</v>
      </c>
      <c r="O211" s="874">
        <v>2018000</v>
      </c>
      <c r="P211" s="874">
        <v>270000</v>
      </c>
      <c r="Q211" s="874">
        <v>3390000</v>
      </c>
      <c r="R211" s="874">
        <v>2350000</v>
      </c>
      <c r="S211" s="874">
        <v>0</v>
      </c>
      <c r="T211" s="874">
        <v>0</v>
      </c>
    </row>
    <row r="212" spans="1:23" s="265" customFormat="1">
      <c r="A212" s="779" t="s">
        <v>189</v>
      </c>
      <c r="B212" s="780"/>
      <c r="C212" s="701">
        <v>20388500</v>
      </c>
      <c r="D212" s="701">
        <v>18980500</v>
      </c>
      <c r="E212" s="701">
        <v>18793500</v>
      </c>
      <c r="F212" s="701">
        <v>18793500</v>
      </c>
      <c r="G212" s="701">
        <v>15119000</v>
      </c>
      <c r="H212" s="701">
        <v>14484000</v>
      </c>
      <c r="I212" s="701">
        <v>14117000</v>
      </c>
      <c r="J212" s="701">
        <v>10148000</v>
      </c>
      <c r="K212" s="701">
        <v>8843000</v>
      </c>
      <c r="L212" s="701">
        <v>8663000</v>
      </c>
      <c r="M212" s="701">
        <v>8463000</v>
      </c>
      <c r="N212" s="701">
        <v>8028000</v>
      </c>
      <c r="O212" s="701">
        <v>8028000</v>
      </c>
      <c r="P212" s="701">
        <v>6010000</v>
      </c>
      <c r="Q212" s="701">
        <v>5740000</v>
      </c>
      <c r="R212" s="701">
        <v>2350000</v>
      </c>
      <c r="S212" s="701">
        <v>0</v>
      </c>
      <c r="T212" s="701">
        <v>0</v>
      </c>
    </row>
    <row r="213" spans="1:23">
      <c r="A213" s="28" t="s">
        <v>180</v>
      </c>
      <c r="B213" s="746" t="s">
        <v>284</v>
      </c>
      <c r="C213" s="874">
        <v>450000</v>
      </c>
      <c r="D213" s="874">
        <v>50000</v>
      </c>
      <c r="E213" s="874">
        <v>50000</v>
      </c>
      <c r="F213" s="874">
        <v>250000</v>
      </c>
      <c r="G213" s="874">
        <v>150000</v>
      </c>
      <c r="H213" s="874">
        <v>100000</v>
      </c>
      <c r="I213" s="874">
        <v>50000</v>
      </c>
      <c r="J213" s="874">
        <v>0</v>
      </c>
      <c r="K213" s="874">
        <v>70000</v>
      </c>
      <c r="L213" s="874">
        <v>20000</v>
      </c>
      <c r="M213" s="874">
        <v>50000</v>
      </c>
      <c r="N213" s="874">
        <v>100000</v>
      </c>
      <c r="O213" s="874">
        <v>140000</v>
      </c>
      <c r="P213" s="874">
        <v>70000</v>
      </c>
      <c r="Q213" s="874">
        <v>50000</v>
      </c>
      <c r="R213" s="874">
        <v>50000</v>
      </c>
      <c r="S213" s="874">
        <v>50000</v>
      </c>
      <c r="T213" s="874">
        <v>0</v>
      </c>
    </row>
    <row r="214" spans="1:23" s="265" customFormat="1">
      <c r="A214" s="779" t="s">
        <v>190</v>
      </c>
      <c r="B214" s="780"/>
      <c r="C214" s="702">
        <v>1700000</v>
      </c>
      <c r="D214" s="702">
        <v>1250000</v>
      </c>
      <c r="E214" s="702">
        <v>1200000</v>
      </c>
      <c r="F214" s="702">
        <v>1150000</v>
      </c>
      <c r="G214" s="702">
        <v>900000</v>
      </c>
      <c r="H214" s="702">
        <v>750000</v>
      </c>
      <c r="I214" s="702">
        <v>650000</v>
      </c>
      <c r="J214" s="702">
        <v>600000</v>
      </c>
      <c r="K214" s="702">
        <v>600000</v>
      </c>
      <c r="L214" s="702">
        <v>530000</v>
      </c>
      <c r="M214" s="702">
        <v>510000</v>
      </c>
      <c r="N214" s="702">
        <v>460000</v>
      </c>
      <c r="O214" s="702">
        <v>360000</v>
      </c>
      <c r="P214" s="702">
        <v>220000</v>
      </c>
      <c r="Q214" s="702">
        <v>150000</v>
      </c>
      <c r="R214" s="702">
        <v>100000</v>
      </c>
      <c r="S214" s="702">
        <v>50000</v>
      </c>
      <c r="T214" s="702">
        <v>0</v>
      </c>
    </row>
    <row r="215" spans="1:23">
      <c r="A215" s="20"/>
      <c r="B215" s="781"/>
      <c r="C215" s="873"/>
      <c r="D215" s="873"/>
      <c r="E215" s="873"/>
      <c r="F215" s="873"/>
      <c r="G215" s="873"/>
      <c r="H215" s="873"/>
      <c r="I215" s="873"/>
      <c r="J215" s="873"/>
      <c r="K215" s="873"/>
      <c r="L215" s="873"/>
      <c r="M215" s="873"/>
      <c r="N215" s="873"/>
      <c r="O215" s="873"/>
      <c r="P215" s="873"/>
      <c r="Q215" s="873"/>
      <c r="R215" s="873"/>
      <c r="S215" s="873"/>
      <c r="T215" s="873"/>
    </row>
    <row r="216" spans="1:23">
      <c r="A216" s="28" t="s">
        <v>63</v>
      </c>
      <c r="B216" s="746" t="s">
        <v>285</v>
      </c>
      <c r="C216" s="875">
        <v>0</v>
      </c>
      <c r="D216" s="875">
        <v>0</v>
      </c>
      <c r="E216" s="875">
        <v>0</v>
      </c>
      <c r="F216" s="875">
        <v>0</v>
      </c>
      <c r="G216" s="875">
        <v>0</v>
      </c>
      <c r="H216" s="875">
        <v>0</v>
      </c>
      <c r="I216" s="875">
        <v>0</v>
      </c>
      <c r="J216" s="875">
        <v>0</v>
      </c>
      <c r="K216" s="875">
        <v>0</v>
      </c>
      <c r="L216" s="875">
        <v>0</v>
      </c>
      <c r="M216" s="875">
        <v>0</v>
      </c>
      <c r="N216" s="875">
        <v>0</v>
      </c>
      <c r="O216" s="875">
        <v>0</v>
      </c>
      <c r="P216" s="875">
        <v>0</v>
      </c>
      <c r="Q216" s="875">
        <v>0</v>
      </c>
      <c r="R216" s="875">
        <v>0</v>
      </c>
      <c r="S216" s="875">
        <v>0</v>
      </c>
      <c r="T216" s="875">
        <v>0</v>
      </c>
      <c r="W216" s="703"/>
    </row>
    <row r="217" spans="1:23">
      <c r="A217" s="28" t="s">
        <v>12</v>
      </c>
      <c r="B217" s="746" t="s">
        <v>286</v>
      </c>
      <c r="C217" s="875">
        <v>0</v>
      </c>
      <c r="D217" s="875">
        <v>0</v>
      </c>
      <c r="E217" s="875">
        <v>0</v>
      </c>
      <c r="F217" s="875">
        <v>0</v>
      </c>
      <c r="G217" s="875">
        <v>0</v>
      </c>
      <c r="H217" s="875">
        <v>0</v>
      </c>
      <c r="I217" s="875">
        <v>0</v>
      </c>
      <c r="J217" s="875">
        <v>0</v>
      </c>
      <c r="K217" s="875">
        <v>0</v>
      </c>
      <c r="L217" s="875">
        <v>0</v>
      </c>
      <c r="M217" s="875">
        <v>0</v>
      </c>
      <c r="N217" s="875">
        <v>0</v>
      </c>
      <c r="O217" s="875">
        <v>0</v>
      </c>
      <c r="P217" s="875">
        <v>0</v>
      </c>
      <c r="Q217" s="875">
        <v>0</v>
      </c>
      <c r="R217" s="875">
        <v>0</v>
      </c>
      <c r="S217" s="875">
        <v>0</v>
      </c>
      <c r="T217" s="875">
        <v>0</v>
      </c>
    </row>
    <row r="218" spans="1:23">
      <c r="A218" s="1"/>
      <c r="B218" s="748"/>
      <c r="C218" s="876"/>
      <c r="D218" s="876"/>
      <c r="E218" s="876"/>
      <c r="F218" s="876"/>
      <c r="G218" s="876"/>
      <c r="H218" s="876"/>
      <c r="I218" s="876"/>
      <c r="J218" s="876"/>
      <c r="K218" s="876"/>
      <c r="L218" s="876"/>
      <c r="M218" s="876"/>
      <c r="N218" s="876"/>
      <c r="O218" s="876"/>
      <c r="P218" s="876"/>
      <c r="Q218" s="876"/>
      <c r="R218" s="876"/>
      <c r="S218" s="876"/>
      <c r="T218" s="876"/>
    </row>
    <row r="219" spans="1:23">
      <c r="A219" s="782" t="s">
        <v>47</v>
      </c>
      <c r="B219" s="781"/>
      <c r="C219" s="702">
        <v>-1898445</v>
      </c>
      <c r="D219" s="702">
        <v>-1872445</v>
      </c>
      <c r="E219" s="702">
        <v>-2049445</v>
      </c>
      <c r="F219" s="702">
        <v>-2845445</v>
      </c>
      <c r="G219" s="702">
        <v>-1845451</v>
      </c>
      <c r="H219" s="702">
        <v>-3884951</v>
      </c>
      <c r="I219" s="702">
        <v>-4606525</v>
      </c>
      <c r="J219" s="702">
        <v>-1257552</v>
      </c>
      <c r="K219" s="702">
        <v>-567552</v>
      </c>
      <c r="L219" s="702">
        <v>-948552</v>
      </c>
      <c r="M219" s="702">
        <v>-1339552</v>
      </c>
      <c r="N219" s="702">
        <v>-1598552</v>
      </c>
      <c r="O219" s="702">
        <v>-2468552</v>
      </c>
      <c r="P219" s="702">
        <v>-2251052</v>
      </c>
      <c r="Q219" s="702">
        <v>-2636052</v>
      </c>
      <c r="R219" s="702">
        <v>168448</v>
      </c>
      <c r="S219" s="702">
        <v>614000</v>
      </c>
      <c r="T219" s="702">
        <v>0</v>
      </c>
    </row>
    <row r="220" spans="1:23">
      <c r="A220" s="1"/>
      <c r="B220" s="748"/>
      <c r="C220" s="876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  <c r="O220" s="876"/>
      <c r="P220" s="876"/>
      <c r="Q220" s="876"/>
      <c r="R220" s="876"/>
      <c r="S220" s="876"/>
      <c r="T220" s="876"/>
    </row>
    <row r="221" spans="1:23">
      <c r="A221" s="28" t="s">
        <v>21</v>
      </c>
      <c r="B221" s="746" t="s">
        <v>287</v>
      </c>
      <c r="C221" s="875">
        <v>38500</v>
      </c>
      <c r="D221" s="875">
        <v>0</v>
      </c>
      <c r="E221" s="875">
        <v>0</v>
      </c>
      <c r="F221" s="875">
        <v>0</v>
      </c>
      <c r="G221" s="875">
        <v>0</v>
      </c>
      <c r="H221" s="875">
        <v>2700000</v>
      </c>
      <c r="I221" s="875">
        <v>0</v>
      </c>
      <c r="J221" s="875">
        <v>200000</v>
      </c>
      <c r="K221" s="875">
        <v>50000</v>
      </c>
      <c r="L221" s="875">
        <v>0</v>
      </c>
      <c r="M221" s="875">
        <v>55000</v>
      </c>
      <c r="N221" s="875">
        <v>1000000</v>
      </c>
      <c r="O221" s="875">
        <v>50000</v>
      </c>
      <c r="P221" s="875">
        <v>0</v>
      </c>
      <c r="Q221" s="875">
        <v>0</v>
      </c>
      <c r="R221" s="875">
        <v>0</v>
      </c>
      <c r="S221" s="875">
        <v>0</v>
      </c>
      <c r="T221" s="875">
        <v>0</v>
      </c>
    </row>
    <row r="222" spans="1:23">
      <c r="A222" s="28" t="s">
        <v>64</v>
      </c>
      <c r="B222" s="746" t="s">
        <v>281</v>
      </c>
      <c r="C222" s="875">
        <v>24000</v>
      </c>
      <c r="D222" s="875">
        <v>4250000</v>
      </c>
      <c r="E222" s="875">
        <v>0</v>
      </c>
      <c r="F222" s="875">
        <v>0</v>
      </c>
      <c r="G222" s="875">
        <v>2500000</v>
      </c>
      <c r="H222" s="875">
        <v>0</v>
      </c>
      <c r="I222" s="875">
        <v>200000</v>
      </c>
      <c r="J222" s="875">
        <v>0</v>
      </c>
      <c r="K222" s="875">
        <v>0</v>
      </c>
      <c r="L222" s="875">
        <v>55000</v>
      </c>
      <c r="M222" s="875">
        <v>0</v>
      </c>
      <c r="N222" s="875">
        <v>50000</v>
      </c>
      <c r="O222" s="875">
        <v>0</v>
      </c>
      <c r="P222" s="875">
        <v>0</v>
      </c>
      <c r="Q222" s="875">
        <v>0</v>
      </c>
      <c r="R222" s="875">
        <v>0</v>
      </c>
      <c r="S222" s="875">
        <v>0</v>
      </c>
      <c r="T222" s="875">
        <v>0</v>
      </c>
    </row>
    <row r="223" spans="1:23">
      <c r="A223" s="1"/>
      <c r="B223" s="748"/>
      <c r="C223" s="876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  <c r="O223" s="876"/>
      <c r="P223" s="876"/>
      <c r="Q223" s="876"/>
      <c r="R223" s="876"/>
      <c r="S223" s="876"/>
      <c r="T223" s="876"/>
    </row>
    <row r="224" spans="1:23">
      <c r="A224" s="1444" t="s">
        <v>324</v>
      </c>
      <c r="B224" s="1445"/>
      <c r="C224" s="1069">
        <v>21000</v>
      </c>
      <c r="D224" s="1069">
        <v>21000</v>
      </c>
      <c r="E224" s="1069">
        <v>21000</v>
      </c>
      <c r="F224" s="1069">
        <v>21000</v>
      </c>
      <c r="G224" s="1069">
        <v>21000</v>
      </c>
      <c r="H224" s="1069">
        <v>21000</v>
      </c>
      <c r="I224" s="1069">
        <v>21000</v>
      </c>
      <c r="J224" s="1069">
        <v>21000</v>
      </c>
      <c r="K224" s="721">
        <v>21000</v>
      </c>
      <c r="L224" s="1069">
        <v>21000</v>
      </c>
      <c r="M224" s="1069">
        <v>21000</v>
      </c>
      <c r="N224" s="1069">
        <v>21000</v>
      </c>
      <c r="O224" s="721">
        <v>21000</v>
      </c>
      <c r="P224" s="721">
        <v>14000</v>
      </c>
      <c r="Q224" s="1069">
        <v>14000</v>
      </c>
      <c r="R224" s="1069">
        <v>14000</v>
      </c>
      <c r="S224" s="721">
        <v>14000</v>
      </c>
      <c r="T224" s="721">
        <v>0</v>
      </c>
    </row>
    <row r="225" spans="1:20">
      <c r="A225" s="1444" t="s">
        <v>325</v>
      </c>
      <c r="B225" s="1445"/>
      <c r="C225" s="1069">
        <v>26050</v>
      </c>
      <c r="D225" s="1069">
        <v>26050</v>
      </c>
      <c r="E225" s="1069">
        <v>26050</v>
      </c>
      <c r="F225" s="1069">
        <v>26050</v>
      </c>
      <c r="G225" s="1069">
        <v>26050</v>
      </c>
      <c r="H225" s="1069">
        <v>26050</v>
      </c>
      <c r="I225" s="1069">
        <v>26050</v>
      </c>
      <c r="J225" s="1069">
        <v>26050</v>
      </c>
      <c r="K225" s="721">
        <v>26050</v>
      </c>
      <c r="L225" s="1069">
        <v>20050</v>
      </c>
      <c r="M225" s="1069">
        <v>20050</v>
      </c>
      <c r="N225" s="1069">
        <v>20050</v>
      </c>
      <c r="O225" s="721">
        <v>20050</v>
      </c>
      <c r="P225" s="721">
        <v>20050</v>
      </c>
      <c r="Q225" s="1069">
        <v>25000</v>
      </c>
      <c r="R225" s="1069">
        <v>25000</v>
      </c>
      <c r="S225" s="1069">
        <v>25000</v>
      </c>
      <c r="T225" s="721">
        <v>0</v>
      </c>
    </row>
    <row r="226" spans="1:20">
      <c r="A226" s="1147" t="s">
        <v>339</v>
      </c>
      <c r="B226" s="784"/>
      <c r="C226" s="1069">
        <v>0</v>
      </c>
      <c r="D226" s="1069">
        <v>0</v>
      </c>
      <c r="E226" s="1069">
        <v>0</v>
      </c>
      <c r="F226" s="1069">
        <v>0</v>
      </c>
      <c r="G226" s="1069">
        <v>0</v>
      </c>
      <c r="H226" s="1069">
        <v>0</v>
      </c>
      <c r="I226" s="1069">
        <v>0</v>
      </c>
      <c r="J226" s="1069">
        <v>0</v>
      </c>
      <c r="K226" s="1069">
        <v>0</v>
      </c>
      <c r="L226" s="1069">
        <v>0</v>
      </c>
      <c r="M226" s="1069">
        <v>0</v>
      </c>
      <c r="N226" s="1069">
        <v>0</v>
      </c>
      <c r="O226" s="1069">
        <v>0</v>
      </c>
      <c r="P226" s="721">
        <v>0</v>
      </c>
      <c r="Q226" s="1069">
        <v>0</v>
      </c>
      <c r="R226" s="1069">
        <v>0</v>
      </c>
      <c r="S226" s="721">
        <v>0</v>
      </c>
      <c r="T226" s="721">
        <v>0</v>
      </c>
    </row>
    <row r="227" spans="1:20">
      <c r="A227" s="1147" t="s">
        <v>561</v>
      </c>
      <c r="B227" s="784"/>
      <c r="C227" s="1069">
        <v>7000</v>
      </c>
      <c r="D227" s="1069">
        <v>7000</v>
      </c>
      <c r="E227" s="1069">
        <v>7000</v>
      </c>
      <c r="F227" s="1069">
        <v>7000</v>
      </c>
      <c r="G227" s="1069">
        <v>7000</v>
      </c>
      <c r="H227" s="1069">
        <v>7000</v>
      </c>
      <c r="I227" s="1069">
        <v>7000</v>
      </c>
      <c r="J227" s="1069">
        <v>7000</v>
      </c>
      <c r="K227" s="721">
        <v>7000</v>
      </c>
      <c r="L227" s="1069">
        <v>7000</v>
      </c>
      <c r="M227" s="1069">
        <v>7000</v>
      </c>
      <c r="N227" s="1069">
        <v>7000</v>
      </c>
      <c r="O227" s="721">
        <v>7000</v>
      </c>
      <c r="P227" s="721">
        <v>0</v>
      </c>
      <c r="Q227" s="1069">
        <v>0</v>
      </c>
      <c r="R227" s="1069">
        <v>0</v>
      </c>
      <c r="S227" s="721">
        <v>0</v>
      </c>
      <c r="T227" s="721">
        <v>0</v>
      </c>
    </row>
    <row r="228" spans="1:20">
      <c r="A228" s="965"/>
      <c r="B228" s="966"/>
      <c r="C228" s="1142">
        <v>54050</v>
      </c>
      <c r="D228" s="1142">
        <v>54050</v>
      </c>
      <c r="E228" s="1142">
        <v>54050</v>
      </c>
      <c r="F228" s="1142">
        <v>54050</v>
      </c>
      <c r="G228" s="1142">
        <v>54050</v>
      </c>
      <c r="H228" s="1142">
        <v>54050</v>
      </c>
      <c r="I228" s="1142">
        <v>54050</v>
      </c>
      <c r="J228" s="1142">
        <v>54050</v>
      </c>
      <c r="K228" s="1142">
        <v>54050</v>
      </c>
      <c r="L228" s="1142">
        <v>48050</v>
      </c>
      <c r="M228" s="1142">
        <v>48050</v>
      </c>
      <c r="N228" s="1142">
        <v>48050</v>
      </c>
      <c r="O228" s="967">
        <v>48050</v>
      </c>
      <c r="P228" s="967">
        <v>34050</v>
      </c>
      <c r="Q228" s="967">
        <v>39000</v>
      </c>
      <c r="R228" s="967">
        <v>39000</v>
      </c>
      <c r="S228" s="967">
        <v>39000</v>
      </c>
      <c r="T228" s="967">
        <v>0</v>
      </c>
    </row>
    <row r="229" spans="1:20">
      <c r="A229" s="1"/>
      <c r="B229" s="748"/>
      <c r="C229" s="1068"/>
      <c r="D229" s="1068"/>
      <c r="E229" s="1068"/>
      <c r="F229" s="1068"/>
      <c r="G229" s="1068"/>
      <c r="H229" s="1068"/>
      <c r="I229" s="1068"/>
      <c r="J229" s="1068"/>
      <c r="K229" s="1068"/>
      <c r="L229" s="1068"/>
      <c r="M229" s="1068"/>
      <c r="N229" s="1068"/>
      <c r="O229" s="876"/>
      <c r="P229" s="876"/>
      <c r="Q229" s="876"/>
      <c r="R229" s="876"/>
      <c r="S229" s="876"/>
      <c r="T229" s="876"/>
    </row>
    <row r="230" spans="1:20">
      <c r="A230" s="1" t="s">
        <v>557</v>
      </c>
      <c r="B230" s="748"/>
      <c r="C230" s="1068">
        <v>248150</v>
      </c>
      <c r="D230" s="1068">
        <v>248150</v>
      </c>
      <c r="E230" s="1068">
        <v>248150</v>
      </c>
      <c r="F230" s="1068">
        <v>248150</v>
      </c>
      <c r="G230" s="1068">
        <v>248150</v>
      </c>
      <c r="H230" s="1068">
        <v>248150</v>
      </c>
      <c r="I230" s="1068">
        <v>248150</v>
      </c>
      <c r="J230" s="1068">
        <v>248150</v>
      </c>
      <c r="K230" s="893">
        <v>248150</v>
      </c>
      <c r="L230" s="1068">
        <v>238300</v>
      </c>
      <c r="M230" s="1068">
        <v>238300</v>
      </c>
      <c r="N230" s="1068">
        <v>238300</v>
      </c>
      <c r="O230" s="893">
        <v>238300</v>
      </c>
      <c r="P230" s="893">
        <v>233550</v>
      </c>
      <c r="Q230" s="1068">
        <v>225550</v>
      </c>
      <c r="R230" s="1068">
        <v>225550</v>
      </c>
      <c r="S230" s="1068">
        <v>225550</v>
      </c>
      <c r="T230" s="893">
        <v>0</v>
      </c>
    </row>
    <row r="231" spans="1:20">
      <c r="A231" s="1" t="s">
        <v>558</v>
      </c>
      <c r="B231" s="748"/>
      <c r="C231" s="1068">
        <v>250700</v>
      </c>
      <c r="D231" s="1068">
        <v>250700</v>
      </c>
      <c r="E231" s="1068">
        <v>250700</v>
      </c>
      <c r="F231" s="1068">
        <v>250700</v>
      </c>
      <c r="G231" s="1068">
        <v>250700</v>
      </c>
      <c r="H231" s="1068">
        <v>250700</v>
      </c>
      <c r="I231" s="1068">
        <v>250700</v>
      </c>
      <c r="J231" s="1068">
        <v>250700</v>
      </c>
      <c r="K231" s="893">
        <v>250700</v>
      </c>
      <c r="L231" s="1068">
        <v>240100</v>
      </c>
      <c r="M231" s="1068">
        <v>240100</v>
      </c>
      <c r="N231" s="1068">
        <v>240100</v>
      </c>
      <c r="O231" s="893">
        <v>240100</v>
      </c>
      <c r="P231" s="893">
        <v>232350</v>
      </c>
      <c r="Q231" s="1068">
        <v>228100</v>
      </c>
      <c r="R231" s="1068">
        <v>228100</v>
      </c>
      <c r="S231" s="893">
        <v>228100</v>
      </c>
      <c r="T231" s="893">
        <v>0</v>
      </c>
    </row>
    <row r="232" spans="1:20">
      <c r="A232" s="1" t="s">
        <v>559</v>
      </c>
      <c r="B232" s="748"/>
      <c r="C232" s="1068">
        <v>224400</v>
      </c>
      <c r="D232" s="1068">
        <v>224400</v>
      </c>
      <c r="E232" s="1068">
        <v>224400</v>
      </c>
      <c r="F232" s="1068">
        <v>224400</v>
      </c>
      <c r="G232" s="1068">
        <v>224400</v>
      </c>
      <c r="H232" s="1068">
        <v>224400</v>
      </c>
      <c r="I232" s="1068">
        <v>224400</v>
      </c>
      <c r="J232" s="1068">
        <v>224400</v>
      </c>
      <c r="K232" s="1068">
        <v>224400</v>
      </c>
      <c r="L232" s="1068">
        <v>224400</v>
      </c>
      <c r="M232" s="1068">
        <v>224400</v>
      </c>
      <c r="N232" s="1068">
        <v>224400</v>
      </c>
      <c r="O232" s="1068">
        <v>224400</v>
      </c>
      <c r="P232" s="893">
        <v>224400</v>
      </c>
      <c r="Q232" s="1068">
        <v>210400</v>
      </c>
      <c r="R232" s="1068">
        <v>210400</v>
      </c>
      <c r="S232" s="893">
        <v>210400</v>
      </c>
      <c r="T232" s="893">
        <v>0</v>
      </c>
    </row>
    <row r="233" spans="1:20">
      <c r="A233" s="1" t="s">
        <v>560</v>
      </c>
      <c r="B233" s="748"/>
      <c r="C233" s="1068">
        <v>291150</v>
      </c>
      <c r="D233" s="1068">
        <v>291150</v>
      </c>
      <c r="E233" s="1068">
        <v>291150</v>
      </c>
      <c r="F233" s="1068">
        <v>291150</v>
      </c>
      <c r="G233" s="1068">
        <v>291150</v>
      </c>
      <c r="H233" s="1068">
        <v>291150</v>
      </c>
      <c r="I233" s="1068">
        <v>291150</v>
      </c>
      <c r="J233" s="1068">
        <v>291150</v>
      </c>
      <c r="K233" s="893">
        <v>291150</v>
      </c>
      <c r="L233" s="1068">
        <v>282450</v>
      </c>
      <c r="M233" s="1068">
        <v>282450</v>
      </c>
      <c r="N233" s="1068">
        <v>282450</v>
      </c>
      <c r="O233" s="893">
        <v>282450</v>
      </c>
      <c r="P233" s="893">
        <v>273950</v>
      </c>
      <c r="Q233" s="1068">
        <v>250700</v>
      </c>
      <c r="R233" s="1068">
        <v>250700</v>
      </c>
      <c r="S233" s="893">
        <v>250700</v>
      </c>
      <c r="T233" s="893">
        <v>0</v>
      </c>
    </row>
    <row r="234" spans="1:20">
      <c r="A234" s="1"/>
      <c r="B234" s="748"/>
      <c r="C234" s="892">
        <v>1014400</v>
      </c>
      <c r="D234" s="892">
        <v>1014400</v>
      </c>
      <c r="E234" s="892">
        <v>1014400</v>
      </c>
      <c r="F234" s="892">
        <v>1014400</v>
      </c>
      <c r="G234" s="892">
        <v>1014400</v>
      </c>
      <c r="H234" s="892">
        <v>1014400</v>
      </c>
      <c r="I234" s="892">
        <v>1014400</v>
      </c>
      <c r="J234" s="892">
        <v>1014400</v>
      </c>
      <c r="K234" s="892">
        <v>1014400</v>
      </c>
      <c r="L234" s="892">
        <v>985250</v>
      </c>
      <c r="M234" s="892">
        <v>985250</v>
      </c>
      <c r="N234" s="892">
        <v>985250</v>
      </c>
      <c r="O234" s="892">
        <v>985250</v>
      </c>
      <c r="P234" s="892">
        <v>964250</v>
      </c>
      <c r="Q234" s="892">
        <v>914750</v>
      </c>
      <c r="R234" s="892">
        <v>914750</v>
      </c>
      <c r="S234" s="892">
        <v>914750</v>
      </c>
      <c r="T234" s="892">
        <v>0</v>
      </c>
    </row>
    <row r="235" spans="1:20">
      <c r="A235" s="1"/>
      <c r="B235" s="748"/>
      <c r="C235" s="876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  <c r="O235" s="876"/>
      <c r="P235" s="876"/>
      <c r="Q235" s="876"/>
      <c r="R235" s="876"/>
      <c r="S235" s="876"/>
      <c r="T235" s="876"/>
    </row>
    <row r="236" spans="1:20">
      <c r="A236" s="28" t="s">
        <v>11</v>
      </c>
      <c r="B236" s="746" t="s">
        <v>265</v>
      </c>
      <c r="C236" s="875">
        <v>60000000</v>
      </c>
      <c r="D236" s="875">
        <v>200000</v>
      </c>
      <c r="E236" s="875">
        <v>0</v>
      </c>
      <c r="F236" s="875">
        <v>0</v>
      </c>
      <c r="G236" s="875">
        <v>0</v>
      </c>
      <c r="H236" s="875">
        <v>900000</v>
      </c>
      <c r="I236" s="875">
        <v>3000000</v>
      </c>
      <c r="J236" s="875">
        <v>0</v>
      </c>
      <c r="K236" s="875">
        <v>0</v>
      </c>
      <c r="L236" s="875">
        <v>5000000</v>
      </c>
      <c r="M236" s="875">
        <v>600000</v>
      </c>
      <c r="N236" s="875">
        <v>2400000</v>
      </c>
      <c r="O236" s="875">
        <v>50000</v>
      </c>
      <c r="P236" s="875">
        <v>0</v>
      </c>
      <c r="Q236" s="875">
        <v>0</v>
      </c>
      <c r="R236" s="875">
        <v>0</v>
      </c>
      <c r="S236" s="875">
        <v>0</v>
      </c>
      <c r="T236" s="875">
        <v>0</v>
      </c>
    </row>
    <row r="237" spans="1:20">
      <c r="A237" s="28" t="s">
        <v>65</v>
      </c>
      <c r="B237" s="746" t="s">
        <v>264</v>
      </c>
      <c r="C237" s="875">
        <v>200000</v>
      </c>
      <c r="D237" s="875">
        <v>0</v>
      </c>
      <c r="E237" s="875">
        <v>0</v>
      </c>
      <c r="F237" s="875">
        <v>0</v>
      </c>
      <c r="G237" s="875">
        <v>900000</v>
      </c>
      <c r="H237" s="875">
        <v>0</v>
      </c>
      <c r="I237" s="875">
        <v>0</v>
      </c>
      <c r="J237" s="875">
        <v>2500000</v>
      </c>
      <c r="K237" s="875">
        <v>0</v>
      </c>
      <c r="L237" s="875">
        <v>600000</v>
      </c>
      <c r="M237" s="875">
        <v>2400000</v>
      </c>
      <c r="N237" s="875">
        <v>0</v>
      </c>
      <c r="O237" s="875">
        <v>812000</v>
      </c>
      <c r="P237" s="875">
        <v>0</v>
      </c>
      <c r="Q237" s="875">
        <v>2500000</v>
      </c>
      <c r="R237" s="875">
        <v>23000</v>
      </c>
      <c r="S237" s="875">
        <v>0</v>
      </c>
      <c r="T237" s="875">
        <v>0</v>
      </c>
    </row>
    <row r="238" spans="1:20">
      <c r="A238" s="1"/>
      <c r="B238" s="748"/>
      <c r="C238" s="876"/>
      <c r="D238" s="876"/>
      <c r="E238" s="876"/>
      <c r="F238" s="876"/>
      <c r="G238" s="876"/>
      <c r="H238" s="876"/>
      <c r="I238" s="876"/>
      <c r="J238" s="876"/>
      <c r="K238" s="876"/>
      <c r="L238" s="876"/>
      <c r="M238" s="876"/>
      <c r="N238" s="876"/>
      <c r="O238" s="876"/>
      <c r="P238" s="876"/>
      <c r="Q238" s="876"/>
      <c r="R238" s="876"/>
      <c r="S238" s="876"/>
      <c r="T238" s="876"/>
    </row>
    <row r="239" spans="1:20" ht="15" thickBot="1">
      <c r="A239" s="4"/>
      <c r="B239" s="753"/>
      <c r="C239" s="877"/>
      <c r="D239" s="877"/>
      <c r="E239" s="877"/>
      <c r="F239" s="877"/>
      <c r="G239" s="877"/>
      <c r="H239" s="877"/>
      <c r="I239" s="877"/>
      <c r="J239" s="877"/>
      <c r="K239" s="877"/>
      <c r="L239" s="877"/>
      <c r="M239" s="877"/>
      <c r="N239" s="877"/>
      <c r="O239" s="877"/>
      <c r="P239" s="877"/>
      <c r="Q239" s="877"/>
      <c r="R239" s="877"/>
      <c r="S239" s="877"/>
      <c r="T239" s="877"/>
    </row>
    <row r="240" spans="1:20" s="685" customFormat="1" ht="15" thickTop="1">
      <c r="A240" s="785" t="s">
        <v>173</v>
      </c>
      <c r="B240" s="786" t="s">
        <v>491</v>
      </c>
      <c r="C240" s="878">
        <v>1226403</v>
      </c>
      <c r="D240" s="878">
        <v>504256</v>
      </c>
      <c r="E240" s="878">
        <v>496295</v>
      </c>
      <c r="F240" s="878">
        <v>1631892</v>
      </c>
      <c r="G240" s="878">
        <v>1652531</v>
      </c>
      <c r="H240" s="878">
        <v>761416</v>
      </c>
      <c r="I240" s="878">
        <v>246198</v>
      </c>
      <c r="J240" s="878">
        <v>379327</v>
      </c>
      <c r="K240" s="878">
        <v>341725</v>
      </c>
      <c r="L240" s="878">
        <v>445072</v>
      </c>
      <c r="M240" s="878">
        <v>440316</v>
      </c>
      <c r="N240" s="878">
        <v>566906</v>
      </c>
      <c r="O240" s="878">
        <v>666773</v>
      </c>
      <c r="P240" s="878">
        <v>354285</v>
      </c>
      <c r="Q240" s="878">
        <v>546095</v>
      </c>
      <c r="R240" s="878">
        <v>335723</v>
      </c>
      <c r="S240" s="878">
        <v>346364</v>
      </c>
      <c r="T240" s="878">
        <v>0</v>
      </c>
    </row>
    <row r="241" spans="1:20" s="685" customFormat="1">
      <c r="A241" s="787"/>
      <c r="B241" s="788"/>
      <c r="C241" s="702">
        <v>10941577</v>
      </c>
      <c r="D241" s="702">
        <v>9715174</v>
      </c>
      <c r="E241" s="702">
        <v>9210918</v>
      </c>
      <c r="F241" s="702">
        <v>8714623</v>
      </c>
      <c r="G241" s="702">
        <v>7082731</v>
      </c>
      <c r="H241" s="702">
        <v>5430200</v>
      </c>
      <c r="I241" s="702">
        <v>4668784</v>
      </c>
      <c r="J241" s="702">
        <v>4422586</v>
      </c>
      <c r="K241" s="702">
        <v>4043259</v>
      </c>
      <c r="L241" s="702">
        <v>3701534</v>
      </c>
      <c r="M241" s="702">
        <v>3256462</v>
      </c>
      <c r="N241" s="702">
        <v>2816146</v>
      </c>
      <c r="O241" s="702">
        <v>2249240</v>
      </c>
      <c r="P241" s="702">
        <v>1582467</v>
      </c>
      <c r="Q241" s="702">
        <v>1228182</v>
      </c>
      <c r="R241" s="702">
        <v>682087</v>
      </c>
      <c r="S241" s="702">
        <v>346364</v>
      </c>
      <c r="T241" s="702">
        <v>0</v>
      </c>
    </row>
    <row r="242" spans="1:20" s="685" customFormat="1">
      <c r="A242" s="789" t="s">
        <v>100</v>
      </c>
      <c r="B242" s="790"/>
      <c r="C242" s="879"/>
      <c r="D242" s="879"/>
      <c r="E242" s="879"/>
      <c r="F242" s="879"/>
      <c r="G242" s="879"/>
      <c r="H242" s="879"/>
      <c r="I242" s="879"/>
      <c r="J242" s="879"/>
      <c r="K242" s="879"/>
      <c r="L242" s="879"/>
      <c r="M242" s="879"/>
      <c r="N242" s="879"/>
      <c r="O242" s="879"/>
      <c r="P242" s="879"/>
      <c r="Q242" s="879"/>
      <c r="R242" s="879"/>
      <c r="S242" s="879"/>
      <c r="T242" s="879"/>
    </row>
    <row r="243" spans="1:20" s="685" customFormat="1">
      <c r="A243" s="791" t="s">
        <v>337</v>
      </c>
      <c r="B243" s="792" t="s">
        <v>492</v>
      </c>
      <c r="C243" s="880">
        <v>0</v>
      </c>
      <c r="D243" s="880">
        <v>0</v>
      </c>
      <c r="E243" s="880">
        <v>0</v>
      </c>
      <c r="F243" s="880">
        <v>0</v>
      </c>
      <c r="G243" s="880">
        <v>0</v>
      </c>
      <c r="H243" s="880">
        <v>0</v>
      </c>
      <c r="I243" s="880">
        <v>0</v>
      </c>
      <c r="J243" s="880">
        <v>0</v>
      </c>
      <c r="K243" s="880">
        <v>0</v>
      </c>
      <c r="L243" s="880">
        <v>0</v>
      </c>
      <c r="M243" s="880">
        <v>0</v>
      </c>
      <c r="N243" s="880">
        <v>0</v>
      </c>
      <c r="O243" s="880">
        <v>0</v>
      </c>
      <c r="P243" s="880">
        <v>0</v>
      </c>
      <c r="Q243" s="880">
        <v>0</v>
      </c>
      <c r="R243" s="880">
        <v>0</v>
      </c>
      <c r="S243" s="880">
        <v>0</v>
      </c>
      <c r="T243" s="880">
        <v>0</v>
      </c>
    </row>
    <row r="244" spans="1:20" s="685" customFormat="1">
      <c r="A244" s="791"/>
      <c r="B244" s="792"/>
      <c r="C244" s="702">
        <v>0</v>
      </c>
      <c r="D244" s="702">
        <v>0</v>
      </c>
      <c r="E244" s="702">
        <v>0</v>
      </c>
      <c r="F244" s="702">
        <v>0</v>
      </c>
      <c r="G244" s="702">
        <v>0</v>
      </c>
      <c r="H244" s="702">
        <v>0</v>
      </c>
      <c r="I244" s="702">
        <v>0</v>
      </c>
      <c r="J244" s="702">
        <v>0</v>
      </c>
      <c r="K244" s="702">
        <v>0</v>
      </c>
      <c r="L244" s="702">
        <v>0</v>
      </c>
      <c r="M244" s="702">
        <v>0</v>
      </c>
      <c r="N244" s="702">
        <v>0</v>
      </c>
      <c r="O244" s="702">
        <v>0</v>
      </c>
      <c r="P244" s="702">
        <v>0</v>
      </c>
      <c r="Q244" s="702">
        <v>0</v>
      </c>
      <c r="R244" s="702">
        <v>0</v>
      </c>
      <c r="S244" s="702">
        <v>0</v>
      </c>
      <c r="T244" s="702">
        <v>0</v>
      </c>
    </row>
    <row r="245" spans="1:20" s="685" customFormat="1">
      <c r="A245" s="791" t="s">
        <v>353</v>
      </c>
      <c r="B245" s="792" t="s">
        <v>493</v>
      </c>
      <c r="C245" s="880">
        <v>0</v>
      </c>
      <c r="D245" s="880">
        <v>0</v>
      </c>
      <c r="E245" s="880">
        <v>0</v>
      </c>
      <c r="F245" s="880">
        <v>0</v>
      </c>
      <c r="G245" s="880">
        <v>0</v>
      </c>
      <c r="H245" s="880">
        <v>0</v>
      </c>
      <c r="I245" s="880">
        <v>0</v>
      </c>
      <c r="J245" s="880">
        <v>0</v>
      </c>
      <c r="K245" s="880">
        <v>0</v>
      </c>
      <c r="L245" s="880">
        <v>0</v>
      </c>
      <c r="M245" s="880">
        <v>0</v>
      </c>
      <c r="N245" s="880">
        <v>0</v>
      </c>
      <c r="O245" s="880">
        <v>0</v>
      </c>
      <c r="P245" s="880">
        <v>0</v>
      </c>
      <c r="Q245" s="880">
        <v>0</v>
      </c>
      <c r="R245" s="880">
        <v>0</v>
      </c>
      <c r="S245" s="880">
        <v>0</v>
      </c>
      <c r="T245" s="880">
        <v>0</v>
      </c>
    </row>
    <row r="246" spans="1:20" s="685" customFormat="1">
      <c r="A246" s="791"/>
      <c r="B246" s="792"/>
      <c r="C246" s="702">
        <v>0</v>
      </c>
      <c r="D246" s="702">
        <v>0</v>
      </c>
      <c r="E246" s="702">
        <v>0</v>
      </c>
      <c r="F246" s="702">
        <v>0</v>
      </c>
      <c r="G246" s="702">
        <v>0</v>
      </c>
      <c r="H246" s="702">
        <v>0</v>
      </c>
      <c r="I246" s="702">
        <v>0</v>
      </c>
      <c r="J246" s="702">
        <v>0</v>
      </c>
      <c r="K246" s="702">
        <v>0</v>
      </c>
      <c r="L246" s="702">
        <v>0</v>
      </c>
      <c r="M246" s="702">
        <v>0</v>
      </c>
      <c r="N246" s="702">
        <v>0</v>
      </c>
      <c r="O246" s="702">
        <v>0</v>
      </c>
      <c r="P246" s="702">
        <v>0</v>
      </c>
      <c r="Q246" s="702">
        <v>0</v>
      </c>
      <c r="R246" s="702">
        <v>0</v>
      </c>
      <c r="S246" s="702">
        <v>0</v>
      </c>
      <c r="T246" s="702">
        <v>0</v>
      </c>
    </row>
    <row r="247" spans="1:20" s="685" customFormat="1">
      <c r="A247" s="791" t="s">
        <v>245</v>
      </c>
      <c r="B247" s="792" t="s">
        <v>494</v>
      </c>
      <c r="C247" s="880">
        <v>0</v>
      </c>
      <c r="D247" s="880">
        <v>22998</v>
      </c>
      <c r="E247" s="880">
        <v>0</v>
      </c>
      <c r="F247" s="880">
        <v>137500</v>
      </c>
      <c r="G247" s="880">
        <v>0</v>
      </c>
      <c r="H247" s="880">
        <v>0</v>
      </c>
      <c r="I247" s="880">
        <v>0</v>
      </c>
      <c r="J247" s="880">
        <v>0</v>
      </c>
      <c r="K247" s="880">
        <v>137500</v>
      </c>
      <c r="L247" s="880">
        <v>0</v>
      </c>
      <c r="M247" s="880">
        <v>0</v>
      </c>
      <c r="N247" s="880">
        <v>0</v>
      </c>
      <c r="O247" s="880">
        <v>0</v>
      </c>
      <c r="P247" s="880">
        <v>0</v>
      </c>
      <c r="Q247" s="880">
        <v>0</v>
      </c>
      <c r="R247" s="880">
        <v>0</v>
      </c>
      <c r="S247" s="880">
        <v>137500</v>
      </c>
      <c r="T247" s="880">
        <v>0</v>
      </c>
    </row>
    <row r="248" spans="1:20" s="685" customFormat="1">
      <c r="A248" s="791"/>
      <c r="B248" s="792"/>
      <c r="C248" s="702">
        <v>435498</v>
      </c>
      <c r="D248" s="702">
        <v>435498</v>
      </c>
      <c r="E248" s="702">
        <v>412500</v>
      </c>
      <c r="F248" s="702">
        <v>412500</v>
      </c>
      <c r="G248" s="702">
        <v>275000</v>
      </c>
      <c r="H248" s="702">
        <v>275000</v>
      </c>
      <c r="I248" s="702">
        <v>275000</v>
      </c>
      <c r="J248" s="702">
        <v>275000</v>
      </c>
      <c r="K248" s="702">
        <v>275000</v>
      </c>
      <c r="L248" s="702">
        <v>137500</v>
      </c>
      <c r="M248" s="702">
        <v>137500</v>
      </c>
      <c r="N248" s="702">
        <v>137500</v>
      </c>
      <c r="O248" s="702">
        <v>137500</v>
      </c>
      <c r="P248" s="702">
        <v>137500</v>
      </c>
      <c r="Q248" s="702">
        <v>137500</v>
      </c>
      <c r="R248" s="702">
        <v>137500</v>
      </c>
      <c r="S248" s="702">
        <v>137500</v>
      </c>
      <c r="T248" s="702">
        <v>0</v>
      </c>
    </row>
    <row r="249" spans="1:20" s="685" customFormat="1">
      <c r="A249" s="791" t="s">
        <v>349</v>
      </c>
      <c r="B249" s="792" t="s">
        <v>495</v>
      </c>
      <c r="C249" s="880">
        <v>0</v>
      </c>
      <c r="D249" s="880">
        <v>0</v>
      </c>
      <c r="E249" s="880">
        <v>0</v>
      </c>
      <c r="F249" s="880">
        <v>0</v>
      </c>
      <c r="G249" s="880">
        <v>0</v>
      </c>
      <c r="H249" s="880">
        <v>0</v>
      </c>
      <c r="I249" s="880">
        <v>0</v>
      </c>
      <c r="J249" s="880">
        <v>0</v>
      </c>
      <c r="K249" s="880">
        <v>0</v>
      </c>
      <c r="L249" s="880">
        <v>0</v>
      </c>
      <c r="M249" s="880">
        <v>0</v>
      </c>
      <c r="N249" s="880">
        <v>0</v>
      </c>
      <c r="O249" s="880">
        <v>0</v>
      </c>
      <c r="P249" s="880">
        <v>0</v>
      </c>
      <c r="Q249" s="880">
        <v>0</v>
      </c>
      <c r="R249" s="880">
        <v>0</v>
      </c>
      <c r="S249" s="880">
        <v>0</v>
      </c>
      <c r="T249" s="880">
        <v>0</v>
      </c>
    </row>
    <row r="250" spans="1:20" s="685" customFormat="1">
      <c r="A250" s="791"/>
      <c r="B250" s="792"/>
      <c r="C250" s="702">
        <v>0</v>
      </c>
      <c r="D250" s="702">
        <v>0</v>
      </c>
      <c r="E250" s="702">
        <v>0</v>
      </c>
      <c r="F250" s="702">
        <v>0</v>
      </c>
      <c r="G250" s="702">
        <v>0</v>
      </c>
      <c r="H250" s="702">
        <v>0</v>
      </c>
      <c r="I250" s="702">
        <v>0</v>
      </c>
      <c r="J250" s="702">
        <v>0</v>
      </c>
      <c r="K250" s="702">
        <v>0</v>
      </c>
      <c r="L250" s="702">
        <v>0</v>
      </c>
      <c r="M250" s="702">
        <v>0</v>
      </c>
      <c r="N250" s="702">
        <v>0</v>
      </c>
      <c r="O250" s="702">
        <v>0</v>
      </c>
      <c r="P250" s="702">
        <v>0</v>
      </c>
      <c r="Q250" s="702">
        <v>0</v>
      </c>
      <c r="R250" s="702">
        <v>0</v>
      </c>
      <c r="S250" s="702">
        <v>0</v>
      </c>
      <c r="T250" s="702">
        <v>0</v>
      </c>
    </row>
    <row r="251" spans="1:20" s="685" customFormat="1">
      <c r="A251" s="791" t="s">
        <v>247</v>
      </c>
      <c r="B251" s="792" t="s">
        <v>496</v>
      </c>
      <c r="C251" s="880">
        <v>0</v>
      </c>
      <c r="D251" s="880">
        <v>0</v>
      </c>
      <c r="E251" s="880">
        <v>0</v>
      </c>
      <c r="F251" s="880">
        <v>0</v>
      </c>
      <c r="G251" s="880">
        <v>0</v>
      </c>
      <c r="H251" s="880">
        <v>102400</v>
      </c>
      <c r="I251" s="880">
        <v>0</v>
      </c>
      <c r="J251" s="880">
        <v>0</v>
      </c>
      <c r="K251" s="880">
        <v>0</v>
      </c>
      <c r="L251" s="880">
        <v>0</v>
      </c>
      <c r="M251" s="880">
        <v>0</v>
      </c>
      <c r="N251" s="880">
        <v>0</v>
      </c>
      <c r="O251" s="880">
        <v>0</v>
      </c>
      <c r="P251" s="880">
        <v>0</v>
      </c>
      <c r="Q251" s="880">
        <v>0</v>
      </c>
      <c r="R251" s="880">
        <v>0</v>
      </c>
      <c r="S251" s="880">
        <v>0</v>
      </c>
      <c r="T251" s="880">
        <v>0</v>
      </c>
    </row>
    <row r="252" spans="1:20" s="685" customFormat="1">
      <c r="A252" s="791"/>
      <c r="B252" s="792"/>
      <c r="C252" s="702">
        <v>102400</v>
      </c>
      <c r="D252" s="702">
        <v>102400</v>
      </c>
      <c r="E252" s="702">
        <v>102400</v>
      </c>
      <c r="F252" s="702">
        <v>102400</v>
      </c>
      <c r="G252" s="702">
        <v>102400</v>
      </c>
      <c r="H252" s="702">
        <v>102400</v>
      </c>
      <c r="I252" s="702">
        <v>0</v>
      </c>
      <c r="J252" s="702">
        <v>0</v>
      </c>
      <c r="K252" s="702">
        <v>0</v>
      </c>
      <c r="L252" s="702">
        <v>0</v>
      </c>
      <c r="M252" s="702">
        <v>0</v>
      </c>
      <c r="N252" s="702">
        <v>0</v>
      </c>
      <c r="O252" s="702">
        <v>0</v>
      </c>
      <c r="P252" s="702">
        <v>0</v>
      </c>
      <c r="Q252" s="702">
        <v>0</v>
      </c>
      <c r="R252" s="702">
        <v>0</v>
      </c>
      <c r="S252" s="702">
        <v>0</v>
      </c>
      <c r="T252" s="702">
        <v>0</v>
      </c>
    </row>
    <row r="253" spans="1:20" s="685" customFormat="1">
      <c r="A253" s="791" t="s">
        <v>187</v>
      </c>
      <c r="B253" s="792" t="s">
        <v>497</v>
      </c>
      <c r="C253" s="880">
        <v>1566000</v>
      </c>
      <c r="D253" s="880">
        <v>0</v>
      </c>
      <c r="E253" s="880">
        <v>0</v>
      </c>
      <c r="F253" s="880">
        <v>0</v>
      </c>
      <c r="G253" s="880">
        <v>0</v>
      </c>
      <c r="H253" s="880">
        <v>100000</v>
      </c>
      <c r="I253" s="880">
        <v>0</v>
      </c>
      <c r="J253" s="880">
        <v>0</v>
      </c>
      <c r="K253" s="880">
        <v>0</v>
      </c>
      <c r="L253" s="880">
        <v>0</v>
      </c>
      <c r="M253" s="880">
        <v>0</v>
      </c>
      <c r="N253" s="880">
        <v>0</v>
      </c>
      <c r="O253" s="880">
        <v>0</v>
      </c>
      <c r="P253" s="880">
        <v>0</v>
      </c>
      <c r="Q253" s="880">
        <v>0</v>
      </c>
      <c r="R253" s="880">
        <v>100000</v>
      </c>
      <c r="S253" s="880">
        <v>0</v>
      </c>
      <c r="T253" s="880">
        <v>0</v>
      </c>
    </row>
    <row r="254" spans="1:20" s="685" customFormat="1">
      <c r="A254" s="791"/>
      <c r="B254" s="792"/>
      <c r="C254" s="702">
        <v>1766000</v>
      </c>
      <c r="D254" s="702">
        <v>200000</v>
      </c>
      <c r="E254" s="702">
        <v>200000</v>
      </c>
      <c r="F254" s="702">
        <v>200000</v>
      </c>
      <c r="G254" s="702">
        <v>200000</v>
      </c>
      <c r="H254" s="702">
        <v>200000</v>
      </c>
      <c r="I254" s="702">
        <v>100000</v>
      </c>
      <c r="J254" s="702">
        <v>100000</v>
      </c>
      <c r="K254" s="702">
        <v>100000</v>
      </c>
      <c r="L254" s="702">
        <v>100000</v>
      </c>
      <c r="M254" s="702">
        <v>100000</v>
      </c>
      <c r="N254" s="702">
        <v>100000</v>
      </c>
      <c r="O254" s="702">
        <v>100000</v>
      </c>
      <c r="P254" s="702">
        <v>100000</v>
      </c>
      <c r="Q254" s="702">
        <v>100000</v>
      </c>
      <c r="R254" s="702">
        <v>100000</v>
      </c>
      <c r="S254" s="702">
        <v>0</v>
      </c>
      <c r="T254" s="702">
        <v>0</v>
      </c>
    </row>
    <row r="255" spans="1:20" s="685" customFormat="1">
      <c r="A255" s="791" t="s">
        <v>246</v>
      </c>
      <c r="B255" s="792" t="s">
        <v>498</v>
      </c>
      <c r="C255" s="880">
        <v>0</v>
      </c>
      <c r="D255" s="880">
        <v>0</v>
      </c>
      <c r="E255" s="880">
        <v>0</v>
      </c>
      <c r="F255" s="880">
        <v>0</v>
      </c>
      <c r="G255" s="880">
        <v>210625</v>
      </c>
      <c r="H255" s="880">
        <v>210625</v>
      </c>
      <c r="I255" s="880">
        <v>0</v>
      </c>
      <c r="J255" s="880">
        <v>0</v>
      </c>
      <c r="K255" s="880">
        <v>0</v>
      </c>
      <c r="L255" s="880">
        <v>0</v>
      </c>
      <c r="M255" s="880">
        <v>0</v>
      </c>
      <c r="N255" s="880">
        <v>0</v>
      </c>
      <c r="O255" s="880">
        <v>0</v>
      </c>
      <c r="P255" s="880">
        <v>0</v>
      </c>
      <c r="Q255" s="880">
        <v>0</v>
      </c>
      <c r="R255" s="880">
        <v>0</v>
      </c>
      <c r="S255" s="880">
        <v>0</v>
      </c>
      <c r="T255" s="880">
        <v>0</v>
      </c>
    </row>
    <row r="256" spans="1:20" s="685" customFormat="1">
      <c r="A256" s="791"/>
      <c r="B256" s="792"/>
      <c r="C256" s="702">
        <v>421250</v>
      </c>
      <c r="D256" s="702">
        <v>421250</v>
      </c>
      <c r="E256" s="702">
        <v>421250</v>
      </c>
      <c r="F256" s="702">
        <v>421250</v>
      </c>
      <c r="G256" s="702">
        <v>421250</v>
      </c>
      <c r="H256" s="702">
        <v>210625</v>
      </c>
      <c r="I256" s="702">
        <v>0</v>
      </c>
      <c r="J256" s="702">
        <v>0</v>
      </c>
      <c r="K256" s="702">
        <v>0</v>
      </c>
      <c r="L256" s="702">
        <v>0</v>
      </c>
      <c r="M256" s="702">
        <v>0</v>
      </c>
      <c r="N256" s="702">
        <v>0</v>
      </c>
      <c r="O256" s="702">
        <v>0</v>
      </c>
      <c r="P256" s="702">
        <v>0</v>
      </c>
      <c r="Q256" s="702">
        <v>0</v>
      </c>
      <c r="R256" s="702">
        <v>0</v>
      </c>
      <c r="S256" s="702">
        <v>0</v>
      </c>
      <c r="T256" s="702">
        <v>0</v>
      </c>
    </row>
    <row r="257" spans="1:20" s="685" customFormat="1">
      <c r="A257" s="791" t="s">
        <v>334</v>
      </c>
      <c r="B257" s="792" t="s">
        <v>499</v>
      </c>
      <c r="C257" s="880"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  <c r="J257" s="880">
        <v>0</v>
      </c>
      <c r="K257" s="880">
        <v>0</v>
      </c>
      <c r="L257" s="880">
        <v>0</v>
      </c>
      <c r="M257" s="880">
        <v>0</v>
      </c>
      <c r="N257" s="880">
        <v>0</v>
      </c>
      <c r="O257" s="880">
        <v>0</v>
      </c>
      <c r="P257" s="880">
        <v>0</v>
      </c>
      <c r="Q257" s="880">
        <v>0</v>
      </c>
      <c r="R257" s="880">
        <v>0</v>
      </c>
      <c r="S257" s="880">
        <v>0</v>
      </c>
      <c r="T257" s="880">
        <v>0</v>
      </c>
    </row>
    <row r="258" spans="1:20" s="685" customFormat="1">
      <c r="A258" s="791"/>
      <c r="B258" s="792"/>
      <c r="C258" s="702"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  <c r="J258" s="702">
        <v>0</v>
      </c>
      <c r="K258" s="702">
        <v>0</v>
      </c>
      <c r="L258" s="702">
        <v>0</v>
      </c>
      <c r="M258" s="702">
        <v>0</v>
      </c>
      <c r="N258" s="702">
        <v>0</v>
      </c>
      <c r="O258" s="702">
        <v>0</v>
      </c>
      <c r="P258" s="702">
        <v>0</v>
      </c>
      <c r="Q258" s="702">
        <v>0</v>
      </c>
      <c r="R258" s="702">
        <v>0</v>
      </c>
      <c r="S258" s="702">
        <v>0</v>
      </c>
      <c r="T258" s="702">
        <v>0</v>
      </c>
    </row>
    <row r="259" spans="1:20" s="685" customFormat="1">
      <c r="A259" s="791" t="s">
        <v>27</v>
      </c>
      <c r="B259" s="792" t="s">
        <v>500</v>
      </c>
      <c r="C259" s="880">
        <v>0</v>
      </c>
      <c r="D259" s="880">
        <v>0</v>
      </c>
      <c r="E259" s="880">
        <v>0</v>
      </c>
      <c r="F259" s="880">
        <v>0</v>
      </c>
      <c r="G259" s="880">
        <v>100000</v>
      </c>
      <c r="H259" s="880">
        <v>0</v>
      </c>
      <c r="I259" s="880">
        <v>0</v>
      </c>
      <c r="J259" s="880">
        <v>125000</v>
      </c>
      <c r="K259" s="880">
        <v>0</v>
      </c>
      <c r="L259" s="880">
        <v>0</v>
      </c>
      <c r="M259" s="880">
        <v>0</v>
      </c>
      <c r="N259" s="880">
        <v>0</v>
      </c>
      <c r="O259" s="880">
        <v>0</v>
      </c>
      <c r="P259" s="880">
        <v>0</v>
      </c>
      <c r="Q259" s="880">
        <v>0</v>
      </c>
      <c r="R259" s="880">
        <v>60000</v>
      </c>
      <c r="S259" s="880">
        <v>37500</v>
      </c>
      <c r="T259" s="880">
        <v>0</v>
      </c>
    </row>
    <row r="260" spans="1:20" s="685" customFormat="1">
      <c r="A260" s="791"/>
      <c r="B260" s="792"/>
      <c r="C260" s="702">
        <v>322500</v>
      </c>
      <c r="D260" s="702">
        <v>322500</v>
      </c>
      <c r="E260" s="702">
        <v>322500</v>
      </c>
      <c r="F260" s="702">
        <v>322500</v>
      </c>
      <c r="G260" s="702">
        <v>322500</v>
      </c>
      <c r="H260" s="702">
        <v>222500</v>
      </c>
      <c r="I260" s="702">
        <v>222500</v>
      </c>
      <c r="J260" s="702">
        <v>222500</v>
      </c>
      <c r="K260" s="702">
        <v>97500</v>
      </c>
      <c r="L260" s="702">
        <v>97500</v>
      </c>
      <c r="M260" s="702">
        <v>97500</v>
      </c>
      <c r="N260" s="702">
        <v>97500</v>
      </c>
      <c r="O260" s="702">
        <v>97500</v>
      </c>
      <c r="P260" s="702">
        <v>97500</v>
      </c>
      <c r="Q260" s="702">
        <v>97500</v>
      </c>
      <c r="R260" s="702">
        <v>97500</v>
      </c>
      <c r="S260" s="702">
        <v>37500</v>
      </c>
      <c r="T260" s="702">
        <v>0</v>
      </c>
    </row>
    <row r="261" spans="1:20" s="685" customFormat="1">
      <c r="A261" s="791" t="s">
        <v>180</v>
      </c>
      <c r="B261" s="792"/>
      <c r="C261" s="1021">
        <v>0</v>
      </c>
      <c r="D261" s="1021">
        <v>0</v>
      </c>
      <c r="E261" s="1021">
        <v>0</v>
      </c>
      <c r="F261" s="1021">
        <v>0</v>
      </c>
      <c r="G261" s="1021">
        <v>0</v>
      </c>
      <c r="H261" s="1021">
        <v>0</v>
      </c>
      <c r="I261" s="1021">
        <v>0</v>
      </c>
      <c r="J261" s="1021">
        <v>0</v>
      </c>
      <c r="K261" s="1021">
        <v>0</v>
      </c>
      <c r="L261" s="1021">
        <v>0</v>
      </c>
      <c r="M261" s="1021">
        <v>0</v>
      </c>
      <c r="N261" s="1021">
        <v>0</v>
      </c>
      <c r="O261" s="1021">
        <v>0</v>
      </c>
      <c r="P261" s="1021">
        <v>0</v>
      </c>
      <c r="Q261" s="1021">
        <v>0</v>
      </c>
      <c r="R261" s="1021">
        <v>0</v>
      </c>
      <c r="S261" s="1021">
        <v>0</v>
      </c>
      <c r="T261" s="1021">
        <v>0</v>
      </c>
    </row>
    <row r="262" spans="1:20" s="685" customFormat="1">
      <c r="A262" s="791"/>
      <c r="B262" s="792"/>
      <c r="C262" s="702">
        <v>0</v>
      </c>
      <c r="D262" s="702">
        <v>0</v>
      </c>
      <c r="E262" s="702">
        <v>0</v>
      </c>
      <c r="F262" s="702">
        <v>0</v>
      </c>
      <c r="G262" s="702">
        <v>0</v>
      </c>
      <c r="H262" s="702">
        <v>0</v>
      </c>
      <c r="I262" s="702">
        <v>0</v>
      </c>
      <c r="J262" s="702">
        <v>0</v>
      </c>
      <c r="K262" s="702">
        <v>0</v>
      </c>
      <c r="L262" s="702">
        <v>0</v>
      </c>
      <c r="M262" s="702">
        <v>0</v>
      </c>
      <c r="N262" s="702">
        <v>0</v>
      </c>
      <c r="O262" s="702">
        <v>0</v>
      </c>
      <c r="P262" s="702">
        <v>0</v>
      </c>
      <c r="Q262" s="702">
        <v>0</v>
      </c>
      <c r="R262" s="702">
        <v>0</v>
      </c>
      <c r="S262" s="702">
        <v>0</v>
      </c>
      <c r="T262" s="702">
        <v>0</v>
      </c>
    </row>
    <row r="263" spans="1:20" s="685" customFormat="1">
      <c r="A263" s="791" t="s">
        <v>59</v>
      </c>
      <c r="B263" s="792"/>
      <c r="C263" s="881">
        <v>1566000</v>
      </c>
      <c r="D263" s="881">
        <v>22998</v>
      </c>
      <c r="E263" s="881">
        <v>0</v>
      </c>
      <c r="F263" s="881">
        <v>137500</v>
      </c>
      <c r="G263" s="881">
        <v>310625</v>
      </c>
      <c r="H263" s="881">
        <v>413025</v>
      </c>
      <c r="I263" s="881">
        <v>0</v>
      </c>
      <c r="J263" s="881">
        <v>125000</v>
      </c>
      <c r="K263" s="881">
        <v>137500</v>
      </c>
      <c r="L263" s="881">
        <v>0</v>
      </c>
      <c r="M263" s="881">
        <v>0</v>
      </c>
      <c r="N263" s="881">
        <v>0</v>
      </c>
      <c r="O263" s="881">
        <v>0</v>
      </c>
      <c r="P263" s="881">
        <v>0</v>
      </c>
      <c r="Q263" s="881">
        <v>0</v>
      </c>
      <c r="R263" s="881">
        <v>160000</v>
      </c>
      <c r="S263" s="881">
        <v>175000</v>
      </c>
      <c r="T263" s="881">
        <v>0</v>
      </c>
    </row>
    <row r="264" spans="1:20" s="685" customFormat="1">
      <c r="A264" s="791"/>
      <c r="B264" s="792"/>
      <c r="C264" s="702">
        <v>3047648</v>
      </c>
      <c r="D264" s="702">
        <v>1481648</v>
      </c>
      <c r="E264" s="702">
        <v>1458650</v>
      </c>
      <c r="F264" s="702">
        <v>1458650</v>
      </c>
      <c r="G264" s="702">
        <v>1321150</v>
      </c>
      <c r="H264" s="702">
        <v>1010525</v>
      </c>
      <c r="I264" s="702">
        <v>597500</v>
      </c>
      <c r="J264" s="702">
        <v>597500</v>
      </c>
      <c r="K264" s="702">
        <v>472500</v>
      </c>
      <c r="L264" s="702">
        <v>335000</v>
      </c>
      <c r="M264" s="702">
        <v>335000</v>
      </c>
      <c r="N264" s="702">
        <v>335000</v>
      </c>
      <c r="O264" s="702">
        <v>335000</v>
      </c>
      <c r="P264" s="702">
        <v>335000</v>
      </c>
      <c r="Q264" s="702">
        <v>335000</v>
      </c>
      <c r="R264" s="702">
        <v>335000</v>
      </c>
      <c r="S264" s="702">
        <v>175000</v>
      </c>
      <c r="T264" s="702">
        <v>0</v>
      </c>
    </row>
    <row r="265" spans="1:20" s="685" customFormat="1">
      <c r="A265" s="793" t="s">
        <v>350</v>
      </c>
      <c r="B265" s="794"/>
      <c r="C265" s="882">
        <v>-339597</v>
      </c>
      <c r="D265" s="882">
        <v>481258</v>
      </c>
      <c r="E265" s="882">
        <v>496295</v>
      </c>
      <c r="F265" s="882">
        <v>1494392</v>
      </c>
      <c r="G265" s="882">
        <v>1341906</v>
      </c>
      <c r="H265" s="882">
        <v>348391</v>
      </c>
      <c r="I265" s="882">
        <v>246198</v>
      </c>
      <c r="J265" s="882">
        <v>254327</v>
      </c>
      <c r="K265" s="882">
        <v>204225</v>
      </c>
      <c r="L265" s="882">
        <v>445072</v>
      </c>
      <c r="M265" s="882">
        <v>440316</v>
      </c>
      <c r="N265" s="882">
        <v>566906</v>
      </c>
      <c r="O265" s="882">
        <v>666773</v>
      </c>
      <c r="P265" s="882">
        <v>354285</v>
      </c>
      <c r="Q265" s="882">
        <v>546095</v>
      </c>
      <c r="R265" s="882">
        <v>175723</v>
      </c>
      <c r="S265" s="882">
        <v>171364</v>
      </c>
      <c r="T265" s="882">
        <v>0</v>
      </c>
    </row>
    <row r="266" spans="1:20" s="685" customFormat="1">
      <c r="A266" s="793"/>
      <c r="B266" s="794"/>
      <c r="C266" s="702">
        <v>7893929</v>
      </c>
      <c r="D266" s="702">
        <v>8233526</v>
      </c>
      <c r="E266" s="702">
        <v>7752268</v>
      </c>
      <c r="F266" s="702">
        <v>7255973</v>
      </c>
      <c r="G266" s="702">
        <v>5761581</v>
      </c>
      <c r="H266" s="702">
        <v>4419675</v>
      </c>
      <c r="I266" s="702">
        <v>4071284</v>
      </c>
      <c r="J266" s="702">
        <v>3825086</v>
      </c>
      <c r="K266" s="702">
        <v>3570759</v>
      </c>
      <c r="L266" s="702">
        <v>3366534</v>
      </c>
      <c r="M266" s="702">
        <v>2921462</v>
      </c>
      <c r="N266" s="702">
        <v>2481146</v>
      </c>
      <c r="O266" s="702">
        <v>1914240</v>
      </c>
      <c r="P266" s="702">
        <v>1247467</v>
      </c>
      <c r="Q266" s="702">
        <v>893182</v>
      </c>
      <c r="R266" s="702">
        <v>347087</v>
      </c>
      <c r="S266" s="702">
        <v>171364</v>
      </c>
      <c r="T266" s="702">
        <v>0</v>
      </c>
    </row>
    <row r="267" spans="1:20" s="685" customFormat="1">
      <c r="A267" s="795"/>
      <c r="B267" s="748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4"/>
      <c r="P267" s="704"/>
      <c r="Q267" s="704"/>
      <c r="R267" s="704"/>
      <c r="S267" s="704"/>
      <c r="T267" s="704"/>
    </row>
    <row r="268" spans="1:20" s="685" customFormat="1">
      <c r="A268" s="796" t="s">
        <v>174</v>
      </c>
      <c r="B268" s="788" t="s">
        <v>288</v>
      </c>
      <c r="C268" s="880">
        <v>1037643</v>
      </c>
      <c r="D268" s="880">
        <v>285740</v>
      </c>
      <c r="E268" s="880">
        <v>334596</v>
      </c>
      <c r="F268" s="880">
        <v>360761</v>
      </c>
      <c r="G268" s="880">
        <v>1166011</v>
      </c>
      <c r="H268" s="880">
        <v>423752</v>
      </c>
      <c r="I268" s="880">
        <v>449955</v>
      </c>
      <c r="J268" s="880">
        <v>326906</v>
      </c>
      <c r="K268" s="880">
        <v>426988</v>
      </c>
      <c r="L268" s="880">
        <v>642191</v>
      </c>
      <c r="M268" s="880">
        <v>513461</v>
      </c>
      <c r="N268" s="880">
        <v>518102</v>
      </c>
      <c r="O268" s="880">
        <v>771684</v>
      </c>
      <c r="P268" s="880">
        <v>594381</v>
      </c>
      <c r="Q268" s="880">
        <v>45250</v>
      </c>
      <c r="R268" s="880">
        <v>68030</v>
      </c>
      <c r="S268" s="880">
        <v>474961</v>
      </c>
      <c r="T268" s="880">
        <v>0</v>
      </c>
    </row>
    <row r="269" spans="1:20" s="685" customFormat="1">
      <c r="A269" s="787"/>
      <c r="B269" s="788"/>
      <c r="C269" s="702">
        <v>8440412</v>
      </c>
      <c r="D269" s="702">
        <v>7402769</v>
      </c>
      <c r="E269" s="702">
        <v>7117029</v>
      </c>
      <c r="F269" s="702">
        <v>6782433</v>
      </c>
      <c r="G269" s="702">
        <v>6421672</v>
      </c>
      <c r="H269" s="702">
        <v>5255661</v>
      </c>
      <c r="I269" s="702">
        <v>4831909</v>
      </c>
      <c r="J269" s="702">
        <v>4381954</v>
      </c>
      <c r="K269" s="702">
        <v>4055048</v>
      </c>
      <c r="L269" s="702">
        <v>3628060</v>
      </c>
      <c r="M269" s="702">
        <v>2985869</v>
      </c>
      <c r="N269" s="702">
        <v>2472408</v>
      </c>
      <c r="O269" s="702">
        <v>1954306</v>
      </c>
      <c r="P269" s="702">
        <v>1182622</v>
      </c>
      <c r="Q269" s="702">
        <v>588241</v>
      </c>
      <c r="R269" s="702">
        <v>542991</v>
      </c>
      <c r="S269" s="702">
        <v>474961</v>
      </c>
      <c r="T269" s="702">
        <v>0</v>
      </c>
    </row>
    <row r="270" spans="1:20" s="685" customFormat="1">
      <c r="A270" s="789" t="s">
        <v>100</v>
      </c>
      <c r="B270" s="790"/>
      <c r="C270" s="704"/>
      <c r="D270" s="704"/>
      <c r="E270" s="704"/>
      <c r="F270" s="704"/>
      <c r="G270" s="704"/>
      <c r="H270" s="704"/>
      <c r="I270" s="704"/>
      <c r="J270" s="704"/>
      <c r="K270" s="704"/>
      <c r="L270" s="704"/>
      <c r="M270" s="704"/>
      <c r="N270" s="704"/>
      <c r="O270" s="704"/>
      <c r="P270" s="704"/>
      <c r="Q270" s="704"/>
      <c r="R270" s="704"/>
      <c r="S270" s="704"/>
      <c r="T270" s="704"/>
    </row>
    <row r="271" spans="1:20" s="685" customFormat="1">
      <c r="A271" s="791" t="s">
        <v>337</v>
      </c>
      <c r="B271" s="792" t="s">
        <v>501</v>
      </c>
      <c r="C271" s="880">
        <v>0</v>
      </c>
      <c r="D271" s="880">
        <v>0</v>
      </c>
      <c r="E271" s="880">
        <v>0</v>
      </c>
      <c r="F271" s="880">
        <v>0</v>
      </c>
      <c r="G271" s="880">
        <v>0</v>
      </c>
      <c r="H271" s="880">
        <v>0</v>
      </c>
      <c r="I271" s="880">
        <v>0</v>
      </c>
      <c r="J271" s="880">
        <v>0</v>
      </c>
      <c r="K271" s="880">
        <v>0</v>
      </c>
      <c r="L271" s="880">
        <v>0</v>
      </c>
      <c r="M271" s="880">
        <v>0</v>
      </c>
      <c r="N271" s="880">
        <v>0</v>
      </c>
      <c r="O271" s="880">
        <v>0</v>
      </c>
      <c r="P271" s="880">
        <v>0</v>
      </c>
      <c r="Q271" s="880">
        <v>0</v>
      </c>
      <c r="R271" s="880">
        <v>0</v>
      </c>
      <c r="S271" s="880">
        <v>0</v>
      </c>
      <c r="T271" s="880">
        <v>0</v>
      </c>
    </row>
    <row r="272" spans="1:20" s="685" customFormat="1">
      <c r="A272" s="791"/>
      <c r="B272" s="792"/>
      <c r="C272" s="702">
        <v>0</v>
      </c>
      <c r="D272" s="702">
        <v>0</v>
      </c>
      <c r="E272" s="702">
        <v>0</v>
      </c>
      <c r="F272" s="702">
        <v>0</v>
      </c>
      <c r="G272" s="702">
        <v>0</v>
      </c>
      <c r="H272" s="702">
        <v>0</v>
      </c>
      <c r="I272" s="702">
        <v>0</v>
      </c>
      <c r="J272" s="702">
        <v>0</v>
      </c>
      <c r="K272" s="702">
        <v>0</v>
      </c>
      <c r="L272" s="702">
        <v>0</v>
      </c>
      <c r="M272" s="702">
        <v>0</v>
      </c>
      <c r="N272" s="702">
        <v>0</v>
      </c>
      <c r="O272" s="702">
        <v>0</v>
      </c>
      <c r="P272" s="702">
        <v>0</v>
      </c>
      <c r="Q272" s="702">
        <v>0</v>
      </c>
      <c r="R272" s="702">
        <v>0</v>
      </c>
      <c r="S272" s="702">
        <v>0</v>
      </c>
      <c r="T272" s="702">
        <v>0</v>
      </c>
    </row>
    <row r="273" spans="1:20" s="685" customFormat="1">
      <c r="A273" s="791" t="s">
        <v>353</v>
      </c>
      <c r="B273" s="792" t="s">
        <v>502</v>
      </c>
      <c r="C273" s="880">
        <v>0</v>
      </c>
      <c r="D273" s="880">
        <v>0</v>
      </c>
      <c r="E273" s="880">
        <v>0</v>
      </c>
      <c r="F273" s="880">
        <v>0</v>
      </c>
      <c r="G273" s="880">
        <v>0</v>
      </c>
      <c r="H273" s="880">
        <v>0</v>
      </c>
      <c r="I273" s="880">
        <v>0</v>
      </c>
      <c r="J273" s="880">
        <v>0</v>
      </c>
      <c r="K273" s="880">
        <v>0</v>
      </c>
      <c r="L273" s="880">
        <v>0</v>
      </c>
      <c r="M273" s="880">
        <v>0</v>
      </c>
      <c r="N273" s="880">
        <v>0</v>
      </c>
      <c r="O273" s="880">
        <v>0</v>
      </c>
      <c r="P273" s="880">
        <v>0</v>
      </c>
      <c r="Q273" s="880">
        <v>0</v>
      </c>
      <c r="R273" s="880">
        <v>0</v>
      </c>
      <c r="S273" s="880">
        <v>0</v>
      </c>
      <c r="T273" s="880">
        <v>0</v>
      </c>
    </row>
    <row r="274" spans="1:20" s="685" customFormat="1">
      <c r="A274" s="791"/>
      <c r="B274" s="792"/>
      <c r="C274" s="702">
        <v>0</v>
      </c>
      <c r="D274" s="702">
        <v>0</v>
      </c>
      <c r="E274" s="702">
        <v>0</v>
      </c>
      <c r="F274" s="702">
        <v>0</v>
      </c>
      <c r="G274" s="702">
        <v>0</v>
      </c>
      <c r="H274" s="702">
        <v>0</v>
      </c>
      <c r="I274" s="702">
        <v>0</v>
      </c>
      <c r="J274" s="702">
        <v>0</v>
      </c>
      <c r="K274" s="702">
        <v>0</v>
      </c>
      <c r="L274" s="702">
        <v>0</v>
      </c>
      <c r="M274" s="702">
        <v>0</v>
      </c>
      <c r="N274" s="702">
        <v>0</v>
      </c>
      <c r="O274" s="702">
        <v>0</v>
      </c>
      <c r="P274" s="702">
        <v>0</v>
      </c>
      <c r="Q274" s="702">
        <v>0</v>
      </c>
      <c r="R274" s="702">
        <v>0</v>
      </c>
      <c r="S274" s="702">
        <v>0</v>
      </c>
      <c r="T274" s="702">
        <v>0</v>
      </c>
    </row>
    <row r="275" spans="1:20" s="685" customFormat="1">
      <c r="A275" s="791" t="s">
        <v>245</v>
      </c>
      <c r="B275" s="792" t="s">
        <v>503</v>
      </c>
      <c r="C275" s="880">
        <v>91000</v>
      </c>
      <c r="D275" s="880">
        <v>16499</v>
      </c>
      <c r="E275" s="880">
        <v>0</v>
      </c>
      <c r="F275" s="880">
        <v>0</v>
      </c>
      <c r="G275" s="880">
        <v>0</v>
      </c>
      <c r="H275" s="880">
        <v>0</v>
      </c>
      <c r="I275" s="880">
        <v>0</v>
      </c>
      <c r="J275" s="880">
        <v>0</v>
      </c>
      <c r="K275" s="880">
        <v>0</v>
      </c>
      <c r="L275" s="880">
        <v>0</v>
      </c>
      <c r="M275" s="880">
        <v>0</v>
      </c>
      <c r="N275" s="880">
        <v>0</v>
      </c>
      <c r="O275" s="880">
        <v>0</v>
      </c>
      <c r="P275" s="880">
        <v>0</v>
      </c>
      <c r="Q275" s="880">
        <v>0</v>
      </c>
      <c r="R275" s="880">
        <v>0</v>
      </c>
      <c r="S275" s="880">
        <v>0</v>
      </c>
      <c r="T275" s="880">
        <v>0</v>
      </c>
    </row>
    <row r="276" spans="1:20" s="685" customFormat="1">
      <c r="A276" s="791"/>
      <c r="B276" s="792"/>
      <c r="C276" s="702">
        <v>107499</v>
      </c>
      <c r="D276" s="702">
        <v>16499</v>
      </c>
      <c r="E276" s="702">
        <v>0</v>
      </c>
      <c r="F276" s="702">
        <v>0</v>
      </c>
      <c r="G276" s="702">
        <v>0</v>
      </c>
      <c r="H276" s="702">
        <v>0</v>
      </c>
      <c r="I276" s="702">
        <v>0</v>
      </c>
      <c r="J276" s="702">
        <v>0</v>
      </c>
      <c r="K276" s="702">
        <v>0</v>
      </c>
      <c r="L276" s="702">
        <v>0</v>
      </c>
      <c r="M276" s="702">
        <v>0</v>
      </c>
      <c r="N276" s="702">
        <v>0</v>
      </c>
      <c r="O276" s="702">
        <v>0</v>
      </c>
      <c r="P276" s="702">
        <v>0</v>
      </c>
      <c r="Q276" s="702">
        <v>0</v>
      </c>
      <c r="R276" s="702">
        <v>0</v>
      </c>
      <c r="S276" s="702">
        <v>0</v>
      </c>
      <c r="T276" s="702">
        <v>0</v>
      </c>
    </row>
    <row r="277" spans="1:20" s="685" customFormat="1">
      <c r="A277" s="791" t="s">
        <v>349</v>
      </c>
      <c r="B277" s="792" t="s">
        <v>504</v>
      </c>
      <c r="C277" s="880">
        <v>0</v>
      </c>
      <c r="D277" s="880">
        <v>0</v>
      </c>
      <c r="E277" s="880">
        <v>0</v>
      </c>
      <c r="F277" s="880">
        <v>0</v>
      </c>
      <c r="G277" s="880">
        <v>0</v>
      </c>
      <c r="H277" s="880">
        <v>0</v>
      </c>
      <c r="I277" s="880">
        <v>0</v>
      </c>
      <c r="J277" s="880">
        <v>0</v>
      </c>
      <c r="K277" s="880">
        <v>0</v>
      </c>
      <c r="L277" s="880">
        <v>0</v>
      </c>
      <c r="M277" s="880">
        <v>0</v>
      </c>
      <c r="N277" s="880">
        <v>0</v>
      </c>
      <c r="O277" s="880">
        <v>0</v>
      </c>
      <c r="P277" s="880">
        <v>0</v>
      </c>
      <c r="Q277" s="880">
        <v>0</v>
      </c>
      <c r="R277" s="880">
        <v>0</v>
      </c>
      <c r="S277" s="880">
        <v>0</v>
      </c>
      <c r="T277" s="880">
        <v>0</v>
      </c>
    </row>
    <row r="278" spans="1:20" s="685" customFormat="1">
      <c r="A278" s="791"/>
      <c r="B278" s="792"/>
      <c r="C278" s="702">
        <v>0</v>
      </c>
      <c r="D278" s="702">
        <v>0</v>
      </c>
      <c r="E278" s="702">
        <v>0</v>
      </c>
      <c r="F278" s="702">
        <v>0</v>
      </c>
      <c r="G278" s="702">
        <v>0</v>
      </c>
      <c r="H278" s="702">
        <v>0</v>
      </c>
      <c r="I278" s="702">
        <v>0</v>
      </c>
      <c r="J278" s="702">
        <v>0</v>
      </c>
      <c r="K278" s="702">
        <v>0</v>
      </c>
      <c r="L278" s="702">
        <v>0</v>
      </c>
      <c r="M278" s="702">
        <v>0</v>
      </c>
      <c r="N278" s="702">
        <v>0</v>
      </c>
      <c r="O278" s="702">
        <v>0</v>
      </c>
      <c r="P278" s="702">
        <v>0</v>
      </c>
      <c r="Q278" s="702">
        <v>0</v>
      </c>
      <c r="R278" s="702">
        <v>0</v>
      </c>
      <c r="S278" s="702">
        <v>0</v>
      </c>
      <c r="T278" s="702">
        <v>0</v>
      </c>
    </row>
    <row r="279" spans="1:20" s="685" customFormat="1">
      <c r="A279" s="791" t="s">
        <v>247</v>
      </c>
      <c r="B279" s="792" t="s">
        <v>505</v>
      </c>
      <c r="C279" s="880">
        <v>0</v>
      </c>
      <c r="D279" s="880">
        <v>0</v>
      </c>
      <c r="E279" s="880">
        <v>0</v>
      </c>
      <c r="F279" s="880">
        <v>0</v>
      </c>
      <c r="G279" s="880">
        <v>0</v>
      </c>
      <c r="H279" s="880">
        <v>0</v>
      </c>
      <c r="I279" s="880">
        <v>0</v>
      </c>
      <c r="J279" s="880">
        <v>0</v>
      </c>
      <c r="K279" s="880">
        <v>0</v>
      </c>
      <c r="L279" s="880">
        <v>0</v>
      </c>
      <c r="M279" s="880">
        <v>0</v>
      </c>
      <c r="N279" s="880">
        <v>0</v>
      </c>
      <c r="O279" s="880">
        <v>0</v>
      </c>
      <c r="P279" s="880">
        <v>102400</v>
      </c>
      <c r="Q279" s="880">
        <v>0</v>
      </c>
      <c r="R279" s="880">
        <v>0</v>
      </c>
      <c r="S279" s="880">
        <v>0</v>
      </c>
      <c r="T279" s="880">
        <v>0</v>
      </c>
    </row>
    <row r="280" spans="1:20" s="685" customFormat="1">
      <c r="A280" s="791"/>
      <c r="B280" s="792"/>
      <c r="C280" s="702">
        <v>102400</v>
      </c>
      <c r="D280" s="702">
        <v>102400</v>
      </c>
      <c r="E280" s="702">
        <v>102400</v>
      </c>
      <c r="F280" s="702">
        <v>102400</v>
      </c>
      <c r="G280" s="702">
        <v>102400</v>
      </c>
      <c r="H280" s="702">
        <v>102400</v>
      </c>
      <c r="I280" s="702">
        <v>102400</v>
      </c>
      <c r="J280" s="702">
        <v>102400</v>
      </c>
      <c r="K280" s="702">
        <v>102400</v>
      </c>
      <c r="L280" s="702">
        <v>102400</v>
      </c>
      <c r="M280" s="702">
        <v>102400</v>
      </c>
      <c r="N280" s="702">
        <v>102400</v>
      </c>
      <c r="O280" s="702">
        <v>102400</v>
      </c>
      <c r="P280" s="702">
        <v>102400</v>
      </c>
      <c r="Q280" s="702">
        <v>0</v>
      </c>
      <c r="R280" s="702">
        <v>0</v>
      </c>
      <c r="S280" s="702">
        <v>0</v>
      </c>
      <c r="T280" s="702">
        <v>0</v>
      </c>
    </row>
    <row r="281" spans="1:20" s="685" customFormat="1">
      <c r="A281" s="791" t="s">
        <v>187</v>
      </c>
      <c r="B281" s="792" t="s">
        <v>506</v>
      </c>
      <c r="C281" s="880">
        <v>1569000</v>
      </c>
      <c r="D281" s="880">
        <v>0</v>
      </c>
      <c r="E281" s="880">
        <v>0</v>
      </c>
      <c r="F281" s="880">
        <v>0</v>
      </c>
      <c r="G281" s="880">
        <v>0</v>
      </c>
      <c r="H281" s="880">
        <v>0</v>
      </c>
      <c r="I281" s="880">
        <v>0</v>
      </c>
      <c r="J281" s="880">
        <v>0</v>
      </c>
      <c r="K281" s="880">
        <v>0</v>
      </c>
      <c r="L281" s="880">
        <v>0</v>
      </c>
      <c r="M281" s="880">
        <v>0</v>
      </c>
      <c r="N281" s="880">
        <v>0</v>
      </c>
      <c r="O281" s="880">
        <v>0</v>
      </c>
      <c r="P281" s="880">
        <v>0</v>
      </c>
      <c r="Q281" s="880">
        <v>0</v>
      </c>
      <c r="R281" s="880">
        <v>0</v>
      </c>
      <c r="S281" s="880">
        <v>0</v>
      </c>
      <c r="T281" s="880">
        <v>0</v>
      </c>
    </row>
    <row r="282" spans="1:20" s="685" customFormat="1">
      <c r="A282" s="791"/>
      <c r="B282" s="792"/>
      <c r="C282" s="702">
        <v>1569000</v>
      </c>
      <c r="D282" s="702">
        <v>0</v>
      </c>
      <c r="E282" s="702">
        <v>0</v>
      </c>
      <c r="F282" s="702">
        <v>0</v>
      </c>
      <c r="G282" s="702">
        <v>0</v>
      </c>
      <c r="H282" s="702">
        <v>0</v>
      </c>
      <c r="I282" s="702">
        <v>0</v>
      </c>
      <c r="J282" s="702">
        <v>0</v>
      </c>
      <c r="K282" s="702">
        <v>0</v>
      </c>
      <c r="L282" s="702">
        <v>0</v>
      </c>
      <c r="M282" s="702">
        <v>0</v>
      </c>
      <c r="N282" s="702">
        <v>0</v>
      </c>
      <c r="O282" s="702">
        <v>0</v>
      </c>
      <c r="P282" s="702">
        <v>0</v>
      </c>
      <c r="Q282" s="702">
        <v>0</v>
      </c>
      <c r="R282" s="702">
        <v>0</v>
      </c>
      <c r="S282" s="702">
        <v>0</v>
      </c>
      <c r="T282" s="702">
        <v>0</v>
      </c>
    </row>
    <row r="283" spans="1:20" s="685" customFormat="1">
      <c r="A283" s="791" t="s">
        <v>246</v>
      </c>
      <c r="B283" s="792" t="s">
        <v>507</v>
      </c>
      <c r="C283" s="880">
        <v>0</v>
      </c>
      <c r="D283" s="880">
        <v>0</v>
      </c>
      <c r="E283" s="880">
        <v>0</v>
      </c>
      <c r="F283" s="880">
        <v>0</v>
      </c>
      <c r="G283" s="880">
        <v>210625</v>
      </c>
      <c r="H283" s="880">
        <v>210625</v>
      </c>
      <c r="I283" s="880">
        <v>0</v>
      </c>
      <c r="J283" s="880">
        <v>0</v>
      </c>
      <c r="K283" s="880">
        <v>0</v>
      </c>
      <c r="L283" s="880">
        <v>0</v>
      </c>
      <c r="M283" s="880">
        <v>0</v>
      </c>
      <c r="N283" s="880">
        <v>0</v>
      </c>
      <c r="O283" s="880">
        <v>0</v>
      </c>
      <c r="P283" s="880">
        <v>0</v>
      </c>
      <c r="Q283" s="880">
        <v>0</v>
      </c>
      <c r="R283" s="880">
        <v>0</v>
      </c>
      <c r="S283" s="880">
        <v>0</v>
      </c>
      <c r="T283" s="880">
        <v>0</v>
      </c>
    </row>
    <row r="284" spans="1:20" s="685" customFormat="1">
      <c r="A284" s="791"/>
      <c r="B284" s="792"/>
      <c r="C284" s="702">
        <v>421250</v>
      </c>
      <c r="D284" s="702">
        <v>421250</v>
      </c>
      <c r="E284" s="702">
        <v>421250</v>
      </c>
      <c r="F284" s="702">
        <v>421250</v>
      </c>
      <c r="G284" s="702">
        <v>421250</v>
      </c>
      <c r="H284" s="702">
        <v>210625</v>
      </c>
      <c r="I284" s="702">
        <v>0</v>
      </c>
      <c r="J284" s="702">
        <v>0</v>
      </c>
      <c r="K284" s="702">
        <v>0</v>
      </c>
      <c r="L284" s="702">
        <v>0</v>
      </c>
      <c r="M284" s="702">
        <v>0</v>
      </c>
      <c r="N284" s="702">
        <v>0</v>
      </c>
      <c r="O284" s="702">
        <v>0</v>
      </c>
      <c r="P284" s="702">
        <v>0</v>
      </c>
      <c r="Q284" s="702">
        <v>0</v>
      </c>
      <c r="R284" s="702">
        <v>0</v>
      </c>
      <c r="S284" s="702">
        <v>0</v>
      </c>
      <c r="T284" s="702">
        <v>0</v>
      </c>
    </row>
    <row r="285" spans="1:20" s="685" customFormat="1">
      <c r="A285" s="791" t="s">
        <v>334</v>
      </c>
      <c r="B285" s="792" t="s">
        <v>508</v>
      </c>
      <c r="C285" s="880"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  <c r="J285" s="880">
        <v>0</v>
      </c>
      <c r="K285" s="880">
        <v>0</v>
      </c>
      <c r="L285" s="880">
        <v>0</v>
      </c>
      <c r="M285" s="880">
        <v>0</v>
      </c>
      <c r="N285" s="880">
        <v>0</v>
      </c>
      <c r="O285" s="880">
        <v>0</v>
      </c>
      <c r="P285" s="880">
        <v>0</v>
      </c>
      <c r="Q285" s="880">
        <v>0</v>
      </c>
      <c r="R285" s="880">
        <v>0</v>
      </c>
      <c r="S285" s="880">
        <v>0</v>
      </c>
      <c r="T285" s="880">
        <v>0</v>
      </c>
    </row>
    <row r="286" spans="1:20" s="685" customFormat="1">
      <c r="A286" s="791"/>
      <c r="B286" s="792"/>
      <c r="C286" s="702">
        <v>0</v>
      </c>
      <c r="D286" s="702">
        <v>0</v>
      </c>
      <c r="E286" s="702">
        <v>0</v>
      </c>
      <c r="F286" s="702">
        <v>0</v>
      </c>
      <c r="G286" s="702">
        <v>0</v>
      </c>
      <c r="H286" s="702">
        <v>0</v>
      </c>
      <c r="I286" s="702">
        <v>0</v>
      </c>
      <c r="J286" s="702">
        <v>0</v>
      </c>
      <c r="K286" s="702">
        <v>0</v>
      </c>
      <c r="L286" s="702">
        <v>0</v>
      </c>
      <c r="M286" s="702">
        <v>0</v>
      </c>
      <c r="N286" s="702">
        <v>0</v>
      </c>
      <c r="O286" s="702">
        <v>0</v>
      </c>
      <c r="P286" s="702">
        <v>0</v>
      </c>
      <c r="Q286" s="702">
        <v>0</v>
      </c>
      <c r="R286" s="702">
        <v>0</v>
      </c>
      <c r="S286" s="702">
        <v>0</v>
      </c>
      <c r="T286" s="702">
        <v>0</v>
      </c>
    </row>
    <row r="287" spans="1:20" s="685" customFormat="1">
      <c r="A287" s="791" t="s">
        <v>27</v>
      </c>
      <c r="B287" s="792" t="s">
        <v>509</v>
      </c>
      <c r="C287" s="880">
        <v>0</v>
      </c>
      <c r="D287" s="880">
        <v>0</v>
      </c>
      <c r="E287" s="880">
        <v>0</v>
      </c>
      <c r="F287" s="880">
        <v>0</v>
      </c>
      <c r="G287" s="880">
        <v>0</v>
      </c>
      <c r="H287" s="880">
        <v>0</v>
      </c>
      <c r="I287" s="880">
        <v>0</v>
      </c>
      <c r="J287" s="880">
        <v>125000</v>
      </c>
      <c r="K287" s="880">
        <v>0</v>
      </c>
      <c r="L287" s="880">
        <v>0</v>
      </c>
      <c r="M287" s="880">
        <v>0</v>
      </c>
      <c r="N287" s="880">
        <v>0</v>
      </c>
      <c r="O287" s="880">
        <v>0</v>
      </c>
      <c r="P287" s="880">
        <v>0</v>
      </c>
      <c r="Q287" s="880">
        <v>183000</v>
      </c>
      <c r="R287" s="880">
        <v>60000</v>
      </c>
      <c r="S287" s="880">
        <v>37500</v>
      </c>
      <c r="T287" s="880">
        <v>0</v>
      </c>
    </row>
    <row r="288" spans="1:20" s="685" customFormat="1">
      <c r="A288" s="791"/>
      <c r="B288" s="792"/>
      <c r="C288" s="968">
        <v>405500</v>
      </c>
      <c r="D288" s="968">
        <v>405500</v>
      </c>
      <c r="E288" s="968">
        <v>405500</v>
      </c>
      <c r="F288" s="968">
        <v>405500</v>
      </c>
      <c r="G288" s="968">
        <v>405500</v>
      </c>
      <c r="H288" s="968">
        <v>405500</v>
      </c>
      <c r="I288" s="968">
        <v>405500</v>
      </c>
      <c r="J288" s="968">
        <v>405500</v>
      </c>
      <c r="K288" s="968">
        <v>280500</v>
      </c>
      <c r="L288" s="968">
        <v>280500</v>
      </c>
      <c r="M288" s="968">
        <v>280500</v>
      </c>
      <c r="N288" s="968">
        <v>280500</v>
      </c>
      <c r="O288" s="968">
        <v>280500</v>
      </c>
      <c r="P288" s="968">
        <v>280500</v>
      </c>
      <c r="Q288" s="968">
        <v>280500</v>
      </c>
      <c r="R288" s="968">
        <v>97500</v>
      </c>
      <c r="S288" s="968">
        <v>37500</v>
      </c>
      <c r="T288" s="968">
        <v>0</v>
      </c>
    </row>
    <row r="289" spans="1:20" s="685" customFormat="1">
      <c r="A289" s="791" t="s">
        <v>180</v>
      </c>
      <c r="B289" s="792"/>
      <c r="C289" s="1023">
        <v>0</v>
      </c>
      <c r="D289" s="1023">
        <v>0</v>
      </c>
      <c r="E289" s="1023">
        <v>0</v>
      </c>
      <c r="F289" s="1023">
        <v>0</v>
      </c>
      <c r="G289" s="1023">
        <v>0</v>
      </c>
      <c r="H289" s="1023">
        <v>0</v>
      </c>
      <c r="I289" s="1023">
        <v>0</v>
      </c>
      <c r="J289" s="1023">
        <v>0</v>
      </c>
      <c r="K289" s="1023">
        <v>20000</v>
      </c>
      <c r="L289" s="1023">
        <v>0</v>
      </c>
      <c r="M289" s="1023">
        <v>0</v>
      </c>
      <c r="N289" s="1023">
        <v>0</v>
      </c>
      <c r="O289" s="1023">
        <v>0</v>
      </c>
      <c r="P289" s="1023">
        <v>0</v>
      </c>
      <c r="Q289" s="1023">
        <v>0</v>
      </c>
      <c r="R289" s="1023">
        <v>0</v>
      </c>
      <c r="S289" s="1023">
        <v>0</v>
      </c>
      <c r="T289" s="1023">
        <v>0</v>
      </c>
    </row>
    <row r="290" spans="1:20" s="685" customFormat="1">
      <c r="A290" s="791"/>
      <c r="B290" s="792"/>
      <c r="C290" s="968">
        <v>20000</v>
      </c>
      <c r="D290" s="968">
        <v>20000</v>
      </c>
      <c r="E290" s="968">
        <v>20000</v>
      </c>
      <c r="F290" s="968">
        <v>20000</v>
      </c>
      <c r="G290" s="968">
        <v>20000</v>
      </c>
      <c r="H290" s="968">
        <v>20000</v>
      </c>
      <c r="I290" s="968">
        <v>20000</v>
      </c>
      <c r="J290" s="968">
        <v>20000</v>
      </c>
      <c r="K290" s="968">
        <v>20000</v>
      </c>
      <c r="L290" s="968">
        <v>0</v>
      </c>
      <c r="M290" s="968">
        <v>0</v>
      </c>
      <c r="N290" s="968">
        <v>0</v>
      </c>
      <c r="O290" s="968">
        <v>0</v>
      </c>
      <c r="P290" s="968">
        <v>0</v>
      </c>
      <c r="Q290" s="968">
        <v>0</v>
      </c>
      <c r="R290" s="968">
        <v>0</v>
      </c>
      <c r="S290" s="968">
        <v>0</v>
      </c>
      <c r="T290" s="968">
        <v>0</v>
      </c>
    </row>
    <row r="291" spans="1:20" s="685" customFormat="1">
      <c r="A291" s="791" t="s">
        <v>59</v>
      </c>
      <c r="B291" s="792"/>
      <c r="C291" s="880">
        <v>1660000</v>
      </c>
      <c r="D291" s="880">
        <v>16499</v>
      </c>
      <c r="E291" s="880">
        <v>0</v>
      </c>
      <c r="F291" s="880">
        <v>0</v>
      </c>
      <c r="G291" s="880">
        <v>210625</v>
      </c>
      <c r="H291" s="880">
        <v>210625</v>
      </c>
      <c r="I291" s="880">
        <v>0</v>
      </c>
      <c r="J291" s="880">
        <v>125000</v>
      </c>
      <c r="K291" s="880">
        <v>20000</v>
      </c>
      <c r="L291" s="880">
        <v>0</v>
      </c>
      <c r="M291" s="880">
        <v>0</v>
      </c>
      <c r="N291" s="880">
        <v>0</v>
      </c>
      <c r="O291" s="880">
        <v>0</v>
      </c>
      <c r="P291" s="880">
        <v>102400</v>
      </c>
      <c r="Q291" s="880">
        <v>183000</v>
      </c>
      <c r="R291" s="880">
        <v>60000</v>
      </c>
      <c r="S291" s="880">
        <v>37500</v>
      </c>
      <c r="T291" s="880">
        <v>0</v>
      </c>
    </row>
    <row r="292" spans="1:20" s="685" customFormat="1">
      <c r="A292" s="791"/>
      <c r="B292" s="792"/>
      <c r="C292" s="702">
        <v>2625649</v>
      </c>
      <c r="D292" s="702">
        <v>965649</v>
      </c>
      <c r="E292" s="702">
        <v>949150</v>
      </c>
      <c r="F292" s="702">
        <v>949150</v>
      </c>
      <c r="G292" s="702">
        <v>949150</v>
      </c>
      <c r="H292" s="702">
        <v>738525</v>
      </c>
      <c r="I292" s="702">
        <v>527900</v>
      </c>
      <c r="J292" s="702">
        <v>527900</v>
      </c>
      <c r="K292" s="702">
        <v>402900</v>
      </c>
      <c r="L292" s="702">
        <v>382900</v>
      </c>
      <c r="M292" s="702">
        <v>382900</v>
      </c>
      <c r="N292" s="702">
        <v>382900</v>
      </c>
      <c r="O292" s="702">
        <v>382900</v>
      </c>
      <c r="P292" s="702">
        <v>382900</v>
      </c>
      <c r="Q292" s="702">
        <v>280500</v>
      </c>
      <c r="R292" s="702">
        <v>97500</v>
      </c>
      <c r="S292" s="702">
        <v>37500</v>
      </c>
      <c r="T292" s="702">
        <v>0</v>
      </c>
    </row>
    <row r="293" spans="1:20" s="685" customFormat="1">
      <c r="A293" s="793" t="s">
        <v>350</v>
      </c>
      <c r="B293" s="794"/>
      <c r="C293" s="882">
        <v>-622357</v>
      </c>
      <c r="D293" s="882">
        <v>269241</v>
      </c>
      <c r="E293" s="882">
        <v>334596</v>
      </c>
      <c r="F293" s="882">
        <v>360761</v>
      </c>
      <c r="G293" s="882">
        <v>955386</v>
      </c>
      <c r="H293" s="882">
        <v>213127</v>
      </c>
      <c r="I293" s="882">
        <v>449955</v>
      </c>
      <c r="J293" s="882">
        <v>201906</v>
      </c>
      <c r="K293" s="882">
        <v>406988</v>
      </c>
      <c r="L293" s="882">
        <v>642191</v>
      </c>
      <c r="M293" s="882">
        <v>513461</v>
      </c>
      <c r="N293" s="882">
        <v>518102</v>
      </c>
      <c r="O293" s="882">
        <v>771684</v>
      </c>
      <c r="P293" s="882">
        <v>491981</v>
      </c>
      <c r="Q293" s="882">
        <v>-137750</v>
      </c>
      <c r="R293" s="882">
        <v>8030</v>
      </c>
      <c r="S293" s="882">
        <v>437461</v>
      </c>
      <c r="T293" s="882">
        <v>0</v>
      </c>
    </row>
    <row r="294" spans="1:20" s="685" customFormat="1">
      <c r="A294" s="793"/>
      <c r="B294" s="794"/>
      <c r="C294" s="702">
        <v>5814763</v>
      </c>
      <c r="D294" s="702">
        <v>6437120</v>
      </c>
      <c r="E294" s="702">
        <v>6167879</v>
      </c>
      <c r="F294" s="702">
        <v>5833283</v>
      </c>
      <c r="G294" s="702">
        <v>5472522</v>
      </c>
      <c r="H294" s="702">
        <v>4517136</v>
      </c>
      <c r="I294" s="702">
        <v>4304009</v>
      </c>
      <c r="J294" s="702">
        <v>3854054</v>
      </c>
      <c r="K294" s="702">
        <v>3652148</v>
      </c>
      <c r="L294" s="702">
        <v>3245160</v>
      </c>
      <c r="M294" s="702">
        <v>2602969</v>
      </c>
      <c r="N294" s="702">
        <v>2089508</v>
      </c>
      <c r="O294" s="702">
        <v>1571406</v>
      </c>
      <c r="P294" s="702">
        <v>799722</v>
      </c>
      <c r="Q294" s="702">
        <v>307741</v>
      </c>
      <c r="R294" s="702">
        <v>445491</v>
      </c>
      <c r="S294" s="702">
        <v>437461</v>
      </c>
      <c r="T294" s="702">
        <v>0</v>
      </c>
    </row>
    <row r="295" spans="1:20" s="685" customFormat="1">
      <c r="A295" s="795"/>
      <c r="B295" s="748"/>
      <c r="C295" s="704"/>
      <c r="D295" s="704"/>
      <c r="E295" s="704"/>
      <c r="F295" s="704"/>
      <c r="G295" s="704"/>
      <c r="H295" s="704"/>
      <c r="I295" s="704"/>
      <c r="J295" s="704"/>
      <c r="K295" s="704"/>
      <c r="L295" s="704"/>
      <c r="M295" s="704"/>
      <c r="N295" s="704"/>
      <c r="O295" s="704"/>
      <c r="P295" s="704"/>
      <c r="Q295" s="704"/>
      <c r="R295" s="704"/>
      <c r="S295" s="704"/>
      <c r="T295" s="704"/>
    </row>
    <row r="296" spans="1:20" s="685" customFormat="1">
      <c r="A296" s="796" t="s">
        <v>228</v>
      </c>
      <c r="B296" s="788" t="s">
        <v>289</v>
      </c>
      <c r="C296" s="880">
        <v>1238119</v>
      </c>
      <c r="D296" s="880">
        <v>487387</v>
      </c>
      <c r="E296" s="880">
        <v>394489</v>
      </c>
      <c r="F296" s="880">
        <v>965068</v>
      </c>
      <c r="G296" s="880">
        <v>2004776</v>
      </c>
      <c r="H296" s="880">
        <v>282139</v>
      </c>
      <c r="I296" s="880">
        <v>392480</v>
      </c>
      <c r="J296" s="880">
        <v>659981</v>
      </c>
      <c r="K296" s="880">
        <v>534394</v>
      </c>
      <c r="L296" s="880">
        <v>335572</v>
      </c>
      <c r="M296" s="880">
        <v>290704</v>
      </c>
      <c r="N296" s="880">
        <v>632509</v>
      </c>
      <c r="O296" s="880">
        <v>944625</v>
      </c>
      <c r="P296" s="880">
        <v>546270</v>
      </c>
      <c r="Q296" s="880">
        <v>306112</v>
      </c>
      <c r="R296" s="880">
        <v>0</v>
      </c>
      <c r="S296" s="880">
        <v>303507</v>
      </c>
      <c r="T296" s="880">
        <v>0</v>
      </c>
    </row>
    <row r="297" spans="1:20" s="685" customFormat="1">
      <c r="A297" s="787"/>
      <c r="B297" s="788"/>
      <c r="C297" s="702">
        <v>10318132</v>
      </c>
      <c r="D297" s="702">
        <v>9080013</v>
      </c>
      <c r="E297" s="702">
        <v>8592626</v>
      </c>
      <c r="F297" s="702">
        <v>8198137</v>
      </c>
      <c r="G297" s="702">
        <v>7233069</v>
      </c>
      <c r="H297" s="702">
        <v>5228293</v>
      </c>
      <c r="I297" s="702">
        <v>4946154</v>
      </c>
      <c r="J297" s="702">
        <v>4553674</v>
      </c>
      <c r="K297" s="702">
        <v>3893693</v>
      </c>
      <c r="L297" s="702">
        <v>3359299</v>
      </c>
      <c r="M297" s="702">
        <v>3023727</v>
      </c>
      <c r="N297" s="702">
        <v>2733023</v>
      </c>
      <c r="O297" s="702">
        <v>2100514</v>
      </c>
      <c r="P297" s="702">
        <v>1155889</v>
      </c>
      <c r="Q297" s="702">
        <v>609619</v>
      </c>
      <c r="R297" s="702">
        <v>303507</v>
      </c>
      <c r="S297" s="702">
        <v>303507</v>
      </c>
      <c r="T297" s="702">
        <v>0</v>
      </c>
    </row>
    <row r="298" spans="1:20" s="685" customFormat="1">
      <c r="A298" s="789" t="s">
        <v>100</v>
      </c>
      <c r="B298" s="790"/>
      <c r="C298" s="879"/>
      <c r="D298" s="879"/>
      <c r="E298" s="879"/>
      <c r="F298" s="879"/>
      <c r="G298" s="879"/>
      <c r="H298" s="879"/>
      <c r="I298" s="879"/>
      <c r="J298" s="879"/>
      <c r="K298" s="879"/>
      <c r="L298" s="879"/>
      <c r="M298" s="879"/>
      <c r="N298" s="879"/>
      <c r="O298" s="879"/>
      <c r="P298" s="879"/>
      <c r="Q298" s="879"/>
      <c r="R298" s="879"/>
      <c r="S298" s="879"/>
      <c r="T298" s="879"/>
    </row>
    <row r="299" spans="1:20" s="685" customFormat="1">
      <c r="A299" s="791" t="s">
        <v>337</v>
      </c>
      <c r="B299" s="792" t="s">
        <v>510</v>
      </c>
      <c r="C299" s="880">
        <v>0</v>
      </c>
      <c r="D299" s="880">
        <v>0</v>
      </c>
      <c r="E299" s="880">
        <v>0</v>
      </c>
      <c r="F299" s="880">
        <v>0</v>
      </c>
      <c r="G299" s="880">
        <v>0</v>
      </c>
      <c r="H299" s="880">
        <v>0</v>
      </c>
      <c r="I299" s="880">
        <v>0</v>
      </c>
      <c r="J299" s="880">
        <v>0</v>
      </c>
      <c r="K299" s="880">
        <v>0</v>
      </c>
      <c r="L299" s="880">
        <v>0</v>
      </c>
      <c r="M299" s="880">
        <v>0</v>
      </c>
      <c r="N299" s="880">
        <v>0</v>
      </c>
      <c r="O299" s="880">
        <v>0</v>
      </c>
      <c r="P299" s="880">
        <v>0</v>
      </c>
      <c r="Q299" s="880">
        <v>0</v>
      </c>
      <c r="R299" s="880">
        <v>0</v>
      </c>
      <c r="S299" s="880">
        <v>0</v>
      </c>
      <c r="T299" s="880">
        <v>0</v>
      </c>
    </row>
    <row r="300" spans="1:20" s="685" customFormat="1">
      <c r="A300" s="791"/>
      <c r="B300" s="792"/>
      <c r="C300" s="702">
        <v>0</v>
      </c>
      <c r="D300" s="702">
        <v>0</v>
      </c>
      <c r="E300" s="702">
        <v>0</v>
      </c>
      <c r="F300" s="702">
        <v>0</v>
      </c>
      <c r="G300" s="702">
        <v>0</v>
      </c>
      <c r="H300" s="702">
        <v>0</v>
      </c>
      <c r="I300" s="702">
        <v>0</v>
      </c>
      <c r="J300" s="702">
        <v>0</v>
      </c>
      <c r="K300" s="702">
        <v>0</v>
      </c>
      <c r="L300" s="702">
        <v>0</v>
      </c>
      <c r="M300" s="702">
        <v>0</v>
      </c>
      <c r="N300" s="702">
        <v>0</v>
      </c>
      <c r="O300" s="702">
        <v>0</v>
      </c>
      <c r="P300" s="702">
        <v>0</v>
      </c>
      <c r="Q300" s="702">
        <v>0</v>
      </c>
      <c r="R300" s="702">
        <v>0</v>
      </c>
      <c r="S300" s="702">
        <v>0</v>
      </c>
      <c r="T300" s="702">
        <v>0</v>
      </c>
    </row>
    <row r="301" spans="1:20" s="685" customFormat="1">
      <c r="A301" s="791" t="s">
        <v>353</v>
      </c>
      <c r="B301" s="792" t="s">
        <v>511</v>
      </c>
      <c r="C301" s="880">
        <v>0</v>
      </c>
      <c r="D301" s="880">
        <v>0</v>
      </c>
      <c r="E301" s="880">
        <v>0</v>
      </c>
      <c r="F301" s="880">
        <v>0</v>
      </c>
      <c r="G301" s="880">
        <v>0</v>
      </c>
      <c r="H301" s="880">
        <v>0</v>
      </c>
      <c r="I301" s="880">
        <v>0</v>
      </c>
      <c r="J301" s="880">
        <v>0</v>
      </c>
      <c r="K301" s="880">
        <v>0</v>
      </c>
      <c r="L301" s="880">
        <v>0</v>
      </c>
      <c r="M301" s="880">
        <v>0</v>
      </c>
      <c r="N301" s="880">
        <v>0</v>
      </c>
      <c r="O301" s="880">
        <v>0</v>
      </c>
      <c r="P301" s="880">
        <v>0</v>
      </c>
      <c r="Q301" s="880">
        <v>0</v>
      </c>
      <c r="R301" s="880">
        <v>0</v>
      </c>
      <c r="S301" s="880">
        <v>0</v>
      </c>
      <c r="T301" s="880">
        <v>0</v>
      </c>
    </row>
    <row r="302" spans="1:20" s="685" customFormat="1">
      <c r="A302" s="791"/>
      <c r="B302" s="792"/>
      <c r="C302" s="702">
        <v>0</v>
      </c>
      <c r="D302" s="702">
        <v>0</v>
      </c>
      <c r="E302" s="702">
        <v>0</v>
      </c>
      <c r="F302" s="702">
        <v>0</v>
      </c>
      <c r="G302" s="702">
        <v>0</v>
      </c>
      <c r="H302" s="702">
        <v>0</v>
      </c>
      <c r="I302" s="702">
        <v>0</v>
      </c>
      <c r="J302" s="702">
        <v>0</v>
      </c>
      <c r="K302" s="702">
        <v>0</v>
      </c>
      <c r="L302" s="702">
        <v>0</v>
      </c>
      <c r="M302" s="702">
        <v>0</v>
      </c>
      <c r="N302" s="702">
        <v>0</v>
      </c>
      <c r="O302" s="702">
        <v>0</v>
      </c>
      <c r="P302" s="702">
        <v>0</v>
      </c>
      <c r="Q302" s="702">
        <v>0</v>
      </c>
      <c r="R302" s="702">
        <v>0</v>
      </c>
      <c r="S302" s="702">
        <v>0</v>
      </c>
      <c r="T302" s="702">
        <v>0</v>
      </c>
    </row>
    <row r="303" spans="1:20" s="685" customFormat="1">
      <c r="A303" s="791" t="s">
        <v>245</v>
      </c>
      <c r="B303" s="792" t="s">
        <v>512</v>
      </c>
      <c r="C303" s="880">
        <v>0</v>
      </c>
      <c r="D303" s="880">
        <v>42499</v>
      </c>
      <c r="E303" s="880">
        <v>0</v>
      </c>
      <c r="F303" s="880">
        <v>0</v>
      </c>
      <c r="G303" s="880">
        <v>0</v>
      </c>
      <c r="H303" s="880">
        <v>0</v>
      </c>
      <c r="I303" s="880">
        <v>0</v>
      </c>
      <c r="J303" s="880">
        <v>0</v>
      </c>
      <c r="K303" s="880">
        <v>50053</v>
      </c>
      <c r="L303" s="880">
        <v>0</v>
      </c>
      <c r="M303" s="880">
        <v>0</v>
      </c>
      <c r="N303" s="880">
        <v>0</v>
      </c>
      <c r="O303" s="880">
        <v>0</v>
      </c>
      <c r="P303" s="880">
        <v>0</v>
      </c>
      <c r="Q303" s="880">
        <v>0</v>
      </c>
      <c r="R303" s="880">
        <v>0</v>
      </c>
      <c r="S303" s="880">
        <v>0</v>
      </c>
      <c r="T303" s="880">
        <v>0</v>
      </c>
    </row>
    <row r="304" spans="1:20" s="685" customFormat="1">
      <c r="A304" s="791"/>
      <c r="B304" s="792"/>
      <c r="C304" s="702">
        <v>92552</v>
      </c>
      <c r="D304" s="702">
        <v>92552</v>
      </c>
      <c r="E304" s="702">
        <v>50053</v>
      </c>
      <c r="F304" s="702">
        <v>50053</v>
      </c>
      <c r="G304" s="702">
        <v>50053</v>
      </c>
      <c r="H304" s="702">
        <v>50053</v>
      </c>
      <c r="I304" s="702">
        <v>50053</v>
      </c>
      <c r="J304" s="702">
        <v>50053</v>
      </c>
      <c r="K304" s="702">
        <v>50053</v>
      </c>
      <c r="L304" s="702">
        <v>0</v>
      </c>
      <c r="M304" s="702">
        <v>0</v>
      </c>
      <c r="N304" s="702">
        <v>0</v>
      </c>
      <c r="O304" s="702">
        <v>0</v>
      </c>
      <c r="P304" s="702">
        <v>0</v>
      </c>
      <c r="Q304" s="702">
        <v>0</v>
      </c>
      <c r="R304" s="702">
        <v>0</v>
      </c>
      <c r="S304" s="702">
        <v>0</v>
      </c>
      <c r="T304" s="702">
        <v>0</v>
      </c>
    </row>
    <row r="305" spans="1:20" s="685" customFormat="1">
      <c r="A305" s="791" t="s">
        <v>349</v>
      </c>
      <c r="B305" s="792" t="s">
        <v>513</v>
      </c>
      <c r="C305" s="880">
        <v>0</v>
      </c>
      <c r="D305" s="880">
        <v>0</v>
      </c>
      <c r="E305" s="880">
        <v>0</v>
      </c>
      <c r="F305" s="880">
        <v>0</v>
      </c>
      <c r="G305" s="880">
        <v>0</v>
      </c>
      <c r="H305" s="880">
        <v>0</v>
      </c>
      <c r="I305" s="880">
        <v>0</v>
      </c>
      <c r="J305" s="880">
        <v>0</v>
      </c>
      <c r="K305" s="880">
        <v>0</v>
      </c>
      <c r="L305" s="880">
        <v>0</v>
      </c>
      <c r="M305" s="880">
        <v>0</v>
      </c>
      <c r="N305" s="880">
        <v>0</v>
      </c>
      <c r="O305" s="880">
        <v>0</v>
      </c>
      <c r="P305" s="880">
        <v>0</v>
      </c>
      <c r="Q305" s="880">
        <v>0</v>
      </c>
      <c r="R305" s="880">
        <v>0</v>
      </c>
      <c r="S305" s="880">
        <v>0</v>
      </c>
      <c r="T305" s="880">
        <v>0</v>
      </c>
    </row>
    <row r="306" spans="1:20" s="685" customFormat="1">
      <c r="A306" s="791"/>
      <c r="B306" s="792"/>
      <c r="C306" s="702">
        <v>0</v>
      </c>
      <c r="D306" s="702">
        <v>0</v>
      </c>
      <c r="E306" s="702">
        <v>0</v>
      </c>
      <c r="F306" s="702">
        <v>0</v>
      </c>
      <c r="G306" s="702">
        <v>0</v>
      </c>
      <c r="H306" s="702">
        <v>0</v>
      </c>
      <c r="I306" s="702">
        <v>0</v>
      </c>
      <c r="J306" s="702">
        <v>0</v>
      </c>
      <c r="K306" s="702">
        <v>0</v>
      </c>
      <c r="L306" s="702">
        <v>0</v>
      </c>
      <c r="M306" s="702">
        <v>0</v>
      </c>
      <c r="N306" s="702">
        <v>0</v>
      </c>
      <c r="O306" s="702">
        <v>0</v>
      </c>
      <c r="P306" s="702">
        <v>0</v>
      </c>
      <c r="Q306" s="702">
        <v>0</v>
      </c>
      <c r="R306" s="702">
        <v>0</v>
      </c>
      <c r="S306" s="702">
        <v>0</v>
      </c>
      <c r="T306" s="702">
        <v>0</v>
      </c>
    </row>
    <row r="307" spans="1:20" s="685" customFormat="1">
      <c r="A307" s="791" t="s">
        <v>247</v>
      </c>
      <c r="B307" s="792" t="s">
        <v>514</v>
      </c>
      <c r="C307" s="880">
        <v>0</v>
      </c>
      <c r="D307" s="880">
        <v>0</v>
      </c>
      <c r="E307" s="880">
        <v>0</v>
      </c>
      <c r="F307" s="880">
        <v>202400</v>
      </c>
      <c r="G307" s="880">
        <v>0</v>
      </c>
      <c r="H307" s="880">
        <v>0</v>
      </c>
      <c r="I307" s="880">
        <v>0</v>
      </c>
      <c r="J307" s="880">
        <v>0</v>
      </c>
      <c r="K307" s="880">
        <v>52400</v>
      </c>
      <c r="L307" s="880">
        <v>0</v>
      </c>
      <c r="M307" s="880">
        <v>0</v>
      </c>
      <c r="N307" s="880">
        <v>0</v>
      </c>
      <c r="O307" s="880">
        <v>0</v>
      </c>
      <c r="P307" s="880">
        <v>0</v>
      </c>
      <c r="Q307" s="880">
        <v>0</v>
      </c>
      <c r="R307" s="880">
        <v>0</v>
      </c>
      <c r="S307" s="880">
        <v>0</v>
      </c>
      <c r="T307" s="880">
        <v>0</v>
      </c>
    </row>
    <row r="308" spans="1:20" s="685" customFormat="1">
      <c r="A308" s="791"/>
      <c r="B308" s="792"/>
      <c r="C308" s="702">
        <v>254800</v>
      </c>
      <c r="D308" s="702">
        <v>254800</v>
      </c>
      <c r="E308" s="702">
        <v>254800</v>
      </c>
      <c r="F308" s="702">
        <v>254800</v>
      </c>
      <c r="G308" s="702">
        <v>52400</v>
      </c>
      <c r="H308" s="702">
        <v>52400</v>
      </c>
      <c r="I308" s="702">
        <v>52400</v>
      </c>
      <c r="J308" s="702">
        <v>52400</v>
      </c>
      <c r="K308" s="702">
        <v>52400</v>
      </c>
      <c r="L308" s="702">
        <v>0</v>
      </c>
      <c r="M308" s="702">
        <v>0</v>
      </c>
      <c r="N308" s="702">
        <v>0</v>
      </c>
      <c r="O308" s="702">
        <v>0</v>
      </c>
      <c r="P308" s="702">
        <v>0</v>
      </c>
      <c r="Q308" s="702">
        <v>0</v>
      </c>
      <c r="R308" s="702">
        <v>0</v>
      </c>
      <c r="S308" s="702">
        <v>0</v>
      </c>
      <c r="T308" s="702">
        <v>0</v>
      </c>
    </row>
    <row r="309" spans="1:20" s="685" customFormat="1">
      <c r="A309" s="791" t="s">
        <v>187</v>
      </c>
      <c r="B309" s="792" t="s">
        <v>515</v>
      </c>
      <c r="C309" s="880">
        <v>1525000</v>
      </c>
      <c r="D309" s="880">
        <v>0</v>
      </c>
      <c r="E309" s="880">
        <v>0</v>
      </c>
      <c r="F309" s="880">
        <v>0</v>
      </c>
      <c r="G309" s="880">
        <v>0</v>
      </c>
      <c r="H309" s="880">
        <v>0</v>
      </c>
      <c r="I309" s="880">
        <v>0</v>
      </c>
      <c r="J309" s="880">
        <v>0</v>
      </c>
      <c r="K309" s="880">
        <v>0</v>
      </c>
      <c r="L309" s="880">
        <v>0</v>
      </c>
      <c r="M309" s="880">
        <v>0</v>
      </c>
      <c r="N309" s="880">
        <v>0</v>
      </c>
      <c r="O309" s="880">
        <v>0</v>
      </c>
      <c r="P309" s="880">
        <v>0</v>
      </c>
      <c r="Q309" s="880">
        <v>0</v>
      </c>
      <c r="R309" s="880">
        <v>0</v>
      </c>
      <c r="S309" s="880">
        <v>0</v>
      </c>
      <c r="T309" s="880">
        <v>0</v>
      </c>
    </row>
    <row r="310" spans="1:20" s="685" customFormat="1">
      <c r="A310" s="791"/>
      <c r="B310" s="792"/>
      <c r="C310" s="702">
        <v>1525000</v>
      </c>
      <c r="D310" s="702">
        <v>0</v>
      </c>
      <c r="E310" s="702">
        <v>0</v>
      </c>
      <c r="F310" s="702">
        <v>0</v>
      </c>
      <c r="G310" s="702">
        <v>0</v>
      </c>
      <c r="H310" s="702">
        <v>0</v>
      </c>
      <c r="I310" s="702">
        <v>0</v>
      </c>
      <c r="J310" s="702">
        <v>0</v>
      </c>
      <c r="K310" s="702">
        <v>0</v>
      </c>
      <c r="L310" s="702">
        <v>0</v>
      </c>
      <c r="M310" s="702">
        <v>0</v>
      </c>
      <c r="N310" s="702">
        <v>0</v>
      </c>
      <c r="O310" s="702">
        <v>0</v>
      </c>
      <c r="P310" s="702">
        <v>0</v>
      </c>
      <c r="Q310" s="702">
        <v>0</v>
      </c>
      <c r="R310" s="702">
        <v>0</v>
      </c>
      <c r="S310" s="702">
        <v>0</v>
      </c>
      <c r="T310" s="702">
        <v>0</v>
      </c>
    </row>
    <row r="311" spans="1:20" s="685" customFormat="1">
      <c r="A311" s="791" t="s">
        <v>246</v>
      </c>
      <c r="B311" s="792" t="s">
        <v>516</v>
      </c>
      <c r="C311" s="880">
        <v>0</v>
      </c>
      <c r="D311" s="880">
        <v>0</v>
      </c>
      <c r="E311" s="880">
        <v>0</v>
      </c>
      <c r="F311" s="880">
        <v>0</v>
      </c>
      <c r="G311" s="880">
        <v>210625</v>
      </c>
      <c r="H311" s="880">
        <v>210625</v>
      </c>
      <c r="I311" s="880">
        <v>0</v>
      </c>
      <c r="J311" s="880">
        <v>0</v>
      </c>
      <c r="K311" s="880">
        <v>0</v>
      </c>
      <c r="L311" s="880">
        <v>0</v>
      </c>
      <c r="M311" s="880">
        <v>0</v>
      </c>
      <c r="N311" s="880">
        <v>0</v>
      </c>
      <c r="O311" s="880">
        <v>0</v>
      </c>
      <c r="P311" s="880">
        <v>0</v>
      </c>
      <c r="Q311" s="880">
        <v>0</v>
      </c>
      <c r="R311" s="880">
        <v>0</v>
      </c>
      <c r="S311" s="880">
        <v>0</v>
      </c>
      <c r="T311" s="880">
        <v>0</v>
      </c>
    </row>
    <row r="312" spans="1:20" s="685" customFormat="1">
      <c r="A312" s="791"/>
      <c r="B312" s="792"/>
      <c r="C312" s="702">
        <v>421250</v>
      </c>
      <c r="D312" s="702">
        <v>421250</v>
      </c>
      <c r="E312" s="702">
        <v>421250</v>
      </c>
      <c r="F312" s="702">
        <v>421250</v>
      </c>
      <c r="G312" s="702">
        <v>421250</v>
      </c>
      <c r="H312" s="702">
        <v>210625</v>
      </c>
      <c r="I312" s="702">
        <v>0</v>
      </c>
      <c r="J312" s="702">
        <v>0</v>
      </c>
      <c r="K312" s="702">
        <v>0</v>
      </c>
      <c r="L312" s="702">
        <v>0</v>
      </c>
      <c r="M312" s="702">
        <v>0</v>
      </c>
      <c r="N312" s="702">
        <v>0</v>
      </c>
      <c r="O312" s="702">
        <v>0</v>
      </c>
      <c r="P312" s="702">
        <v>0</v>
      </c>
      <c r="Q312" s="702">
        <v>0</v>
      </c>
      <c r="R312" s="702">
        <v>0</v>
      </c>
      <c r="S312" s="702">
        <v>0</v>
      </c>
      <c r="T312" s="702">
        <v>0</v>
      </c>
    </row>
    <row r="313" spans="1:20" s="685" customFormat="1">
      <c r="A313" s="791" t="s">
        <v>334</v>
      </c>
      <c r="B313" s="792" t="s">
        <v>517</v>
      </c>
      <c r="C313" s="880">
        <v>0</v>
      </c>
      <c r="D313" s="880">
        <v>2000000</v>
      </c>
      <c r="E313" s="880">
        <v>0</v>
      </c>
      <c r="F313" s="880">
        <v>0</v>
      </c>
      <c r="G313" s="880">
        <v>6000000</v>
      </c>
      <c r="H313" s="880">
        <v>0</v>
      </c>
      <c r="I313" s="880">
        <v>0</v>
      </c>
      <c r="J313" s="880">
        <v>0</v>
      </c>
      <c r="K313" s="880">
        <v>0</v>
      </c>
      <c r="L313" s="880">
        <v>0</v>
      </c>
      <c r="M313" s="880">
        <v>0</v>
      </c>
      <c r="N313" s="880">
        <v>0</v>
      </c>
      <c r="O313" s="880">
        <v>0</v>
      </c>
      <c r="P313" s="880">
        <v>0</v>
      </c>
      <c r="Q313" s="880">
        <v>0</v>
      </c>
      <c r="R313" s="880">
        <v>0</v>
      </c>
      <c r="S313" s="880">
        <v>0</v>
      </c>
      <c r="T313" s="880">
        <v>0</v>
      </c>
    </row>
    <row r="314" spans="1:20" s="685" customFormat="1">
      <c r="A314" s="791"/>
      <c r="B314" s="792"/>
      <c r="C314" s="702">
        <v>8000000</v>
      </c>
      <c r="D314" s="702">
        <v>8000000</v>
      </c>
      <c r="E314" s="702">
        <v>6000000</v>
      </c>
      <c r="F314" s="702">
        <v>6000000</v>
      </c>
      <c r="G314" s="702">
        <v>6000000</v>
      </c>
      <c r="H314" s="702">
        <v>0</v>
      </c>
      <c r="I314" s="702">
        <v>0</v>
      </c>
      <c r="J314" s="702">
        <v>0</v>
      </c>
      <c r="K314" s="702">
        <v>0</v>
      </c>
      <c r="L314" s="702">
        <v>0</v>
      </c>
      <c r="M314" s="702">
        <v>0</v>
      </c>
      <c r="N314" s="702">
        <v>0</v>
      </c>
      <c r="O314" s="702">
        <v>0</v>
      </c>
      <c r="P314" s="702">
        <v>0</v>
      </c>
      <c r="Q314" s="702">
        <v>0</v>
      </c>
      <c r="R314" s="702">
        <v>0</v>
      </c>
      <c r="S314" s="702">
        <v>0</v>
      </c>
      <c r="T314" s="702">
        <v>0</v>
      </c>
    </row>
    <row r="315" spans="1:20" s="685" customFormat="1">
      <c r="A315" s="791" t="s">
        <v>27</v>
      </c>
      <c r="B315" s="792" t="s">
        <v>303</v>
      </c>
      <c r="C315" s="880">
        <v>20000</v>
      </c>
      <c r="D315" s="880">
        <v>100000</v>
      </c>
      <c r="E315" s="880">
        <v>0</v>
      </c>
      <c r="F315" s="880">
        <v>0</v>
      </c>
      <c r="G315" s="880">
        <v>40000</v>
      </c>
      <c r="H315" s="880">
        <v>0</v>
      </c>
      <c r="I315" s="880">
        <v>0</v>
      </c>
      <c r="J315" s="880">
        <v>145000</v>
      </c>
      <c r="K315" s="880">
        <v>0</v>
      </c>
      <c r="L315" s="880">
        <v>20000</v>
      </c>
      <c r="M315" s="880">
        <v>0</v>
      </c>
      <c r="N315" s="880">
        <v>0</v>
      </c>
      <c r="O315" s="880">
        <v>20000</v>
      </c>
      <c r="P315" s="880">
        <v>0</v>
      </c>
      <c r="Q315" s="880">
        <v>50000</v>
      </c>
      <c r="R315" s="880">
        <v>260000</v>
      </c>
      <c r="S315" s="880">
        <v>37500</v>
      </c>
      <c r="T315" s="880">
        <v>0</v>
      </c>
    </row>
    <row r="316" spans="1:20" s="685" customFormat="1">
      <c r="A316" s="791"/>
      <c r="B316" s="792"/>
      <c r="C316" s="702">
        <v>692500</v>
      </c>
      <c r="D316" s="702">
        <v>672500</v>
      </c>
      <c r="E316" s="702">
        <v>572500</v>
      </c>
      <c r="F316" s="702">
        <v>572500</v>
      </c>
      <c r="G316" s="702">
        <v>572500</v>
      </c>
      <c r="H316" s="702">
        <v>532500</v>
      </c>
      <c r="I316" s="702">
        <v>532500</v>
      </c>
      <c r="J316" s="702">
        <v>532500</v>
      </c>
      <c r="K316" s="702">
        <v>387500</v>
      </c>
      <c r="L316" s="702">
        <v>387500</v>
      </c>
      <c r="M316" s="702">
        <v>367500</v>
      </c>
      <c r="N316" s="702">
        <v>367500</v>
      </c>
      <c r="O316" s="702">
        <v>367500</v>
      </c>
      <c r="P316" s="702">
        <v>347500</v>
      </c>
      <c r="Q316" s="702">
        <v>347500</v>
      </c>
      <c r="R316" s="702">
        <v>297500</v>
      </c>
      <c r="S316" s="702">
        <v>37500</v>
      </c>
      <c r="T316" s="702">
        <v>0</v>
      </c>
    </row>
    <row r="317" spans="1:20" s="685" customFormat="1">
      <c r="A317" s="791" t="s">
        <v>180</v>
      </c>
      <c r="B317" s="792"/>
      <c r="C317" s="1021">
        <v>0</v>
      </c>
      <c r="D317" s="1021">
        <v>0</v>
      </c>
      <c r="E317" s="1021">
        <v>0</v>
      </c>
      <c r="F317" s="1021">
        <v>0</v>
      </c>
      <c r="G317" s="1021">
        <v>0</v>
      </c>
      <c r="H317" s="1021">
        <v>0</v>
      </c>
      <c r="I317" s="1021">
        <v>0</v>
      </c>
      <c r="J317" s="1021">
        <v>0</v>
      </c>
      <c r="K317" s="1021">
        <v>0</v>
      </c>
      <c r="L317" s="1021">
        <v>0</v>
      </c>
      <c r="M317" s="1021">
        <v>0</v>
      </c>
      <c r="N317" s="1021">
        <v>0</v>
      </c>
      <c r="O317" s="1021">
        <v>0</v>
      </c>
      <c r="P317" s="1021">
        <v>0</v>
      </c>
      <c r="Q317" s="1021">
        <v>0</v>
      </c>
      <c r="R317" s="1021">
        <v>0</v>
      </c>
      <c r="S317" s="1021">
        <v>0</v>
      </c>
      <c r="T317" s="1021">
        <v>0</v>
      </c>
    </row>
    <row r="318" spans="1:20" s="685" customFormat="1">
      <c r="A318" s="791"/>
      <c r="B318" s="792"/>
      <c r="C318" s="702">
        <v>0</v>
      </c>
      <c r="D318" s="702">
        <v>0</v>
      </c>
      <c r="E318" s="702">
        <v>0</v>
      </c>
      <c r="F318" s="702">
        <v>0</v>
      </c>
      <c r="G318" s="702">
        <v>0</v>
      </c>
      <c r="H318" s="702">
        <v>0</v>
      </c>
      <c r="I318" s="702">
        <v>0</v>
      </c>
      <c r="J318" s="702">
        <v>0</v>
      </c>
      <c r="K318" s="702">
        <v>0</v>
      </c>
      <c r="L318" s="702">
        <v>0</v>
      </c>
      <c r="M318" s="702">
        <v>0</v>
      </c>
      <c r="N318" s="702">
        <v>0</v>
      </c>
      <c r="O318" s="702">
        <v>0</v>
      </c>
      <c r="P318" s="702">
        <v>0</v>
      </c>
      <c r="Q318" s="702">
        <v>0</v>
      </c>
      <c r="R318" s="702">
        <v>0</v>
      </c>
      <c r="S318" s="702">
        <v>0</v>
      </c>
      <c r="T318" s="702">
        <v>0</v>
      </c>
    </row>
    <row r="319" spans="1:20" s="685" customFormat="1">
      <c r="A319" s="791" t="s">
        <v>59</v>
      </c>
      <c r="B319" s="792"/>
      <c r="C319" s="880">
        <v>1545000</v>
      </c>
      <c r="D319" s="880">
        <v>2142499</v>
      </c>
      <c r="E319" s="880">
        <v>0</v>
      </c>
      <c r="F319" s="880">
        <v>202400</v>
      </c>
      <c r="G319" s="880">
        <v>6250625</v>
      </c>
      <c r="H319" s="880">
        <v>210625</v>
      </c>
      <c r="I319" s="880">
        <v>0</v>
      </c>
      <c r="J319" s="880">
        <v>145000</v>
      </c>
      <c r="K319" s="880">
        <v>102453</v>
      </c>
      <c r="L319" s="880">
        <v>20000</v>
      </c>
      <c r="M319" s="880">
        <v>0</v>
      </c>
      <c r="N319" s="880">
        <v>0</v>
      </c>
      <c r="O319" s="880">
        <v>20000</v>
      </c>
      <c r="P319" s="880">
        <v>0</v>
      </c>
      <c r="Q319" s="880">
        <v>50000</v>
      </c>
      <c r="R319" s="880">
        <v>260000</v>
      </c>
      <c r="S319" s="880">
        <v>37500</v>
      </c>
      <c r="T319" s="880">
        <v>0</v>
      </c>
    </row>
    <row r="320" spans="1:20" s="685" customFormat="1">
      <c r="A320" s="791"/>
      <c r="B320" s="792"/>
      <c r="C320" s="702">
        <v>10986102</v>
      </c>
      <c r="D320" s="702">
        <v>9441102</v>
      </c>
      <c r="E320" s="702">
        <v>7298603</v>
      </c>
      <c r="F320" s="702">
        <v>7298603</v>
      </c>
      <c r="G320" s="702">
        <v>7096203</v>
      </c>
      <c r="H320" s="702">
        <v>845578</v>
      </c>
      <c r="I320" s="702">
        <v>634953</v>
      </c>
      <c r="J320" s="702">
        <v>634953</v>
      </c>
      <c r="K320" s="702">
        <v>489953</v>
      </c>
      <c r="L320" s="702">
        <v>387500</v>
      </c>
      <c r="M320" s="702">
        <v>367500</v>
      </c>
      <c r="N320" s="702">
        <v>367500</v>
      </c>
      <c r="O320" s="702">
        <v>367500</v>
      </c>
      <c r="P320" s="702">
        <v>347500</v>
      </c>
      <c r="Q320" s="702">
        <v>347500</v>
      </c>
      <c r="R320" s="702">
        <v>297500</v>
      </c>
      <c r="S320" s="702">
        <v>37500</v>
      </c>
      <c r="T320" s="702">
        <v>0</v>
      </c>
    </row>
    <row r="321" spans="1:20" s="685" customFormat="1">
      <c r="A321" s="793" t="s">
        <v>350</v>
      </c>
      <c r="B321" s="794"/>
      <c r="C321" s="882">
        <v>-306881</v>
      </c>
      <c r="D321" s="882">
        <v>-1655112</v>
      </c>
      <c r="E321" s="882">
        <v>394489</v>
      </c>
      <c r="F321" s="882">
        <v>762668</v>
      </c>
      <c r="G321" s="882">
        <v>-4245849</v>
      </c>
      <c r="H321" s="882">
        <v>71514</v>
      </c>
      <c r="I321" s="882">
        <v>392480</v>
      </c>
      <c r="J321" s="882">
        <v>514981</v>
      </c>
      <c r="K321" s="882">
        <v>431941</v>
      </c>
      <c r="L321" s="882">
        <v>315572</v>
      </c>
      <c r="M321" s="882">
        <v>290704</v>
      </c>
      <c r="N321" s="882">
        <v>632509</v>
      </c>
      <c r="O321" s="882">
        <v>924625</v>
      </c>
      <c r="P321" s="882">
        <v>546270</v>
      </c>
      <c r="Q321" s="882">
        <v>256112</v>
      </c>
      <c r="R321" s="882">
        <v>-260000</v>
      </c>
      <c r="S321" s="882">
        <v>266007</v>
      </c>
      <c r="T321" s="882">
        <v>0</v>
      </c>
    </row>
    <row r="322" spans="1:20" s="685" customFormat="1">
      <c r="A322" s="793"/>
      <c r="B322" s="794"/>
      <c r="C322" s="702">
        <v>-667970</v>
      </c>
      <c r="D322" s="702">
        <v>-361089</v>
      </c>
      <c r="E322" s="702">
        <v>1294023</v>
      </c>
      <c r="F322" s="702">
        <v>899534</v>
      </c>
      <c r="G322" s="702">
        <v>136866</v>
      </c>
      <c r="H322" s="702">
        <v>4382715</v>
      </c>
      <c r="I322" s="702">
        <v>4311201</v>
      </c>
      <c r="J322" s="702">
        <v>3918721</v>
      </c>
      <c r="K322" s="702">
        <v>3403740</v>
      </c>
      <c r="L322" s="702">
        <v>2971799</v>
      </c>
      <c r="M322" s="702">
        <v>2656227</v>
      </c>
      <c r="N322" s="702">
        <v>2365523</v>
      </c>
      <c r="O322" s="702">
        <v>1733014</v>
      </c>
      <c r="P322" s="702">
        <v>808389</v>
      </c>
      <c r="Q322" s="702">
        <v>262119</v>
      </c>
      <c r="R322" s="702">
        <v>6007</v>
      </c>
      <c r="S322" s="702">
        <v>266007</v>
      </c>
      <c r="T322" s="702">
        <v>0</v>
      </c>
    </row>
    <row r="323" spans="1:20" s="685" customFormat="1">
      <c r="A323" s="797"/>
      <c r="B323" s="748"/>
      <c r="C323" s="879"/>
      <c r="D323" s="879"/>
      <c r="E323" s="879"/>
      <c r="F323" s="879"/>
      <c r="G323" s="879"/>
      <c r="H323" s="879"/>
      <c r="I323" s="879"/>
      <c r="J323" s="879"/>
      <c r="K323" s="879"/>
      <c r="L323" s="879"/>
      <c r="M323" s="879"/>
      <c r="N323" s="879"/>
      <c r="O323" s="879"/>
      <c r="P323" s="879"/>
      <c r="Q323" s="879"/>
      <c r="R323" s="879"/>
      <c r="S323" s="879"/>
      <c r="T323" s="879"/>
    </row>
    <row r="324" spans="1:20" s="685" customFormat="1">
      <c r="A324" s="796" t="s">
        <v>345</v>
      </c>
      <c r="B324" s="788" t="s">
        <v>518</v>
      </c>
      <c r="C324" s="880">
        <v>1123211</v>
      </c>
      <c r="D324" s="880">
        <v>408410</v>
      </c>
      <c r="E324" s="880">
        <v>424646</v>
      </c>
      <c r="F324" s="880">
        <v>1040340</v>
      </c>
      <c r="G324" s="880">
        <v>1421553</v>
      </c>
      <c r="H324" s="880">
        <v>381280</v>
      </c>
      <c r="I324" s="880">
        <v>327036</v>
      </c>
      <c r="J324" s="880">
        <v>328341</v>
      </c>
      <c r="K324" s="880">
        <v>331580</v>
      </c>
      <c r="L324" s="880">
        <v>463487</v>
      </c>
      <c r="M324" s="880">
        <v>545347</v>
      </c>
      <c r="N324" s="880">
        <v>410571</v>
      </c>
      <c r="O324" s="880">
        <v>814746</v>
      </c>
      <c r="P324" s="880">
        <v>364267</v>
      </c>
      <c r="Q324" s="880">
        <v>454825</v>
      </c>
      <c r="R324" s="880">
        <v>58230</v>
      </c>
      <c r="S324" s="880">
        <v>391951</v>
      </c>
      <c r="T324" s="880">
        <v>0</v>
      </c>
    </row>
    <row r="325" spans="1:20" s="685" customFormat="1">
      <c r="A325" s="787"/>
      <c r="B325" s="788"/>
      <c r="C325" s="702">
        <v>9289821</v>
      </c>
      <c r="D325" s="702">
        <v>8166610</v>
      </c>
      <c r="E325" s="702">
        <v>7758200</v>
      </c>
      <c r="F325" s="702">
        <v>7333554</v>
      </c>
      <c r="G325" s="702">
        <v>6293214</v>
      </c>
      <c r="H325" s="702">
        <v>4871661</v>
      </c>
      <c r="I325" s="702">
        <v>4490381</v>
      </c>
      <c r="J325" s="702">
        <v>4163345</v>
      </c>
      <c r="K325" s="702">
        <v>3835004</v>
      </c>
      <c r="L325" s="702">
        <v>3503424</v>
      </c>
      <c r="M325" s="702">
        <v>3039937</v>
      </c>
      <c r="N325" s="702">
        <v>2494590</v>
      </c>
      <c r="O325" s="702">
        <v>2084019</v>
      </c>
      <c r="P325" s="702">
        <v>1269273</v>
      </c>
      <c r="Q325" s="702">
        <v>905006</v>
      </c>
      <c r="R325" s="702">
        <v>450181</v>
      </c>
      <c r="S325" s="702">
        <v>391951</v>
      </c>
      <c r="T325" s="702">
        <v>0</v>
      </c>
    </row>
    <row r="326" spans="1:20" s="685" customFormat="1">
      <c r="A326" s="789" t="s">
        <v>100</v>
      </c>
      <c r="B326" s="790"/>
      <c r="C326" s="879"/>
      <c r="D326" s="879"/>
      <c r="E326" s="879"/>
      <c r="F326" s="879"/>
      <c r="G326" s="879"/>
      <c r="H326" s="879"/>
      <c r="I326" s="879"/>
      <c r="J326" s="879"/>
      <c r="K326" s="879"/>
      <c r="L326" s="879"/>
      <c r="M326" s="879"/>
      <c r="N326" s="879"/>
      <c r="O326" s="879"/>
      <c r="P326" s="879"/>
      <c r="Q326" s="879"/>
      <c r="R326" s="879"/>
      <c r="S326" s="879"/>
      <c r="T326" s="879"/>
    </row>
    <row r="327" spans="1:20" s="685" customFormat="1">
      <c r="A327" s="791" t="s">
        <v>337</v>
      </c>
      <c r="B327" s="792" t="s">
        <v>519</v>
      </c>
      <c r="C327" s="880">
        <v>0</v>
      </c>
      <c r="D327" s="880">
        <v>0</v>
      </c>
      <c r="E327" s="880">
        <v>0</v>
      </c>
      <c r="F327" s="880">
        <v>0</v>
      </c>
      <c r="G327" s="880">
        <v>0</v>
      </c>
      <c r="H327" s="880">
        <v>0</v>
      </c>
      <c r="I327" s="880">
        <v>0</v>
      </c>
      <c r="J327" s="880">
        <v>0</v>
      </c>
      <c r="K327" s="880">
        <v>0</v>
      </c>
      <c r="L327" s="880">
        <v>0</v>
      </c>
      <c r="M327" s="880">
        <v>0</v>
      </c>
      <c r="N327" s="880">
        <v>0</v>
      </c>
      <c r="O327" s="880">
        <v>0</v>
      </c>
      <c r="P327" s="880">
        <v>0</v>
      </c>
      <c r="Q327" s="880">
        <v>0</v>
      </c>
      <c r="R327" s="880">
        <v>0</v>
      </c>
      <c r="S327" s="880">
        <v>0</v>
      </c>
      <c r="T327" s="880">
        <v>0</v>
      </c>
    </row>
    <row r="328" spans="1:20" s="685" customFormat="1">
      <c r="A328" s="791"/>
      <c r="B328" s="792"/>
      <c r="C328" s="702">
        <v>0</v>
      </c>
      <c r="D328" s="702">
        <v>0</v>
      </c>
      <c r="E328" s="702">
        <v>0</v>
      </c>
      <c r="F328" s="702">
        <v>0</v>
      </c>
      <c r="G328" s="702">
        <v>0</v>
      </c>
      <c r="H328" s="702">
        <v>0</v>
      </c>
      <c r="I328" s="702">
        <v>0</v>
      </c>
      <c r="J328" s="702">
        <v>0</v>
      </c>
      <c r="K328" s="702">
        <v>0</v>
      </c>
      <c r="L328" s="702">
        <v>0</v>
      </c>
      <c r="M328" s="702">
        <v>0</v>
      </c>
      <c r="N328" s="702">
        <v>0</v>
      </c>
      <c r="O328" s="702">
        <v>0</v>
      </c>
      <c r="P328" s="702">
        <v>0</v>
      </c>
      <c r="Q328" s="702">
        <v>0</v>
      </c>
      <c r="R328" s="702">
        <v>0</v>
      </c>
      <c r="S328" s="702">
        <v>0</v>
      </c>
      <c r="T328" s="702">
        <v>0</v>
      </c>
    </row>
    <row r="329" spans="1:20" s="685" customFormat="1">
      <c r="A329" s="791" t="s">
        <v>353</v>
      </c>
      <c r="B329" s="792" t="s">
        <v>520</v>
      </c>
      <c r="C329" s="880">
        <v>0</v>
      </c>
      <c r="D329" s="880">
        <v>0</v>
      </c>
      <c r="E329" s="880">
        <v>0</v>
      </c>
      <c r="F329" s="880">
        <v>0</v>
      </c>
      <c r="G329" s="880">
        <v>0</v>
      </c>
      <c r="H329" s="880">
        <v>0</v>
      </c>
      <c r="I329" s="880">
        <v>0</v>
      </c>
      <c r="J329" s="880">
        <v>0</v>
      </c>
      <c r="K329" s="880">
        <v>0</v>
      </c>
      <c r="L329" s="880">
        <v>0</v>
      </c>
      <c r="M329" s="880">
        <v>0</v>
      </c>
      <c r="N329" s="880">
        <v>0</v>
      </c>
      <c r="O329" s="880">
        <v>0</v>
      </c>
      <c r="P329" s="880">
        <v>0</v>
      </c>
      <c r="Q329" s="880">
        <v>0</v>
      </c>
      <c r="R329" s="880">
        <v>0</v>
      </c>
      <c r="S329" s="880">
        <v>0</v>
      </c>
      <c r="T329" s="880">
        <v>0</v>
      </c>
    </row>
    <row r="330" spans="1:20" s="685" customFormat="1">
      <c r="A330" s="791"/>
      <c r="B330" s="792"/>
      <c r="C330" s="702">
        <v>0</v>
      </c>
      <c r="D330" s="702">
        <v>0</v>
      </c>
      <c r="E330" s="702">
        <v>0</v>
      </c>
      <c r="F330" s="702">
        <v>0</v>
      </c>
      <c r="G330" s="702">
        <v>0</v>
      </c>
      <c r="H330" s="702">
        <v>0</v>
      </c>
      <c r="I330" s="702">
        <v>0</v>
      </c>
      <c r="J330" s="702">
        <v>0</v>
      </c>
      <c r="K330" s="702">
        <v>0</v>
      </c>
      <c r="L330" s="702">
        <v>0</v>
      </c>
      <c r="M330" s="702">
        <v>0</v>
      </c>
      <c r="N330" s="702">
        <v>0</v>
      </c>
      <c r="O330" s="702">
        <v>0</v>
      </c>
      <c r="P330" s="702">
        <v>0</v>
      </c>
      <c r="Q330" s="702">
        <v>0</v>
      </c>
      <c r="R330" s="702">
        <v>0</v>
      </c>
      <c r="S330" s="702">
        <v>0</v>
      </c>
      <c r="T330" s="702">
        <v>0</v>
      </c>
    </row>
    <row r="331" spans="1:20" s="685" customFormat="1">
      <c r="A331" s="791" t="s">
        <v>245</v>
      </c>
      <c r="B331" s="792" t="s">
        <v>521</v>
      </c>
      <c r="C331" s="880">
        <v>0</v>
      </c>
      <c r="D331" s="880">
        <v>23999</v>
      </c>
      <c r="E331" s="880">
        <v>0</v>
      </c>
      <c r="F331" s="880">
        <v>91000</v>
      </c>
      <c r="G331" s="880">
        <v>0</v>
      </c>
      <c r="H331" s="880">
        <v>0</v>
      </c>
      <c r="I331" s="880">
        <v>0</v>
      </c>
      <c r="J331" s="880">
        <v>0</v>
      </c>
      <c r="K331" s="880">
        <v>0</v>
      </c>
      <c r="L331" s="880">
        <v>0</v>
      </c>
      <c r="M331" s="880">
        <v>0</v>
      </c>
      <c r="N331" s="880">
        <v>0</v>
      </c>
      <c r="O331" s="880">
        <v>0</v>
      </c>
      <c r="P331" s="880">
        <v>0</v>
      </c>
      <c r="Q331" s="880">
        <v>0</v>
      </c>
      <c r="R331" s="880">
        <v>0</v>
      </c>
      <c r="S331" s="880">
        <v>0</v>
      </c>
      <c r="T331" s="880">
        <v>0</v>
      </c>
    </row>
    <row r="332" spans="1:20" s="685" customFormat="1">
      <c r="A332" s="791"/>
      <c r="B332" s="792"/>
      <c r="C332" s="702">
        <v>114999</v>
      </c>
      <c r="D332" s="702">
        <v>114999</v>
      </c>
      <c r="E332" s="702">
        <v>91000</v>
      </c>
      <c r="F332" s="702">
        <v>91000</v>
      </c>
      <c r="G332" s="702">
        <v>0</v>
      </c>
      <c r="H332" s="702">
        <v>0</v>
      </c>
      <c r="I332" s="702">
        <v>0</v>
      </c>
      <c r="J332" s="702">
        <v>0</v>
      </c>
      <c r="K332" s="702">
        <v>0</v>
      </c>
      <c r="L332" s="702">
        <v>0</v>
      </c>
      <c r="M332" s="702">
        <v>0</v>
      </c>
      <c r="N332" s="702">
        <v>0</v>
      </c>
      <c r="O332" s="702">
        <v>0</v>
      </c>
      <c r="P332" s="702">
        <v>0</v>
      </c>
      <c r="Q332" s="702">
        <v>0</v>
      </c>
      <c r="R332" s="702">
        <v>0</v>
      </c>
      <c r="S332" s="702">
        <v>0</v>
      </c>
      <c r="T332" s="702">
        <v>0</v>
      </c>
    </row>
    <row r="333" spans="1:20" s="685" customFormat="1">
      <c r="A333" s="791" t="s">
        <v>349</v>
      </c>
      <c r="B333" s="792" t="s">
        <v>522</v>
      </c>
      <c r="C333" s="880">
        <v>250000</v>
      </c>
      <c r="D333" s="880">
        <v>0</v>
      </c>
      <c r="E333" s="880">
        <v>0</v>
      </c>
      <c r="F333" s="880">
        <v>0</v>
      </c>
      <c r="G333" s="880">
        <v>0</v>
      </c>
      <c r="H333" s="880">
        <v>0</v>
      </c>
      <c r="I333" s="880">
        <v>0</v>
      </c>
      <c r="J333" s="880">
        <v>0</v>
      </c>
      <c r="K333" s="880">
        <v>0</v>
      </c>
      <c r="L333" s="880">
        <v>0</v>
      </c>
      <c r="M333" s="880">
        <v>0</v>
      </c>
      <c r="N333" s="880">
        <v>0</v>
      </c>
      <c r="O333" s="880">
        <v>0</v>
      </c>
      <c r="P333" s="880">
        <v>0</v>
      </c>
      <c r="Q333" s="880">
        <v>0</v>
      </c>
      <c r="R333" s="880">
        <v>0</v>
      </c>
      <c r="S333" s="880">
        <v>0</v>
      </c>
      <c r="T333" s="880">
        <v>0</v>
      </c>
    </row>
    <row r="334" spans="1:20" s="685" customFormat="1">
      <c r="A334" s="791"/>
      <c r="B334" s="792"/>
      <c r="C334" s="702">
        <v>250000</v>
      </c>
      <c r="D334" s="702">
        <v>0</v>
      </c>
      <c r="E334" s="702">
        <v>0</v>
      </c>
      <c r="F334" s="702">
        <v>0</v>
      </c>
      <c r="G334" s="702">
        <v>0</v>
      </c>
      <c r="H334" s="702">
        <v>0</v>
      </c>
      <c r="I334" s="702">
        <v>0</v>
      </c>
      <c r="J334" s="702">
        <v>0</v>
      </c>
      <c r="K334" s="702">
        <v>0</v>
      </c>
      <c r="L334" s="702">
        <v>0</v>
      </c>
      <c r="M334" s="702">
        <v>0</v>
      </c>
      <c r="N334" s="702">
        <v>0</v>
      </c>
      <c r="O334" s="702">
        <v>0</v>
      </c>
      <c r="P334" s="702">
        <v>0</v>
      </c>
      <c r="Q334" s="702">
        <v>0</v>
      </c>
      <c r="R334" s="702">
        <v>0</v>
      </c>
      <c r="S334" s="702">
        <v>0</v>
      </c>
      <c r="T334" s="702">
        <v>0</v>
      </c>
    </row>
    <row r="335" spans="1:20" s="685" customFormat="1">
      <c r="A335" s="791" t="s">
        <v>247</v>
      </c>
      <c r="B335" s="792" t="s">
        <v>523</v>
      </c>
      <c r="C335" s="880">
        <v>0</v>
      </c>
      <c r="D335" s="880">
        <v>0</v>
      </c>
      <c r="E335" s="880">
        <v>0</v>
      </c>
      <c r="F335" s="880">
        <v>0</v>
      </c>
      <c r="G335" s="880">
        <v>0</v>
      </c>
      <c r="H335" s="880">
        <v>0</v>
      </c>
      <c r="I335" s="880">
        <v>0</v>
      </c>
      <c r="J335" s="880">
        <v>0</v>
      </c>
      <c r="K335" s="880">
        <v>0</v>
      </c>
      <c r="L335" s="880">
        <v>0</v>
      </c>
      <c r="M335" s="880">
        <v>0</v>
      </c>
      <c r="N335" s="880">
        <v>0</v>
      </c>
      <c r="O335" s="880">
        <v>0</v>
      </c>
      <c r="P335" s="880">
        <v>99100</v>
      </c>
      <c r="Q335" s="880">
        <v>0</v>
      </c>
      <c r="R335" s="880">
        <v>0</v>
      </c>
      <c r="S335" s="880">
        <v>0</v>
      </c>
      <c r="T335" s="880">
        <v>0</v>
      </c>
    </row>
    <row r="336" spans="1:20" s="685" customFormat="1">
      <c r="A336" s="791"/>
      <c r="B336" s="792"/>
      <c r="C336" s="702">
        <v>99100</v>
      </c>
      <c r="D336" s="702">
        <v>99100</v>
      </c>
      <c r="E336" s="702">
        <v>99100</v>
      </c>
      <c r="F336" s="702">
        <v>99100</v>
      </c>
      <c r="G336" s="702">
        <v>99100</v>
      </c>
      <c r="H336" s="702">
        <v>99100</v>
      </c>
      <c r="I336" s="702">
        <v>99100</v>
      </c>
      <c r="J336" s="702">
        <v>99100</v>
      </c>
      <c r="K336" s="702">
        <v>99100</v>
      </c>
      <c r="L336" s="702">
        <v>99100</v>
      </c>
      <c r="M336" s="702">
        <v>99100</v>
      </c>
      <c r="N336" s="702">
        <v>99100</v>
      </c>
      <c r="O336" s="702">
        <v>99100</v>
      </c>
      <c r="P336" s="702">
        <v>99100</v>
      </c>
      <c r="Q336" s="702">
        <v>0</v>
      </c>
      <c r="R336" s="702">
        <v>0</v>
      </c>
      <c r="S336" s="702">
        <v>0</v>
      </c>
      <c r="T336" s="702">
        <v>0</v>
      </c>
    </row>
    <row r="337" spans="1:20" s="685" customFormat="1">
      <c r="A337" s="791" t="s">
        <v>187</v>
      </c>
      <c r="B337" s="792" t="s">
        <v>524</v>
      </c>
      <c r="C337" s="880">
        <v>1520000</v>
      </c>
      <c r="D337" s="880">
        <v>0</v>
      </c>
      <c r="E337" s="880">
        <v>0</v>
      </c>
      <c r="F337" s="880">
        <v>0</v>
      </c>
      <c r="G337" s="880">
        <v>0</v>
      </c>
      <c r="H337" s="880">
        <v>0</v>
      </c>
      <c r="I337" s="880">
        <v>0</v>
      </c>
      <c r="J337" s="880">
        <v>0</v>
      </c>
      <c r="K337" s="880">
        <v>0</v>
      </c>
      <c r="L337" s="880">
        <v>0</v>
      </c>
      <c r="M337" s="880">
        <v>0</v>
      </c>
      <c r="N337" s="880">
        <v>0</v>
      </c>
      <c r="O337" s="880">
        <v>0</v>
      </c>
      <c r="P337" s="880">
        <v>0</v>
      </c>
      <c r="Q337" s="880">
        <v>0</v>
      </c>
      <c r="R337" s="880">
        <v>0</v>
      </c>
      <c r="S337" s="880">
        <v>0</v>
      </c>
      <c r="T337" s="880">
        <v>0</v>
      </c>
    </row>
    <row r="338" spans="1:20" s="685" customFormat="1">
      <c r="A338" s="791"/>
      <c r="B338" s="792"/>
      <c r="C338" s="702">
        <v>1520000</v>
      </c>
      <c r="D338" s="702">
        <v>0</v>
      </c>
      <c r="E338" s="702">
        <v>0</v>
      </c>
      <c r="F338" s="702">
        <v>0</v>
      </c>
      <c r="G338" s="702">
        <v>0</v>
      </c>
      <c r="H338" s="702">
        <v>0</v>
      </c>
      <c r="I338" s="702">
        <v>0</v>
      </c>
      <c r="J338" s="702">
        <v>0</v>
      </c>
      <c r="K338" s="702">
        <v>0</v>
      </c>
      <c r="L338" s="702">
        <v>0</v>
      </c>
      <c r="M338" s="702">
        <v>0</v>
      </c>
      <c r="N338" s="702">
        <v>0</v>
      </c>
      <c r="O338" s="702">
        <v>0</v>
      </c>
      <c r="P338" s="702">
        <v>0</v>
      </c>
      <c r="Q338" s="702">
        <v>0</v>
      </c>
      <c r="R338" s="702">
        <v>0</v>
      </c>
      <c r="S338" s="702">
        <v>0</v>
      </c>
      <c r="T338" s="702">
        <v>0</v>
      </c>
    </row>
    <row r="339" spans="1:20" s="685" customFormat="1">
      <c r="A339" s="791" t="s">
        <v>246</v>
      </c>
      <c r="B339" s="792" t="s">
        <v>525</v>
      </c>
      <c r="C339" s="880">
        <v>0</v>
      </c>
      <c r="D339" s="880">
        <v>0</v>
      </c>
      <c r="E339" s="880">
        <v>0</v>
      </c>
      <c r="F339" s="880">
        <v>0</v>
      </c>
      <c r="G339" s="880">
        <v>210625</v>
      </c>
      <c r="H339" s="880">
        <v>210625</v>
      </c>
      <c r="I339" s="880">
        <v>0</v>
      </c>
      <c r="J339" s="880">
        <v>0</v>
      </c>
      <c r="K339" s="880">
        <v>0</v>
      </c>
      <c r="L339" s="880">
        <v>0</v>
      </c>
      <c r="M339" s="880">
        <v>0</v>
      </c>
      <c r="N339" s="880">
        <v>0</v>
      </c>
      <c r="O339" s="880">
        <v>0</v>
      </c>
      <c r="P339" s="880">
        <v>0</v>
      </c>
      <c r="Q339" s="880">
        <v>0</v>
      </c>
      <c r="R339" s="880">
        <v>0</v>
      </c>
      <c r="S339" s="880">
        <v>0</v>
      </c>
      <c r="T339" s="880">
        <v>0</v>
      </c>
    </row>
    <row r="340" spans="1:20" s="685" customFormat="1">
      <c r="A340" s="791"/>
      <c r="B340" s="792"/>
      <c r="C340" s="702">
        <v>421250</v>
      </c>
      <c r="D340" s="702">
        <v>421250</v>
      </c>
      <c r="E340" s="702">
        <v>421250</v>
      </c>
      <c r="F340" s="702">
        <v>421250</v>
      </c>
      <c r="G340" s="702">
        <v>421250</v>
      </c>
      <c r="H340" s="702">
        <v>210625</v>
      </c>
      <c r="I340" s="702">
        <v>0</v>
      </c>
      <c r="J340" s="702">
        <v>0</v>
      </c>
      <c r="K340" s="702">
        <v>0</v>
      </c>
      <c r="L340" s="702">
        <v>0</v>
      </c>
      <c r="M340" s="702">
        <v>0</v>
      </c>
      <c r="N340" s="702">
        <v>0</v>
      </c>
      <c r="O340" s="702">
        <v>0</v>
      </c>
      <c r="P340" s="702">
        <v>0</v>
      </c>
      <c r="Q340" s="702">
        <v>0</v>
      </c>
      <c r="R340" s="702">
        <v>0</v>
      </c>
      <c r="S340" s="702">
        <v>0</v>
      </c>
      <c r="T340" s="702">
        <v>0</v>
      </c>
    </row>
    <row r="341" spans="1:20" s="685" customFormat="1">
      <c r="A341" s="791" t="s">
        <v>334</v>
      </c>
      <c r="B341" s="792" t="s">
        <v>526</v>
      </c>
      <c r="C341" s="880">
        <v>0</v>
      </c>
      <c r="D341" s="880">
        <v>0</v>
      </c>
      <c r="E341" s="880">
        <v>0</v>
      </c>
      <c r="F341" s="880">
        <v>0</v>
      </c>
      <c r="G341" s="880">
        <v>0</v>
      </c>
      <c r="H341" s="880">
        <v>0</v>
      </c>
      <c r="I341" s="880">
        <v>0</v>
      </c>
      <c r="J341" s="880">
        <v>0</v>
      </c>
      <c r="K341" s="880">
        <v>0</v>
      </c>
      <c r="L341" s="880">
        <v>0</v>
      </c>
      <c r="M341" s="880">
        <v>0</v>
      </c>
      <c r="N341" s="880">
        <v>0</v>
      </c>
      <c r="O341" s="880">
        <v>0</v>
      </c>
      <c r="P341" s="880">
        <v>0</v>
      </c>
      <c r="Q341" s="880">
        <v>0</v>
      </c>
      <c r="R341" s="880">
        <v>0</v>
      </c>
      <c r="S341" s="880">
        <v>0</v>
      </c>
      <c r="T341" s="880">
        <v>0</v>
      </c>
    </row>
    <row r="342" spans="1:20" s="685" customFormat="1">
      <c r="A342" s="791"/>
      <c r="B342" s="792"/>
      <c r="C342" s="702">
        <v>0</v>
      </c>
      <c r="D342" s="702">
        <v>0</v>
      </c>
      <c r="E342" s="702">
        <v>0</v>
      </c>
      <c r="F342" s="702">
        <v>0</v>
      </c>
      <c r="G342" s="702">
        <v>0</v>
      </c>
      <c r="H342" s="702">
        <v>0</v>
      </c>
      <c r="I342" s="702">
        <v>0</v>
      </c>
      <c r="J342" s="702">
        <v>0</v>
      </c>
      <c r="K342" s="702">
        <v>0</v>
      </c>
      <c r="L342" s="702">
        <v>0</v>
      </c>
      <c r="M342" s="702">
        <v>0</v>
      </c>
      <c r="N342" s="702">
        <v>0</v>
      </c>
      <c r="O342" s="702">
        <v>0</v>
      </c>
      <c r="P342" s="702">
        <v>0</v>
      </c>
      <c r="Q342" s="702">
        <v>0</v>
      </c>
      <c r="R342" s="702">
        <v>0</v>
      </c>
      <c r="S342" s="702">
        <v>0</v>
      </c>
      <c r="T342" s="702">
        <v>0</v>
      </c>
    </row>
    <row r="343" spans="1:20" s="685" customFormat="1">
      <c r="A343" s="791" t="s">
        <v>27</v>
      </c>
      <c r="B343" s="792" t="s">
        <v>527</v>
      </c>
      <c r="C343" s="880">
        <v>0</v>
      </c>
      <c r="D343" s="880">
        <v>0</v>
      </c>
      <c r="E343" s="880">
        <v>0</v>
      </c>
      <c r="F343" s="880">
        <v>10000</v>
      </c>
      <c r="G343" s="880">
        <v>0</v>
      </c>
      <c r="H343" s="880">
        <v>0</v>
      </c>
      <c r="I343" s="880">
        <v>0</v>
      </c>
      <c r="J343" s="880">
        <v>125000</v>
      </c>
      <c r="K343" s="880">
        <v>0</v>
      </c>
      <c r="L343" s="880">
        <v>0</v>
      </c>
      <c r="M343" s="880">
        <v>0</v>
      </c>
      <c r="N343" s="880">
        <v>0</v>
      </c>
      <c r="O343" s="880">
        <v>0</v>
      </c>
      <c r="P343" s="880">
        <v>0</v>
      </c>
      <c r="Q343" s="880">
        <v>183000</v>
      </c>
      <c r="R343" s="880">
        <v>60000</v>
      </c>
      <c r="S343" s="880">
        <v>37500</v>
      </c>
      <c r="T343" s="880">
        <v>0</v>
      </c>
    </row>
    <row r="344" spans="1:20" s="685" customFormat="1">
      <c r="A344" s="791"/>
      <c r="B344" s="792"/>
      <c r="C344" s="702">
        <v>415500</v>
      </c>
      <c r="D344" s="702">
        <v>415500</v>
      </c>
      <c r="E344" s="702">
        <v>415500</v>
      </c>
      <c r="F344" s="702">
        <v>415500</v>
      </c>
      <c r="G344" s="702">
        <v>405500</v>
      </c>
      <c r="H344" s="702">
        <v>405500</v>
      </c>
      <c r="I344" s="702">
        <v>405500</v>
      </c>
      <c r="J344" s="702">
        <v>405500</v>
      </c>
      <c r="K344" s="702">
        <v>280500</v>
      </c>
      <c r="L344" s="702">
        <v>280500</v>
      </c>
      <c r="M344" s="702">
        <v>280500</v>
      </c>
      <c r="N344" s="702">
        <v>280500</v>
      </c>
      <c r="O344" s="702">
        <v>280500</v>
      </c>
      <c r="P344" s="702">
        <v>280500</v>
      </c>
      <c r="Q344" s="702">
        <v>280500</v>
      </c>
      <c r="R344" s="702">
        <v>97500</v>
      </c>
      <c r="S344" s="702">
        <v>37500</v>
      </c>
      <c r="T344" s="702">
        <v>0</v>
      </c>
    </row>
    <row r="345" spans="1:20" s="685" customFormat="1">
      <c r="A345" s="791" t="s">
        <v>180</v>
      </c>
      <c r="B345" s="792"/>
      <c r="C345" s="1021">
        <v>0</v>
      </c>
      <c r="D345" s="1021">
        <v>0</v>
      </c>
      <c r="E345" s="1021">
        <v>0</v>
      </c>
      <c r="F345" s="1021">
        <v>0</v>
      </c>
      <c r="G345" s="1021">
        <v>0</v>
      </c>
      <c r="H345" s="1021">
        <v>0</v>
      </c>
      <c r="I345" s="1021">
        <v>0</v>
      </c>
      <c r="J345" s="1021">
        <v>0</v>
      </c>
      <c r="K345" s="1021">
        <v>0</v>
      </c>
      <c r="L345" s="1021">
        <v>0</v>
      </c>
      <c r="M345" s="1021">
        <v>0</v>
      </c>
      <c r="N345" s="1021">
        <v>0</v>
      </c>
      <c r="O345" s="1021">
        <v>0</v>
      </c>
      <c r="P345" s="1021">
        <v>0</v>
      </c>
      <c r="Q345" s="1021">
        <v>0</v>
      </c>
      <c r="R345" s="1021">
        <v>0</v>
      </c>
      <c r="S345" s="1021">
        <v>0</v>
      </c>
      <c r="T345" s="1021">
        <v>0</v>
      </c>
    </row>
    <row r="346" spans="1:20" s="685" customFormat="1">
      <c r="A346" s="791"/>
      <c r="B346" s="792"/>
      <c r="C346" s="702">
        <v>0</v>
      </c>
      <c r="D346" s="702">
        <v>0</v>
      </c>
      <c r="E346" s="702">
        <v>0</v>
      </c>
      <c r="F346" s="702">
        <v>0</v>
      </c>
      <c r="G346" s="702">
        <v>0</v>
      </c>
      <c r="H346" s="702">
        <v>0</v>
      </c>
      <c r="I346" s="702">
        <v>0</v>
      </c>
      <c r="J346" s="702">
        <v>0</v>
      </c>
      <c r="K346" s="702">
        <v>0</v>
      </c>
      <c r="L346" s="702">
        <v>0</v>
      </c>
      <c r="M346" s="702">
        <v>0</v>
      </c>
      <c r="N346" s="702">
        <v>0</v>
      </c>
      <c r="O346" s="702">
        <v>0</v>
      </c>
      <c r="P346" s="702">
        <v>0</v>
      </c>
      <c r="Q346" s="702">
        <v>0</v>
      </c>
      <c r="R346" s="702">
        <v>0</v>
      </c>
      <c r="S346" s="702">
        <v>0</v>
      </c>
      <c r="T346" s="702">
        <v>0</v>
      </c>
    </row>
    <row r="347" spans="1:20" s="685" customFormat="1">
      <c r="A347" s="791" t="s">
        <v>59</v>
      </c>
      <c r="B347" s="792"/>
      <c r="C347" s="880">
        <v>1770000</v>
      </c>
      <c r="D347" s="880">
        <v>23999</v>
      </c>
      <c r="E347" s="880">
        <v>0</v>
      </c>
      <c r="F347" s="880">
        <v>101000</v>
      </c>
      <c r="G347" s="880">
        <v>210625</v>
      </c>
      <c r="H347" s="880">
        <v>210625</v>
      </c>
      <c r="I347" s="880">
        <v>0</v>
      </c>
      <c r="J347" s="880">
        <v>125000</v>
      </c>
      <c r="K347" s="880">
        <v>0</v>
      </c>
      <c r="L347" s="880">
        <v>0</v>
      </c>
      <c r="M347" s="880">
        <v>0</v>
      </c>
      <c r="N347" s="880">
        <v>0</v>
      </c>
      <c r="O347" s="880">
        <v>0</v>
      </c>
      <c r="P347" s="880">
        <v>99100</v>
      </c>
      <c r="Q347" s="880">
        <v>183000</v>
      </c>
      <c r="R347" s="880">
        <v>60000</v>
      </c>
      <c r="S347" s="880">
        <v>37500</v>
      </c>
      <c r="T347" s="880">
        <v>0</v>
      </c>
    </row>
    <row r="348" spans="1:20" s="685" customFormat="1">
      <c r="A348" s="791"/>
      <c r="B348" s="792"/>
      <c r="C348" s="702">
        <v>2820849</v>
      </c>
      <c r="D348" s="702">
        <v>1050849</v>
      </c>
      <c r="E348" s="702">
        <v>1026850</v>
      </c>
      <c r="F348" s="702">
        <v>1026850</v>
      </c>
      <c r="G348" s="702">
        <v>925850</v>
      </c>
      <c r="H348" s="702">
        <v>715225</v>
      </c>
      <c r="I348" s="702">
        <v>504600</v>
      </c>
      <c r="J348" s="702">
        <v>504600</v>
      </c>
      <c r="K348" s="702">
        <v>379600</v>
      </c>
      <c r="L348" s="702">
        <v>379600</v>
      </c>
      <c r="M348" s="702">
        <v>379600</v>
      </c>
      <c r="N348" s="702">
        <v>379600</v>
      </c>
      <c r="O348" s="702">
        <v>379600</v>
      </c>
      <c r="P348" s="702">
        <v>379600</v>
      </c>
      <c r="Q348" s="702">
        <v>280500</v>
      </c>
      <c r="R348" s="702">
        <v>97500</v>
      </c>
      <c r="S348" s="702">
        <v>37500</v>
      </c>
      <c r="T348" s="702">
        <v>0</v>
      </c>
    </row>
    <row r="349" spans="1:20" s="685" customFormat="1">
      <c r="A349" s="793" t="s">
        <v>350</v>
      </c>
      <c r="B349" s="794"/>
      <c r="C349" s="882">
        <v>-646789</v>
      </c>
      <c r="D349" s="882">
        <v>384411</v>
      </c>
      <c r="E349" s="882">
        <v>424646</v>
      </c>
      <c r="F349" s="882">
        <v>939340</v>
      </c>
      <c r="G349" s="882">
        <v>1210928</v>
      </c>
      <c r="H349" s="882">
        <v>170655</v>
      </c>
      <c r="I349" s="882">
        <v>327036</v>
      </c>
      <c r="J349" s="882">
        <v>203341</v>
      </c>
      <c r="K349" s="882">
        <v>331580</v>
      </c>
      <c r="L349" s="882">
        <v>463487</v>
      </c>
      <c r="M349" s="882">
        <v>545347</v>
      </c>
      <c r="N349" s="882">
        <v>410571</v>
      </c>
      <c r="O349" s="882">
        <v>814746</v>
      </c>
      <c r="P349" s="882">
        <v>265167</v>
      </c>
      <c r="Q349" s="882">
        <v>271825</v>
      </c>
      <c r="R349" s="882">
        <v>-1770</v>
      </c>
      <c r="S349" s="882">
        <v>354451</v>
      </c>
      <c r="T349" s="882">
        <v>0</v>
      </c>
    </row>
    <row r="350" spans="1:20" s="685" customFormat="1">
      <c r="A350" s="793"/>
      <c r="B350" s="794"/>
      <c r="C350" s="702">
        <v>6468972</v>
      </c>
      <c r="D350" s="702">
        <v>7115761</v>
      </c>
      <c r="E350" s="702">
        <v>6731350</v>
      </c>
      <c r="F350" s="702">
        <v>6306704</v>
      </c>
      <c r="G350" s="702">
        <v>5367364</v>
      </c>
      <c r="H350" s="702">
        <v>4156436</v>
      </c>
      <c r="I350" s="702">
        <v>3985781</v>
      </c>
      <c r="J350" s="702">
        <v>3658745</v>
      </c>
      <c r="K350" s="702">
        <v>3455404</v>
      </c>
      <c r="L350" s="702">
        <v>3123824</v>
      </c>
      <c r="M350" s="702">
        <v>2660337</v>
      </c>
      <c r="N350" s="702">
        <v>2114990</v>
      </c>
      <c r="O350" s="702">
        <v>1704419</v>
      </c>
      <c r="P350" s="702">
        <v>889673</v>
      </c>
      <c r="Q350" s="702">
        <v>624506</v>
      </c>
      <c r="R350" s="702">
        <v>352681</v>
      </c>
      <c r="S350" s="702">
        <v>354451</v>
      </c>
      <c r="T350" s="702">
        <v>0</v>
      </c>
    </row>
    <row r="351" spans="1:20" s="685" customFormat="1">
      <c r="A351" s="797"/>
      <c r="B351" s="748"/>
      <c r="C351" s="704"/>
      <c r="D351" s="704"/>
      <c r="E351" s="704"/>
      <c r="F351" s="704"/>
      <c r="G351" s="704"/>
      <c r="H351" s="704"/>
      <c r="I351" s="704"/>
      <c r="J351" s="704"/>
      <c r="K351" s="704"/>
      <c r="L351" s="704"/>
      <c r="M351" s="704"/>
      <c r="N351" s="704"/>
      <c r="O351" s="704"/>
      <c r="P351" s="704"/>
      <c r="Q351" s="704"/>
      <c r="R351" s="704"/>
      <c r="S351" s="704"/>
      <c r="T351" s="704">
        <v>0</v>
      </c>
    </row>
    <row r="352" spans="1:20" s="685" customFormat="1">
      <c r="A352" s="1040" t="s">
        <v>24</v>
      </c>
      <c r="B352" s="792"/>
      <c r="C352" s="1021">
        <v>-7000</v>
      </c>
      <c r="D352" s="1021">
        <v>-2500</v>
      </c>
      <c r="E352" s="1021">
        <v>0</v>
      </c>
      <c r="F352" s="1021">
        <v>0</v>
      </c>
      <c r="G352" s="1021">
        <v>5626</v>
      </c>
      <c r="H352" s="1021">
        <v>0</v>
      </c>
      <c r="I352" s="1021">
        <v>-17500</v>
      </c>
      <c r="J352" s="1021">
        <v>-1500</v>
      </c>
      <c r="K352" s="1021">
        <v>-4500</v>
      </c>
      <c r="L352" s="1021">
        <v>-1500</v>
      </c>
      <c r="M352" s="1021">
        <v>-7000</v>
      </c>
      <c r="N352" s="1021">
        <v>143000</v>
      </c>
      <c r="O352" s="1021">
        <v>3000</v>
      </c>
      <c r="P352" s="1021">
        <v>-4000</v>
      </c>
      <c r="Q352" s="1021">
        <v>0</v>
      </c>
      <c r="R352" s="1021">
        <v>-2500</v>
      </c>
      <c r="S352" s="1021">
        <v>15000</v>
      </c>
      <c r="T352" s="1021">
        <v>0</v>
      </c>
    </row>
    <row r="353" spans="1:20" s="685" customFormat="1">
      <c r="A353" s="1040"/>
      <c r="B353" s="792"/>
      <c r="C353" s="702">
        <v>118626</v>
      </c>
      <c r="D353" s="702">
        <v>125626</v>
      </c>
      <c r="E353" s="702">
        <v>128126</v>
      </c>
      <c r="F353" s="702">
        <v>128126</v>
      </c>
      <c r="G353" s="702">
        <v>128126</v>
      </c>
      <c r="H353" s="702">
        <v>122500</v>
      </c>
      <c r="I353" s="702">
        <v>122500</v>
      </c>
      <c r="J353" s="702">
        <v>140000</v>
      </c>
      <c r="K353" s="702">
        <v>141500</v>
      </c>
      <c r="L353" s="702">
        <v>146000</v>
      </c>
      <c r="M353" s="702">
        <v>147500</v>
      </c>
      <c r="N353" s="702">
        <v>154500</v>
      </c>
      <c r="O353" s="702">
        <v>11500</v>
      </c>
      <c r="P353" s="702">
        <v>8500</v>
      </c>
      <c r="Q353" s="702">
        <v>12500</v>
      </c>
      <c r="R353" s="702">
        <v>12500</v>
      </c>
      <c r="S353" s="702">
        <v>15000</v>
      </c>
      <c r="T353" s="702">
        <v>0</v>
      </c>
    </row>
    <row r="354" spans="1:20" s="685" customFormat="1">
      <c r="A354" s="797"/>
      <c r="B354" s="748"/>
      <c r="C354" s="879"/>
      <c r="D354" s="879"/>
      <c r="E354" s="879"/>
      <c r="F354" s="879"/>
      <c r="G354" s="879"/>
      <c r="H354" s="879"/>
      <c r="I354" s="879"/>
      <c r="J354" s="879"/>
      <c r="K354" s="879"/>
      <c r="L354" s="879"/>
      <c r="M354" s="879"/>
      <c r="N354" s="879"/>
      <c r="O354" s="879"/>
      <c r="P354" s="879"/>
      <c r="Q354" s="879"/>
      <c r="R354" s="879"/>
      <c r="S354" s="879"/>
      <c r="T354" s="879"/>
    </row>
    <row r="355" spans="1:20" s="685" customFormat="1" ht="18">
      <c r="A355" s="787" t="s">
        <v>151</v>
      </c>
      <c r="B355" s="788"/>
      <c r="C355" s="883">
        <v>4618376</v>
      </c>
      <c r="D355" s="883">
        <v>1683293</v>
      </c>
      <c r="E355" s="883">
        <v>1650026</v>
      </c>
      <c r="F355" s="883">
        <v>3998061</v>
      </c>
      <c r="G355" s="883">
        <v>6250497</v>
      </c>
      <c r="H355" s="883">
        <v>1848587</v>
      </c>
      <c r="I355" s="883">
        <v>1398169</v>
      </c>
      <c r="J355" s="883">
        <v>1693055</v>
      </c>
      <c r="K355" s="883">
        <v>1630187</v>
      </c>
      <c r="L355" s="883">
        <v>1884822</v>
      </c>
      <c r="M355" s="883">
        <v>1782828</v>
      </c>
      <c r="N355" s="883">
        <v>2271088</v>
      </c>
      <c r="O355" s="883">
        <v>3200828</v>
      </c>
      <c r="P355" s="883">
        <v>1855203</v>
      </c>
      <c r="Q355" s="883">
        <v>1352282</v>
      </c>
      <c r="R355" s="883">
        <v>459483</v>
      </c>
      <c r="S355" s="883">
        <v>1531783</v>
      </c>
      <c r="T355" s="883">
        <v>0</v>
      </c>
    </row>
    <row r="356" spans="1:20" s="707" customFormat="1" ht="21.6" thickBot="1">
      <c r="A356" s="798" t="s">
        <v>48</v>
      </c>
      <c r="B356" s="799"/>
      <c r="C356" s="706">
        <v>39108568</v>
      </c>
      <c r="D356" s="706">
        <v>34490192</v>
      </c>
      <c r="E356" s="706">
        <v>32806899</v>
      </c>
      <c r="F356" s="706">
        <v>31156873</v>
      </c>
      <c r="G356" s="706">
        <v>27158812</v>
      </c>
      <c r="H356" s="706">
        <v>20908315</v>
      </c>
      <c r="I356" s="706">
        <v>19059728</v>
      </c>
      <c r="J356" s="706">
        <v>17661559</v>
      </c>
      <c r="K356" s="706">
        <v>15968504</v>
      </c>
      <c r="L356" s="706">
        <v>14338317</v>
      </c>
      <c r="M356" s="706">
        <v>12453495</v>
      </c>
      <c r="N356" s="706">
        <v>10670667</v>
      </c>
      <c r="O356" s="706">
        <v>8399579</v>
      </c>
      <c r="P356" s="706">
        <v>5198751</v>
      </c>
      <c r="Q356" s="706">
        <v>3343548</v>
      </c>
      <c r="R356" s="706">
        <v>1991266</v>
      </c>
      <c r="S356" s="706">
        <v>1531783</v>
      </c>
      <c r="T356" s="706">
        <v>0</v>
      </c>
    </row>
    <row r="357" spans="1:20" ht="15" thickTop="1">
      <c r="A357" s="25"/>
      <c r="B357" s="735"/>
      <c r="C357" s="884"/>
      <c r="D357" s="884"/>
      <c r="E357" s="884"/>
      <c r="F357" s="884"/>
      <c r="G357" s="884"/>
      <c r="H357" s="884"/>
      <c r="I357" s="884"/>
      <c r="J357" s="884"/>
      <c r="K357" s="884"/>
      <c r="L357" s="884"/>
      <c r="M357" s="884"/>
      <c r="N357" s="884"/>
      <c r="O357" s="884"/>
      <c r="P357" s="884"/>
      <c r="Q357" s="884"/>
      <c r="R357" s="884"/>
      <c r="S357" s="884"/>
      <c r="T357" s="884"/>
    </row>
    <row r="358" spans="1:20">
      <c r="A358" s="800" t="s">
        <v>351</v>
      </c>
      <c r="B358" s="801"/>
      <c r="C358" s="885">
        <v>6541000</v>
      </c>
      <c r="D358" s="885">
        <v>2205995</v>
      </c>
      <c r="E358" s="885">
        <v>0</v>
      </c>
      <c r="F358" s="885">
        <v>440900</v>
      </c>
      <c r="G358" s="885">
        <v>6982500</v>
      </c>
      <c r="H358" s="885">
        <v>1044900</v>
      </c>
      <c r="I358" s="885">
        <v>0</v>
      </c>
      <c r="J358" s="885">
        <v>520000</v>
      </c>
      <c r="K358" s="885">
        <v>259953</v>
      </c>
      <c r="L358" s="885">
        <v>20000</v>
      </c>
      <c r="M358" s="885">
        <v>0</v>
      </c>
      <c r="N358" s="885">
        <v>0</v>
      </c>
      <c r="O358" s="885">
        <v>20000</v>
      </c>
      <c r="P358" s="885">
        <v>201500</v>
      </c>
      <c r="Q358" s="885">
        <v>416000</v>
      </c>
      <c r="R358" s="885">
        <v>540000</v>
      </c>
      <c r="S358" s="885">
        <v>287500</v>
      </c>
      <c r="T358" s="885">
        <v>0</v>
      </c>
    </row>
    <row r="359" spans="1:20">
      <c r="A359" s="800"/>
      <c r="B359" s="801"/>
      <c r="C359" s="708">
        <v>19480248</v>
      </c>
      <c r="D359" s="708">
        <v>12939248</v>
      </c>
      <c r="E359" s="708">
        <v>10733253</v>
      </c>
      <c r="F359" s="708">
        <v>10733253</v>
      </c>
      <c r="G359" s="708">
        <v>10292353</v>
      </c>
      <c r="H359" s="708">
        <v>3309853</v>
      </c>
      <c r="I359" s="708">
        <v>2264953</v>
      </c>
      <c r="J359" s="708">
        <v>2264953</v>
      </c>
      <c r="K359" s="708">
        <v>1744953</v>
      </c>
      <c r="L359" s="708">
        <v>1485000</v>
      </c>
      <c r="M359" s="708">
        <v>1465000</v>
      </c>
      <c r="N359" s="708">
        <v>1465000</v>
      </c>
      <c r="O359" s="708">
        <v>1465000</v>
      </c>
      <c r="P359" s="708">
        <v>1445000</v>
      </c>
      <c r="Q359" s="708">
        <v>1243500</v>
      </c>
      <c r="R359" s="708">
        <v>827500</v>
      </c>
      <c r="S359" s="708">
        <v>287500</v>
      </c>
      <c r="T359" s="708">
        <v>0</v>
      </c>
    </row>
    <row r="360" spans="1:20">
      <c r="A360" s="25"/>
      <c r="B360" s="735"/>
      <c r="C360" s="884"/>
      <c r="D360" s="884"/>
      <c r="E360" s="884"/>
      <c r="F360" s="884"/>
      <c r="G360" s="884"/>
      <c r="H360" s="884"/>
      <c r="I360" s="884"/>
      <c r="J360" s="884"/>
      <c r="K360" s="884"/>
      <c r="L360" s="884"/>
      <c r="M360" s="884"/>
      <c r="N360" s="884"/>
      <c r="O360" s="884"/>
      <c r="P360" s="884"/>
      <c r="Q360" s="884"/>
      <c r="R360" s="884"/>
      <c r="S360" s="884"/>
      <c r="T360" s="884"/>
    </row>
    <row r="361" spans="1:20" ht="21">
      <c r="A361" s="802" t="s">
        <v>352</v>
      </c>
      <c r="B361" s="803"/>
      <c r="C361" s="886">
        <v>-1922624</v>
      </c>
      <c r="D361" s="886">
        <v>-522702</v>
      </c>
      <c r="E361" s="886">
        <v>1650026</v>
      </c>
      <c r="F361" s="886">
        <v>3557161</v>
      </c>
      <c r="G361" s="886">
        <v>-732003</v>
      </c>
      <c r="H361" s="886">
        <v>803687</v>
      </c>
      <c r="I361" s="886">
        <v>1398169</v>
      </c>
      <c r="J361" s="886">
        <v>1173055</v>
      </c>
      <c r="K361" s="886">
        <v>1370234</v>
      </c>
      <c r="L361" s="886">
        <v>1864822</v>
      </c>
      <c r="M361" s="886">
        <v>1782828</v>
      </c>
      <c r="N361" s="886">
        <v>2271088</v>
      </c>
      <c r="O361" s="886">
        <v>3180828</v>
      </c>
      <c r="P361" s="886">
        <v>1653703</v>
      </c>
      <c r="Q361" s="886">
        <v>936282</v>
      </c>
      <c r="R361" s="886">
        <v>-80517</v>
      </c>
      <c r="S361" s="886">
        <v>1244283</v>
      </c>
      <c r="T361" s="886">
        <v>0</v>
      </c>
    </row>
    <row r="362" spans="1:20" ht="21">
      <c r="A362" s="804"/>
      <c r="B362" s="803"/>
      <c r="C362" s="709">
        <v>19628320</v>
      </c>
      <c r="D362" s="709">
        <v>21550944</v>
      </c>
      <c r="E362" s="709">
        <v>22073646</v>
      </c>
      <c r="F362" s="709">
        <v>20423620</v>
      </c>
      <c r="G362" s="709">
        <v>16866459</v>
      </c>
      <c r="H362" s="709">
        <v>17598462</v>
      </c>
      <c r="I362" s="709">
        <v>16794775</v>
      </c>
      <c r="J362" s="709">
        <v>15396606</v>
      </c>
      <c r="K362" s="709">
        <v>14223551</v>
      </c>
      <c r="L362" s="709">
        <v>12853317</v>
      </c>
      <c r="M362" s="709">
        <v>10988495</v>
      </c>
      <c r="N362" s="709">
        <v>9205667</v>
      </c>
      <c r="O362" s="709">
        <v>6934579</v>
      </c>
      <c r="P362" s="709">
        <v>3753751</v>
      </c>
      <c r="Q362" s="709">
        <v>2100048</v>
      </c>
      <c r="R362" s="709">
        <v>1163766</v>
      </c>
      <c r="S362" s="709">
        <v>1244283</v>
      </c>
      <c r="T362" s="709">
        <v>0</v>
      </c>
    </row>
    <row r="363" spans="1:20" ht="15" thickBot="1">
      <c r="A363" s="5"/>
      <c r="B363" s="16"/>
      <c r="C363" s="710"/>
      <c r="D363" s="710"/>
      <c r="E363" s="710"/>
      <c r="F363" s="710"/>
      <c r="G363" s="710"/>
      <c r="H363" s="710"/>
      <c r="I363" s="710"/>
      <c r="J363" s="710"/>
      <c r="K363" s="710"/>
      <c r="L363" s="710"/>
      <c r="M363" s="710"/>
      <c r="N363" s="710"/>
      <c r="O363" s="710"/>
      <c r="P363" s="710"/>
      <c r="Q363" s="710"/>
      <c r="R363" s="710"/>
      <c r="S363" s="710"/>
      <c r="T363" s="710"/>
    </row>
    <row r="364" spans="1:20" s="685" customFormat="1">
      <c r="A364" s="805" t="s">
        <v>194</v>
      </c>
      <c r="B364" s="806" t="s">
        <v>290</v>
      </c>
      <c r="C364" s="887">
        <v>0</v>
      </c>
      <c r="D364" s="887">
        <v>0</v>
      </c>
      <c r="E364" s="887">
        <v>0</v>
      </c>
      <c r="F364" s="887">
        <v>0</v>
      </c>
      <c r="G364" s="887">
        <v>0</v>
      </c>
      <c r="H364" s="887">
        <v>0</v>
      </c>
      <c r="I364" s="887">
        <v>0</v>
      </c>
      <c r="J364" s="887">
        <v>0</v>
      </c>
      <c r="K364" s="887">
        <v>0</v>
      </c>
      <c r="L364" s="887">
        <v>0</v>
      </c>
      <c r="M364" s="887">
        <v>0</v>
      </c>
      <c r="N364" s="887">
        <v>0</v>
      </c>
      <c r="O364" s="887">
        <v>0</v>
      </c>
      <c r="P364" s="887">
        <v>0</v>
      </c>
      <c r="Q364" s="887">
        <v>0</v>
      </c>
      <c r="R364" s="887">
        <v>0</v>
      </c>
      <c r="S364" s="887">
        <v>0</v>
      </c>
      <c r="T364" s="887">
        <v>0</v>
      </c>
    </row>
    <row r="365" spans="1:20" s="685" customFormat="1">
      <c r="A365" s="807" t="s">
        <v>196</v>
      </c>
      <c r="B365" s="808"/>
      <c r="C365" s="705">
        <v>0</v>
      </c>
      <c r="D365" s="705">
        <v>0</v>
      </c>
      <c r="E365" s="705">
        <v>0</v>
      </c>
      <c r="F365" s="705">
        <v>0</v>
      </c>
      <c r="G365" s="705">
        <v>0</v>
      </c>
      <c r="H365" s="705">
        <v>0</v>
      </c>
      <c r="I365" s="705">
        <v>0</v>
      </c>
      <c r="J365" s="705">
        <v>0</v>
      </c>
      <c r="K365" s="705">
        <v>0</v>
      </c>
      <c r="L365" s="705">
        <v>0</v>
      </c>
      <c r="M365" s="705">
        <v>0</v>
      </c>
      <c r="N365" s="705">
        <v>0</v>
      </c>
      <c r="O365" s="705">
        <v>0</v>
      </c>
      <c r="P365" s="705">
        <v>0</v>
      </c>
      <c r="Q365" s="705">
        <v>0</v>
      </c>
      <c r="R365" s="705">
        <v>0</v>
      </c>
      <c r="S365" s="705">
        <v>0</v>
      </c>
      <c r="T365" s="705">
        <v>0</v>
      </c>
    </row>
    <row r="366" spans="1:20" s="712" customFormat="1" ht="15" thickBot="1">
      <c r="A366" s="809"/>
      <c r="B366" s="810"/>
      <c r="C366" s="711">
        <v>0</v>
      </c>
      <c r="D366" s="711">
        <v>0</v>
      </c>
      <c r="E366" s="711">
        <v>0</v>
      </c>
      <c r="F366" s="711">
        <v>0</v>
      </c>
      <c r="G366" s="711">
        <v>0</v>
      </c>
      <c r="H366" s="711">
        <v>0</v>
      </c>
      <c r="I366" s="711">
        <v>0</v>
      </c>
      <c r="J366" s="711">
        <v>0</v>
      </c>
      <c r="K366" s="711">
        <v>0</v>
      </c>
      <c r="L366" s="711">
        <v>0</v>
      </c>
      <c r="M366" s="711">
        <v>0</v>
      </c>
      <c r="N366" s="711">
        <v>0</v>
      </c>
      <c r="O366" s="711">
        <v>0</v>
      </c>
      <c r="P366" s="711">
        <v>0</v>
      </c>
      <c r="Q366" s="711">
        <v>0</v>
      </c>
      <c r="R366" s="711">
        <v>0</v>
      </c>
      <c r="S366" s="711">
        <v>0</v>
      </c>
      <c r="T366" s="711">
        <v>0</v>
      </c>
    </row>
    <row r="367" spans="1:20" s="685" customFormat="1">
      <c r="A367" s="805" t="s">
        <v>195</v>
      </c>
      <c r="B367" s="806" t="s">
        <v>277</v>
      </c>
      <c r="C367" s="887">
        <v>0</v>
      </c>
      <c r="D367" s="887">
        <v>0</v>
      </c>
      <c r="E367" s="887">
        <v>0</v>
      </c>
      <c r="F367" s="887">
        <v>0</v>
      </c>
      <c r="G367" s="887">
        <v>0</v>
      </c>
      <c r="H367" s="887">
        <v>0</v>
      </c>
      <c r="I367" s="887">
        <v>0</v>
      </c>
      <c r="J367" s="887">
        <v>0</v>
      </c>
      <c r="K367" s="887">
        <v>0</v>
      </c>
      <c r="L367" s="887">
        <v>0</v>
      </c>
      <c r="M367" s="887">
        <v>0</v>
      </c>
      <c r="N367" s="887">
        <v>0</v>
      </c>
      <c r="O367" s="887">
        <v>0</v>
      </c>
      <c r="P367" s="887">
        <v>0</v>
      </c>
      <c r="Q367" s="887">
        <v>0</v>
      </c>
      <c r="R367" s="887">
        <v>0</v>
      </c>
      <c r="S367" s="887">
        <v>0</v>
      </c>
      <c r="T367" s="887">
        <v>0</v>
      </c>
    </row>
    <row r="368" spans="1:20" s="685" customFormat="1">
      <c r="A368" s="807" t="s">
        <v>196</v>
      </c>
      <c r="B368" s="808"/>
      <c r="C368" s="705">
        <v>0</v>
      </c>
      <c r="D368" s="705">
        <v>0</v>
      </c>
      <c r="E368" s="705">
        <v>0</v>
      </c>
      <c r="F368" s="705">
        <v>0</v>
      </c>
      <c r="G368" s="705">
        <v>0</v>
      </c>
      <c r="H368" s="705">
        <v>0</v>
      </c>
      <c r="I368" s="705">
        <v>0</v>
      </c>
      <c r="J368" s="705">
        <v>0</v>
      </c>
      <c r="K368" s="705">
        <v>0</v>
      </c>
      <c r="L368" s="705">
        <v>0</v>
      </c>
      <c r="M368" s="705">
        <v>0</v>
      </c>
      <c r="N368" s="705">
        <v>0</v>
      </c>
      <c r="O368" s="705">
        <v>0</v>
      </c>
      <c r="P368" s="705">
        <v>0</v>
      </c>
      <c r="Q368" s="705">
        <v>0</v>
      </c>
      <c r="R368" s="705">
        <v>0</v>
      </c>
      <c r="S368" s="705">
        <v>0</v>
      </c>
      <c r="T368" s="705">
        <v>0</v>
      </c>
    </row>
    <row r="369" spans="1:20" s="712" customFormat="1" ht="15" thickBot="1">
      <c r="A369" s="809"/>
      <c r="B369" s="810"/>
      <c r="C369" s="711">
        <v>0</v>
      </c>
      <c r="D369" s="711">
        <v>0</v>
      </c>
      <c r="E369" s="711">
        <v>0</v>
      </c>
      <c r="F369" s="711">
        <v>0</v>
      </c>
      <c r="G369" s="711">
        <v>0</v>
      </c>
      <c r="H369" s="711">
        <v>0</v>
      </c>
      <c r="I369" s="711">
        <v>0</v>
      </c>
      <c r="J369" s="711">
        <v>0</v>
      </c>
      <c r="K369" s="711">
        <v>0</v>
      </c>
      <c r="L369" s="711">
        <v>0</v>
      </c>
      <c r="M369" s="711">
        <v>0</v>
      </c>
      <c r="N369" s="711">
        <v>0</v>
      </c>
      <c r="O369" s="711">
        <v>0</v>
      </c>
      <c r="P369" s="711">
        <v>0</v>
      </c>
      <c r="Q369" s="711">
        <v>0</v>
      </c>
      <c r="R369" s="711">
        <v>0</v>
      </c>
      <c r="S369" s="711">
        <v>0</v>
      </c>
      <c r="T369" s="711">
        <v>0</v>
      </c>
    </row>
    <row r="370" spans="1:20" s="685" customFormat="1">
      <c r="A370" s="811" t="s">
        <v>341</v>
      </c>
      <c r="B370" s="806" t="s">
        <v>342</v>
      </c>
      <c r="C370" s="887">
        <v>0</v>
      </c>
      <c r="D370" s="887">
        <v>0</v>
      </c>
      <c r="E370" s="887">
        <v>0</v>
      </c>
      <c r="F370" s="887">
        <v>0</v>
      </c>
      <c r="G370" s="887">
        <v>0</v>
      </c>
      <c r="H370" s="887">
        <v>0</v>
      </c>
      <c r="I370" s="887">
        <v>0</v>
      </c>
      <c r="J370" s="887">
        <v>0</v>
      </c>
      <c r="K370" s="887">
        <v>0</v>
      </c>
      <c r="L370" s="887">
        <v>0</v>
      </c>
      <c r="M370" s="887">
        <v>0</v>
      </c>
      <c r="N370" s="887">
        <v>0</v>
      </c>
      <c r="O370" s="887">
        <v>0</v>
      </c>
      <c r="P370" s="887">
        <v>0</v>
      </c>
      <c r="Q370" s="887">
        <v>0</v>
      </c>
      <c r="R370" s="887">
        <v>0</v>
      </c>
      <c r="S370" s="887">
        <v>0</v>
      </c>
      <c r="T370" s="887">
        <v>0</v>
      </c>
    </row>
    <row r="371" spans="1:20" s="685" customFormat="1">
      <c r="A371" s="807" t="s">
        <v>196</v>
      </c>
      <c r="B371" s="808"/>
      <c r="C371" s="705">
        <v>0</v>
      </c>
      <c r="D371" s="705">
        <v>0</v>
      </c>
      <c r="E371" s="705">
        <v>0</v>
      </c>
      <c r="F371" s="705">
        <v>0</v>
      </c>
      <c r="G371" s="705">
        <v>0</v>
      </c>
      <c r="H371" s="705">
        <v>0</v>
      </c>
      <c r="I371" s="705">
        <v>0</v>
      </c>
      <c r="J371" s="705">
        <v>0</v>
      </c>
      <c r="K371" s="705">
        <v>0</v>
      </c>
      <c r="L371" s="705">
        <v>0</v>
      </c>
      <c r="M371" s="705">
        <v>0</v>
      </c>
      <c r="N371" s="705">
        <v>0</v>
      </c>
      <c r="O371" s="705">
        <v>0</v>
      </c>
      <c r="P371" s="705">
        <v>0</v>
      </c>
      <c r="Q371" s="705">
        <v>0</v>
      </c>
      <c r="R371" s="705">
        <v>0</v>
      </c>
      <c r="S371" s="705">
        <v>0</v>
      </c>
      <c r="T371" s="705">
        <v>0</v>
      </c>
    </row>
    <row r="372" spans="1:20" s="712" customFormat="1" ht="15" thickBot="1">
      <c r="A372" s="809"/>
      <c r="B372" s="810"/>
      <c r="C372" s="711">
        <v>0</v>
      </c>
      <c r="D372" s="711">
        <v>0</v>
      </c>
      <c r="E372" s="711">
        <v>0</v>
      </c>
      <c r="F372" s="711">
        <v>0</v>
      </c>
      <c r="G372" s="711">
        <v>0</v>
      </c>
      <c r="H372" s="711">
        <v>0</v>
      </c>
      <c r="I372" s="711">
        <v>0</v>
      </c>
      <c r="J372" s="711">
        <v>0</v>
      </c>
      <c r="K372" s="711">
        <v>0</v>
      </c>
      <c r="L372" s="711">
        <v>0</v>
      </c>
      <c r="M372" s="711">
        <v>0</v>
      </c>
      <c r="N372" s="711">
        <v>0</v>
      </c>
      <c r="O372" s="711">
        <v>0</v>
      </c>
      <c r="P372" s="711">
        <v>0</v>
      </c>
      <c r="Q372" s="711">
        <v>0</v>
      </c>
      <c r="R372" s="711">
        <v>0</v>
      </c>
      <c r="S372" s="711">
        <v>0</v>
      </c>
      <c r="T372" s="711">
        <v>0</v>
      </c>
    </row>
    <row r="373" spans="1:20" s="713" customFormat="1" ht="18">
      <c r="A373" s="812" t="s">
        <v>362</v>
      </c>
      <c r="B373" s="813"/>
      <c r="C373" s="958">
        <v>0</v>
      </c>
      <c r="D373" s="958">
        <v>0</v>
      </c>
      <c r="E373" s="958">
        <v>0</v>
      </c>
      <c r="F373" s="958">
        <v>0</v>
      </c>
      <c r="G373" s="958">
        <v>0</v>
      </c>
      <c r="H373" s="958">
        <v>0</v>
      </c>
      <c r="I373" s="958">
        <v>0</v>
      </c>
      <c r="J373" s="958">
        <v>0</v>
      </c>
      <c r="K373" s="958">
        <v>0</v>
      </c>
      <c r="L373" s="958">
        <v>0</v>
      </c>
      <c r="M373" s="958">
        <v>0</v>
      </c>
      <c r="N373" s="958">
        <v>0</v>
      </c>
      <c r="O373" s="958">
        <v>0</v>
      </c>
      <c r="P373" s="958">
        <v>0</v>
      </c>
      <c r="Q373" s="958">
        <v>0</v>
      </c>
      <c r="R373" s="958">
        <v>0</v>
      </c>
      <c r="S373" s="958">
        <v>0</v>
      </c>
      <c r="T373" s="958">
        <v>0</v>
      </c>
    </row>
    <row r="374" spans="1:20" s="715" customFormat="1" ht="18">
      <c r="A374" s="814" t="s">
        <v>85</v>
      </c>
      <c r="B374" s="815"/>
      <c r="C374" s="714">
        <v>0</v>
      </c>
      <c r="D374" s="714">
        <v>0</v>
      </c>
      <c r="E374" s="714">
        <v>0</v>
      </c>
      <c r="F374" s="714">
        <v>0</v>
      </c>
      <c r="G374" s="714">
        <v>0</v>
      </c>
      <c r="H374" s="714">
        <v>0</v>
      </c>
      <c r="I374" s="714">
        <v>0</v>
      </c>
      <c r="J374" s="714">
        <v>0</v>
      </c>
      <c r="K374" s="714">
        <v>0</v>
      </c>
      <c r="L374" s="714">
        <v>0</v>
      </c>
      <c r="M374" s="714">
        <v>0</v>
      </c>
      <c r="N374" s="714">
        <v>0</v>
      </c>
      <c r="O374" s="714">
        <v>0</v>
      </c>
      <c r="P374" s="714">
        <v>0</v>
      </c>
      <c r="Q374" s="714">
        <v>0</v>
      </c>
      <c r="R374" s="714">
        <v>0</v>
      </c>
      <c r="S374" s="714">
        <v>0</v>
      </c>
      <c r="T374" s="714">
        <v>0</v>
      </c>
    </row>
    <row r="375" spans="1:20" s="426" customFormat="1" ht="15" thickBot="1">
      <c r="A375" s="65"/>
      <c r="B375" s="753"/>
      <c r="C375" s="971"/>
      <c r="D375" s="971"/>
      <c r="E375" s="971"/>
      <c r="F375" s="971"/>
      <c r="G375" s="971"/>
      <c r="H375" s="971"/>
      <c r="I375" s="971"/>
      <c r="J375" s="971"/>
      <c r="K375" s="971"/>
      <c r="L375" s="971"/>
      <c r="M375" s="971"/>
      <c r="N375" s="971"/>
      <c r="O375" s="971"/>
      <c r="P375" s="971"/>
      <c r="Q375" s="971"/>
      <c r="R375" s="971"/>
      <c r="S375" s="971"/>
      <c r="T375" s="971"/>
    </row>
    <row r="376" spans="1:20" s="426" customFormat="1">
      <c r="A376" s="3" t="s">
        <v>576</v>
      </c>
      <c r="B376" s="734"/>
      <c r="C376" s="974"/>
      <c r="D376" s="974"/>
      <c r="E376" s="974"/>
      <c r="F376" s="974"/>
      <c r="G376" s="974"/>
      <c r="H376" s="974"/>
      <c r="I376" s="974"/>
      <c r="J376" s="974"/>
      <c r="K376" s="974"/>
      <c r="L376" s="974"/>
      <c r="M376" s="974"/>
      <c r="N376" s="974"/>
      <c r="O376" s="974"/>
      <c r="P376" s="974"/>
      <c r="Q376" s="974"/>
      <c r="R376" s="974"/>
      <c r="S376" s="974"/>
      <c r="T376" s="974"/>
    </row>
    <row r="377" spans="1:20">
      <c r="A377" s="1" t="s">
        <v>573</v>
      </c>
      <c r="B377" s="736"/>
      <c r="C377" s="876">
        <v>0</v>
      </c>
      <c r="D377" s="876">
        <v>735000</v>
      </c>
      <c r="E377" s="876">
        <v>150000</v>
      </c>
      <c r="F377" s="876">
        <v>448000</v>
      </c>
      <c r="G377" s="876">
        <v>0</v>
      </c>
      <c r="H377" s="876">
        <v>0</v>
      </c>
      <c r="I377" s="876">
        <v>0</v>
      </c>
      <c r="J377" s="876">
        <v>0</v>
      </c>
      <c r="K377" s="876">
        <v>0</v>
      </c>
      <c r="L377" s="876">
        <v>0</v>
      </c>
      <c r="M377" s="876">
        <v>0</v>
      </c>
      <c r="N377" s="876">
        <v>875000</v>
      </c>
      <c r="O377" s="876">
        <v>168000</v>
      </c>
      <c r="P377" s="876">
        <v>255000</v>
      </c>
      <c r="Q377" s="876">
        <v>0</v>
      </c>
      <c r="R377" s="876">
        <v>0</v>
      </c>
      <c r="S377" s="876">
        <v>0</v>
      </c>
      <c r="T377" s="876">
        <v>0</v>
      </c>
    </row>
    <row r="378" spans="1:20" s="426" customFormat="1">
      <c r="A378" s="969" t="s">
        <v>13</v>
      </c>
      <c r="B378" s="748"/>
      <c r="C378" s="970">
        <v>2631000</v>
      </c>
      <c r="D378" s="970">
        <v>2631000</v>
      </c>
      <c r="E378" s="970">
        <v>1896000</v>
      </c>
      <c r="F378" s="970">
        <v>1746000</v>
      </c>
      <c r="G378" s="970">
        <v>1298000</v>
      </c>
      <c r="H378" s="970">
        <v>1298000</v>
      </c>
      <c r="I378" s="970">
        <v>1298000</v>
      </c>
      <c r="J378" s="970">
        <v>1298000</v>
      </c>
      <c r="K378" s="970">
        <v>1298000</v>
      </c>
      <c r="L378" s="970">
        <v>1298000</v>
      </c>
      <c r="M378" s="970">
        <v>1298000</v>
      </c>
      <c r="N378" s="970">
        <v>1298000</v>
      </c>
      <c r="O378" s="970">
        <v>423000</v>
      </c>
      <c r="P378" s="970">
        <v>255000</v>
      </c>
      <c r="Q378" s="970">
        <v>0</v>
      </c>
      <c r="R378" s="970">
        <v>0</v>
      </c>
      <c r="S378" s="970">
        <v>0</v>
      </c>
      <c r="T378" s="970">
        <v>0</v>
      </c>
    </row>
    <row r="379" spans="1:20">
      <c r="A379" s="1" t="s">
        <v>574</v>
      </c>
      <c r="B379" s="736"/>
      <c r="C379" s="876">
        <v>0</v>
      </c>
      <c r="D379" s="876">
        <v>0</v>
      </c>
      <c r="E379" s="876">
        <v>0</v>
      </c>
      <c r="F379" s="876">
        <v>0</v>
      </c>
      <c r="G379" s="876">
        <v>0</v>
      </c>
      <c r="H379" s="876">
        <v>0</v>
      </c>
      <c r="I379" s="876">
        <v>0</v>
      </c>
      <c r="J379" s="876">
        <v>0</v>
      </c>
      <c r="K379" s="876">
        <v>0</v>
      </c>
      <c r="L379" s="876">
        <v>0</v>
      </c>
      <c r="M379" s="876">
        <v>0</v>
      </c>
      <c r="N379" s="876">
        <v>0</v>
      </c>
      <c r="O379" s="876">
        <v>0</v>
      </c>
      <c r="P379" s="876">
        <v>0</v>
      </c>
      <c r="Q379" s="876">
        <v>0</v>
      </c>
      <c r="R379" s="876">
        <v>0</v>
      </c>
      <c r="S379" s="876">
        <v>0</v>
      </c>
      <c r="T379" s="876">
        <v>0</v>
      </c>
    </row>
    <row r="380" spans="1:20" s="426" customFormat="1">
      <c r="A380" s="969" t="s">
        <v>13</v>
      </c>
      <c r="B380" s="748"/>
      <c r="C380" s="970">
        <v>0</v>
      </c>
      <c r="D380" s="970">
        <v>0</v>
      </c>
      <c r="E380" s="970">
        <v>0</v>
      </c>
      <c r="F380" s="970">
        <v>0</v>
      </c>
      <c r="G380" s="970">
        <v>0</v>
      </c>
      <c r="H380" s="970">
        <v>0</v>
      </c>
      <c r="I380" s="970">
        <v>0</v>
      </c>
      <c r="J380" s="970">
        <v>0</v>
      </c>
      <c r="K380" s="970">
        <v>0</v>
      </c>
      <c r="L380" s="970">
        <v>0</v>
      </c>
      <c r="M380" s="970">
        <v>0</v>
      </c>
      <c r="N380" s="970">
        <v>0</v>
      </c>
      <c r="O380" s="970">
        <v>0</v>
      </c>
      <c r="P380" s="970">
        <v>0</v>
      </c>
      <c r="Q380" s="970">
        <v>0</v>
      </c>
      <c r="R380" s="970">
        <v>0</v>
      </c>
      <c r="S380" s="970">
        <v>0</v>
      </c>
      <c r="T380" s="970">
        <v>0</v>
      </c>
    </row>
    <row r="381" spans="1:20">
      <c r="A381" s="1" t="s">
        <v>575</v>
      </c>
      <c r="B381" s="736"/>
      <c r="C381" s="876">
        <v>0</v>
      </c>
      <c r="D381" s="876">
        <v>0</v>
      </c>
      <c r="E381" s="876">
        <v>0</v>
      </c>
      <c r="F381" s="876">
        <v>0</v>
      </c>
      <c r="G381" s="876">
        <v>0</v>
      </c>
      <c r="H381" s="876">
        <v>0</v>
      </c>
      <c r="I381" s="876">
        <v>0</v>
      </c>
      <c r="J381" s="876">
        <v>0</v>
      </c>
      <c r="K381" s="876">
        <v>0</v>
      </c>
      <c r="L381" s="876">
        <v>0</v>
      </c>
      <c r="M381" s="876">
        <v>0</v>
      </c>
      <c r="N381" s="876">
        <v>0</v>
      </c>
      <c r="O381" s="876">
        <v>0</v>
      </c>
      <c r="P381" s="876">
        <v>0</v>
      </c>
      <c r="Q381" s="876">
        <v>0</v>
      </c>
      <c r="R381" s="876">
        <v>0</v>
      </c>
      <c r="S381" s="876">
        <v>0</v>
      </c>
      <c r="T381" s="876">
        <v>0</v>
      </c>
    </row>
    <row r="382" spans="1:20" s="426" customFormat="1">
      <c r="A382" s="969" t="s">
        <v>13</v>
      </c>
      <c r="B382" s="748"/>
      <c r="C382" s="970">
        <v>0</v>
      </c>
      <c r="D382" s="970">
        <v>0</v>
      </c>
      <c r="E382" s="970">
        <v>0</v>
      </c>
      <c r="F382" s="970">
        <v>0</v>
      </c>
      <c r="G382" s="970">
        <v>0</v>
      </c>
      <c r="H382" s="970">
        <v>0</v>
      </c>
      <c r="I382" s="970">
        <v>0</v>
      </c>
      <c r="J382" s="970">
        <v>0</v>
      </c>
      <c r="K382" s="970">
        <v>0</v>
      </c>
      <c r="L382" s="970">
        <v>0</v>
      </c>
      <c r="M382" s="970">
        <v>0</v>
      </c>
      <c r="N382" s="970">
        <v>0</v>
      </c>
      <c r="O382" s="970">
        <v>0</v>
      </c>
      <c r="P382" s="970">
        <v>0</v>
      </c>
      <c r="Q382" s="970">
        <v>0</v>
      </c>
      <c r="R382" s="970">
        <v>0</v>
      </c>
      <c r="S382" s="970">
        <v>0</v>
      </c>
      <c r="T382" s="970">
        <v>0</v>
      </c>
    </row>
    <row r="383" spans="1:20">
      <c r="A383" s="965" t="s">
        <v>27</v>
      </c>
      <c r="B383" s="736"/>
      <c r="C383" s="876">
        <v>0</v>
      </c>
      <c r="D383" s="876">
        <v>0</v>
      </c>
      <c r="E383" s="876">
        <v>0</v>
      </c>
      <c r="F383" s="876">
        <v>0</v>
      </c>
      <c r="G383" s="876">
        <v>1750000</v>
      </c>
      <c r="H383" s="876">
        <v>0</v>
      </c>
      <c r="I383" s="876">
        <v>0</v>
      </c>
      <c r="J383" s="876">
        <v>500000</v>
      </c>
      <c r="K383" s="876">
        <v>0</v>
      </c>
      <c r="L383" s="876">
        <v>0</v>
      </c>
      <c r="M383" s="876">
        <v>0</v>
      </c>
      <c r="N383" s="876">
        <v>0</v>
      </c>
      <c r="O383" s="876">
        <v>0</v>
      </c>
      <c r="P383" s="876">
        <v>0</v>
      </c>
      <c r="Q383" s="876">
        <v>0</v>
      </c>
      <c r="R383" s="876">
        <v>0</v>
      </c>
      <c r="S383" s="876">
        <v>0</v>
      </c>
      <c r="T383" s="876">
        <v>0</v>
      </c>
    </row>
    <row r="384" spans="1:20" s="426" customFormat="1">
      <c r="A384" s="969" t="s">
        <v>13</v>
      </c>
      <c r="B384" s="748"/>
      <c r="C384" s="970">
        <v>2250000</v>
      </c>
      <c r="D384" s="970">
        <v>2250000</v>
      </c>
      <c r="E384" s="970">
        <v>2250000</v>
      </c>
      <c r="F384" s="970">
        <v>2250000</v>
      </c>
      <c r="G384" s="970">
        <v>2250000</v>
      </c>
      <c r="H384" s="970">
        <v>500000</v>
      </c>
      <c r="I384" s="970">
        <v>500000</v>
      </c>
      <c r="J384" s="970">
        <v>500000</v>
      </c>
      <c r="K384" s="970">
        <v>0</v>
      </c>
      <c r="L384" s="970">
        <v>0</v>
      </c>
      <c r="M384" s="970">
        <v>0</v>
      </c>
      <c r="N384" s="970">
        <v>0</v>
      </c>
      <c r="O384" s="970">
        <v>0</v>
      </c>
      <c r="P384" s="970">
        <v>0</v>
      </c>
      <c r="Q384" s="970">
        <v>0</v>
      </c>
      <c r="R384" s="970">
        <v>0</v>
      </c>
      <c r="S384" s="970">
        <v>0</v>
      </c>
      <c r="T384" s="970">
        <v>0</v>
      </c>
    </row>
    <row r="385" spans="1:20" s="426" customFormat="1">
      <c r="A385" s="965" t="s">
        <v>180</v>
      </c>
      <c r="B385" s="748"/>
      <c r="C385" s="892">
        <v>0</v>
      </c>
      <c r="D385" s="892">
        <v>0</v>
      </c>
      <c r="E385" s="892">
        <v>0</v>
      </c>
      <c r="F385" s="892">
        <v>0</v>
      </c>
      <c r="G385" s="892">
        <v>0</v>
      </c>
      <c r="H385" s="892">
        <v>0</v>
      </c>
      <c r="I385" s="892">
        <v>0</v>
      </c>
      <c r="J385" s="892">
        <v>0</v>
      </c>
      <c r="K385" s="892">
        <v>0</v>
      </c>
      <c r="L385" s="892">
        <v>0</v>
      </c>
      <c r="M385" s="892">
        <v>0</v>
      </c>
      <c r="N385" s="892">
        <v>0</v>
      </c>
      <c r="O385" s="892">
        <v>40000</v>
      </c>
      <c r="P385" s="892">
        <v>20000</v>
      </c>
      <c r="Q385" s="892">
        <v>0</v>
      </c>
      <c r="R385" s="892">
        <v>0</v>
      </c>
      <c r="S385" s="892">
        <v>0</v>
      </c>
      <c r="T385" s="892">
        <v>0</v>
      </c>
    </row>
    <row r="386" spans="1:20" s="426" customFormat="1">
      <c r="A386" s="969" t="s">
        <v>13</v>
      </c>
      <c r="B386" s="748"/>
      <c r="C386" s="970">
        <v>60000</v>
      </c>
      <c r="D386" s="970">
        <v>60000</v>
      </c>
      <c r="E386" s="970">
        <v>60000</v>
      </c>
      <c r="F386" s="970">
        <v>60000</v>
      </c>
      <c r="G386" s="970">
        <v>60000</v>
      </c>
      <c r="H386" s="970">
        <v>60000</v>
      </c>
      <c r="I386" s="970">
        <v>60000</v>
      </c>
      <c r="J386" s="970">
        <v>60000</v>
      </c>
      <c r="K386" s="970">
        <v>60000</v>
      </c>
      <c r="L386" s="970">
        <v>60000</v>
      </c>
      <c r="M386" s="970">
        <v>60000</v>
      </c>
      <c r="N386" s="970">
        <v>60000</v>
      </c>
      <c r="O386" s="970">
        <v>60000</v>
      </c>
      <c r="P386" s="970">
        <v>20000</v>
      </c>
      <c r="Q386" s="970">
        <v>0</v>
      </c>
      <c r="R386" s="970">
        <v>0</v>
      </c>
      <c r="S386" s="970">
        <v>0</v>
      </c>
      <c r="T386" s="970">
        <v>0</v>
      </c>
    </row>
    <row r="387" spans="1:20" s="426" customFormat="1">
      <c r="A387" s="29" t="s">
        <v>151</v>
      </c>
      <c r="B387" s="748"/>
      <c r="C387" s="892">
        <v>0</v>
      </c>
      <c r="D387" s="892">
        <v>735000</v>
      </c>
      <c r="E387" s="892">
        <v>150000</v>
      </c>
      <c r="F387" s="892">
        <v>448000</v>
      </c>
      <c r="G387" s="892">
        <v>1750000</v>
      </c>
      <c r="H387" s="892">
        <v>0</v>
      </c>
      <c r="I387" s="892">
        <v>0</v>
      </c>
      <c r="J387" s="892">
        <v>500000</v>
      </c>
      <c r="K387" s="892">
        <v>0</v>
      </c>
      <c r="L387" s="892">
        <v>0</v>
      </c>
      <c r="M387" s="892">
        <v>0</v>
      </c>
      <c r="N387" s="892">
        <v>875000</v>
      </c>
      <c r="O387" s="892">
        <v>208000</v>
      </c>
      <c r="P387" s="892">
        <v>275000</v>
      </c>
      <c r="Q387" s="892">
        <v>0</v>
      </c>
      <c r="R387" s="892">
        <v>0</v>
      </c>
      <c r="S387" s="892">
        <v>0</v>
      </c>
      <c r="T387" s="892">
        <v>0</v>
      </c>
    </row>
    <row r="388" spans="1:20" s="426" customFormat="1" ht="15" thickBot="1">
      <c r="A388" s="975" t="s">
        <v>13</v>
      </c>
      <c r="B388" s="976"/>
      <c r="C388" s="977">
        <v>4941000</v>
      </c>
      <c r="D388" s="977">
        <v>4941000</v>
      </c>
      <c r="E388" s="977">
        <v>4206000</v>
      </c>
      <c r="F388" s="977">
        <v>4056000</v>
      </c>
      <c r="G388" s="977">
        <v>3608000</v>
      </c>
      <c r="H388" s="977">
        <v>1858000</v>
      </c>
      <c r="I388" s="977">
        <v>1858000</v>
      </c>
      <c r="J388" s="977">
        <v>1858000</v>
      </c>
      <c r="K388" s="977">
        <v>1358000</v>
      </c>
      <c r="L388" s="977">
        <v>1358000</v>
      </c>
      <c r="M388" s="977">
        <v>1358000</v>
      </c>
      <c r="N388" s="977">
        <v>1358000</v>
      </c>
      <c r="O388" s="977">
        <v>483000</v>
      </c>
      <c r="P388" s="977">
        <v>275000</v>
      </c>
      <c r="Q388" s="977">
        <v>0</v>
      </c>
      <c r="R388" s="977">
        <v>0</v>
      </c>
      <c r="S388" s="977">
        <v>0</v>
      </c>
      <c r="T388" s="977">
        <v>0</v>
      </c>
    </row>
    <row r="389" spans="1:20" s="1090" customFormat="1" ht="15" thickBot="1">
      <c r="A389" s="1087"/>
      <c r="B389" s="1088"/>
      <c r="C389" s="1089"/>
      <c r="D389" s="1089"/>
      <c r="E389" s="1089"/>
      <c r="F389" s="1089"/>
      <c r="G389" s="1089"/>
      <c r="H389" s="1089"/>
      <c r="I389" s="1089"/>
      <c r="J389" s="1089"/>
      <c r="K389" s="1089"/>
      <c r="L389" s="1089"/>
      <c r="M389" s="1089"/>
      <c r="N389" s="1089"/>
      <c r="O389" s="1089"/>
      <c r="P389" s="1089"/>
      <c r="Q389" s="1089"/>
      <c r="R389" s="1089"/>
      <c r="S389" s="1089"/>
      <c r="T389" s="1089"/>
    </row>
    <row r="390" spans="1:20" s="1090" customFormat="1">
      <c r="A390" s="1106" t="s">
        <v>788</v>
      </c>
      <c r="B390" s="1094"/>
      <c r="C390" s="1095"/>
      <c r="D390" s="1095"/>
      <c r="E390" s="1095"/>
      <c r="F390" s="1095"/>
      <c r="G390" s="1095"/>
      <c r="H390" s="1095"/>
      <c r="I390" s="1095"/>
      <c r="J390" s="1095"/>
      <c r="K390" s="1095"/>
      <c r="L390" s="1095"/>
      <c r="M390" s="1095"/>
      <c r="N390" s="1095"/>
      <c r="O390" s="1095"/>
      <c r="P390" s="1095"/>
      <c r="Q390" s="1095"/>
      <c r="R390" s="1095"/>
      <c r="S390" s="1095"/>
      <c r="T390" s="1095"/>
    </row>
    <row r="391" spans="1:20" s="1123" customFormat="1">
      <c r="A391" s="1120" t="s">
        <v>180</v>
      </c>
      <c r="B391" s="1121"/>
      <c r="C391" s="1122">
        <v>0</v>
      </c>
      <c r="D391" s="1122">
        <v>0</v>
      </c>
      <c r="E391" s="1122">
        <v>0</v>
      </c>
      <c r="F391" s="1122">
        <v>0</v>
      </c>
      <c r="G391" s="1122">
        <v>0</v>
      </c>
      <c r="H391" s="1122">
        <v>0</v>
      </c>
      <c r="I391" s="1122">
        <v>0</v>
      </c>
      <c r="J391" s="1122">
        <v>0</v>
      </c>
      <c r="K391" s="1122">
        <v>0</v>
      </c>
      <c r="L391" s="1122">
        <v>0</v>
      </c>
      <c r="M391" s="1122">
        <v>0</v>
      </c>
      <c r="N391" s="1122">
        <v>0</v>
      </c>
      <c r="O391" s="1122">
        <v>0</v>
      </c>
      <c r="P391" s="1122">
        <v>0</v>
      </c>
      <c r="Q391" s="1122">
        <v>0</v>
      </c>
      <c r="R391" s="1122">
        <v>0</v>
      </c>
      <c r="S391" s="1122">
        <v>0</v>
      </c>
      <c r="T391" s="1122">
        <v>0</v>
      </c>
    </row>
    <row r="392" spans="1:20" s="1090" customFormat="1">
      <c r="A392" s="1107" t="s">
        <v>13</v>
      </c>
      <c r="B392" s="1108"/>
      <c r="C392" s="1109">
        <v>0</v>
      </c>
      <c r="D392" s="1109">
        <v>0</v>
      </c>
      <c r="E392" s="1109">
        <v>0</v>
      </c>
      <c r="F392" s="1109">
        <v>0</v>
      </c>
      <c r="G392" s="1109">
        <v>0</v>
      </c>
      <c r="H392" s="1109">
        <v>0</v>
      </c>
      <c r="I392" s="1109">
        <v>0</v>
      </c>
      <c r="J392" s="1109">
        <v>0</v>
      </c>
      <c r="K392" s="1109">
        <v>0</v>
      </c>
      <c r="L392" s="1109">
        <v>0</v>
      </c>
      <c r="M392" s="1109">
        <v>0</v>
      </c>
      <c r="N392" s="1109">
        <v>0</v>
      </c>
      <c r="O392" s="1109">
        <v>0</v>
      </c>
      <c r="P392" s="1109">
        <v>0</v>
      </c>
      <c r="Q392" s="1109">
        <v>0</v>
      </c>
      <c r="R392" s="1109">
        <v>0</v>
      </c>
      <c r="S392" s="1109">
        <v>0</v>
      </c>
      <c r="T392" s="1109">
        <v>0</v>
      </c>
    </row>
    <row r="393" spans="1:20" s="1123" customFormat="1">
      <c r="A393" s="1124" t="s">
        <v>27</v>
      </c>
      <c r="B393" s="1125"/>
      <c r="C393" s="1126">
        <v>0</v>
      </c>
      <c r="D393" s="1126">
        <v>0</v>
      </c>
      <c r="E393" s="1126">
        <v>0</v>
      </c>
      <c r="F393" s="1126">
        <v>0</v>
      </c>
      <c r="G393" s="1126">
        <v>0</v>
      </c>
      <c r="H393" s="1126">
        <v>0</v>
      </c>
      <c r="I393" s="1126">
        <v>0</v>
      </c>
      <c r="J393" s="1126">
        <v>0</v>
      </c>
      <c r="K393" s="1126">
        <v>0</v>
      </c>
      <c r="L393" s="1126">
        <v>0</v>
      </c>
      <c r="M393" s="1126">
        <v>0</v>
      </c>
      <c r="N393" s="1126">
        <v>0</v>
      </c>
      <c r="O393" s="1126">
        <v>100000</v>
      </c>
      <c r="P393" s="1126">
        <v>0</v>
      </c>
      <c r="Q393" s="1126">
        <v>0</v>
      </c>
      <c r="R393" s="1126">
        <v>350000</v>
      </c>
      <c r="S393" s="1126">
        <v>0</v>
      </c>
      <c r="T393" s="1126">
        <v>0</v>
      </c>
    </row>
    <row r="394" spans="1:20" s="1090" customFormat="1">
      <c r="A394" s="1107" t="s">
        <v>13</v>
      </c>
      <c r="B394" s="1108"/>
      <c r="C394" s="1109">
        <v>450000</v>
      </c>
      <c r="D394" s="1109">
        <v>450000</v>
      </c>
      <c r="E394" s="1109">
        <v>450000</v>
      </c>
      <c r="F394" s="1109">
        <v>450000</v>
      </c>
      <c r="G394" s="1109">
        <v>450000</v>
      </c>
      <c r="H394" s="1109">
        <v>450000</v>
      </c>
      <c r="I394" s="1109">
        <v>450000</v>
      </c>
      <c r="J394" s="1109">
        <v>450000</v>
      </c>
      <c r="K394" s="1109">
        <v>450000</v>
      </c>
      <c r="L394" s="1109">
        <v>450000</v>
      </c>
      <c r="M394" s="1109">
        <v>450000</v>
      </c>
      <c r="N394" s="1109">
        <v>450000</v>
      </c>
      <c r="O394" s="1109">
        <v>450000</v>
      </c>
      <c r="P394" s="1109">
        <v>350000</v>
      </c>
      <c r="Q394" s="1109">
        <v>350000</v>
      </c>
      <c r="R394" s="1109">
        <v>350000</v>
      </c>
      <c r="S394" s="1109">
        <v>0</v>
      </c>
      <c r="T394" s="1109">
        <v>0</v>
      </c>
    </row>
    <row r="395" spans="1:20" s="1123" customFormat="1">
      <c r="A395" s="1120" t="s">
        <v>151</v>
      </c>
      <c r="B395" s="1121"/>
      <c r="C395" s="1122">
        <v>0</v>
      </c>
      <c r="D395" s="1122">
        <v>0</v>
      </c>
      <c r="E395" s="1122">
        <v>0</v>
      </c>
      <c r="F395" s="1122">
        <v>0</v>
      </c>
      <c r="G395" s="1122">
        <v>0</v>
      </c>
      <c r="H395" s="1122">
        <v>0</v>
      </c>
      <c r="I395" s="1122">
        <v>0</v>
      </c>
      <c r="J395" s="1122">
        <v>0</v>
      </c>
      <c r="K395" s="1122">
        <v>0</v>
      </c>
      <c r="L395" s="1122">
        <v>0</v>
      </c>
      <c r="M395" s="1122">
        <v>0</v>
      </c>
      <c r="N395" s="1122">
        <v>0</v>
      </c>
      <c r="O395" s="1122">
        <v>100000</v>
      </c>
      <c r="P395" s="1122">
        <v>0</v>
      </c>
      <c r="Q395" s="1122">
        <v>0</v>
      </c>
      <c r="R395" s="1122">
        <v>350000</v>
      </c>
      <c r="S395" s="1122">
        <v>0</v>
      </c>
      <c r="T395" s="1122">
        <v>0</v>
      </c>
    </row>
    <row r="396" spans="1:20" s="1090" customFormat="1" ht="15" thickBot="1">
      <c r="A396" s="1096" t="s">
        <v>13</v>
      </c>
      <c r="B396" s="1097"/>
      <c r="C396" s="977">
        <v>450000</v>
      </c>
      <c r="D396" s="977">
        <v>450000</v>
      </c>
      <c r="E396" s="977">
        <v>450000</v>
      </c>
      <c r="F396" s="977">
        <v>450000</v>
      </c>
      <c r="G396" s="977">
        <v>450000</v>
      </c>
      <c r="H396" s="977">
        <v>450000</v>
      </c>
      <c r="I396" s="977">
        <v>450000</v>
      </c>
      <c r="J396" s="977">
        <v>450000</v>
      </c>
      <c r="K396" s="977">
        <v>450000</v>
      </c>
      <c r="L396" s="977">
        <v>450000</v>
      </c>
      <c r="M396" s="977">
        <v>450000</v>
      </c>
      <c r="N396" s="977">
        <v>450000</v>
      </c>
      <c r="O396" s="977">
        <v>450000</v>
      </c>
      <c r="P396" s="977">
        <v>350000</v>
      </c>
      <c r="Q396" s="977">
        <v>350000</v>
      </c>
      <c r="R396" s="977">
        <v>350000</v>
      </c>
      <c r="S396" s="977">
        <v>0</v>
      </c>
      <c r="T396" s="977">
        <v>0</v>
      </c>
    </row>
    <row r="397" spans="1:20" s="1090" customFormat="1">
      <c r="A397" s="1091"/>
      <c r="B397" s="1092"/>
      <c r="C397" s="1093"/>
      <c r="D397" s="1093"/>
      <c r="E397" s="1093"/>
      <c r="F397" s="1093"/>
      <c r="G397" s="1093"/>
      <c r="H397" s="1093"/>
      <c r="I397" s="1093"/>
      <c r="J397" s="1093"/>
      <c r="K397" s="1093"/>
      <c r="L397" s="1093"/>
      <c r="M397" s="1093"/>
      <c r="N397" s="1093"/>
      <c r="O397" s="1093"/>
      <c r="P397" s="1093"/>
      <c r="Q397" s="1093"/>
      <c r="R397" s="1093"/>
      <c r="S397" s="1093"/>
      <c r="T397" s="1093"/>
    </row>
    <row r="398" spans="1:20" s="685" customFormat="1">
      <c r="A398" s="73" t="s">
        <v>49</v>
      </c>
      <c r="B398" s="808" t="s">
        <v>291</v>
      </c>
      <c r="C398" s="875">
        <v>715000</v>
      </c>
      <c r="D398" s="875">
        <v>578964</v>
      </c>
      <c r="E398" s="875">
        <v>145000</v>
      </c>
      <c r="F398" s="875">
        <v>2286065</v>
      </c>
      <c r="G398" s="875">
        <v>1039000</v>
      </c>
      <c r="H398" s="875">
        <v>970500</v>
      </c>
      <c r="I398" s="875">
        <v>550000</v>
      </c>
      <c r="J398" s="875">
        <v>35000</v>
      </c>
      <c r="K398" s="875">
        <v>31000</v>
      </c>
      <c r="L398" s="875">
        <v>105000</v>
      </c>
      <c r="M398" s="875">
        <v>249000</v>
      </c>
      <c r="N398" s="875">
        <v>395000</v>
      </c>
      <c r="O398" s="875">
        <v>2336400</v>
      </c>
      <c r="P398" s="875">
        <v>367451</v>
      </c>
      <c r="Q398" s="875">
        <v>110000</v>
      </c>
      <c r="R398" s="875">
        <v>3416000</v>
      </c>
      <c r="S398" s="875">
        <v>175000</v>
      </c>
      <c r="T398" s="875">
        <v>0</v>
      </c>
    </row>
    <row r="399" spans="1:20" s="426" customFormat="1">
      <c r="A399" s="816" t="s">
        <v>109</v>
      </c>
      <c r="B399" s="746"/>
      <c r="C399" s="702">
        <v>13504380</v>
      </c>
      <c r="D399" s="702">
        <v>12789380</v>
      </c>
      <c r="E399" s="702">
        <v>12210416</v>
      </c>
      <c r="F399" s="702">
        <v>12065416</v>
      </c>
      <c r="G399" s="702">
        <v>9779351</v>
      </c>
      <c r="H399" s="702">
        <v>8740351</v>
      </c>
      <c r="I399" s="702">
        <v>7769851</v>
      </c>
      <c r="J399" s="702">
        <v>7219851</v>
      </c>
      <c r="K399" s="702">
        <v>7184851</v>
      </c>
      <c r="L399" s="702">
        <v>7153851</v>
      </c>
      <c r="M399" s="702">
        <v>7048851</v>
      </c>
      <c r="N399" s="702">
        <v>6799851</v>
      </c>
      <c r="O399" s="702">
        <v>6404851</v>
      </c>
      <c r="P399" s="702">
        <v>4068451</v>
      </c>
      <c r="Q399" s="702">
        <v>3701000</v>
      </c>
      <c r="R399" s="702">
        <v>3591000</v>
      </c>
      <c r="S399" s="702">
        <v>175000</v>
      </c>
      <c r="T399" s="702">
        <v>0</v>
      </c>
    </row>
    <row r="400" spans="1:20" s="426" customFormat="1">
      <c r="A400" s="817"/>
      <c r="B400" s="748"/>
      <c r="C400" s="879"/>
      <c r="D400" s="879"/>
      <c r="E400" s="879"/>
      <c r="F400" s="879"/>
      <c r="G400" s="879"/>
      <c r="H400" s="879"/>
      <c r="I400" s="879"/>
      <c r="J400" s="879"/>
      <c r="K400" s="879"/>
      <c r="L400" s="879"/>
      <c r="M400" s="879"/>
      <c r="N400" s="879"/>
      <c r="O400" s="879"/>
      <c r="P400" s="879"/>
      <c r="Q400" s="879"/>
      <c r="R400" s="879"/>
      <c r="S400" s="879"/>
      <c r="T400" s="879"/>
    </row>
    <row r="401" spans="1:20" s="426" customFormat="1">
      <c r="A401" s="817" t="s">
        <v>154</v>
      </c>
      <c r="B401" s="748"/>
      <c r="C401" s="879"/>
      <c r="D401" s="879"/>
      <c r="E401" s="879"/>
      <c r="F401" s="879"/>
      <c r="G401" s="879"/>
      <c r="H401" s="879"/>
      <c r="I401" s="879"/>
      <c r="J401" s="879"/>
      <c r="K401" s="879"/>
      <c r="L401" s="879"/>
      <c r="M401" s="879"/>
      <c r="N401" s="879"/>
      <c r="O401" s="879"/>
      <c r="P401" s="879"/>
      <c r="Q401" s="879"/>
      <c r="R401" s="879"/>
      <c r="S401" s="879"/>
      <c r="T401" s="879"/>
    </row>
    <row r="402" spans="1:20" s="426" customFormat="1">
      <c r="A402" s="818" t="s">
        <v>138</v>
      </c>
      <c r="B402" s="746" t="s">
        <v>292</v>
      </c>
      <c r="C402" s="888">
        <v>0</v>
      </c>
      <c r="D402" s="888">
        <v>0</v>
      </c>
      <c r="E402" s="888">
        <v>0</v>
      </c>
      <c r="F402" s="888">
        <v>0</v>
      </c>
      <c r="G402" s="888">
        <v>0</v>
      </c>
      <c r="H402" s="888">
        <v>0</v>
      </c>
      <c r="I402" s="888">
        <v>0</v>
      </c>
      <c r="J402" s="888">
        <v>0</v>
      </c>
      <c r="K402" s="888">
        <v>0</v>
      </c>
      <c r="L402" s="888">
        <v>0</v>
      </c>
      <c r="M402" s="888">
        <v>0</v>
      </c>
      <c r="N402" s="888">
        <v>0</v>
      </c>
      <c r="O402" s="888">
        <v>0</v>
      </c>
      <c r="P402" s="888">
        <v>0</v>
      </c>
      <c r="Q402" s="888">
        <v>0</v>
      </c>
      <c r="R402" s="888">
        <v>0</v>
      </c>
      <c r="S402" s="888">
        <v>0</v>
      </c>
      <c r="T402" s="888">
        <v>0</v>
      </c>
    </row>
    <row r="403" spans="1:20" s="426" customFormat="1">
      <c r="A403" s="819" t="s">
        <v>13</v>
      </c>
      <c r="B403" s="746"/>
      <c r="C403" s="702">
        <v>0</v>
      </c>
      <c r="D403" s="702">
        <v>0</v>
      </c>
      <c r="E403" s="702">
        <v>0</v>
      </c>
      <c r="F403" s="702">
        <v>0</v>
      </c>
      <c r="G403" s="702">
        <v>0</v>
      </c>
      <c r="H403" s="702">
        <v>0</v>
      </c>
      <c r="I403" s="702">
        <v>0</v>
      </c>
      <c r="J403" s="702">
        <v>0</v>
      </c>
      <c r="K403" s="702">
        <v>0</v>
      </c>
      <c r="L403" s="702">
        <v>0</v>
      </c>
      <c r="M403" s="702">
        <v>0</v>
      </c>
      <c r="N403" s="702">
        <v>0</v>
      </c>
      <c r="O403" s="702">
        <v>0</v>
      </c>
      <c r="P403" s="702">
        <v>0</v>
      </c>
      <c r="Q403" s="702">
        <v>0</v>
      </c>
      <c r="R403" s="702">
        <v>0</v>
      </c>
      <c r="S403" s="702">
        <v>0</v>
      </c>
      <c r="T403" s="702">
        <v>0</v>
      </c>
    </row>
    <row r="404" spans="1:20" s="426" customFormat="1">
      <c r="A404" s="818" t="s">
        <v>139</v>
      </c>
      <c r="B404" s="746" t="s">
        <v>293</v>
      </c>
      <c r="C404" s="889">
        <v>0</v>
      </c>
      <c r="D404" s="889">
        <v>0</v>
      </c>
      <c r="E404" s="889">
        <v>0</v>
      </c>
      <c r="F404" s="889">
        <v>0</v>
      </c>
      <c r="G404" s="889">
        <v>0</v>
      </c>
      <c r="H404" s="889">
        <v>0</v>
      </c>
      <c r="I404" s="889">
        <v>0</v>
      </c>
      <c r="J404" s="889">
        <v>0</v>
      </c>
      <c r="K404" s="889">
        <v>0</v>
      </c>
      <c r="L404" s="889">
        <v>0</v>
      </c>
      <c r="M404" s="889">
        <v>0</v>
      </c>
      <c r="N404" s="889">
        <v>0</v>
      </c>
      <c r="O404" s="889">
        <v>0</v>
      </c>
      <c r="P404" s="889">
        <v>0</v>
      </c>
      <c r="Q404" s="889">
        <v>0</v>
      </c>
      <c r="R404" s="889">
        <v>0</v>
      </c>
      <c r="S404" s="889">
        <v>0</v>
      </c>
      <c r="T404" s="889">
        <v>0</v>
      </c>
    </row>
    <row r="405" spans="1:20" s="426" customFormat="1">
      <c r="A405" s="819" t="s">
        <v>13</v>
      </c>
      <c r="B405" s="746"/>
      <c r="C405" s="702">
        <v>0</v>
      </c>
      <c r="D405" s="702">
        <v>0</v>
      </c>
      <c r="E405" s="702">
        <v>0</v>
      </c>
      <c r="F405" s="702">
        <v>0</v>
      </c>
      <c r="G405" s="702">
        <v>0</v>
      </c>
      <c r="H405" s="702">
        <v>0</v>
      </c>
      <c r="I405" s="702">
        <v>0</v>
      </c>
      <c r="J405" s="702">
        <v>0</v>
      </c>
      <c r="K405" s="702">
        <v>0</v>
      </c>
      <c r="L405" s="702">
        <v>0</v>
      </c>
      <c r="M405" s="702">
        <v>0</v>
      </c>
      <c r="N405" s="702">
        <v>0</v>
      </c>
      <c r="O405" s="702">
        <v>0</v>
      </c>
      <c r="P405" s="702">
        <v>0</v>
      </c>
      <c r="Q405" s="702">
        <v>0</v>
      </c>
      <c r="R405" s="702">
        <v>0</v>
      </c>
      <c r="S405" s="702">
        <v>0</v>
      </c>
      <c r="T405" s="702">
        <v>0</v>
      </c>
    </row>
    <row r="406" spans="1:20" s="426" customFormat="1">
      <c r="A406" s="818" t="s">
        <v>27</v>
      </c>
      <c r="B406" s="746" t="s">
        <v>294</v>
      </c>
      <c r="C406" s="889">
        <v>0</v>
      </c>
      <c r="D406" s="889">
        <v>0</v>
      </c>
      <c r="E406" s="889">
        <v>0</v>
      </c>
      <c r="F406" s="889">
        <v>0</v>
      </c>
      <c r="G406" s="889">
        <v>0</v>
      </c>
      <c r="H406" s="889">
        <v>0</v>
      </c>
      <c r="I406" s="889">
        <v>0</v>
      </c>
      <c r="J406" s="889">
        <v>0</v>
      </c>
      <c r="K406" s="889">
        <v>0</v>
      </c>
      <c r="L406" s="889">
        <v>0</v>
      </c>
      <c r="M406" s="889">
        <v>0</v>
      </c>
      <c r="N406" s="889">
        <v>0</v>
      </c>
      <c r="O406" s="889">
        <v>0</v>
      </c>
      <c r="P406" s="889">
        <v>0</v>
      </c>
      <c r="Q406" s="889">
        <v>0</v>
      </c>
      <c r="R406" s="889">
        <v>0</v>
      </c>
      <c r="S406" s="889">
        <v>0</v>
      </c>
      <c r="T406" s="889">
        <v>0</v>
      </c>
    </row>
    <row r="407" spans="1:20" s="426" customFormat="1">
      <c r="A407" s="819" t="s">
        <v>13</v>
      </c>
      <c r="B407" s="746"/>
      <c r="C407" s="702">
        <v>0</v>
      </c>
      <c r="D407" s="702">
        <v>0</v>
      </c>
      <c r="E407" s="702">
        <v>0</v>
      </c>
      <c r="F407" s="702">
        <v>0</v>
      </c>
      <c r="G407" s="702">
        <v>0</v>
      </c>
      <c r="H407" s="702">
        <v>0</v>
      </c>
      <c r="I407" s="702">
        <v>0</v>
      </c>
      <c r="J407" s="702">
        <v>0</v>
      </c>
      <c r="K407" s="702">
        <v>0</v>
      </c>
      <c r="L407" s="702">
        <v>0</v>
      </c>
      <c r="M407" s="702">
        <v>0</v>
      </c>
      <c r="N407" s="702">
        <v>0</v>
      </c>
      <c r="O407" s="702">
        <v>0</v>
      </c>
      <c r="P407" s="702">
        <v>0</v>
      </c>
      <c r="Q407" s="702">
        <v>0</v>
      </c>
      <c r="R407" s="702">
        <v>0</v>
      </c>
      <c r="S407" s="702">
        <v>0</v>
      </c>
      <c r="T407" s="702">
        <v>0</v>
      </c>
    </row>
    <row r="408" spans="1:20" s="426" customFormat="1">
      <c r="A408" s="820" t="s">
        <v>151</v>
      </c>
      <c r="B408" s="746"/>
      <c r="C408" s="889">
        <v>0</v>
      </c>
      <c r="D408" s="889">
        <v>0</v>
      </c>
      <c r="E408" s="889">
        <v>0</v>
      </c>
      <c r="F408" s="889">
        <v>0</v>
      </c>
      <c r="G408" s="889">
        <v>0</v>
      </c>
      <c r="H408" s="889">
        <v>0</v>
      </c>
      <c r="I408" s="889">
        <v>0</v>
      </c>
      <c r="J408" s="889">
        <v>0</v>
      </c>
      <c r="K408" s="889">
        <v>0</v>
      </c>
      <c r="L408" s="889">
        <v>0</v>
      </c>
      <c r="M408" s="889">
        <v>0</v>
      </c>
      <c r="N408" s="889">
        <v>0</v>
      </c>
      <c r="O408" s="889">
        <v>0</v>
      </c>
      <c r="P408" s="889">
        <v>0</v>
      </c>
      <c r="Q408" s="889">
        <v>0</v>
      </c>
      <c r="R408" s="889">
        <v>0</v>
      </c>
      <c r="S408" s="889">
        <v>0</v>
      </c>
      <c r="T408" s="889">
        <v>0</v>
      </c>
    </row>
    <row r="409" spans="1:20" s="426" customFormat="1">
      <c r="A409" s="821" t="s">
        <v>13</v>
      </c>
      <c r="B409" s="792"/>
      <c r="C409" s="702">
        <v>0</v>
      </c>
      <c r="D409" s="702">
        <v>0</v>
      </c>
      <c r="E409" s="702">
        <v>0</v>
      </c>
      <c r="F409" s="702">
        <v>0</v>
      </c>
      <c r="G409" s="702">
        <v>0</v>
      </c>
      <c r="H409" s="702">
        <v>0</v>
      </c>
      <c r="I409" s="702">
        <v>0</v>
      </c>
      <c r="J409" s="702">
        <v>0</v>
      </c>
      <c r="K409" s="702">
        <v>0</v>
      </c>
      <c r="L409" s="702">
        <v>0</v>
      </c>
      <c r="M409" s="702">
        <v>0</v>
      </c>
      <c r="N409" s="702">
        <v>0</v>
      </c>
      <c r="O409" s="702">
        <v>0</v>
      </c>
      <c r="P409" s="702">
        <v>0</v>
      </c>
      <c r="Q409" s="702">
        <v>0</v>
      </c>
      <c r="R409" s="702">
        <v>0</v>
      </c>
      <c r="S409" s="702">
        <v>0</v>
      </c>
      <c r="T409" s="702">
        <v>0</v>
      </c>
    </row>
    <row r="410" spans="1:20">
      <c r="A410" s="1"/>
      <c r="B410" s="748"/>
      <c r="C410" s="890"/>
      <c r="D410" s="890"/>
      <c r="E410" s="890"/>
      <c r="F410" s="890"/>
      <c r="G410" s="890"/>
      <c r="H410" s="890"/>
      <c r="I410" s="890"/>
      <c r="J410" s="890"/>
      <c r="K410" s="890"/>
      <c r="L410" s="890"/>
      <c r="M410" s="890"/>
      <c r="N410" s="890"/>
      <c r="O410" s="890"/>
      <c r="P410" s="890"/>
      <c r="Q410" s="890"/>
      <c r="R410" s="890"/>
      <c r="S410" s="890"/>
      <c r="T410" s="890"/>
    </row>
    <row r="411" spans="1:20">
      <c r="A411" s="822" t="s">
        <v>61</v>
      </c>
      <c r="B411" s="748"/>
      <c r="C411" s="890"/>
      <c r="D411" s="890"/>
      <c r="E411" s="890"/>
      <c r="F411" s="890"/>
      <c r="G411" s="890"/>
      <c r="H411" s="890"/>
      <c r="I411" s="890"/>
      <c r="J411" s="890"/>
      <c r="K411" s="890"/>
      <c r="L411" s="890"/>
      <c r="M411" s="890"/>
      <c r="N411" s="890"/>
      <c r="O411" s="890"/>
      <c r="P411" s="890"/>
      <c r="Q411" s="890"/>
      <c r="R411" s="890"/>
      <c r="S411" s="890"/>
      <c r="T411" s="890"/>
    </row>
    <row r="412" spans="1:20">
      <c r="A412" s="28" t="s">
        <v>135</v>
      </c>
      <c r="B412" s="746" t="s">
        <v>295</v>
      </c>
      <c r="C412" s="875">
        <v>26998</v>
      </c>
      <c r="D412" s="875">
        <v>0</v>
      </c>
      <c r="E412" s="875">
        <v>0</v>
      </c>
      <c r="F412" s="875">
        <v>243000</v>
      </c>
      <c r="G412" s="875">
        <v>0</v>
      </c>
      <c r="H412" s="875">
        <v>51500</v>
      </c>
      <c r="I412" s="875">
        <v>0</v>
      </c>
      <c r="J412" s="875">
        <v>0</v>
      </c>
      <c r="K412" s="875">
        <v>0</v>
      </c>
      <c r="L412" s="875">
        <v>0</v>
      </c>
      <c r="M412" s="875">
        <v>0</v>
      </c>
      <c r="N412" s="875">
        <v>0</v>
      </c>
      <c r="O412" s="875">
        <v>0</v>
      </c>
      <c r="P412" s="875">
        <v>0</v>
      </c>
      <c r="Q412" s="875">
        <v>0</v>
      </c>
      <c r="R412" s="875">
        <v>57999</v>
      </c>
      <c r="S412" s="875">
        <v>46500</v>
      </c>
      <c r="T412" s="875">
        <v>0</v>
      </c>
    </row>
    <row r="413" spans="1:20" s="717" customFormat="1" ht="15.6">
      <c r="A413" s="823" t="s">
        <v>13</v>
      </c>
      <c r="B413" s="824"/>
      <c r="C413" s="716">
        <v>425997</v>
      </c>
      <c r="D413" s="716">
        <v>398999</v>
      </c>
      <c r="E413" s="716">
        <v>398999</v>
      </c>
      <c r="F413" s="716">
        <v>398999</v>
      </c>
      <c r="G413" s="716">
        <v>155999</v>
      </c>
      <c r="H413" s="716">
        <v>155999</v>
      </c>
      <c r="I413" s="716">
        <v>104499</v>
      </c>
      <c r="J413" s="716">
        <v>104499</v>
      </c>
      <c r="K413" s="716">
        <v>104499</v>
      </c>
      <c r="L413" s="716">
        <v>104499</v>
      </c>
      <c r="M413" s="716">
        <v>104499</v>
      </c>
      <c r="N413" s="716">
        <v>104499</v>
      </c>
      <c r="O413" s="716">
        <v>104499</v>
      </c>
      <c r="P413" s="716">
        <v>104499</v>
      </c>
      <c r="Q413" s="716">
        <v>104499</v>
      </c>
      <c r="R413" s="716">
        <v>104499</v>
      </c>
      <c r="S413" s="716">
        <v>46500</v>
      </c>
      <c r="T413" s="716">
        <v>0</v>
      </c>
    </row>
    <row r="414" spans="1:20">
      <c r="A414" s="28" t="s">
        <v>4</v>
      </c>
      <c r="B414" s="746" t="s">
        <v>296</v>
      </c>
      <c r="C414" s="875">
        <v>16500</v>
      </c>
      <c r="D414" s="875">
        <v>47999</v>
      </c>
      <c r="E414" s="875">
        <v>0</v>
      </c>
      <c r="F414" s="875">
        <v>129999</v>
      </c>
      <c r="G414" s="875">
        <v>45500</v>
      </c>
      <c r="H414" s="875">
        <v>0</v>
      </c>
      <c r="I414" s="875">
        <v>50000</v>
      </c>
      <c r="J414" s="875">
        <v>0</v>
      </c>
      <c r="K414" s="875">
        <v>0</v>
      </c>
      <c r="L414" s="875">
        <v>61200</v>
      </c>
      <c r="M414" s="875">
        <v>0</v>
      </c>
      <c r="N414" s="875">
        <v>78800</v>
      </c>
      <c r="O414" s="875">
        <v>50000</v>
      </c>
      <c r="P414" s="875">
        <v>0</v>
      </c>
      <c r="Q414" s="875">
        <v>0</v>
      </c>
      <c r="R414" s="875">
        <v>0</v>
      </c>
      <c r="S414" s="875">
        <v>0</v>
      </c>
      <c r="T414" s="875">
        <v>0</v>
      </c>
    </row>
    <row r="415" spans="1:20" s="717" customFormat="1" ht="15.6">
      <c r="A415" s="823" t="s">
        <v>13</v>
      </c>
      <c r="B415" s="824"/>
      <c r="C415" s="716">
        <v>479998</v>
      </c>
      <c r="D415" s="716">
        <v>463498</v>
      </c>
      <c r="E415" s="716">
        <v>415499</v>
      </c>
      <c r="F415" s="716">
        <v>415499</v>
      </c>
      <c r="G415" s="716">
        <v>285500</v>
      </c>
      <c r="H415" s="716">
        <v>240000</v>
      </c>
      <c r="I415" s="716">
        <v>240000</v>
      </c>
      <c r="J415" s="716">
        <v>190000</v>
      </c>
      <c r="K415" s="716">
        <v>190000</v>
      </c>
      <c r="L415" s="716">
        <v>190000</v>
      </c>
      <c r="M415" s="716">
        <v>128800</v>
      </c>
      <c r="N415" s="716">
        <v>128800</v>
      </c>
      <c r="O415" s="716">
        <v>50000</v>
      </c>
      <c r="P415" s="716">
        <v>0</v>
      </c>
      <c r="Q415" s="716">
        <v>0</v>
      </c>
      <c r="R415" s="716">
        <v>0</v>
      </c>
      <c r="S415" s="716">
        <v>0</v>
      </c>
      <c r="T415" s="716">
        <v>0</v>
      </c>
    </row>
    <row r="416" spans="1:20">
      <c r="A416" s="28" t="s">
        <v>136</v>
      </c>
      <c r="B416" s="746" t="s">
        <v>297</v>
      </c>
      <c r="C416" s="875">
        <v>0</v>
      </c>
      <c r="D416" s="875">
        <v>0</v>
      </c>
      <c r="E416" s="875">
        <v>0</v>
      </c>
      <c r="F416" s="875">
        <v>0</v>
      </c>
      <c r="G416" s="875">
        <v>0</v>
      </c>
      <c r="H416" s="875">
        <v>0</v>
      </c>
      <c r="I416" s="875">
        <v>20000</v>
      </c>
      <c r="J416" s="875">
        <v>0</v>
      </c>
      <c r="K416" s="875">
        <v>0</v>
      </c>
      <c r="L416" s="875">
        <v>0</v>
      </c>
      <c r="M416" s="875">
        <v>0</v>
      </c>
      <c r="N416" s="875">
        <v>0</v>
      </c>
      <c r="O416" s="875">
        <v>0</v>
      </c>
      <c r="P416" s="875">
        <v>0</v>
      </c>
      <c r="Q416" s="875">
        <v>0</v>
      </c>
      <c r="R416" s="875">
        <v>0</v>
      </c>
      <c r="S416" s="875">
        <v>0</v>
      </c>
      <c r="T416" s="875">
        <v>0</v>
      </c>
    </row>
    <row r="417" spans="1:20" s="717" customFormat="1" ht="15.6">
      <c r="A417" s="823" t="s">
        <v>13</v>
      </c>
      <c r="B417" s="824"/>
      <c r="C417" s="716">
        <v>20000</v>
      </c>
      <c r="D417" s="716">
        <v>20000</v>
      </c>
      <c r="E417" s="716">
        <v>20000</v>
      </c>
      <c r="F417" s="716">
        <v>20000</v>
      </c>
      <c r="G417" s="716">
        <v>20000</v>
      </c>
      <c r="H417" s="716">
        <v>20000</v>
      </c>
      <c r="I417" s="716">
        <v>20000</v>
      </c>
      <c r="J417" s="716">
        <v>0</v>
      </c>
      <c r="K417" s="716">
        <v>0</v>
      </c>
      <c r="L417" s="716">
        <v>0</v>
      </c>
      <c r="M417" s="716">
        <v>0</v>
      </c>
      <c r="N417" s="716">
        <v>0</v>
      </c>
      <c r="O417" s="716">
        <v>0</v>
      </c>
      <c r="P417" s="716">
        <v>0</v>
      </c>
      <c r="Q417" s="716">
        <v>0</v>
      </c>
      <c r="R417" s="716">
        <v>0</v>
      </c>
      <c r="S417" s="716">
        <v>0</v>
      </c>
      <c r="T417" s="716">
        <v>0</v>
      </c>
    </row>
    <row r="418" spans="1:20">
      <c r="A418" s="28" t="s">
        <v>137</v>
      </c>
      <c r="B418" s="746" t="s">
        <v>298</v>
      </c>
      <c r="C418" s="875">
        <v>0</v>
      </c>
      <c r="D418" s="875">
        <v>0</v>
      </c>
      <c r="E418" s="875">
        <v>0</v>
      </c>
      <c r="F418" s="875">
        <v>0</v>
      </c>
      <c r="G418" s="875">
        <v>0</v>
      </c>
      <c r="H418" s="875">
        <v>0</v>
      </c>
      <c r="I418" s="875">
        <v>0</v>
      </c>
      <c r="J418" s="875">
        <v>0</v>
      </c>
      <c r="K418" s="875">
        <v>0</v>
      </c>
      <c r="L418" s="875">
        <v>0</v>
      </c>
      <c r="M418" s="875">
        <v>0</v>
      </c>
      <c r="N418" s="875">
        <v>0</v>
      </c>
      <c r="O418" s="875">
        <v>0</v>
      </c>
      <c r="P418" s="875">
        <v>0</v>
      </c>
      <c r="Q418" s="875">
        <v>0</v>
      </c>
      <c r="R418" s="875">
        <v>0</v>
      </c>
      <c r="S418" s="875">
        <v>0</v>
      </c>
      <c r="T418" s="875">
        <v>0</v>
      </c>
    </row>
    <row r="419" spans="1:20" s="717" customFormat="1" ht="15.6">
      <c r="A419" s="823" t="s">
        <v>13</v>
      </c>
      <c r="B419" s="824"/>
      <c r="C419" s="716">
        <v>0</v>
      </c>
      <c r="D419" s="716">
        <v>0</v>
      </c>
      <c r="E419" s="716">
        <v>0</v>
      </c>
      <c r="F419" s="716">
        <v>0</v>
      </c>
      <c r="G419" s="716">
        <v>0</v>
      </c>
      <c r="H419" s="716">
        <v>0</v>
      </c>
      <c r="I419" s="716">
        <v>0</v>
      </c>
      <c r="J419" s="716">
        <v>0</v>
      </c>
      <c r="K419" s="716">
        <v>0</v>
      </c>
      <c r="L419" s="716">
        <v>0</v>
      </c>
      <c r="M419" s="716">
        <v>0</v>
      </c>
      <c r="N419" s="716">
        <v>0</v>
      </c>
      <c r="O419" s="716">
        <v>0</v>
      </c>
      <c r="P419" s="716">
        <v>0</v>
      </c>
      <c r="Q419" s="716">
        <v>0</v>
      </c>
      <c r="R419" s="716">
        <v>0</v>
      </c>
      <c r="S419" s="716">
        <v>0</v>
      </c>
      <c r="T419" s="716">
        <v>0</v>
      </c>
    </row>
    <row r="420" spans="1:20">
      <c r="A420" s="28" t="s">
        <v>27</v>
      </c>
      <c r="B420" s="746" t="s">
        <v>299</v>
      </c>
      <c r="C420" s="875">
        <v>0</v>
      </c>
      <c r="D420" s="875">
        <v>0</v>
      </c>
      <c r="E420" s="875">
        <v>0</v>
      </c>
      <c r="F420" s="875">
        <v>0</v>
      </c>
      <c r="G420" s="875">
        <v>10999</v>
      </c>
      <c r="H420" s="875">
        <v>0</v>
      </c>
      <c r="I420" s="875">
        <v>0</v>
      </c>
      <c r="J420" s="875">
        <v>0</v>
      </c>
      <c r="K420" s="875">
        <v>0</v>
      </c>
      <c r="L420" s="875">
        <v>0</v>
      </c>
      <c r="M420" s="875">
        <v>0</v>
      </c>
      <c r="N420" s="875">
        <v>0</v>
      </c>
      <c r="O420" s="875">
        <v>0</v>
      </c>
      <c r="P420" s="875">
        <v>0</v>
      </c>
      <c r="Q420" s="875">
        <v>0</v>
      </c>
      <c r="R420" s="875">
        <v>0</v>
      </c>
      <c r="S420" s="875">
        <v>0</v>
      </c>
      <c r="T420" s="875">
        <v>0</v>
      </c>
    </row>
    <row r="421" spans="1:20" s="717" customFormat="1" ht="15.6">
      <c r="A421" s="823" t="s">
        <v>13</v>
      </c>
      <c r="B421" s="824"/>
      <c r="C421" s="716">
        <v>10999</v>
      </c>
      <c r="D421" s="716">
        <v>10999</v>
      </c>
      <c r="E421" s="716">
        <v>10999</v>
      </c>
      <c r="F421" s="716">
        <v>10999</v>
      </c>
      <c r="G421" s="716">
        <v>10999</v>
      </c>
      <c r="H421" s="716">
        <v>0</v>
      </c>
      <c r="I421" s="716">
        <v>0</v>
      </c>
      <c r="J421" s="716">
        <v>0</v>
      </c>
      <c r="K421" s="716">
        <v>0</v>
      </c>
      <c r="L421" s="716">
        <v>0</v>
      </c>
      <c r="M421" s="716">
        <v>0</v>
      </c>
      <c r="N421" s="716">
        <v>0</v>
      </c>
      <c r="O421" s="716">
        <v>0</v>
      </c>
      <c r="P421" s="716">
        <v>0</v>
      </c>
      <c r="Q421" s="716">
        <v>0</v>
      </c>
      <c r="R421" s="716">
        <v>0</v>
      </c>
      <c r="S421" s="716">
        <v>0</v>
      </c>
      <c r="T421" s="716">
        <v>0</v>
      </c>
    </row>
    <row r="422" spans="1:20">
      <c r="A422" s="825" t="s">
        <v>151</v>
      </c>
      <c r="B422" s="746"/>
      <c r="C422" s="875">
        <v>43498</v>
      </c>
      <c r="D422" s="875">
        <v>47999</v>
      </c>
      <c r="E422" s="875">
        <v>0</v>
      </c>
      <c r="F422" s="875">
        <v>372999</v>
      </c>
      <c r="G422" s="875">
        <v>56499</v>
      </c>
      <c r="H422" s="875">
        <v>51500</v>
      </c>
      <c r="I422" s="875">
        <v>70000</v>
      </c>
      <c r="J422" s="875">
        <v>0</v>
      </c>
      <c r="K422" s="875">
        <v>0</v>
      </c>
      <c r="L422" s="875">
        <v>61200</v>
      </c>
      <c r="M422" s="875">
        <v>0</v>
      </c>
      <c r="N422" s="875">
        <v>78800</v>
      </c>
      <c r="O422" s="875">
        <v>50000</v>
      </c>
      <c r="P422" s="875">
        <v>0</v>
      </c>
      <c r="Q422" s="875">
        <v>0</v>
      </c>
      <c r="R422" s="875">
        <v>57999</v>
      </c>
      <c r="S422" s="875">
        <v>46500</v>
      </c>
      <c r="T422" s="875">
        <v>0</v>
      </c>
    </row>
    <row r="423" spans="1:20" s="718" customFormat="1" ht="15.6">
      <c r="A423" s="826" t="s">
        <v>13</v>
      </c>
      <c r="B423" s="827"/>
      <c r="C423" s="716">
        <v>936994</v>
      </c>
      <c r="D423" s="716">
        <v>893496</v>
      </c>
      <c r="E423" s="716">
        <v>845497</v>
      </c>
      <c r="F423" s="716">
        <v>845497</v>
      </c>
      <c r="G423" s="716">
        <v>472498</v>
      </c>
      <c r="H423" s="716">
        <v>415999</v>
      </c>
      <c r="I423" s="716">
        <v>364499</v>
      </c>
      <c r="J423" s="716">
        <v>294499</v>
      </c>
      <c r="K423" s="716">
        <v>294499</v>
      </c>
      <c r="L423" s="716">
        <v>294499</v>
      </c>
      <c r="M423" s="716">
        <v>233299</v>
      </c>
      <c r="N423" s="716">
        <v>233299</v>
      </c>
      <c r="O423" s="716">
        <v>154499</v>
      </c>
      <c r="P423" s="716">
        <v>104499</v>
      </c>
      <c r="Q423" s="716">
        <v>104499</v>
      </c>
      <c r="R423" s="716">
        <v>104499</v>
      </c>
      <c r="S423" s="716">
        <v>46500</v>
      </c>
      <c r="T423" s="716">
        <v>0</v>
      </c>
    </row>
    <row r="424" spans="1:20" s="426" customFormat="1">
      <c r="A424" s="29"/>
      <c r="B424" s="748"/>
      <c r="C424" s="719"/>
      <c r="D424" s="719"/>
      <c r="E424" s="719"/>
      <c r="F424" s="719"/>
      <c r="G424" s="719"/>
      <c r="H424" s="719"/>
      <c r="I424" s="719"/>
      <c r="J424" s="719"/>
      <c r="K424" s="719"/>
      <c r="L424" s="719"/>
      <c r="M424" s="719"/>
      <c r="N424" s="719"/>
      <c r="O424" s="719"/>
      <c r="P424" s="719"/>
      <c r="Q424" s="719"/>
      <c r="R424" s="719"/>
      <c r="S424" s="719"/>
      <c r="T424" s="719"/>
    </row>
    <row r="425" spans="1:20">
      <c r="A425" s="28" t="s">
        <v>107</v>
      </c>
      <c r="B425" s="746" t="s">
        <v>300</v>
      </c>
      <c r="C425" s="875">
        <v>0</v>
      </c>
      <c r="D425" s="875">
        <v>0</v>
      </c>
      <c r="E425" s="875">
        <v>0</v>
      </c>
      <c r="F425" s="875">
        <v>0</v>
      </c>
      <c r="G425" s="875">
        <v>250000</v>
      </c>
      <c r="H425" s="875">
        <v>0</v>
      </c>
      <c r="I425" s="875">
        <v>0</v>
      </c>
      <c r="J425" s="875">
        <v>0</v>
      </c>
      <c r="K425" s="875">
        <v>0</v>
      </c>
      <c r="L425" s="875">
        <v>0</v>
      </c>
      <c r="M425" s="875">
        <v>0</v>
      </c>
      <c r="N425" s="875">
        <v>0</v>
      </c>
      <c r="O425" s="875">
        <v>0</v>
      </c>
      <c r="P425" s="875">
        <v>0</v>
      </c>
      <c r="Q425" s="875">
        <v>0</v>
      </c>
      <c r="R425" s="875">
        <v>0</v>
      </c>
      <c r="S425" s="875">
        <v>250000</v>
      </c>
      <c r="T425" s="875">
        <v>0</v>
      </c>
    </row>
    <row r="426" spans="1:20" s="426" customFormat="1">
      <c r="A426" s="828" t="s">
        <v>108</v>
      </c>
      <c r="B426" s="792"/>
      <c r="C426" s="702">
        <v>500000</v>
      </c>
      <c r="D426" s="702">
        <v>500000</v>
      </c>
      <c r="E426" s="702">
        <v>500000</v>
      </c>
      <c r="F426" s="702">
        <v>500000</v>
      </c>
      <c r="G426" s="702">
        <v>500000</v>
      </c>
      <c r="H426" s="702">
        <v>250000</v>
      </c>
      <c r="I426" s="702">
        <v>250000</v>
      </c>
      <c r="J426" s="702">
        <v>250000</v>
      </c>
      <c r="K426" s="702">
        <v>250000</v>
      </c>
      <c r="L426" s="702">
        <v>250000</v>
      </c>
      <c r="M426" s="702">
        <v>250000</v>
      </c>
      <c r="N426" s="702">
        <v>250000</v>
      </c>
      <c r="O426" s="702">
        <v>250000</v>
      </c>
      <c r="P426" s="702">
        <v>250000</v>
      </c>
      <c r="Q426" s="702">
        <v>250000</v>
      </c>
      <c r="R426" s="702">
        <v>250000</v>
      </c>
      <c r="S426" s="702">
        <v>250000</v>
      </c>
      <c r="T426" s="702">
        <v>0</v>
      </c>
    </row>
    <row r="427" spans="1:20" s="426" customFormat="1">
      <c r="A427" s="29"/>
      <c r="B427" s="748"/>
      <c r="C427" s="891"/>
      <c r="D427" s="891"/>
      <c r="E427" s="891"/>
      <c r="F427" s="891"/>
      <c r="G427" s="891"/>
      <c r="H427" s="891"/>
      <c r="I427" s="891"/>
      <c r="J427" s="891"/>
      <c r="K427" s="891"/>
      <c r="L427" s="891"/>
      <c r="M427" s="891"/>
      <c r="N427" s="891"/>
      <c r="O427" s="891"/>
      <c r="P427" s="891"/>
      <c r="Q427" s="891"/>
      <c r="R427" s="891"/>
      <c r="S427" s="891"/>
      <c r="T427" s="891"/>
    </row>
    <row r="428" spans="1:20" s="426" customFormat="1">
      <c r="A428" s="29" t="s">
        <v>97</v>
      </c>
      <c r="B428" s="748"/>
      <c r="C428" s="891"/>
      <c r="D428" s="891"/>
      <c r="E428" s="891"/>
      <c r="F428" s="891"/>
      <c r="G428" s="891"/>
      <c r="H428" s="891"/>
      <c r="I428" s="891"/>
      <c r="J428" s="891"/>
      <c r="K428" s="891"/>
      <c r="L428" s="891"/>
      <c r="M428" s="891"/>
      <c r="N428" s="891"/>
      <c r="O428" s="891"/>
      <c r="P428" s="891"/>
      <c r="Q428" s="891"/>
      <c r="R428" s="891"/>
      <c r="S428" s="891"/>
      <c r="T428" s="891"/>
    </row>
    <row r="429" spans="1:20">
      <c r="A429" s="28" t="s">
        <v>24</v>
      </c>
      <c r="B429" s="746" t="s">
        <v>301</v>
      </c>
      <c r="C429" s="875">
        <v>0</v>
      </c>
      <c r="D429" s="875">
        <v>0</v>
      </c>
      <c r="E429" s="875">
        <v>0</v>
      </c>
      <c r="F429" s="875">
        <v>0</v>
      </c>
      <c r="G429" s="875">
        <v>0</v>
      </c>
      <c r="H429" s="875">
        <v>0</v>
      </c>
      <c r="I429" s="875">
        <v>0</v>
      </c>
      <c r="J429" s="875">
        <v>0</v>
      </c>
      <c r="K429" s="875">
        <v>0</v>
      </c>
      <c r="L429" s="875">
        <v>0</v>
      </c>
      <c r="M429" s="875">
        <v>0</v>
      </c>
      <c r="N429" s="875">
        <v>0</v>
      </c>
      <c r="O429" s="875">
        <v>0</v>
      </c>
      <c r="P429" s="875">
        <v>0</v>
      </c>
      <c r="Q429" s="875">
        <v>0</v>
      </c>
      <c r="R429" s="875">
        <v>0</v>
      </c>
      <c r="S429" s="875">
        <v>0</v>
      </c>
      <c r="T429" s="875">
        <v>0</v>
      </c>
    </row>
    <row r="430" spans="1:20" s="712" customFormat="1">
      <c r="A430" s="819" t="s">
        <v>13</v>
      </c>
      <c r="B430" s="780"/>
      <c r="C430" s="702">
        <v>0</v>
      </c>
      <c r="D430" s="702">
        <v>0</v>
      </c>
      <c r="E430" s="702">
        <v>0</v>
      </c>
      <c r="F430" s="702">
        <v>0</v>
      </c>
      <c r="G430" s="702">
        <v>0</v>
      </c>
      <c r="H430" s="702">
        <v>0</v>
      </c>
      <c r="I430" s="702">
        <v>0</v>
      </c>
      <c r="J430" s="702">
        <v>0</v>
      </c>
      <c r="K430" s="702">
        <v>0</v>
      </c>
      <c r="L430" s="702">
        <v>0</v>
      </c>
      <c r="M430" s="702">
        <v>0</v>
      </c>
      <c r="N430" s="702">
        <v>0</v>
      </c>
      <c r="O430" s="702">
        <v>0</v>
      </c>
      <c r="P430" s="702">
        <v>0</v>
      </c>
      <c r="Q430" s="702">
        <v>0</v>
      </c>
      <c r="R430" s="702">
        <v>0</v>
      </c>
      <c r="S430" s="702">
        <v>0</v>
      </c>
      <c r="T430" s="702">
        <v>0</v>
      </c>
    </row>
    <row r="431" spans="1:20">
      <c r="A431" s="28" t="s">
        <v>138</v>
      </c>
      <c r="B431" s="746" t="s">
        <v>302</v>
      </c>
      <c r="C431" s="875">
        <v>0</v>
      </c>
      <c r="D431" s="875">
        <v>52400</v>
      </c>
      <c r="E431" s="875">
        <v>0</v>
      </c>
      <c r="F431" s="875">
        <v>0</v>
      </c>
      <c r="G431" s="875">
        <v>102400</v>
      </c>
      <c r="H431" s="875">
        <v>52400</v>
      </c>
      <c r="I431" s="875">
        <v>0</v>
      </c>
      <c r="J431" s="875">
        <v>0</v>
      </c>
      <c r="K431" s="875">
        <v>0</v>
      </c>
      <c r="L431" s="875">
        <v>0</v>
      </c>
      <c r="M431" s="875">
        <v>102400</v>
      </c>
      <c r="N431" s="875">
        <v>0</v>
      </c>
      <c r="O431" s="875">
        <v>0</v>
      </c>
      <c r="P431" s="875">
        <v>0</v>
      </c>
      <c r="Q431" s="875">
        <v>0</v>
      </c>
      <c r="R431" s="875">
        <v>500000</v>
      </c>
      <c r="S431" s="875">
        <v>0</v>
      </c>
      <c r="T431" s="875">
        <v>0</v>
      </c>
    </row>
    <row r="432" spans="1:20" s="712" customFormat="1">
      <c r="A432" s="819" t="s">
        <v>13</v>
      </c>
      <c r="B432" s="780"/>
      <c r="C432" s="702">
        <v>809600</v>
      </c>
      <c r="D432" s="702">
        <v>809600</v>
      </c>
      <c r="E432" s="702">
        <v>757200</v>
      </c>
      <c r="F432" s="702">
        <v>757200</v>
      </c>
      <c r="G432" s="702">
        <v>757200</v>
      </c>
      <c r="H432" s="702">
        <v>654800</v>
      </c>
      <c r="I432" s="702">
        <v>602400</v>
      </c>
      <c r="J432" s="702">
        <v>602400</v>
      </c>
      <c r="K432" s="702">
        <v>602400</v>
      </c>
      <c r="L432" s="702">
        <v>602400</v>
      </c>
      <c r="M432" s="702">
        <v>602400</v>
      </c>
      <c r="N432" s="702">
        <v>500000</v>
      </c>
      <c r="O432" s="702">
        <v>500000</v>
      </c>
      <c r="P432" s="702">
        <v>500000</v>
      </c>
      <c r="Q432" s="702">
        <v>500000</v>
      </c>
      <c r="R432" s="702">
        <v>500000</v>
      </c>
      <c r="S432" s="702">
        <v>0</v>
      </c>
      <c r="T432" s="702">
        <v>0</v>
      </c>
    </row>
    <row r="433" spans="1:20">
      <c r="A433" s="28" t="s">
        <v>139</v>
      </c>
      <c r="B433" s="746" t="s">
        <v>303</v>
      </c>
      <c r="C433" s="875">
        <v>0</v>
      </c>
      <c r="D433" s="875">
        <v>0</v>
      </c>
      <c r="E433" s="875">
        <v>0</v>
      </c>
      <c r="F433" s="875">
        <v>0</v>
      </c>
      <c r="G433" s="875">
        <v>0</v>
      </c>
      <c r="H433" s="875">
        <v>0</v>
      </c>
      <c r="I433" s="875">
        <v>0</v>
      </c>
      <c r="J433" s="875">
        <v>0</v>
      </c>
      <c r="K433" s="875">
        <v>0</v>
      </c>
      <c r="L433" s="875">
        <v>0</v>
      </c>
      <c r="M433" s="875">
        <v>0</v>
      </c>
      <c r="N433" s="875">
        <v>0</v>
      </c>
      <c r="O433" s="875">
        <v>0</v>
      </c>
      <c r="P433" s="875">
        <v>0</v>
      </c>
      <c r="Q433" s="875">
        <v>0</v>
      </c>
      <c r="R433" s="875">
        <v>0</v>
      </c>
      <c r="S433" s="875">
        <v>0</v>
      </c>
      <c r="T433" s="875">
        <v>0</v>
      </c>
    </row>
    <row r="434" spans="1:20" s="712" customFormat="1">
      <c r="A434" s="819" t="s">
        <v>13</v>
      </c>
      <c r="B434" s="780"/>
      <c r="C434" s="702">
        <v>0</v>
      </c>
      <c r="D434" s="702">
        <v>0</v>
      </c>
      <c r="E434" s="702">
        <v>0</v>
      </c>
      <c r="F434" s="702">
        <v>0</v>
      </c>
      <c r="G434" s="702">
        <v>0</v>
      </c>
      <c r="H434" s="702">
        <v>0</v>
      </c>
      <c r="I434" s="702">
        <v>0</v>
      </c>
      <c r="J434" s="702">
        <v>0</v>
      </c>
      <c r="K434" s="702">
        <v>0</v>
      </c>
      <c r="L434" s="702">
        <v>0</v>
      </c>
      <c r="M434" s="702">
        <v>0</v>
      </c>
      <c r="N434" s="702">
        <v>0</v>
      </c>
      <c r="O434" s="702">
        <v>0</v>
      </c>
      <c r="P434" s="702">
        <v>0</v>
      </c>
      <c r="Q434" s="702">
        <v>0</v>
      </c>
      <c r="R434" s="702">
        <v>0</v>
      </c>
      <c r="S434" s="702">
        <v>0</v>
      </c>
      <c r="T434" s="702">
        <v>0</v>
      </c>
    </row>
    <row r="435" spans="1:20" s="712" customFormat="1">
      <c r="A435" s="820" t="s">
        <v>172</v>
      </c>
      <c r="B435" s="780" t="s">
        <v>304</v>
      </c>
      <c r="C435" s="889">
        <v>0</v>
      </c>
      <c r="D435" s="889">
        <v>0</v>
      </c>
      <c r="E435" s="889">
        <v>0</v>
      </c>
      <c r="F435" s="889">
        <v>0</v>
      </c>
      <c r="G435" s="889">
        <v>0</v>
      </c>
      <c r="H435" s="889">
        <v>0</v>
      </c>
      <c r="I435" s="889">
        <v>0</v>
      </c>
      <c r="J435" s="889">
        <v>0</v>
      </c>
      <c r="K435" s="889">
        <v>0</v>
      </c>
      <c r="L435" s="889">
        <v>0</v>
      </c>
      <c r="M435" s="889">
        <v>0</v>
      </c>
      <c r="N435" s="889">
        <v>0</v>
      </c>
      <c r="O435" s="889">
        <v>0</v>
      </c>
      <c r="P435" s="889">
        <v>0</v>
      </c>
      <c r="Q435" s="889">
        <v>0</v>
      </c>
      <c r="R435" s="889">
        <v>0</v>
      </c>
      <c r="S435" s="889">
        <v>0</v>
      </c>
      <c r="T435" s="889">
        <v>0</v>
      </c>
    </row>
    <row r="436" spans="1:20" s="712" customFormat="1">
      <c r="A436" s="819" t="s">
        <v>13</v>
      </c>
      <c r="B436" s="780"/>
      <c r="C436" s="702">
        <v>0</v>
      </c>
      <c r="D436" s="702">
        <v>0</v>
      </c>
      <c r="E436" s="702">
        <v>0</v>
      </c>
      <c r="F436" s="702">
        <v>0</v>
      </c>
      <c r="G436" s="702">
        <v>0</v>
      </c>
      <c r="H436" s="702">
        <v>0</v>
      </c>
      <c r="I436" s="702">
        <v>0</v>
      </c>
      <c r="J436" s="702">
        <v>0</v>
      </c>
      <c r="K436" s="702">
        <v>0</v>
      </c>
      <c r="L436" s="702">
        <v>0</v>
      </c>
      <c r="M436" s="702">
        <v>0</v>
      </c>
      <c r="N436" s="702">
        <v>0</v>
      </c>
      <c r="O436" s="702">
        <v>0</v>
      </c>
      <c r="P436" s="702">
        <v>0</v>
      </c>
      <c r="Q436" s="702">
        <v>0</v>
      </c>
      <c r="R436" s="702">
        <v>0</v>
      </c>
      <c r="S436" s="702">
        <v>0</v>
      </c>
      <c r="T436" s="702">
        <v>0</v>
      </c>
    </row>
    <row r="437" spans="1:20" s="712" customFormat="1">
      <c r="A437" s="820" t="s">
        <v>193</v>
      </c>
      <c r="B437" s="780" t="s">
        <v>305</v>
      </c>
      <c r="C437" s="889">
        <v>0</v>
      </c>
      <c r="D437" s="889">
        <v>0</v>
      </c>
      <c r="E437" s="889">
        <v>0</v>
      </c>
      <c r="F437" s="889">
        <v>0</v>
      </c>
      <c r="G437" s="889">
        <v>0</v>
      </c>
      <c r="H437" s="889">
        <v>0</v>
      </c>
      <c r="I437" s="889">
        <v>0</v>
      </c>
      <c r="J437" s="889">
        <v>0</v>
      </c>
      <c r="K437" s="889">
        <v>0</v>
      </c>
      <c r="L437" s="889">
        <v>0</v>
      </c>
      <c r="M437" s="889">
        <v>0</v>
      </c>
      <c r="N437" s="889">
        <v>0</v>
      </c>
      <c r="O437" s="889">
        <v>0</v>
      </c>
      <c r="P437" s="889">
        <v>0</v>
      </c>
      <c r="Q437" s="889">
        <v>0</v>
      </c>
      <c r="R437" s="889">
        <v>0</v>
      </c>
      <c r="S437" s="889">
        <v>0</v>
      </c>
      <c r="T437" s="889">
        <v>0</v>
      </c>
    </row>
    <row r="438" spans="1:20" s="712" customFormat="1">
      <c r="A438" s="819" t="s">
        <v>13</v>
      </c>
      <c r="B438" s="780"/>
      <c r="C438" s="702">
        <v>0</v>
      </c>
      <c r="D438" s="702">
        <v>0</v>
      </c>
      <c r="E438" s="702">
        <v>0</v>
      </c>
      <c r="F438" s="702">
        <v>0</v>
      </c>
      <c r="G438" s="702">
        <v>0</v>
      </c>
      <c r="H438" s="702">
        <v>0</v>
      </c>
      <c r="I438" s="702">
        <v>0</v>
      </c>
      <c r="J438" s="702">
        <v>0</v>
      </c>
      <c r="K438" s="702">
        <v>0</v>
      </c>
      <c r="L438" s="702">
        <v>0</v>
      </c>
      <c r="M438" s="702">
        <v>0</v>
      </c>
      <c r="N438" s="702">
        <v>0</v>
      </c>
      <c r="O438" s="702">
        <v>0</v>
      </c>
      <c r="P438" s="702">
        <v>0</v>
      </c>
      <c r="Q438" s="702">
        <v>0</v>
      </c>
      <c r="R438" s="702">
        <v>0</v>
      </c>
      <c r="S438" s="702">
        <v>0</v>
      </c>
      <c r="T438" s="702">
        <v>0</v>
      </c>
    </row>
    <row r="439" spans="1:20">
      <c r="A439" s="825" t="s">
        <v>151</v>
      </c>
      <c r="B439" s="746"/>
      <c r="C439" s="875">
        <v>0</v>
      </c>
      <c r="D439" s="875">
        <v>52400</v>
      </c>
      <c r="E439" s="875">
        <v>0</v>
      </c>
      <c r="F439" s="875">
        <v>0</v>
      </c>
      <c r="G439" s="875">
        <v>102400</v>
      </c>
      <c r="H439" s="875">
        <v>52400</v>
      </c>
      <c r="I439" s="875">
        <v>0</v>
      </c>
      <c r="J439" s="875">
        <v>0</v>
      </c>
      <c r="K439" s="875">
        <v>0</v>
      </c>
      <c r="L439" s="875">
        <v>0</v>
      </c>
      <c r="M439" s="875">
        <v>102400</v>
      </c>
      <c r="N439" s="875">
        <v>0</v>
      </c>
      <c r="O439" s="875">
        <v>0</v>
      </c>
      <c r="P439" s="875">
        <v>0</v>
      </c>
      <c r="Q439" s="875">
        <v>0</v>
      </c>
      <c r="R439" s="875">
        <v>500000</v>
      </c>
      <c r="S439" s="875">
        <v>0</v>
      </c>
      <c r="T439" s="875">
        <v>0</v>
      </c>
    </row>
    <row r="440" spans="1:20" s="426" customFormat="1">
      <c r="A440" s="821" t="s">
        <v>13</v>
      </c>
      <c r="B440" s="792"/>
      <c r="C440" s="702">
        <v>809600</v>
      </c>
      <c r="D440" s="702">
        <v>809600</v>
      </c>
      <c r="E440" s="702">
        <v>757200</v>
      </c>
      <c r="F440" s="702">
        <v>757200</v>
      </c>
      <c r="G440" s="702">
        <v>757200</v>
      </c>
      <c r="H440" s="702">
        <v>654800</v>
      </c>
      <c r="I440" s="702">
        <v>602400</v>
      </c>
      <c r="J440" s="702">
        <v>602400</v>
      </c>
      <c r="K440" s="702">
        <v>602400</v>
      </c>
      <c r="L440" s="702">
        <v>602400</v>
      </c>
      <c r="M440" s="702">
        <v>602400</v>
      </c>
      <c r="N440" s="702">
        <v>500000</v>
      </c>
      <c r="O440" s="702">
        <v>500000</v>
      </c>
      <c r="P440" s="702">
        <v>500000</v>
      </c>
      <c r="Q440" s="702">
        <v>500000</v>
      </c>
      <c r="R440" s="702">
        <v>500000</v>
      </c>
      <c r="S440" s="702">
        <v>0</v>
      </c>
      <c r="T440" s="702">
        <v>0</v>
      </c>
    </row>
    <row r="441" spans="1:20" s="426" customFormat="1">
      <c r="A441" s="817"/>
      <c r="B441" s="748"/>
      <c r="C441" s="879"/>
      <c r="D441" s="879"/>
      <c r="E441" s="879"/>
      <c r="F441" s="879"/>
      <c r="G441" s="879"/>
      <c r="H441" s="879"/>
      <c r="I441" s="879"/>
      <c r="J441" s="879"/>
      <c r="K441" s="879"/>
      <c r="L441" s="879"/>
      <c r="M441" s="879"/>
      <c r="N441" s="879"/>
      <c r="O441" s="879"/>
      <c r="P441" s="879"/>
      <c r="Q441" s="879"/>
      <c r="R441" s="879"/>
      <c r="S441" s="879"/>
      <c r="T441" s="879"/>
    </row>
    <row r="442" spans="1:20" s="426" customFormat="1">
      <c r="A442" s="817" t="s">
        <v>140</v>
      </c>
      <c r="B442" s="748"/>
      <c r="C442" s="879"/>
      <c r="D442" s="879"/>
      <c r="E442" s="879"/>
      <c r="F442" s="879"/>
      <c r="G442" s="879"/>
      <c r="H442" s="879"/>
      <c r="I442" s="879"/>
      <c r="J442" s="879"/>
      <c r="K442" s="879"/>
      <c r="L442" s="879"/>
      <c r="M442" s="879"/>
      <c r="N442" s="879"/>
      <c r="O442" s="879"/>
      <c r="P442" s="879"/>
      <c r="Q442" s="879"/>
      <c r="R442" s="879"/>
      <c r="S442" s="879"/>
      <c r="T442" s="879"/>
    </row>
    <row r="443" spans="1:20" s="426" customFormat="1">
      <c r="A443" s="818" t="s">
        <v>141</v>
      </c>
      <c r="B443" s="746" t="s">
        <v>306</v>
      </c>
      <c r="C443" s="888">
        <v>0</v>
      </c>
      <c r="D443" s="888">
        <v>0</v>
      </c>
      <c r="E443" s="888">
        <v>0</v>
      </c>
      <c r="F443" s="888">
        <v>0</v>
      </c>
      <c r="G443" s="888">
        <v>0</v>
      </c>
      <c r="H443" s="888">
        <v>0</v>
      </c>
      <c r="I443" s="888">
        <v>0</v>
      </c>
      <c r="J443" s="888">
        <v>0</v>
      </c>
      <c r="K443" s="888">
        <v>0</v>
      </c>
      <c r="L443" s="888">
        <v>0</v>
      </c>
      <c r="M443" s="888">
        <v>0</v>
      </c>
      <c r="N443" s="888">
        <v>0</v>
      </c>
      <c r="O443" s="888">
        <v>0</v>
      </c>
      <c r="P443" s="888">
        <v>0</v>
      </c>
      <c r="Q443" s="888">
        <v>0</v>
      </c>
      <c r="R443" s="888">
        <v>0</v>
      </c>
      <c r="S443" s="888">
        <v>0</v>
      </c>
      <c r="T443" s="888">
        <v>0</v>
      </c>
    </row>
    <row r="444" spans="1:20" s="426" customFormat="1">
      <c r="A444" s="829" t="s">
        <v>13</v>
      </c>
      <c r="B444" s="746"/>
      <c r="C444" s="702">
        <v>0</v>
      </c>
      <c r="D444" s="702">
        <v>0</v>
      </c>
      <c r="E444" s="702">
        <v>0</v>
      </c>
      <c r="F444" s="702">
        <v>0</v>
      </c>
      <c r="G444" s="702">
        <v>0</v>
      </c>
      <c r="H444" s="702">
        <v>0</v>
      </c>
      <c r="I444" s="702">
        <v>0</v>
      </c>
      <c r="J444" s="702">
        <v>0</v>
      </c>
      <c r="K444" s="702">
        <v>0</v>
      </c>
      <c r="L444" s="702">
        <v>0</v>
      </c>
      <c r="M444" s="702">
        <v>0</v>
      </c>
      <c r="N444" s="702">
        <v>0</v>
      </c>
      <c r="O444" s="702">
        <v>0</v>
      </c>
      <c r="P444" s="702">
        <v>0</v>
      </c>
      <c r="Q444" s="702">
        <v>0</v>
      </c>
      <c r="R444" s="702">
        <v>0</v>
      </c>
      <c r="S444" s="702">
        <v>0</v>
      </c>
      <c r="T444" s="702">
        <v>0</v>
      </c>
    </row>
    <row r="445" spans="1:20" s="426" customFormat="1">
      <c r="A445" s="818" t="s">
        <v>142</v>
      </c>
      <c r="B445" s="746" t="s">
        <v>307</v>
      </c>
      <c r="C445" s="888">
        <v>0</v>
      </c>
      <c r="D445" s="888">
        <v>0</v>
      </c>
      <c r="E445" s="888">
        <v>0</v>
      </c>
      <c r="F445" s="888">
        <v>0</v>
      </c>
      <c r="G445" s="888">
        <v>18354</v>
      </c>
      <c r="H445" s="888">
        <v>0</v>
      </c>
      <c r="I445" s="888">
        <v>0</v>
      </c>
      <c r="J445" s="888">
        <v>0</v>
      </c>
      <c r="K445" s="888">
        <v>0</v>
      </c>
      <c r="L445" s="888">
        <v>0</v>
      </c>
      <c r="M445" s="888">
        <v>0</v>
      </c>
      <c r="N445" s="888">
        <v>0</v>
      </c>
      <c r="O445" s="888">
        <v>0</v>
      </c>
      <c r="P445" s="888">
        <v>0</v>
      </c>
      <c r="Q445" s="888">
        <v>0</v>
      </c>
      <c r="R445" s="888">
        <v>0</v>
      </c>
      <c r="S445" s="888">
        <v>0</v>
      </c>
      <c r="T445" s="888">
        <v>0</v>
      </c>
    </row>
    <row r="446" spans="1:20" s="426" customFormat="1">
      <c r="A446" s="829" t="s">
        <v>13</v>
      </c>
      <c r="B446" s="746"/>
      <c r="C446" s="702">
        <v>18354</v>
      </c>
      <c r="D446" s="702">
        <v>18354</v>
      </c>
      <c r="E446" s="702">
        <v>18354</v>
      </c>
      <c r="F446" s="702">
        <v>18354</v>
      </c>
      <c r="G446" s="702">
        <v>18354</v>
      </c>
      <c r="H446" s="702">
        <v>0</v>
      </c>
      <c r="I446" s="702">
        <v>0</v>
      </c>
      <c r="J446" s="702">
        <v>0</v>
      </c>
      <c r="K446" s="702">
        <v>0</v>
      </c>
      <c r="L446" s="702">
        <v>0</v>
      </c>
      <c r="M446" s="702">
        <v>0</v>
      </c>
      <c r="N446" s="702">
        <v>0</v>
      </c>
      <c r="O446" s="702">
        <v>0</v>
      </c>
      <c r="P446" s="702">
        <v>0</v>
      </c>
      <c r="Q446" s="702">
        <v>0</v>
      </c>
      <c r="R446" s="702">
        <v>0</v>
      </c>
      <c r="S446" s="702">
        <v>0</v>
      </c>
      <c r="T446" s="702">
        <v>0</v>
      </c>
    </row>
    <row r="447" spans="1:20" s="426" customFormat="1">
      <c r="A447" s="818" t="s">
        <v>143</v>
      </c>
      <c r="B447" s="746" t="s">
        <v>308</v>
      </c>
      <c r="C447" s="888">
        <v>0</v>
      </c>
      <c r="D447" s="888">
        <v>0</v>
      </c>
      <c r="E447" s="888">
        <v>0</v>
      </c>
      <c r="F447" s="888">
        <v>0</v>
      </c>
      <c r="G447" s="888">
        <v>0</v>
      </c>
      <c r="H447" s="888">
        <v>0</v>
      </c>
      <c r="I447" s="888">
        <v>0</v>
      </c>
      <c r="J447" s="888">
        <v>0</v>
      </c>
      <c r="K447" s="888">
        <v>0</v>
      </c>
      <c r="L447" s="888">
        <v>0</v>
      </c>
      <c r="M447" s="888">
        <v>0</v>
      </c>
      <c r="N447" s="888">
        <v>0</v>
      </c>
      <c r="O447" s="888">
        <v>0</v>
      </c>
      <c r="P447" s="888">
        <v>0</v>
      </c>
      <c r="Q447" s="888">
        <v>0</v>
      </c>
      <c r="R447" s="888">
        <v>0</v>
      </c>
      <c r="S447" s="888">
        <v>0</v>
      </c>
      <c r="T447" s="888">
        <v>0</v>
      </c>
    </row>
    <row r="448" spans="1:20" s="426" customFormat="1">
      <c r="A448" s="829" t="s">
        <v>13</v>
      </c>
      <c r="B448" s="746"/>
      <c r="C448" s="702">
        <v>0</v>
      </c>
      <c r="D448" s="702">
        <v>0</v>
      </c>
      <c r="E448" s="702">
        <v>0</v>
      </c>
      <c r="F448" s="702">
        <v>0</v>
      </c>
      <c r="G448" s="702">
        <v>0</v>
      </c>
      <c r="H448" s="702">
        <v>0</v>
      </c>
      <c r="I448" s="702">
        <v>0</v>
      </c>
      <c r="J448" s="702">
        <v>0</v>
      </c>
      <c r="K448" s="702">
        <v>0</v>
      </c>
      <c r="L448" s="702">
        <v>0</v>
      </c>
      <c r="M448" s="702">
        <v>0</v>
      </c>
      <c r="N448" s="702">
        <v>0</v>
      </c>
      <c r="O448" s="702">
        <v>0</v>
      </c>
      <c r="P448" s="702">
        <v>0</v>
      </c>
      <c r="Q448" s="702">
        <v>0</v>
      </c>
      <c r="R448" s="702">
        <v>0</v>
      </c>
      <c r="S448" s="702">
        <v>0</v>
      </c>
      <c r="T448" s="702">
        <v>0</v>
      </c>
    </row>
    <row r="449" spans="1:20" s="426" customFormat="1">
      <c r="A449" s="820" t="s">
        <v>242</v>
      </c>
      <c r="B449" s="746" t="s">
        <v>309</v>
      </c>
      <c r="C449" s="889">
        <v>0</v>
      </c>
      <c r="D449" s="889">
        <v>0</v>
      </c>
      <c r="E449" s="889">
        <v>0</v>
      </c>
      <c r="F449" s="889">
        <v>0</v>
      </c>
      <c r="G449" s="889">
        <v>0</v>
      </c>
      <c r="H449" s="889">
        <v>0</v>
      </c>
      <c r="I449" s="889">
        <v>0</v>
      </c>
      <c r="J449" s="889">
        <v>0</v>
      </c>
      <c r="K449" s="889">
        <v>0</v>
      </c>
      <c r="L449" s="889">
        <v>0</v>
      </c>
      <c r="M449" s="889">
        <v>0</v>
      </c>
      <c r="N449" s="889">
        <v>0</v>
      </c>
      <c r="O449" s="889">
        <v>0</v>
      </c>
      <c r="P449" s="889">
        <v>0</v>
      </c>
      <c r="Q449" s="889">
        <v>0</v>
      </c>
      <c r="R449" s="889">
        <v>0</v>
      </c>
      <c r="S449" s="889">
        <v>0</v>
      </c>
      <c r="T449" s="889">
        <v>0</v>
      </c>
    </row>
    <row r="450" spans="1:20" s="426" customFormat="1">
      <c r="A450" s="829" t="s">
        <v>13</v>
      </c>
      <c r="B450" s="746"/>
      <c r="C450" s="702">
        <v>0</v>
      </c>
      <c r="D450" s="702">
        <v>0</v>
      </c>
      <c r="E450" s="702">
        <v>0</v>
      </c>
      <c r="F450" s="702">
        <v>0</v>
      </c>
      <c r="G450" s="702">
        <v>0</v>
      </c>
      <c r="H450" s="702">
        <v>0</v>
      </c>
      <c r="I450" s="702">
        <v>0</v>
      </c>
      <c r="J450" s="702">
        <v>0</v>
      </c>
      <c r="K450" s="702">
        <v>0</v>
      </c>
      <c r="L450" s="702">
        <v>0</v>
      </c>
      <c r="M450" s="702">
        <v>0</v>
      </c>
      <c r="N450" s="702">
        <v>0</v>
      </c>
      <c r="O450" s="702">
        <v>0</v>
      </c>
      <c r="P450" s="702">
        <v>0</v>
      </c>
      <c r="Q450" s="702">
        <v>0</v>
      </c>
      <c r="R450" s="702">
        <v>0</v>
      </c>
      <c r="S450" s="702">
        <v>0</v>
      </c>
      <c r="T450" s="702">
        <v>0</v>
      </c>
    </row>
    <row r="451" spans="1:20" s="426" customFormat="1">
      <c r="A451" s="820" t="s">
        <v>241</v>
      </c>
      <c r="B451" s="746" t="s">
        <v>310</v>
      </c>
      <c r="C451" s="889">
        <v>0</v>
      </c>
      <c r="D451" s="889">
        <v>0</v>
      </c>
      <c r="E451" s="889">
        <v>0</v>
      </c>
      <c r="F451" s="889">
        <v>0</v>
      </c>
      <c r="G451" s="889">
        <v>0</v>
      </c>
      <c r="H451" s="889">
        <v>0</v>
      </c>
      <c r="I451" s="889">
        <v>0</v>
      </c>
      <c r="J451" s="889">
        <v>0</v>
      </c>
      <c r="K451" s="889">
        <v>0</v>
      </c>
      <c r="L451" s="889">
        <v>0</v>
      </c>
      <c r="M451" s="889">
        <v>0</v>
      </c>
      <c r="N451" s="889">
        <v>0</v>
      </c>
      <c r="O451" s="889">
        <v>0</v>
      </c>
      <c r="P451" s="889">
        <v>0</v>
      </c>
      <c r="Q451" s="889">
        <v>0</v>
      </c>
      <c r="R451" s="889">
        <v>0</v>
      </c>
      <c r="S451" s="889">
        <v>0</v>
      </c>
      <c r="T451" s="889">
        <v>0</v>
      </c>
    </row>
    <row r="452" spans="1:20" s="426" customFormat="1">
      <c r="A452" s="829" t="s">
        <v>13</v>
      </c>
      <c r="B452" s="746"/>
      <c r="C452" s="702">
        <v>0</v>
      </c>
      <c r="D452" s="702">
        <v>0</v>
      </c>
      <c r="E452" s="702">
        <v>0</v>
      </c>
      <c r="F452" s="702">
        <v>0</v>
      </c>
      <c r="G452" s="702">
        <v>0</v>
      </c>
      <c r="H452" s="702">
        <v>0</v>
      </c>
      <c r="I452" s="702">
        <v>0</v>
      </c>
      <c r="J452" s="702">
        <v>0</v>
      </c>
      <c r="K452" s="702">
        <v>0</v>
      </c>
      <c r="L452" s="702">
        <v>0</v>
      </c>
      <c r="M452" s="702">
        <v>0</v>
      </c>
      <c r="N452" s="702">
        <v>0</v>
      </c>
      <c r="O452" s="702">
        <v>0</v>
      </c>
      <c r="P452" s="702">
        <v>0</v>
      </c>
      <c r="Q452" s="702">
        <v>0</v>
      </c>
      <c r="R452" s="702">
        <v>0</v>
      </c>
      <c r="S452" s="702">
        <v>0</v>
      </c>
      <c r="T452" s="702">
        <v>0</v>
      </c>
    </row>
    <row r="453" spans="1:20" s="426" customFormat="1">
      <c r="A453" s="818" t="s">
        <v>144</v>
      </c>
      <c r="B453" s="746" t="s">
        <v>311</v>
      </c>
      <c r="C453" s="875">
        <v>0</v>
      </c>
      <c r="D453" s="875">
        <v>0</v>
      </c>
      <c r="E453" s="875">
        <v>0</v>
      </c>
      <c r="F453" s="875">
        <v>0</v>
      </c>
      <c r="G453" s="875">
        <v>0</v>
      </c>
      <c r="H453" s="875">
        <v>0</v>
      </c>
      <c r="I453" s="875">
        <v>0</v>
      </c>
      <c r="J453" s="875">
        <v>0</v>
      </c>
      <c r="K453" s="875">
        <v>0</v>
      </c>
      <c r="L453" s="875">
        <v>0</v>
      </c>
      <c r="M453" s="875">
        <v>0</v>
      </c>
      <c r="N453" s="875">
        <v>0</v>
      </c>
      <c r="O453" s="875">
        <v>0</v>
      </c>
      <c r="P453" s="875">
        <v>0</v>
      </c>
      <c r="Q453" s="875">
        <v>0</v>
      </c>
      <c r="R453" s="875">
        <v>0</v>
      </c>
      <c r="S453" s="875">
        <v>0</v>
      </c>
      <c r="T453" s="875">
        <v>0</v>
      </c>
    </row>
    <row r="454" spans="1:20" s="426" customFormat="1">
      <c r="A454" s="829" t="s">
        <v>13</v>
      </c>
      <c r="B454" s="746"/>
      <c r="C454" s="702">
        <v>0</v>
      </c>
      <c r="D454" s="702">
        <v>0</v>
      </c>
      <c r="E454" s="702">
        <v>0</v>
      </c>
      <c r="F454" s="702">
        <v>0</v>
      </c>
      <c r="G454" s="702">
        <v>0</v>
      </c>
      <c r="H454" s="702">
        <v>0</v>
      </c>
      <c r="I454" s="702">
        <v>0</v>
      </c>
      <c r="J454" s="702">
        <v>0</v>
      </c>
      <c r="K454" s="702">
        <v>0</v>
      </c>
      <c r="L454" s="702">
        <v>0</v>
      </c>
      <c r="M454" s="702">
        <v>0</v>
      </c>
      <c r="N454" s="702">
        <v>0</v>
      </c>
      <c r="O454" s="702">
        <v>0</v>
      </c>
      <c r="P454" s="702">
        <v>0</v>
      </c>
      <c r="Q454" s="702">
        <v>0</v>
      </c>
      <c r="R454" s="702">
        <v>0</v>
      </c>
      <c r="S454" s="702">
        <v>0</v>
      </c>
      <c r="T454" s="702">
        <v>0</v>
      </c>
    </row>
    <row r="455" spans="1:20" s="426" customFormat="1">
      <c r="A455" s="818" t="s">
        <v>145</v>
      </c>
      <c r="B455" s="746" t="s">
        <v>312</v>
      </c>
      <c r="C455" s="875">
        <v>0</v>
      </c>
      <c r="D455" s="875">
        <v>0</v>
      </c>
      <c r="E455" s="875">
        <v>0</v>
      </c>
      <c r="F455" s="875">
        <v>0</v>
      </c>
      <c r="G455" s="875">
        <v>15500</v>
      </c>
      <c r="H455" s="875">
        <v>0</v>
      </c>
      <c r="I455" s="875">
        <v>0</v>
      </c>
      <c r="J455" s="875">
        <v>0</v>
      </c>
      <c r="K455" s="875">
        <v>0</v>
      </c>
      <c r="L455" s="875">
        <v>0</v>
      </c>
      <c r="M455" s="875">
        <v>0</v>
      </c>
      <c r="N455" s="875">
        <v>0</v>
      </c>
      <c r="O455" s="875">
        <v>0</v>
      </c>
      <c r="P455" s="875">
        <v>0</v>
      </c>
      <c r="Q455" s="875">
        <v>0</v>
      </c>
      <c r="R455" s="875">
        <v>0</v>
      </c>
      <c r="S455" s="875">
        <v>0</v>
      </c>
      <c r="T455" s="875">
        <v>0</v>
      </c>
    </row>
    <row r="456" spans="1:20" s="426" customFormat="1">
      <c r="A456" s="829" t="s">
        <v>13</v>
      </c>
      <c r="B456" s="746"/>
      <c r="C456" s="702">
        <v>15500</v>
      </c>
      <c r="D456" s="702">
        <v>15500</v>
      </c>
      <c r="E456" s="702">
        <v>15500</v>
      </c>
      <c r="F456" s="702">
        <v>15500</v>
      </c>
      <c r="G456" s="702">
        <v>15500</v>
      </c>
      <c r="H456" s="702">
        <v>0</v>
      </c>
      <c r="I456" s="702">
        <v>0</v>
      </c>
      <c r="J456" s="702">
        <v>0</v>
      </c>
      <c r="K456" s="702">
        <v>0</v>
      </c>
      <c r="L456" s="702">
        <v>0</v>
      </c>
      <c r="M456" s="702">
        <v>0</v>
      </c>
      <c r="N456" s="702">
        <v>0</v>
      </c>
      <c r="O456" s="702">
        <v>0</v>
      </c>
      <c r="P456" s="702">
        <v>0</v>
      </c>
      <c r="Q456" s="702">
        <v>0</v>
      </c>
      <c r="R456" s="702">
        <v>0</v>
      </c>
      <c r="S456" s="702">
        <v>0</v>
      </c>
      <c r="T456" s="702">
        <v>0</v>
      </c>
    </row>
    <row r="457" spans="1:20" s="426" customFormat="1">
      <c r="A457" s="820" t="s">
        <v>346</v>
      </c>
      <c r="B457" s="746" t="s">
        <v>528</v>
      </c>
      <c r="C457" s="875">
        <v>0</v>
      </c>
      <c r="D457" s="875">
        <v>0</v>
      </c>
      <c r="E457" s="875">
        <v>0</v>
      </c>
      <c r="F457" s="875">
        <v>0</v>
      </c>
      <c r="G457" s="875">
        <v>15500</v>
      </c>
      <c r="H457" s="875">
        <v>0</v>
      </c>
      <c r="I457" s="875">
        <v>0</v>
      </c>
      <c r="J457" s="875">
        <v>0</v>
      </c>
      <c r="K457" s="875">
        <v>0</v>
      </c>
      <c r="L457" s="875">
        <v>0</v>
      </c>
      <c r="M457" s="875">
        <v>0</v>
      </c>
      <c r="N457" s="875">
        <v>0</v>
      </c>
      <c r="O457" s="875">
        <v>0</v>
      </c>
      <c r="P457" s="875">
        <v>0</v>
      </c>
      <c r="Q457" s="875">
        <v>0</v>
      </c>
      <c r="R457" s="875">
        <v>0</v>
      </c>
      <c r="S457" s="875">
        <v>0</v>
      </c>
      <c r="T457" s="875">
        <v>0</v>
      </c>
    </row>
    <row r="458" spans="1:20" s="426" customFormat="1">
      <c r="A458" s="829" t="s">
        <v>13</v>
      </c>
      <c r="B458" s="746"/>
      <c r="C458" s="702">
        <v>15500</v>
      </c>
      <c r="D458" s="702">
        <v>15500</v>
      </c>
      <c r="E458" s="702">
        <v>15500</v>
      </c>
      <c r="F458" s="702">
        <v>15500</v>
      </c>
      <c r="G458" s="702">
        <v>15500</v>
      </c>
      <c r="H458" s="702">
        <v>0</v>
      </c>
      <c r="I458" s="702">
        <v>0</v>
      </c>
      <c r="J458" s="702">
        <v>0</v>
      </c>
      <c r="K458" s="702">
        <v>0</v>
      </c>
      <c r="L458" s="702">
        <v>0</v>
      </c>
      <c r="M458" s="702">
        <v>0</v>
      </c>
      <c r="N458" s="702">
        <v>0</v>
      </c>
      <c r="O458" s="702">
        <v>0</v>
      </c>
      <c r="P458" s="702">
        <v>0</v>
      </c>
      <c r="Q458" s="702">
        <v>0</v>
      </c>
      <c r="R458" s="702">
        <v>0</v>
      </c>
      <c r="S458" s="702">
        <v>0</v>
      </c>
      <c r="T458" s="702">
        <v>0</v>
      </c>
    </row>
    <row r="459" spans="1:20" s="426" customFormat="1">
      <c r="A459" s="818" t="s">
        <v>146</v>
      </c>
      <c r="B459" s="746" t="s">
        <v>313</v>
      </c>
      <c r="C459" s="875">
        <v>0</v>
      </c>
      <c r="D459" s="875">
        <v>0</v>
      </c>
      <c r="E459" s="875">
        <v>0</v>
      </c>
      <c r="F459" s="875">
        <v>0</v>
      </c>
      <c r="G459" s="875">
        <v>0</v>
      </c>
      <c r="H459" s="875">
        <v>0</v>
      </c>
      <c r="I459" s="875">
        <v>0</v>
      </c>
      <c r="J459" s="875">
        <v>0</v>
      </c>
      <c r="K459" s="875">
        <v>0</v>
      </c>
      <c r="L459" s="875">
        <v>0</v>
      </c>
      <c r="M459" s="875">
        <v>0</v>
      </c>
      <c r="N459" s="875">
        <v>0</v>
      </c>
      <c r="O459" s="875">
        <v>0</v>
      </c>
      <c r="P459" s="875">
        <v>0</v>
      </c>
      <c r="Q459" s="875">
        <v>0</v>
      </c>
      <c r="R459" s="875">
        <v>0</v>
      </c>
      <c r="S459" s="875">
        <v>0</v>
      </c>
      <c r="T459" s="875">
        <v>0</v>
      </c>
    </row>
    <row r="460" spans="1:20" s="426" customFormat="1">
      <c r="A460" s="830" t="s">
        <v>13</v>
      </c>
      <c r="B460" s="746"/>
      <c r="C460" s="720">
        <v>0</v>
      </c>
      <c r="D460" s="720">
        <v>0</v>
      </c>
      <c r="E460" s="720">
        <v>0</v>
      </c>
      <c r="F460" s="720">
        <v>0</v>
      </c>
      <c r="G460" s="720">
        <v>0</v>
      </c>
      <c r="H460" s="720">
        <v>0</v>
      </c>
      <c r="I460" s="720">
        <v>0</v>
      </c>
      <c r="J460" s="720">
        <v>0</v>
      </c>
      <c r="K460" s="720">
        <v>0</v>
      </c>
      <c r="L460" s="720">
        <v>0</v>
      </c>
      <c r="M460" s="720">
        <v>0</v>
      </c>
      <c r="N460" s="720">
        <v>0</v>
      </c>
      <c r="O460" s="720">
        <v>0</v>
      </c>
      <c r="P460" s="720">
        <v>0</v>
      </c>
      <c r="Q460" s="720">
        <v>0</v>
      </c>
      <c r="R460" s="720">
        <v>0</v>
      </c>
      <c r="S460" s="720">
        <v>0</v>
      </c>
      <c r="T460" s="720">
        <v>0</v>
      </c>
    </row>
    <row r="461" spans="1:20">
      <c r="A461" s="28" t="s">
        <v>147</v>
      </c>
      <c r="B461" s="746" t="s">
        <v>314</v>
      </c>
      <c r="C461" s="875">
        <v>0</v>
      </c>
      <c r="D461" s="875">
        <v>0</v>
      </c>
      <c r="E461" s="875">
        <v>0</v>
      </c>
      <c r="F461" s="875">
        <v>0</v>
      </c>
      <c r="G461" s="875">
        <v>0</v>
      </c>
      <c r="H461" s="875">
        <v>0</v>
      </c>
      <c r="I461" s="875">
        <v>0</v>
      </c>
      <c r="J461" s="875">
        <v>0</v>
      </c>
      <c r="K461" s="875">
        <v>0</v>
      </c>
      <c r="L461" s="875">
        <v>0</v>
      </c>
      <c r="M461" s="875">
        <v>0</v>
      </c>
      <c r="N461" s="875">
        <v>0</v>
      </c>
      <c r="O461" s="875">
        <v>0</v>
      </c>
      <c r="P461" s="875">
        <v>0</v>
      </c>
      <c r="Q461" s="875">
        <v>0</v>
      </c>
      <c r="R461" s="875">
        <v>0</v>
      </c>
      <c r="S461" s="875">
        <v>0</v>
      </c>
      <c r="T461" s="875">
        <v>0</v>
      </c>
    </row>
    <row r="462" spans="1:20" s="426" customFormat="1">
      <c r="A462" s="830" t="s">
        <v>13</v>
      </c>
      <c r="B462" s="746"/>
      <c r="C462" s="702">
        <v>0</v>
      </c>
      <c r="D462" s="702">
        <v>0</v>
      </c>
      <c r="E462" s="702">
        <v>0</v>
      </c>
      <c r="F462" s="702">
        <v>0</v>
      </c>
      <c r="G462" s="702">
        <v>0</v>
      </c>
      <c r="H462" s="702">
        <v>0</v>
      </c>
      <c r="I462" s="702">
        <v>0</v>
      </c>
      <c r="J462" s="702">
        <v>0</v>
      </c>
      <c r="K462" s="702">
        <v>0</v>
      </c>
      <c r="L462" s="702">
        <v>0</v>
      </c>
      <c r="M462" s="702">
        <v>0</v>
      </c>
      <c r="N462" s="702">
        <v>0</v>
      </c>
      <c r="O462" s="702">
        <v>0</v>
      </c>
      <c r="P462" s="702">
        <v>0</v>
      </c>
      <c r="Q462" s="702">
        <v>0</v>
      </c>
      <c r="R462" s="702">
        <v>0</v>
      </c>
      <c r="S462" s="702">
        <v>0</v>
      </c>
      <c r="T462" s="702">
        <v>0</v>
      </c>
    </row>
    <row r="463" spans="1:20" s="426" customFormat="1">
      <c r="A463" s="825" t="s">
        <v>230</v>
      </c>
      <c r="B463" s="746" t="s">
        <v>315</v>
      </c>
      <c r="C463" s="875">
        <v>0</v>
      </c>
      <c r="D463" s="875">
        <v>0</v>
      </c>
      <c r="E463" s="875">
        <v>0</v>
      </c>
      <c r="F463" s="875">
        <v>0</v>
      </c>
      <c r="G463" s="875">
        <v>0</v>
      </c>
      <c r="H463" s="875">
        <v>0</v>
      </c>
      <c r="I463" s="875">
        <v>0</v>
      </c>
      <c r="J463" s="875">
        <v>0</v>
      </c>
      <c r="K463" s="875">
        <v>0</v>
      </c>
      <c r="L463" s="875">
        <v>0</v>
      </c>
      <c r="M463" s="875">
        <v>0</v>
      </c>
      <c r="N463" s="875">
        <v>0</v>
      </c>
      <c r="O463" s="875">
        <v>0</v>
      </c>
      <c r="P463" s="875">
        <v>0</v>
      </c>
      <c r="Q463" s="875">
        <v>0</v>
      </c>
      <c r="R463" s="875">
        <v>0</v>
      </c>
      <c r="S463" s="875">
        <v>0</v>
      </c>
      <c r="T463" s="875">
        <v>0</v>
      </c>
    </row>
    <row r="464" spans="1:20" s="426" customFormat="1">
      <c r="A464" s="830" t="s">
        <v>13</v>
      </c>
      <c r="B464" s="746"/>
      <c r="C464" s="702">
        <v>0</v>
      </c>
      <c r="D464" s="702">
        <v>0</v>
      </c>
      <c r="E464" s="702">
        <v>0</v>
      </c>
      <c r="F464" s="702">
        <v>0</v>
      </c>
      <c r="G464" s="702">
        <v>0</v>
      </c>
      <c r="H464" s="702">
        <v>0</v>
      </c>
      <c r="I464" s="702">
        <v>0</v>
      </c>
      <c r="J464" s="702">
        <v>0</v>
      </c>
      <c r="K464" s="702">
        <v>0</v>
      </c>
      <c r="L464" s="702">
        <v>0</v>
      </c>
      <c r="M464" s="702">
        <v>0</v>
      </c>
      <c r="N464" s="702">
        <v>0</v>
      </c>
      <c r="O464" s="702">
        <v>0</v>
      </c>
      <c r="P464" s="702">
        <v>0</v>
      </c>
      <c r="Q464" s="702">
        <v>0</v>
      </c>
      <c r="R464" s="702">
        <v>0</v>
      </c>
      <c r="S464" s="702">
        <v>0</v>
      </c>
      <c r="T464" s="702">
        <v>0</v>
      </c>
    </row>
    <row r="465" spans="1:20" s="426" customFormat="1">
      <c r="A465" s="825" t="s">
        <v>231</v>
      </c>
      <c r="B465" s="746" t="s">
        <v>316</v>
      </c>
      <c r="C465" s="875">
        <v>0</v>
      </c>
      <c r="D465" s="875">
        <v>0</v>
      </c>
      <c r="E465" s="875">
        <v>0</v>
      </c>
      <c r="F465" s="875">
        <v>0</v>
      </c>
      <c r="G465" s="875">
        <v>0</v>
      </c>
      <c r="H465" s="875">
        <v>0</v>
      </c>
      <c r="I465" s="875">
        <v>0</v>
      </c>
      <c r="J465" s="875">
        <v>0</v>
      </c>
      <c r="K465" s="875">
        <v>0</v>
      </c>
      <c r="L465" s="875">
        <v>0</v>
      </c>
      <c r="M465" s="875">
        <v>0</v>
      </c>
      <c r="N465" s="875">
        <v>0</v>
      </c>
      <c r="O465" s="875">
        <v>0</v>
      </c>
      <c r="P465" s="875">
        <v>0</v>
      </c>
      <c r="Q465" s="875">
        <v>0</v>
      </c>
      <c r="R465" s="875">
        <v>0</v>
      </c>
      <c r="S465" s="875">
        <v>0</v>
      </c>
      <c r="T465" s="875">
        <v>0</v>
      </c>
    </row>
    <row r="466" spans="1:20" s="426" customFormat="1">
      <c r="A466" s="830" t="s">
        <v>13</v>
      </c>
      <c r="B466" s="746"/>
      <c r="C466" s="702">
        <v>0</v>
      </c>
      <c r="D466" s="702">
        <v>0</v>
      </c>
      <c r="E466" s="702">
        <v>0</v>
      </c>
      <c r="F466" s="702">
        <v>0</v>
      </c>
      <c r="G466" s="702">
        <v>0</v>
      </c>
      <c r="H466" s="702">
        <v>0</v>
      </c>
      <c r="I466" s="702">
        <v>0</v>
      </c>
      <c r="J466" s="702">
        <v>0</v>
      </c>
      <c r="K466" s="702">
        <v>0</v>
      </c>
      <c r="L466" s="702">
        <v>0</v>
      </c>
      <c r="M466" s="702">
        <v>0</v>
      </c>
      <c r="N466" s="702">
        <v>0</v>
      </c>
      <c r="O466" s="702">
        <v>0</v>
      </c>
      <c r="P466" s="702">
        <v>0</v>
      </c>
      <c r="Q466" s="702">
        <v>0</v>
      </c>
      <c r="R466" s="702">
        <v>0</v>
      </c>
      <c r="S466" s="702">
        <v>0</v>
      </c>
      <c r="T466" s="702">
        <v>0</v>
      </c>
    </row>
    <row r="467" spans="1:20" s="426" customFormat="1">
      <c r="A467" s="825" t="s">
        <v>232</v>
      </c>
      <c r="B467" s="746" t="s">
        <v>317</v>
      </c>
      <c r="C467" s="875">
        <v>0</v>
      </c>
      <c r="D467" s="875">
        <v>0</v>
      </c>
      <c r="E467" s="875">
        <v>0</v>
      </c>
      <c r="F467" s="875">
        <v>0</v>
      </c>
      <c r="G467" s="875">
        <v>0</v>
      </c>
      <c r="H467" s="875">
        <v>0</v>
      </c>
      <c r="I467" s="875">
        <v>0</v>
      </c>
      <c r="J467" s="875">
        <v>0</v>
      </c>
      <c r="K467" s="875">
        <v>0</v>
      </c>
      <c r="L467" s="875">
        <v>0</v>
      </c>
      <c r="M467" s="875">
        <v>0</v>
      </c>
      <c r="N467" s="875">
        <v>0</v>
      </c>
      <c r="O467" s="875">
        <v>0</v>
      </c>
      <c r="P467" s="875">
        <v>0</v>
      </c>
      <c r="Q467" s="875">
        <v>0</v>
      </c>
      <c r="R467" s="875">
        <v>0</v>
      </c>
      <c r="S467" s="875">
        <v>0</v>
      </c>
      <c r="T467" s="875">
        <v>0</v>
      </c>
    </row>
    <row r="468" spans="1:20" s="426" customFormat="1">
      <c r="A468" s="830" t="s">
        <v>13</v>
      </c>
      <c r="B468" s="746"/>
      <c r="C468" s="702">
        <v>0</v>
      </c>
      <c r="D468" s="702">
        <v>0</v>
      </c>
      <c r="E468" s="702">
        <v>0</v>
      </c>
      <c r="F468" s="702">
        <v>0</v>
      </c>
      <c r="G468" s="702">
        <v>0</v>
      </c>
      <c r="H468" s="702">
        <v>0</v>
      </c>
      <c r="I468" s="702">
        <v>0</v>
      </c>
      <c r="J468" s="702">
        <v>0</v>
      </c>
      <c r="K468" s="702">
        <v>0</v>
      </c>
      <c r="L468" s="702">
        <v>0</v>
      </c>
      <c r="M468" s="702">
        <v>0</v>
      </c>
      <c r="N468" s="702">
        <v>0</v>
      </c>
      <c r="O468" s="702">
        <v>0</v>
      </c>
      <c r="P468" s="702">
        <v>0</v>
      </c>
      <c r="Q468" s="702">
        <v>0</v>
      </c>
      <c r="R468" s="702">
        <v>0</v>
      </c>
      <c r="S468" s="702">
        <v>0</v>
      </c>
      <c r="T468" s="702">
        <v>0</v>
      </c>
    </row>
    <row r="469" spans="1:20" s="426" customFormat="1">
      <c r="A469" s="825" t="s">
        <v>233</v>
      </c>
      <c r="B469" s="746" t="s">
        <v>318</v>
      </c>
      <c r="C469" s="875">
        <v>0</v>
      </c>
      <c r="D469" s="875">
        <v>0</v>
      </c>
      <c r="E469" s="875">
        <v>0</v>
      </c>
      <c r="F469" s="875">
        <v>0</v>
      </c>
      <c r="G469" s="875">
        <v>0</v>
      </c>
      <c r="H469" s="875">
        <v>0</v>
      </c>
      <c r="I469" s="875">
        <v>0</v>
      </c>
      <c r="J469" s="875">
        <v>0</v>
      </c>
      <c r="K469" s="875">
        <v>0</v>
      </c>
      <c r="L469" s="875">
        <v>0</v>
      </c>
      <c r="M469" s="875">
        <v>0</v>
      </c>
      <c r="N469" s="875">
        <v>0</v>
      </c>
      <c r="O469" s="875">
        <v>0</v>
      </c>
      <c r="P469" s="875">
        <v>0</v>
      </c>
      <c r="Q469" s="875">
        <v>0</v>
      </c>
      <c r="R469" s="875">
        <v>0</v>
      </c>
      <c r="S469" s="875">
        <v>0</v>
      </c>
      <c r="T469" s="875">
        <v>0</v>
      </c>
    </row>
    <row r="470" spans="1:20" s="426" customFormat="1">
      <c r="A470" s="830" t="s">
        <v>13</v>
      </c>
      <c r="B470" s="746"/>
      <c r="C470" s="702">
        <v>0</v>
      </c>
      <c r="D470" s="702">
        <v>0</v>
      </c>
      <c r="E470" s="702">
        <v>0</v>
      </c>
      <c r="F470" s="702">
        <v>0</v>
      </c>
      <c r="G470" s="702">
        <v>0</v>
      </c>
      <c r="H470" s="702">
        <v>0</v>
      </c>
      <c r="I470" s="702">
        <v>0</v>
      </c>
      <c r="J470" s="702">
        <v>0</v>
      </c>
      <c r="K470" s="702">
        <v>0</v>
      </c>
      <c r="L470" s="702">
        <v>0</v>
      </c>
      <c r="M470" s="702">
        <v>0</v>
      </c>
      <c r="N470" s="702">
        <v>0</v>
      </c>
      <c r="O470" s="702">
        <v>0</v>
      </c>
      <c r="P470" s="702">
        <v>0</v>
      </c>
      <c r="Q470" s="702">
        <v>0</v>
      </c>
      <c r="R470" s="702">
        <v>0</v>
      </c>
      <c r="S470" s="702">
        <v>0</v>
      </c>
      <c r="T470" s="702">
        <v>0</v>
      </c>
    </row>
    <row r="471" spans="1:20" s="426" customFormat="1">
      <c r="A471" s="825" t="s">
        <v>234</v>
      </c>
      <c r="B471" s="746" t="s">
        <v>319</v>
      </c>
      <c r="C471" s="875">
        <v>0</v>
      </c>
      <c r="D471" s="875">
        <v>0</v>
      </c>
      <c r="E471" s="875">
        <v>0</v>
      </c>
      <c r="F471" s="875">
        <v>0</v>
      </c>
      <c r="G471" s="875">
        <v>0</v>
      </c>
      <c r="H471" s="875">
        <v>0</v>
      </c>
      <c r="I471" s="875">
        <v>0</v>
      </c>
      <c r="J471" s="875">
        <v>0</v>
      </c>
      <c r="K471" s="875">
        <v>0</v>
      </c>
      <c r="L471" s="875">
        <v>0</v>
      </c>
      <c r="M471" s="875">
        <v>0</v>
      </c>
      <c r="N471" s="875">
        <v>0</v>
      </c>
      <c r="O471" s="875">
        <v>0</v>
      </c>
      <c r="P471" s="875">
        <v>0</v>
      </c>
      <c r="Q471" s="875">
        <v>0</v>
      </c>
      <c r="R471" s="875">
        <v>0</v>
      </c>
      <c r="S471" s="875">
        <v>0</v>
      </c>
      <c r="T471" s="875">
        <v>0</v>
      </c>
    </row>
    <row r="472" spans="1:20" s="426" customFormat="1">
      <c r="A472" s="830" t="s">
        <v>13</v>
      </c>
      <c r="B472" s="746"/>
      <c r="C472" s="702">
        <v>0</v>
      </c>
      <c r="D472" s="702">
        <v>0</v>
      </c>
      <c r="E472" s="702">
        <v>0</v>
      </c>
      <c r="F472" s="702">
        <v>0</v>
      </c>
      <c r="G472" s="702">
        <v>0</v>
      </c>
      <c r="H472" s="702">
        <v>0</v>
      </c>
      <c r="I472" s="702">
        <v>0</v>
      </c>
      <c r="J472" s="702">
        <v>0</v>
      </c>
      <c r="K472" s="702">
        <v>0</v>
      </c>
      <c r="L472" s="702">
        <v>0</v>
      </c>
      <c r="M472" s="702">
        <v>0</v>
      </c>
      <c r="N472" s="702">
        <v>0</v>
      </c>
      <c r="O472" s="702">
        <v>0</v>
      </c>
      <c r="P472" s="702">
        <v>0</v>
      </c>
      <c r="Q472" s="702">
        <v>0</v>
      </c>
      <c r="R472" s="702">
        <v>0</v>
      </c>
      <c r="S472" s="702">
        <v>0</v>
      </c>
      <c r="T472" s="702">
        <v>0</v>
      </c>
    </row>
    <row r="473" spans="1:20" s="426" customFormat="1">
      <c r="A473" s="825" t="s">
        <v>235</v>
      </c>
      <c r="B473" s="746" t="s">
        <v>320</v>
      </c>
      <c r="C473" s="875">
        <v>0</v>
      </c>
      <c r="D473" s="875">
        <v>0</v>
      </c>
      <c r="E473" s="875">
        <v>0</v>
      </c>
      <c r="F473" s="875">
        <v>0</v>
      </c>
      <c r="G473" s="875">
        <v>0</v>
      </c>
      <c r="H473" s="875">
        <v>0</v>
      </c>
      <c r="I473" s="875">
        <v>0</v>
      </c>
      <c r="J473" s="875">
        <v>0</v>
      </c>
      <c r="K473" s="875">
        <v>0</v>
      </c>
      <c r="L473" s="875">
        <v>0</v>
      </c>
      <c r="M473" s="875">
        <v>0</v>
      </c>
      <c r="N473" s="875">
        <v>0</v>
      </c>
      <c r="O473" s="875">
        <v>0</v>
      </c>
      <c r="P473" s="875">
        <v>0</v>
      </c>
      <c r="Q473" s="875">
        <v>0</v>
      </c>
      <c r="R473" s="875">
        <v>0</v>
      </c>
      <c r="S473" s="875">
        <v>0</v>
      </c>
      <c r="T473" s="875">
        <v>0</v>
      </c>
    </row>
    <row r="474" spans="1:20" s="426" customFormat="1">
      <c r="A474" s="830" t="s">
        <v>13</v>
      </c>
      <c r="B474" s="746"/>
      <c r="C474" s="702">
        <v>0</v>
      </c>
      <c r="D474" s="702">
        <v>0</v>
      </c>
      <c r="E474" s="702">
        <v>0</v>
      </c>
      <c r="F474" s="702">
        <v>0</v>
      </c>
      <c r="G474" s="702">
        <v>0</v>
      </c>
      <c r="H474" s="702">
        <v>0</v>
      </c>
      <c r="I474" s="702">
        <v>0</v>
      </c>
      <c r="J474" s="702">
        <v>0</v>
      </c>
      <c r="K474" s="702">
        <v>0</v>
      </c>
      <c r="L474" s="702">
        <v>0</v>
      </c>
      <c r="M474" s="702">
        <v>0</v>
      </c>
      <c r="N474" s="702">
        <v>0</v>
      </c>
      <c r="O474" s="702">
        <v>0</v>
      </c>
      <c r="P474" s="702">
        <v>0</v>
      </c>
      <c r="Q474" s="702">
        <v>0</v>
      </c>
      <c r="R474" s="702">
        <v>0</v>
      </c>
      <c r="S474" s="702">
        <v>0</v>
      </c>
      <c r="T474" s="702">
        <v>0</v>
      </c>
    </row>
    <row r="475" spans="1:20" s="426" customFormat="1">
      <c r="A475" s="825" t="s">
        <v>236</v>
      </c>
      <c r="B475" s="746" t="s">
        <v>321</v>
      </c>
      <c r="C475" s="875">
        <v>0</v>
      </c>
      <c r="D475" s="875">
        <v>0</v>
      </c>
      <c r="E475" s="875">
        <v>0</v>
      </c>
      <c r="F475" s="875">
        <v>0</v>
      </c>
      <c r="G475" s="875">
        <v>0</v>
      </c>
      <c r="H475" s="875">
        <v>0</v>
      </c>
      <c r="I475" s="875">
        <v>0</v>
      </c>
      <c r="J475" s="875">
        <v>0</v>
      </c>
      <c r="K475" s="875">
        <v>0</v>
      </c>
      <c r="L475" s="875">
        <v>0</v>
      </c>
      <c r="M475" s="875">
        <v>0</v>
      </c>
      <c r="N475" s="875">
        <v>0</v>
      </c>
      <c r="O475" s="875">
        <v>0</v>
      </c>
      <c r="P475" s="875">
        <v>0</v>
      </c>
      <c r="Q475" s="875">
        <v>0</v>
      </c>
      <c r="R475" s="875">
        <v>0</v>
      </c>
      <c r="S475" s="875">
        <v>0</v>
      </c>
      <c r="T475" s="875">
        <v>0</v>
      </c>
    </row>
    <row r="476" spans="1:20" s="426" customFormat="1">
      <c r="A476" s="830" t="s">
        <v>13</v>
      </c>
      <c r="B476" s="746"/>
      <c r="C476" s="702">
        <v>0</v>
      </c>
      <c r="D476" s="702">
        <v>0</v>
      </c>
      <c r="E476" s="702">
        <v>0</v>
      </c>
      <c r="F476" s="702">
        <v>0</v>
      </c>
      <c r="G476" s="702">
        <v>0</v>
      </c>
      <c r="H476" s="702">
        <v>0</v>
      </c>
      <c r="I476" s="702">
        <v>0</v>
      </c>
      <c r="J476" s="702">
        <v>0</v>
      </c>
      <c r="K476" s="702">
        <v>0</v>
      </c>
      <c r="L476" s="702">
        <v>0</v>
      </c>
      <c r="M476" s="702">
        <v>0</v>
      </c>
      <c r="N476" s="702">
        <v>0</v>
      </c>
      <c r="O476" s="702">
        <v>0</v>
      </c>
      <c r="P476" s="702">
        <v>0</v>
      </c>
      <c r="Q476" s="702">
        <v>0</v>
      </c>
      <c r="R476" s="702">
        <v>0</v>
      </c>
      <c r="S476" s="702">
        <v>0</v>
      </c>
      <c r="T476" s="702">
        <v>0</v>
      </c>
    </row>
    <row r="477" spans="1:20">
      <c r="A477" s="825" t="s">
        <v>151</v>
      </c>
      <c r="B477" s="746"/>
      <c r="C477" s="875">
        <v>0</v>
      </c>
      <c r="D477" s="875">
        <v>0</v>
      </c>
      <c r="E477" s="875">
        <v>0</v>
      </c>
      <c r="F477" s="875">
        <v>0</v>
      </c>
      <c r="G477" s="875">
        <v>49354</v>
      </c>
      <c r="H477" s="875">
        <v>0</v>
      </c>
      <c r="I477" s="875">
        <v>0</v>
      </c>
      <c r="J477" s="875">
        <v>0</v>
      </c>
      <c r="K477" s="875">
        <v>0</v>
      </c>
      <c r="L477" s="875">
        <v>0</v>
      </c>
      <c r="M477" s="875">
        <v>0</v>
      </c>
      <c r="N477" s="875">
        <v>0</v>
      </c>
      <c r="O477" s="875">
        <v>0</v>
      </c>
      <c r="P477" s="875">
        <v>0</v>
      </c>
      <c r="Q477" s="875">
        <v>0</v>
      </c>
      <c r="R477" s="875">
        <v>0</v>
      </c>
      <c r="S477" s="875">
        <v>0</v>
      </c>
      <c r="T477" s="875">
        <v>0</v>
      </c>
    </row>
    <row r="478" spans="1:20" s="426" customFormat="1">
      <c r="A478" s="831" t="s">
        <v>13</v>
      </c>
      <c r="B478" s="792"/>
      <c r="C478" s="702">
        <v>49354</v>
      </c>
      <c r="D478" s="702">
        <v>49354</v>
      </c>
      <c r="E478" s="702">
        <v>49354</v>
      </c>
      <c r="F478" s="702">
        <v>49354</v>
      </c>
      <c r="G478" s="702">
        <v>49354</v>
      </c>
      <c r="H478" s="702">
        <v>0</v>
      </c>
      <c r="I478" s="702">
        <v>0</v>
      </c>
      <c r="J478" s="702">
        <v>0</v>
      </c>
      <c r="K478" s="702">
        <v>0</v>
      </c>
      <c r="L478" s="702">
        <v>0</v>
      </c>
      <c r="M478" s="702">
        <v>0</v>
      </c>
      <c r="N478" s="702">
        <v>0</v>
      </c>
      <c r="O478" s="702">
        <v>0</v>
      </c>
      <c r="P478" s="702">
        <v>0</v>
      </c>
      <c r="Q478" s="702">
        <v>0</v>
      </c>
      <c r="R478" s="702">
        <v>0</v>
      </c>
      <c r="S478" s="702">
        <v>0</v>
      </c>
      <c r="T478" s="702">
        <v>0</v>
      </c>
    </row>
    <row r="479" spans="1:20">
      <c r="A479" s="1"/>
      <c r="B479" s="748"/>
      <c r="C479" s="890"/>
      <c r="D479" s="890"/>
      <c r="E479" s="890"/>
      <c r="F479" s="890"/>
      <c r="G479" s="890"/>
      <c r="H479" s="890"/>
      <c r="I479" s="890"/>
      <c r="J479" s="890"/>
      <c r="K479" s="890"/>
      <c r="L479" s="890"/>
      <c r="M479" s="890"/>
      <c r="N479" s="890"/>
      <c r="O479" s="890"/>
      <c r="P479" s="890"/>
      <c r="Q479" s="890"/>
      <c r="R479" s="890"/>
      <c r="S479" s="890"/>
      <c r="T479" s="890"/>
    </row>
    <row r="480" spans="1:20" s="426" customFormat="1">
      <c r="A480" s="29" t="s">
        <v>156</v>
      </c>
      <c r="B480" s="748"/>
      <c r="C480" s="891"/>
      <c r="D480" s="891"/>
      <c r="E480" s="891"/>
      <c r="F480" s="891"/>
      <c r="G480" s="891"/>
      <c r="H480" s="891"/>
      <c r="I480" s="891"/>
      <c r="J480" s="891"/>
      <c r="K480" s="891"/>
      <c r="L480" s="891"/>
      <c r="M480" s="891"/>
      <c r="N480" s="891"/>
      <c r="O480" s="891"/>
      <c r="P480" s="891"/>
      <c r="Q480" s="891"/>
      <c r="R480" s="891"/>
      <c r="S480" s="891"/>
      <c r="T480" s="891"/>
    </row>
    <row r="481" spans="1:20">
      <c r="A481" s="28" t="s">
        <v>157</v>
      </c>
      <c r="B481" s="746"/>
      <c r="C481" s="875"/>
      <c r="D481" s="875"/>
      <c r="E481" s="875"/>
      <c r="F481" s="875"/>
      <c r="G481" s="875"/>
      <c r="H481" s="875"/>
      <c r="I481" s="875"/>
      <c r="J481" s="875"/>
      <c r="K481" s="875"/>
      <c r="L481" s="875"/>
      <c r="M481" s="875"/>
      <c r="N481" s="875"/>
      <c r="O481" s="875"/>
      <c r="P481" s="875"/>
      <c r="Q481" s="875"/>
      <c r="R481" s="875"/>
      <c r="S481" s="875"/>
      <c r="T481" s="875"/>
    </row>
    <row r="482" spans="1:20">
      <c r="A482" s="28" t="s">
        <v>158</v>
      </c>
      <c r="B482" s="746" t="s">
        <v>322</v>
      </c>
      <c r="C482" s="875">
        <v>0</v>
      </c>
      <c r="D482" s="875">
        <v>0</v>
      </c>
      <c r="E482" s="875">
        <v>0</v>
      </c>
      <c r="F482" s="875">
        <v>0</v>
      </c>
      <c r="G482" s="875">
        <v>0</v>
      </c>
      <c r="H482" s="875">
        <v>0</v>
      </c>
      <c r="I482" s="875">
        <v>0</v>
      </c>
      <c r="J482" s="875">
        <v>0</v>
      </c>
      <c r="K482" s="875">
        <v>0</v>
      </c>
      <c r="L482" s="875">
        <v>0</v>
      </c>
      <c r="M482" s="875">
        <v>0</v>
      </c>
      <c r="N482" s="875">
        <v>3894000</v>
      </c>
      <c r="O482" s="875">
        <v>0</v>
      </c>
      <c r="P482" s="875">
        <v>0</v>
      </c>
      <c r="Q482" s="875">
        <v>0</v>
      </c>
      <c r="R482" s="875">
        <v>0</v>
      </c>
      <c r="S482" s="875">
        <v>0</v>
      </c>
      <c r="T482" s="875">
        <v>0</v>
      </c>
    </row>
    <row r="483" spans="1:20" s="712" customFormat="1">
      <c r="A483" s="829" t="s">
        <v>13</v>
      </c>
      <c r="B483" s="780"/>
      <c r="C483" s="702">
        <v>3894000</v>
      </c>
      <c r="D483" s="702">
        <v>3894000</v>
      </c>
      <c r="E483" s="702">
        <v>3894000</v>
      </c>
      <c r="F483" s="702">
        <v>3894000</v>
      </c>
      <c r="G483" s="702">
        <v>3894000</v>
      </c>
      <c r="H483" s="702">
        <v>3894000</v>
      </c>
      <c r="I483" s="702">
        <v>3894000</v>
      </c>
      <c r="J483" s="702">
        <v>3894000</v>
      </c>
      <c r="K483" s="702">
        <v>3894000</v>
      </c>
      <c r="L483" s="702">
        <v>3894000</v>
      </c>
      <c r="M483" s="702">
        <v>3894000</v>
      </c>
      <c r="N483" s="702">
        <v>3894000</v>
      </c>
      <c r="O483" s="702">
        <v>0</v>
      </c>
      <c r="P483" s="702">
        <v>0</v>
      </c>
      <c r="Q483" s="702">
        <v>0</v>
      </c>
      <c r="R483" s="702">
        <v>0</v>
      </c>
      <c r="S483" s="702">
        <v>0</v>
      </c>
      <c r="T483" s="702">
        <v>0</v>
      </c>
    </row>
    <row r="484" spans="1:20">
      <c r="A484" s="28" t="s">
        <v>159</v>
      </c>
      <c r="B484" s="746" t="s">
        <v>323</v>
      </c>
      <c r="C484" s="875">
        <v>0</v>
      </c>
      <c r="D484" s="875">
        <v>0</v>
      </c>
      <c r="E484" s="875">
        <v>0</v>
      </c>
      <c r="F484" s="875">
        <v>0</v>
      </c>
      <c r="G484" s="875">
        <v>0</v>
      </c>
      <c r="H484" s="875">
        <v>0</v>
      </c>
      <c r="I484" s="875">
        <v>0</v>
      </c>
      <c r="J484" s="875">
        <v>0</v>
      </c>
      <c r="K484" s="875">
        <v>0</v>
      </c>
      <c r="L484" s="875">
        <v>0</v>
      </c>
      <c r="M484" s="875">
        <v>0</v>
      </c>
      <c r="N484" s="875">
        <v>0</v>
      </c>
      <c r="O484" s="875">
        <v>0</v>
      </c>
      <c r="P484" s="875">
        <v>0</v>
      </c>
      <c r="Q484" s="875">
        <v>0</v>
      </c>
      <c r="R484" s="875">
        <v>0</v>
      </c>
      <c r="S484" s="875">
        <v>0</v>
      </c>
      <c r="T484" s="875">
        <v>0</v>
      </c>
    </row>
    <row r="485" spans="1:20" s="712" customFormat="1">
      <c r="A485" s="829" t="s">
        <v>13</v>
      </c>
      <c r="B485" s="780"/>
      <c r="C485" s="702">
        <v>0</v>
      </c>
      <c r="D485" s="702">
        <v>0</v>
      </c>
      <c r="E485" s="702">
        <v>0</v>
      </c>
      <c r="F485" s="702">
        <v>0</v>
      </c>
      <c r="G485" s="702">
        <v>0</v>
      </c>
      <c r="H485" s="702">
        <v>0</v>
      </c>
      <c r="I485" s="702">
        <v>0</v>
      </c>
      <c r="J485" s="702">
        <v>0</v>
      </c>
      <c r="K485" s="702">
        <v>0</v>
      </c>
      <c r="L485" s="702">
        <v>0</v>
      </c>
      <c r="M485" s="702">
        <v>0</v>
      </c>
      <c r="N485" s="702">
        <v>0</v>
      </c>
      <c r="O485" s="702">
        <v>0</v>
      </c>
      <c r="P485" s="702">
        <v>0</v>
      </c>
      <c r="Q485" s="702">
        <v>0</v>
      </c>
      <c r="R485" s="702">
        <v>0</v>
      </c>
      <c r="S485" s="702">
        <v>0</v>
      </c>
      <c r="T485" s="702">
        <v>0</v>
      </c>
    </row>
    <row r="486" spans="1:20" s="265" customFormat="1">
      <c r="A486" s="820" t="s">
        <v>151</v>
      </c>
      <c r="B486" s="832"/>
      <c r="C486" s="875">
        <v>0</v>
      </c>
      <c r="D486" s="875">
        <v>0</v>
      </c>
      <c r="E486" s="875">
        <v>0</v>
      </c>
      <c r="F486" s="875">
        <v>0</v>
      </c>
      <c r="G486" s="875">
        <v>0</v>
      </c>
      <c r="H486" s="875">
        <v>0</v>
      </c>
      <c r="I486" s="875">
        <v>0</v>
      </c>
      <c r="J486" s="875">
        <v>0</v>
      </c>
      <c r="K486" s="875">
        <v>0</v>
      </c>
      <c r="L486" s="875">
        <v>0</v>
      </c>
      <c r="M486" s="875">
        <v>0</v>
      </c>
      <c r="N486" s="875">
        <v>3894000</v>
      </c>
      <c r="O486" s="875">
        <v>0</v>
      </c>
      <c r="P486" s="875">
        <v>0</v>
      </c>
      <c r="Q486" s="875">
        <v>0</v>
      </c>
      <c r="R486" s="875">
        <v>0</v>
      </c>
      <c r="S486" s="875">
        <v>0</v>
      </c>
      <c r="T486" s="875">
        <v>0</v>
      </c>
    </row>
    <row r="487" spans="1:20">
      <c r="A487" s="830" t="s">
        <v>13</v>
      </c>
      <c r="B487" s="746"/>
      <c r="C487" s="720">
        <v>3894000</v>
      </c>
      <c r="D487" s="720">
        <v>3894000</v>
      </c>
      <c r="E487" s="720">
        <v>3894000</v>
      </c>
      <c r="F487" s="720">
        <v>3894000</v>
      </c>
      <c r="G487" s="720">
        <v>3894000</v>
      </c>
      <c r="H487" s="720">
        <v>3894000</v>
      </c>
      <c r="I487" s="720">
        <v>3894000</v>
      </c>
      <c r="J487" s="720">
        <v>3894000</v>
      </c>
      <c r="K487" s="720">
        <v>3894000</v>
      </c>
      <c r="L487" s="720">
        <v>3894000</v>
      </c>
      <c r="M487" s="720">
        <v>3894000</v>
      </c>
      <c r="N487" s="720">
        <v>3894000</v>
      </c>
      <c r="O487" s="720">
        <v>0</v>
      </c>
      <c r="P487" s="720">
        <v>0</v>
      </c>
      <c r="Q487" s="720">
        <v>0</v>
      </c>
      <c r="R487" s="720">
        <v>0</v>
      </c>
      <c r="S487" s="720">
        <v>0</v>
      </c>
      <c r="T487" s="720">
        <v>0</v>
      </c>
    </row>
    <row r="488" spans="1:20">
      <c r="A488" s="833" t="s">
        <v>167</v>
      </c>
      <c r="B488" s="746"/>
      <c r="C488" s="720">
        <v>-3894000</v>
      </c>
      <c r="D488" s="720">
        <v>-3894000</v>
      </c>
      <c r="E488" s="720">
        <v>-3894000</v>
      </c>
      <c r="F488" s="720">
        <v>-3894000</v>
      </c>
      <c r="G488" s="720">
        <v>-3894000</v>
      </c>
      <c r="H488" s="720">
        <v>-3894000</v>
      </c>
      <c r="I488" s="720">
        <v>-3894000</v>
      </c>
      <c r="J488" s="720">
        <v>-3894000</v>
      </c>
      <c r="K488" s="720">
        <v>-3894000</v>
      </c>
      <c r="L488" s="720">
        <v>-3894000</v>
      </c>
      <c r="M488" s="720">
        <v>-3894000</v>
      </c>
      <c r="N488" s="720">
        <v>-3894000</v>
      </c>
      <c r="O488" s="720">
        <v>0</v>
      </c>
      <c r="P488" s="720">
        <v>0</v>
      </c>
      <c r="Q488" s="720">
        <v>0</v>
      </c>
      <c r="R488" s="720">
        <v>0</v>
      </c>
      <c r="S488" s="720">
        <v>0</v>
      </c>
      <c r="T488" s="720">
        <v>0</v>
      </c>
    </row>
    <row r="489" spans="1:20">
      <c r="A489" s="834"/>
      <c r="B489" s="748"/>
      <c r="C489" s="892"/>
      <c r="D489" s="892"/>
      <c r="E489" s="892"/>
      <c r="F489" s="892"/>
      <c r="G489" s="892"/>
      <c r="H489" s="892"/>
      <c r="I489" s="892"/>
      <c r="J489" s="892"/>
      <c r="K489" s="892"/>
      <c r="L489" s="892"/>
      <c r="M489" s="892"/>
      <c r="N489" s="892"/>
      <c r="O489" s="892"/>
      <c r="P489" s="892"/>
      <c r="Q489" s="892"/>
      <c r="R489" s="892"/>
      <c r="S489" s="892"/>
      <c r="T489" s="892"/>
    </row>
    <row r="490" spans="1:20">
      <c r="A490" s="834" t="s">
        <v>364</v>
      </c>
      <c r="B490" s="748"/>
      <c r="C490" s="892">
        <v>0</v>
      </c>
      <c r="D490" s="892">
        <v>0</v>
      </c>
      <c r="E490" s="892">
        <v>0</v>
      </c>
      <c r="F490" s="892">
        <v>100000</v>
      </c>
      <c r="G490" s="892">
        <v>0</v>
      </c>
      <c r="H490" s="892">
        <v>0</v>
      </c>
      <c r="I490" s="892">
        <v>0</v>
      </c>
      <c r="J490" s="892">
        <v>0</v>
      </c>
      <c r="K490" s="892">
        <v>0</v>
      </c>
      <c r="L490" s="892">
        <v>0</v>
      </c>
      <c r="M490" s="892">
        <v>0</v>
      </c>
      <c r="N490" s="892">
        <v>0</v>
      </c>
      <c r="O490" s="892">
        <v>0</v>
      </c>
      <c r="P490" s="892">
        <v>0</v>
      </c>
      <c r="Q490" s="892">
        <v>100000</v>
      </c>
      <c r="R490" s="892">
        <v>0</v>
      </c>
      <c r="S490" s="892">
        <v>0</v>
      </c>
      <c r="T490" s="892">
        <v>0</v>
      </c>
    </row>
    <row r="491" spans="1:20">
      <c r="A491" s="835" t="s">
        <v>13</v>
      </c>
      <c r="B491" s="748"/>
      <c r="C491" s="720">
        <v>200000</v>
      </c>
      <c r="D491" s="720">
        <v>200000</v>
      </c>
      <c r="E491" s="720">
        <v>200000</v>
      </c>
      <c r="F491" s="720">
        <v>200000</v>
      </c>
      <c r="G491" s="720">
        <v>100000</v>
      </c>
      <c r="H491" s="720">
        <v>100000</v>
      </c>
      <c r="I491" s="720">
        <v>100000</v>
      </c>
      <c r="J491" s="720">
        <v>100000</v>
      </c>
      <c r="K491" s="720">
        <v>100000</v>
      </c>
      <c r="L491" s="720">
        <v>100000</v>
      </c>
      <c r="M491" s="720">
        <v>100000</v>
      </c>
      <c r="N491" s="720">
        <v>100000</v>
      </c>
      <c r="O491" s="720">
        <v>100000</v>
      </c>
      <c r="P491" s="720">
        <v>100000</v>
      </c>
      <c r="Q491" s="720">
        <v>100000</v>
      </c>
      <c r="R491" s="720">
        <v>0</v>
      </c>
      <c r="S491" s="720">
        <v>0</v>
      </c>
      <c r="T491" s="720">
        <v>0</v>
      </c>
    </row>
    <row r="492" spans="1:20">
      <c r="A492" s="836" t="s">
        <v>365</v>
      </c>
      <c r="B492" s="748" t="s">
        <v>529</v>
      </c>
      <c r="C492" s="892">
        <v>0</v>
      </c>
      <c r="D492" s="892">
        <v>0</v>
      </c>
      <c r="E492" s="892">
        <v>0</v>
      </c>
      <c r="F492" s="892">
        <v>0</v>
      </c>
      <c r="G492" s="892">
        <v>0</v>
      </c>
      <c r="H492" s="892">
        <v>0</v>
      </c>
      <c r="I492" s="892">
        <v>0</v>
      </c>
      <c r="J492" s="892">
        <v>0</v>
      </c>
      <c r="K492" s="892">
        <v>0</v>
      </c>
      <c r="L492" s="892">
        <v>0</v>
      </c>
      <c r="M492" s="892">
        <v>0</v>
      </c>
      <c r="N492" s="892">
        <v>0</v>
      </c>
      <c r="O492" s="892">
        <v>0</v>
      </c>
      <c r="P492" s="892">
        <v>0</v>
      </c>
      <c r="Q492" s="892">
        <v>0</v>
      </c>
      <c r="R492" s="892">
        <v>0</v>
      </c>
      <c r="S492" s="892">
        <v>0</v>
      </c>
      <c r="T492" s="892">
        <v>0</v>
      </c>
    </row>
    <row r="493" spans="1:20">
      <c r="A493" s="835" t="s">
        <v>13</v>
      </c>
      <c r="B493" s="748"/>
      <c r="C493" s="720">
        <v>0</v>
      </c>
      <c r="D493" s="720">
        <v>0</v>
      </c>
      <c r="E493" s="720">
        <v>0</v>
      </c>
      <c r="F493" s="720">
        <v>0</v>
      </c>
      <c r="G493" s="720">
        <v>0</v>
      </c>
      <c r="H493" s="720">
        <v>0</v>
      </c>
      <c r="I493" s="720">
        <v>0</v>
      </c>
      <c r="J493" s="720">
        <v>0</v>
      </c>
      <c r="K493" s="720">
        <v>0</v>
      </c>
      <c r="L493" s="720">
        <v>0</v>
      </c>
      <c r="M493" s="720">
        <v>0</v>
      </c>
      <c r="N493" s="720">
        <v>0</v>
      </c>
      <c r="O493" s="720">
        <v>0</v>
      </c>
      <c r="P493" s="720">
        <v>0</v>
      </c>
      <c r="Q493" s="720">
        <v>0</v>
      </c>
      <c r="R493" s="720">
        <v>0</v>
      </c>
      <c r="S493" s="720">
        <v>0</v>
      </c>
      <c r="T493" s="720">
        <v>0</v>
      </c>
    </row>
    <row r="494" spans="1:20">
      <c r="A494" s="836" t="s">
        <v>366</v>
      </c>
      <c r="B494" s="748" t="s">
        <v>530</v>
      </c>
      <c r="C494" s="892">
        <v>0</v>
      </c>
      <c r="D494" s="892">
        <v>0</v>
      </c>
      <c r="E494" s="892">
        <v>0</v>
      </c>
      <c r="F494" s="892">
        <v>100000</v>
      </c>
      <c r="G494" s="892">
        <v>0</v>
      </c>
      <c r="H494" s="892">
        <v>0</v>
      </c>
      <c r="I494" s="892">
        <v>0</v>
      </c>
      <c r="J494" s="892">
        <v>0</v>
      </c>
      <c r="K494" s="892">
        <v>0</v>
      </c>
      <c r="L494" s="892">
        <v>0</v>
      </c>
      <c r="M494" s="892">
        <v>0</v>
      </c>
      <c r="N494" s="892">
        <v>0</v>
      </c>
      <c r="O494" s="892">
        <v>0</v>
      </c>
      <c r="P494" s="892">
        <v>0</v>
      </c>
      <c r="Q494" s="892">
        <v>100000</v>
      </c>
      <c r="R494" s="892">
        <v>0</v>
      </c>
      <c r="S494" s="892">
        <v>0</v>
      </c>
      <c r="T494" s="892">
        <v>0</v>
      </c>
    </row>
    <row r="495" spans="1:20">
      <c r="A495" s="835" t="s">
        <v>13</v>
      </c>
      <c r="B495" s="748"/>
      <c r="C495" s="720">
        <v>200000</v>
      </c>
      <c r="D495" s="720">
        <v>200000</v>
      </c>
      <c r="E495" s="720">
        <v>200000</v>
      </c>
      <c r="F495" s="720">
        <v>200000</v>
      </c>
      <c r="G495" s="720">
        <v>100000</v>
      </c>
      <c r="H495" s="720">
        <v>100000</v>
      </c>
      <c r="I495" s="720">
        <v>100000</v>
      </c>
      <c r="J495" s="720">
        <v>100000</v>
      </c>
      <c r="K495" s="720">
        <v>100000</v>
      </c>
      <c r="L495" s="720">
        <v>100000</v>
      </c>
      <c r="M495" s="720">
        <v>100000</v>
      </c>
      <c r="N495" s="720">
        <v>100000</v>
      </c>
      <c r="O495" s="720">
        <v>100000</v>
      </c>
      <c r="P495" s="720">
        <v>100000</v>
      </c>
      <c r="Q495" s="720">
        <v>100000</v>
      </c>
      <c r="R495" s="720">
        <v>0</v>
      </c>
      <c r="S495" s="720">
        <v>0</v>
      </c>
      <c r="T495" s="720">
        <v>0</v>
      </c>
    </row>
    <row r="496" spans="1:20">
      <c r="A496" s="834"/>
      <c r="B496" s="748"/>
      <c r="C496" s="892"/>
      <c r="D496" s="892"/>
      <c r="E496" s="892"/>
      <c r="F496" s="892"/>
      <c r="G496" s="892"/>
      <c r="H496" s="892"/>
      <c r="I496" s="892"/>
      <c r="J496" s="892"/>
      <c r="K496" s="892"/>
      <c r="L496" s="892"/>
      <c r="M496" s="892"/>
      <c r="N496" s="892"/>
      <c r="O496" s="892"/>
      <c r="P496" s="892"/>
      <c r="Q496" s="892"/>
      <c r="R496" s="892"/>
      <c r="S496" s="892"/>
      <c r="T496" s="892"/>
    </row>
    <row r="497" spans="1:20">
      <c r="A497" s="834" t="s">
        <v>187</v>
      </c>
      <c r="B497" s="748" t="s">
        <v>531</v>
      </c>
      <c r="C497" s="892">
        <v>6180000</v>
      </c>
      <c r="D497" s="892">
        <v>0</v>
      </c>
      <c r="E497" s="892">
        <v>0</v>
      </c>
      <c r="F497" s="892">
        <v>0</v>
      </c>
      <c r="G497" s="892">
        <v>0</v>
      </c>
      <c r="H497" s="892">
        <v>100000</v>
      </c>
      <c r="I497" s="892">
        <v>0</v>
      </c>
      <c r="J497" s="892">
        <v>0</v>
      </c>
      <c r="K497" s="892">
        <v>0</v>
      </c>
      <c r="L497" s="892">
        <v>0</v>
      </c>
      <c r="M497" s="892">
        <v>0</v>
      </c>
      <c r="N497" s="892">
        <v>0</v>
      </c>
      <c r="O497" s="892">
        <v>0</v>
      </c>
      <c r="P497" s="892">
        <v>0</v>
      </c>
      <c r="Q497" s="892">
        <v>0</v>
      </c>
      <c r="R497" s="892">
        <v>100000</v>
      </c>
      <c r="S497" s="892">
        <v>0</v>
      </c>
      <c r="T497" s="892">
        <v>0</v>
      </c>
    </row>
    <row r="498" spans="1:20">
      <c r="A498" s="834" t="s">
        <v>13</v>
      </c>
      <c r="B498" s="748"/>
      <c r="C498" s="720">
        <v>6380000</v>
      </c>
      <c r="D498" s="720">
        <v>200000</v>
      </c>
      <c r="E498" s="720">
        <v>200000</v>
      </c>
      <c r="F498" s="720">
        <v>200000</v>
      </c>
      <c r="G498" s="720">
        <v>200000</v>
      </c>
      <c r="H498" s="720">
        <v>200000</v>
      </c>
      <c r="I498" s="720">
        <v>100000</v>
      </c>
      <c r="J498" s="720">
        <v>100000</v>
      </c>
      <c r="K498" s="720">
        <v>100000</v>
      </c>
      <c r="L498" s="720">
        <v>100000</v>
      </c>
      <c r="M498" s="720">
        <v>100000</v>
      </c>
      <c r="N498" s="720">
        <v>100000</v>
      </c>
      <c r="O498" s="720">
        <v>100000</v>
      </c>
      <c r="P498" s="720">
        <v>100000</v>
      </c>
      <c r="Q498" s="720">
        <v>100000</v>
      </c>
      <c r="R498" s="720">
        <v>100000</v>
      </c>
      <c r="S498" s="720">
        <v>0</v>
      </c>
      <c r="T498" s="720">
        <v>0</v>
      </c>
    </row>
    <row r="499" spans="1:20">
      <c r="A499" s="1"/>
      <c r="B499" s="748"/>
      <c r="C499" s="890"/>
      <c r="D499" s="890"/>
      <c r="E499" s="890"/>
      <c r="F499" s="890"/>
      <c r="G499" s="890"/>
      <c r="H499" s="890"/>
      <c r="I499" s="890"/>
      <c r="J499" s="890"/>
      <c r="K499" s="890"/>
      <c r="L499" s="890"/>
      <c r="M499" s="890"/>
      <c r="N499" s="890"/>
      <c r="O499" s="890"/>
      <c r="P499" s="890"/>
      <c r="Q499" s="890"/>
      <c r="R499" s="890"/>
      <c r="S499" s="890"/>
      <c r="T499" s="890"/>
    </row>
    <row r="500" spans="1:20">
      <c r="A500" s="11" t="s">
        <v>100</v>
      </c>
      <c r="B500" s="792"/>
      <c r="C500" s="880">
        <v>7749498</v>
      </c>
      <c r="D500" s="880">
        <v>3670358</v>
      </c>
      <c r="E500" s="880">
        <v>345000</v>
      </c>
      <c r="F500" s="880">
        <v>3897964</v>
      </c>
      <c r="G500" s="880">
        <v>10379753</v>
      </c>
      <c r="H500" s="880">
        <v>2219300</v>
      </c>
      <c r="I500" s="880">
        <v>670000</v>
      </c>
      <c r="J500" s="880">
        <v>1055000</v>
      </c>
      <c r="K500" s="880">
        <v>340953</v>
      </c>
      <c r="L500" s="880">
        <v>206200</v>
      </c>
      <c r="M500" s="880">
        <v>401400</v>
      </c>
      <c r="N500" s="880">
        <v>5342800</v>
      </c>
      <c r="O500" s="880">
        <v>2814400</v>
      </c>
      <c r="P500" s="880">
        <v>893951</v>
      </c>
      <c r="Q500" s="880">
        <v>676000</v>
      </c>
      <c r="R500" s="880">
        <v>4913999</v>
      </c>
      <c r="S500" s="880">
        <v>809000</v>
      </c>
      <c r="T500" s="880">
        <v>0</v>
      </c>
    </row>
    <row r="501" spans="1:20" s="426" customFormat="1">
      <c r="A501" s="828" t="s">
        <v>59</v>
      </c>
      <c r="B501" s="792"/>
      <c r="C501" s="720">
        <v>46385576</v>
      </c>
      <c r="D501" s="720">
        <v>38636078</v>
      </c>
      <c r="E501" s="720">
        <v>34965720</v>
      </c>
      <c r="F501" s="720">
        <v>34620720</v>
      </c>
      <c r="G501" s="720">
        <v>30722756</v>
      </c>
      <c r="H501" s="720">
        <v>20343003</v>
      </c>
      <c r="I501" s="720">
        <v>18123703</v>
      </c>
      <c r="J501" s="720">
        <v>17453703</v>
      </c>
      <c r="K501" s="720">
        <v>16398703</v>
      </c>
      <c r="L501" s="720">
        <v>16057750</v>
      </c>
      <c r="M501" s="720">
        <v>15851550</v>
      </c>
      <c r="N501" s="720">
        <v>15450150</v>
      </c>
      <c r="O501" s="720">
        <v>10107350</v>
      </c>
      <c r="P501" s="720">
        <v>7292950</v>
      </c>
      <c r="Q501" s="720">
        <v>6398999</v>
      </c>
      <c r="R501" s="720">
        <v>5722999</v>
      </c>
      <c r="S501" s="720">
        <v>809000</v>
      </c>
      <c r="T501" s="720">
        <v>0</v>
      </c>
    </row>
    <row r="502" spans="1:20">
      <c r="A502" s="11"/>
      <c r="B502" s="837"/>
      <c r="C502" s="893"/>
      <c r="D502" s="893"/>
      <c r="E502" s="893"/>
      <c r="F502" s="893"/>
      <c r="G502" s="893"/>
      <c r="H502" s="893"/>
      <c r="I502" s="893"/>
      <c r="J502" s="893"/>
      <c r="K502" s="893"/>
      <c r="L502" s="893"/>
      <c r="M502" s="893"/>
      <c r="N502" s="893"/>
      <c r="O502" s="893"/>
      <c r="P502" s="893"/>
      <c r="Q502" s="893"/>
      <c r="R502" s="893"/>
      <c r="S502" s="893"/>
      <c r="T502" s="893"/>
    </row>
    <row r="503" spans="1:20" s="722" customFormat="1" ht="21">
      <c r="A503" s="838" t="s">
        <v>60</v>
      </c>
      <c r="B503" s="839"/>
      <c r="C503" s="894">
        <v>-7277008</v>
      </c>
      <c r="D503" s="894">
        <v>-4145886</v>
      </c>
      <c r="E503" s="894">
        <v>-2158821</v>
      </c>
      <c r="F503" s="894">
        <v>-3463847</v>
      </c>
      <c r="G503" s="894">
        <v>-3563944</v>
      </c>
      <c r="H503" s="894">
        <v>565312</v>
      </c>
      <c r="I503" s="894">
        <v>936025</v>
      </c>
      <c r="J503" s="894">
        <v>207856</v>
      </c>
      <c r="K503" s="894">
        <v>-430199</v>
      </c>
      <c r="L503" s="894">
        <v>-1719433</v>
      </c>
      <c r="M503" s="894">
        <v>-3398055</v>
      </c>
      <c r="N503" s="894">
        <v>-4779483</v>
      </c>
      <c r="O503" s="894">
        <v>-1707771</v>
      </c>
      <c r="P503" s="894">
        <v>-2094199</v>
      </c>
      <c r="Q503" s="894">
        <v>-3055451</v>
      </c>
      <c r="R503" s="894">
        <v>-3731733</v>
      </c>
      <c r="S503" s="894">
        <v>722783</v>
      </c>
      <c r="T503" s="894">
        <v>0</v>
      </c>
    </row>
    <row r="504" spans="1:20">
      <c r="A504" s="1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6"/>
      <c r="P504" s="736"/>
      <c r="Q504" s="736"/>
      <c r="R504" s="736"/>
      <c r="S504" s="736"/>
      <c r="T504" s="736"/>
    </row>
    <row r="505" spans="1:20">
      <c r="A505" s="1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6"/>
      <c r="P505" s="736"/>
      <c r="Q505" s="736"/>
      <c r="R505" s="736"/>
      <c r="S505" s="736"/>
      <c r="T505" s="736"/>
    </row>
    <row r="506" spans="1:20" s="723" customFormat="1" ht="21">
      <c r="A506" s="840" t="s">
        <v>117</v>
      </c>
      <c r="B506" s="841" t="s">
        <v>532</v>
      </c>
      <c r="C506" s="895">
        <v>332274422</v>
      </c>
      <c r="D506" s="895">
        <v>275646044</v>
      </c>
      <c r="E506" s="895">
        <v>273006109</v>
      </c>
      <c r="F506" s="895">
        <v>270905083</v>
      </c>
      <c r="G506" s="895">
        <v>271804980</v>
      </c>
      <c r="H506" s="895">
        <v>272294736</v>
      </c>
      <c r="I506" s="895">
        <v>273743875</v>
      </c>
      <c r="J506" s="895">
        <v>273164679</v>
      </c>
      <c r="K506" s="895">
        <v>275916624</v>
      </c>
      <c r="L506" s="895">
        <v>274296390</v>
      </c>
      <c r="M506" s="895">
        <v>267771768</v>
      </c>
      <c r="N506" s="895">
        <v>267986340</v>
      </c>
      <c r="O506" s="895">
        <v>268738052</v>
      </c>
      <c r="P506" s="895">
        <v>269381124</v>
      </c>
      <c r="Q506" s="895">
        <v>268034872</v>
      </c>
      <c r="R506" s="895">
        <v>272663090</v>
      </c>
      <c r="S506" s="895">
        <v>277586158</v>
      </c>
      <c r="T506" s="895">
        <v>276249375</v>
      </c>
    </row>
    <row r="507" spans="1:20" s="724" customFormat="1" ht="18">
      <c r="A507" s="842" t="s">
        <v>21</v>
      </c>
      <c r="B507" s="843" t="s">
        <v>533</v>
      </c>
      <c r="C507" s="896">
        <v>9100333</v>
      </c>
      <c r="D507" s="896">
        <v>9100333</v>
      </c>
      <c r="E507" s="896">
        <v>13350333</v>
      </c>
      <c r="F507" s="896">
        <v>13350333</v>
      </c>
      <c r="G507" s="896">
        <v>13350333</v>
      </c>
      <c r="H507" s="896">
        <v>15850333</v>
      </c>
      <c r="I507" s="896">
        <v>12975333</v>
      </c>
      <c r="J507" s="896">
        <v>13175333</v>
      </c>
      <c r="K507" s="896">
        <v>12975333</v>
      </c>
      <c r="L507" s="896">
        <v>12925333</v>
      </c>
      <c r="M507" s="896">
        <v>12980333</v>
      </c>
      <c r="N507" s="896">
        <v>12925333</v>
      </c>
      <c r="O507" s="896">
        <v>11975333</v>
      </c>
      <c r="P507" s="896">
        <v>11925333</v>
      </c>
      <c r="Q507" s="896">
        <v>11925333</v>
      </c>
      <c r="R507" s="896">
        <v>11925333</v>
      </c>
      <c r="S507" s="896">
        <v>11925333</v>
      </c>
      <c r="T507" s="896">
        <v>11925333</v>
      </c>
    </row>
    <row r="508" spans="1:20" s="724" customFormat="1" ht="18">
      <c r="A508" s="842" t="s">
        <v>11</v>
      </c>
      <c r="B508" s="843" t="s">
        <v>534</v>
      </c>
      <c r="C508" s="896">
        <v>76375000</v>
      </c>
      <c r="D508" s="896">
        <v>76375000</v>
      </c>
      <c r="E508" s="896">
        <v>76375000</v>
      </c>
      <c r="F508" s="896">
        <v>76375000</v>
      </c>
      <c r="G508" s="896">
        <v>76375000</v>
      </c>
      <c r="H508" s="896">
        <v>77275000</v>
      </c>
      <c r="I508" s="896">
        <v>76375000</v>
      </c>
      <c r="J508" s="896">
        <v>73375000</v>
      </c>
      <c r="K508" s="896">
        <v>75875000</v>
      </c>
      <c r="L508" s="896">
        <v>75875000</v>
      </c>
      <c r="M508" s="896">
        <v>71475000</v>
      </c>
      <c r="N508" s="896">
        <v>73275000</v>
      </c>
      <c r="O508" s="896">
        <v>70875000</v>
      </c>
      <c r="P508" s="896">
        <v>71637000</v>
      </c>
      <c r="Q508" s="896">
        <v>71637000</v>
      </c>
      <c r="R508" s="896">
        <v>74137000</v>
      </c>
      <c r="S508" s="896">
        <v>74160000</v>
      </c>
      <c r="T508" s="896">
        <v>74160000</v>
      </c>
    </row>
    <row r="509" spans="1:20" s="725" customFormat="1" ht="23.4">
      <c r="A509" s="844" t="s">
        <v>162</v>
      </c>
      <c r="B509" s="845"/>
      <c r="C509" s="897">
        <v>264999755</v>
      </c>
      <c r="D509" s="897">
        <v>208371377</v>
      </c>
      <c r="E509" s="897">
        <v>209981442</v>
      </c>
      <c r="F509" s="897">
        <v>207880416</v>
      </c>
      <c r="G509" s="897">
        <v>208780313</v>
      </c>
      <c r="H509" s="897">
        <v>210870069</v>
      </c>
      <c r="I509" s="897">
        <v>210344208</v>
      </c>
      <c r="J509" s="897">
        <v>212965012</v>
      </c>
      <c r="K509" s="897">
        <v>213016957</v>
      </c>
      <c r="L509" s="897">
        <v>211346723</v>
      </c>
      <c r="M509" s="897">
        <v>209277101</v>
      </c>
      <c r="N509" s="897">
        <v>207636673</v>
      </c>
      <c r="O509" s="897">
        <v>209838385</v>
      </c>
      <c r="P509" s="897">
        <v>209669457</v>
      </c>
      <c r="Q509" s="897">
        <v>208323205</v>
      </c>
      <c r="R509" s="897">
        <v>210451423</v>
      </c>
      <c r="S509" s="897">
        <v>215351491</v>
      </c>
      <c r="T509" s="897">
        <v>214014708</v>
      </c>
    </row>
    <row r="510" spans="1:20">
      <c r="A510" s="1"/>
      <c r="B510" s="736"/>
      <c r="C510" s="736"/>
      <c r="D510" s="736"/>
      <c r="E510" s="736"/>
      <c r="F510" s="736"/>
      <c r="G510" s="736"/>
      <c r="H510" s="736"/>
      <c r="I510" s="736"/>
      <c r="J510" s="736"/>
      <c r="K510" s="736"/>
      <c r="L510" s="736"/>
      <c r="M510" s="736"/>
      <c r="N510" s="736"/>
      <c r="O510" s="736"/>
      <c r="P510" s="736"/>
      <c r="Q510" s="736"/>
      <c r="R510" s="736"/>
      <c r="S510" s="736"/>
      <c r="T510" s="736"/>
    </row>
    <row r="511" spans="1:20" s="724" customFormat="1" ht="18">
      <c r="A511" s="842" t="s">
        <v>24</v>
      </c>
      <c r="B511" s="843" t="s">
        <v>210</v>
      </c>
      <c r="C511" s="896">
        <v>-1898445</v>
      </c>
      <c r="D511" s="896">
        <v>-1872445</v>
      </c>
      <c r="E511" s="896">
        <v>-2049445</v>
      </c>
      <c r="F511" s="896">
        <v>-2845445</v>
      </c>
      <c r="G511" s="896">
        <v>-1845451</v>
      </c>
      <c r="H511" s="896">
        <v>-3884951</v>
      </c>
      <c r="I511" s="896">
        <v>-4606525</v>
      </c>
      <c r="J511" s="896">
        <v>-1257552</v>
      </c>
      <c r="K511" s="896">
        <v>-567552</v>
      </c>
      <c r="L511" s="896">
        <v>-948552</v>
      </c>
      <c r="M511" s="896">
        <v>-1339552</v>
      </c>
      <c r="N511" s="896">
        <v>-1598552</v>
      </c>
      <c r="O511" s="896">
        <v>-2468552</v>
      </c>
      <c r="P511" s="896">
        <v>-2251052</v>
      </c>
      <c r="Q511" s="896">
        <v>-2636052</v>
      </c>
      <c r="R511" s="896">
        <v>168448</v>
      </c>
      <c r="S511" s="896">
        <v>614000</v>
      </c>
      <c r="T511" s="896">
        <v>2891164</v>
      </c>
    </row>
    <row r="512" spans="1:20" s="724" customFormat="1" ht="18">
      <c r="A512" s="846" t="s">
        <v>46</v>
      </c>
      <c r="B512" s="847"/>
      <c r="C512" s="898">
        <v>266898200</v>
      </c>
      <c r="D512" s="898">
        <v>210243822</v>
      </c>
      <c r="E512" s="898">
        <v>212030887</v>
      </c>
      <c r="F512" s="898">
        <v>210725861</v>
      </c>
      <c r="G512" s="898">
        <v>210625764</v>
      </c>
      <c r="H512" s="898">
        <v>214755020</v>
      </c>
      <c r="I512" s="898">
        <v>214950733</v>
      </c>
      <c r="J512" s="898">
        <v>214222564</v>
      </c>
      <c r="K512" s="898">
        <v>213584509</v>
      </c>
      <c r="L512" s="898">
        <v>212295275</v>
      </c>
      <c r="M512" s="898">
        <v>210616653</v>
      </c>
      <c r="N512" s="898">
        <v>209235225</v>
      </c>
      <c r="O512" s="898">
        <v>212306937</v>
      </c>
      <c r="P512" s="898">
        <v>211920509</v>
      </c>
      <c r="Q512" s="898">
        <v>210959257</v>
      </c>
      <c r="R512" s="898">
        <v>210282975</v>
      </c>
      <c r="S512" s="898">
        <v>214737491</v>
      </c>
      <c r="T512" s="898">
        <v>211123544</v>
      </c>
    </row>
    <row r="513" spans="1:20">
      <c r="A513" s="5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1:20" ht="15" thickBot="1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5" thickBot="1">
      <c r="A515" s="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1:20">
      <c r="A516" s="606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</row>
  </sheetData>
  <mergeCells count="9">
    <mergeCell ref="A127:B127"/>
    <mergeCell ref="A224:B224"/>
    <mergeCell ref="A225:B225"/>
    <mergeCell ref="A33:B33"/>
    <mergeCell ref="A48:B48"/>
    <mergeCell ref="A60:B60"/>
    <mergeCell ref="A73:B73"/>
    <mergeCell ref="A86:B86"/>
    <mergeCell ref="A123:B1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629"/>
  <sheetViews>
    <sheetView topLeftCell="A601" zoomScale="60" zoomScaleNormal="60" workbookViewId="0">
      <selection activeCell="B6" sqref="B6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21" width="25.6640625" style="263" customWidth="1"/>
    <col min="22" max="22" width="8.88671875" style="263"/>
    <col min="23" max="23" width="8.88671875" style="263" customWidth="1"/>
    <col min="24" max="16384" width="8.88671875" style="263"/>
  </cols>
  <sheetData>
    <row r="1" spans="1:21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960"/>
      <c r="S1" s="960"/>
      <c r="T1" s="960"/>
      <c r="U1" s="960"/>
    </row>
    <row r="2" spans="1:21" ht="15" thickBot="1"/>
    <row r="3" spans="1:21">
      <c r="A3" s="727"/>
      <c r="B3" s="726"/>
      <c r="C3" s="679" t="s">
        <v>875</v>
      </c>
      <c r="D3" s="679" t="s">
        <v>874</v>
      </c>
      <c r="E3" s="679" t="s">
        <v>872</v>
      </c>
      <c r="F3" s="679" t="s">
        <v>870</v>
      </c>
      <c r="G3" s="679" t="s">
        <v>869</v>
      </c>
      <c r="H3" s="679" t="s">
        <v>868</v>
      </c>
      <c r="I3" s="679" t="s">
        <v>866</v>
      </c>
      <c r="J3" s="679" t="s">
        <v>864</v>
      </c>
      <c r="K3" s="679" t="s">
        <v>863</v>
      </c>
      <c r="L3" s="679" t="s">
        <v>860</v>
      </c>
      <c r="M3" s="679" t="s">
        <v>858</v>
      </c>
      <c r="N3" s="679" t="s">
        <v>859</v>
      </c>
      <c r="O3" s="679" t="s">
        <v>856</v>
      </c>
      <c r="P3" s="679" t="s">
        <v>848</v>
      </c>
      <c r="Q3" s="679" t="s">
        <v>846</v>
      </c>
      <c r="R3" s="679" t="s">
        <v>841</v>
      </c>
      <c r="S3" s="679" t="s">
        <v>840</v>
      </c>
      <c r="T3" s="679" t="s">
        <v>839</v>
      </c>
      <c r="U3" s="679" t="s">
        <v>836</v>
      </c>
    </row>
    <row r="4" spans="1:21" s="267" customFormat="1" ht="15" thickBot="1">
      <c r="A4" s="728"/>
      <c r="B4" s="729"/>
      <c r="C4" s="680" t="s">
        <v>131</v>
      </c>
      <c r="D4" s="680" t="s">
        <v>132</v>
      </c>
      <c r="E4" s="680" t="s">
        <v>133</v>
      </c>
      <c r="F4" s="680" t="s">
        <v>134</v>
      </c>
      <c r="G4" s="680" t="s">
        <v>128</v>
      </c>
      <c r="H4" s="680" t="s">
        <v>665</v>
      </c>
      <c r="I4" s="680" t="s">
        <v>132</v>
      </c>
      <c r="J4" s="680" t="s">
        <v>707</v>
      </c>
      <c r="K4" s="680" t="s">
        <v>128</v>
      </c>
      <c r="L4" s="680" t="s">
        <v>129</v>
      </c>
      <c r="M4" s="680" t="s">
        <v>718</v>
      </c>
      <c r="N4" s="680" t="s">
        <v>722</v>
      </c>
      <c r="O4" s="680" t="s">
        <v>857</v>
      </c>
      <c r="P4" s="680" t="s">
        <v>132</v>
      </c>
      <c r="Q4" s="680" t="s">
        <v>133</v>
      </c>
      <c r="R4" s="680" t="s">
        <v>837</v>
      </c>
      <c r="S4" s="680" t="s">
        <v>665</v>
      </c>
      <c r="T4" s="680" t="s">
        <v>722</v>
      </c>
      <c r="U4" s="680" t="s">
        <v>837</v>
      </c>
    </row>
    <row r="5" spans="1:21" s="267" customFormat="1">
      <c r="A5" s="730"/>
      <c r="B5" s="73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</row>
    <row r="6" spans="1:21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</row>
    <row r="7" spans="1:21">
      <c r="A7" s="3" t="s">
        <v>10</v>
      </c>
      <c r="B7" s="734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  <c r="U7" s="683"/>
    </row>
    <row r="8" spans="1:21">
      <c r="A8" s="25" t="s">
        <v>101</v>
      </c>
      <c r="B8" s="735"/>
      <c r="C8" s="641">
        <v>606000</v>
      </c>
      <c r="D8" s="641">
        <v>606000</v>
      </c>
      <c r="E8" s="641">
        <v>606000</v>
      </c>
      <c r="F8" s="641">
        <v>606000</v>
      </c>
      <c r="G8" s="641">
        <v>606000</v>
      </c>
      <c r="H8" s="641">
        <v>606000</v>
      </c>
      <c r="I8" s="641">
        <v>401000</v>
      </c>
      <c r="J8" s="641">
        <v>401000</v>
      </c>
      <c r="K8" s="641">
        <v>399000</v>
      </c>
      <c r="L8" s="641">
        <v>399000</v>
      </c>
      <c r="M8" s="641">
        <v>399000</v>
      </c>
      <c r="N8" s="641">
        <v>399000</v>
      </c>
      <c r="O8" s="641">
        <v>399000</v>
      </c>
      <c r="P8" s="641">
        <v>399000</v>
      </c>
      <c r="Q8" s="641">
        <v>399000</v>
      </c>
      <c r="R8" s="641">
        <v>399000</v>
      </c>
      <c r="S8" s="641">
        <v>399000</v>
      </c>
      <c r="T8" s="641">
        <v>393000</v>
      </c>
      <c r="U8" s="641">
        <v>393000</v>
      </c>
    </row>
    <row r="9" spans="1:21">
      <c r="A9" s="25" t="s">
        <v>336</v>
      </c>
      <c r="B9" s="735"/>
      <c r="C9" s="641">
        <v>1615000</v>
      </c>
      <c r="D9" s="641">
        <v>1615000</v>
      </c>
      <c r="E9" s="641">
        <v>1615000</v>
      </c>
      <c r="F9" s="641">
        <v>1615000</v>
      </c>
      <c r="G9" s="641">
        <v>1615000</v>
      </c>
      <c r="H9" s="641">
        <v>1615000</v>
      </c>
      <c r="I9" s="641">
        <v>1615000</v>
      </c>
      <c r="J9" s="641">
        <v>1615000</v>
      </c>
      <c r="K9" s="641">
        <v>1615000</v>
      </c>
      <c r="L9" s="641">
        <v>1615000</v>
      </c>
      <c r="M9" s="641">
        <v>1615000</v>
      </c>
      <c r="N9" s="641">
        <v>1615000</v>
      </c>
      <c r="O9" s="641">
        <v>1615000</v>
      </c>
      <c r="P9" s="641">
        <v>1560000</v>
      </c>
      <c r="Q9" s="641">
        <v>1560000</v>
      </c>
      <c r="R9" s="641">
        <v>1560000</v>
      </c>
      <c r="S9" s="641">
        <v>1560000</v>
      </c>
      <c r="T9" s="641">
        <v>1560000</v>
      </c>
      <c r="U9" s="641">
        <v>1560000</v>
      </c>
    </row>
    <row r="10" spans="1:21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  <c r="J10" s="641">
        <v>0</v>
      </c>
      <c r="K10" s="641">
        <v>0</v>
      </c>
      <c r="L10" s="641">
        <v>0</v>
      </c>
      <c r="M10" s="641">
        <v>0</v>
      </c>
      <c r="N10" s="641">
        <v>0</v>
      </c>
      <c r="O10" s="641">
        <v>0</v>
      </c>
      <c r="P10" s="641">
        <v>0</v>
      </c>
      <c r="Q10" s="641">
        <v>0</v>
      </c>
      <c r="R10" s="641">
        <v>0</v>
      </c>
      <c r="S10" s="641">
        <v>0</v>
      </c>
      <c r="T10" s="641">
        <v>0</v>
      </c>
      <c r="U10" s="641">
        <v>0</v>
      </c>
    </row>
    <row r="11" spans="1:21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  <c r="J11" s="641">
        <v>0</v>
      </c>
      <c r="K11" s="641">
        <v>0</v>
      </c>
      <c r="L11" s="641">
        <v>0</v>
      </c>
      <c r="M11" s="641">
        <v>0</v>
      </c>
      <c r="N11" s="641">
        <v>0</v>
      </c>
      <c r="O11" s="641">
        <v>0</v>
      </c>
      <c r="P11" s="641">
        <v>0</v>
      </c>
      <c r="Q11" s="641">
        <v>0</v>
      </c>
      <c r="R11" s="641">
        <v>0</v>
      </c>
      <c r="S11" s="641">
        <v>0</v>
      </c>
      <c r="T11" s="641">
        <v>0</v>
      </c>
      <c r="U11" s="641">
        <v>0</v>
      </c>
    </row>
    <row r="12" spans="1:21">
      <c r="A12" s="1">
        <v>1000</v>
      </c>
      <c r="B12" s="736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1"/>
    </row>
    <row r="13" spans="1:21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  <c r="J13" s="641">
        <v>0</v>
      </c>
      <c r="K13" s="641">
        <v>0</v>
      </c>
      <c r="L13" s="641">
        <v>0</v>
      </c>
      <c r="M13" s="641">
        <v>0</v>
      </c>
      <c r="N13" s="641">
        <v>0</v>
      </c>
      <c r="O13" s="641">
        <v>0</v>
      </c>
      <c r="P13" s="641">
        <v>0</v>
      </c>
      <c r="Q13" s="641">
        <v>0</v>
      </c>
      <c r="R13" s="641">
        <v>0</v>
      </c>
      <c r="S13" s="641">
        <v>0</v>
      </c>
      <c r="T13" s="641">
        <v>0</v>
      </c>
      <c r="U13" s="641">
        <v>0</v>
      </c>
    </row>
    <row r="14" spans="1:21">
      <c r="A14" s="1">
        <v>5000</v>
      </c>
      <c r="B14" s="736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</row>
    <row r="15" spans="1:21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  <c r="J15" s="641">
        <v>0</v>
      </c>
      <c r="K15" s="641">
        <v>0</v>
      </c>
      <c r="L15" s="641">
        <v>0</v>
      </c>
      <c r="M15" s="641">
        <v>0</v>
      </c>
      <c r="N15" s="641">
        <v>0</v>
      </c>
      <c r="O15" s="641">
        <v>0</v>
      </c>
      <c r="P15" s="641">
        <v>0</v>
      </c>
      <c r="Q15" s="641">
        <v>0</v>
      </c>
      <c r="R15" s="641">
        <v>0</v>
      </c>
      <c r="S15" s="641">
        <v>0</v>
      </c>
      <c r="T15" s="641">
        <v>0</v>
      </c>
      <c r="U15" s="641">
        <v>0</v>
      </c>
    </row>
    <row r="16" spans="1:21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  <c r="J16" s="641">
        <v>0</v>
      </c>
      <c r="K16" s="641">
        <v>0</v>
      </c>
      <c r="L16" s="641">
        <v>0</v>
      </c>
      <c r="M16" s="641">
        <v>0</v>
      </c>
      <c r="N16" s="641">
        <v>0</v>
      </c>
      <c r="O16" s="641">
        <v>0</v>
      </c>
      <c r="P16" s="641">
        <v>0</v>
      </c>
      <c r="Q16" s="641">
        <v>0</v>
      </c>
      <c r="R16" s="641">
        <v>0</v>
      </c>
      <c r="S16" s="641">
        <v>0</v>
      </c>
      <c r="T16" s="641">
        <v>0</v>
      </c>
      <c r="U16" s="641">
        <v>0</v>
      </c>
    </row>
    <row r="17" spans="1:24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  <c r="J17" s="642">
        <v>0</v>
      </c>
      <c r="K17" s="642">
        <v>0</v>
      </c>
      <c r="L17" s="642">
        <v>0</v>
      </c>
      <c r="M17" s="642">
        <v>0</v>
      </c>
      <c r="N17" s="642">
        <v>0</v>
      </c>
      <c r="O17" s="642">
        <v>0</v>
      </c>
      <c r="P17" s="642">
        <v>0</v>
      </c>
      <c r="Q17" s="642">
        <v>0</v>
      </c>
      <c r="R17" s="642">
        <v>0</v>
      </c>
      <c r="S17" s="642">
        <v>0</v>
      </c>
      <c r="T17" s="642">
        <v>0</v>
      </c>
      <c r="U17" s="642">
        <v>0</v>
      </c>
    </row>
    <row r="18" spans="1:24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  <c r="J18" s="642">
        <v>0</v>
      </c>
      <c r="K18" s="642">
        <v>0</v>
      </c>
      <c r="L18" s="642">
        <v>0</v>
      </c>
      <c r="M18" s="642">
        <v>0</v>
      </c>
      <c r="N18" s="642">
        <v>0</v>
      </c>
      <c r="O18" s="642">
        <v>0</v>
      </c>
      <c r="P18" s="642">
        <v>0</v>
      </c>
      <c r="Q18" s="642">
        <v>0</v>
      </c>
      <c r="R18" s="642">
        <v>0</v>
      </c>
      <c r="S18" s="642">
        <v>0</v>
      </c>
      <c r="T18" s="642">
        <v>0</v>
      </c>
      <c r="U18" s="642">
        <v>0</v>
      </c>
    </row>
    <row r="19" spans="1:24" ht="16.2" thickBot="1">
      <c r="A19" s="737"/>
      <c r="B19" s="738"/>
      <c r="C19" s="848">
        <v>2221000</v>
      </c>
      <c r="D19" s="848">
        <v>2221000</v>
      </c>
      <c r="E19" s="848">
        <v>2221000</v>
      </c>
      <c r="F19" s="848">
        <v>2221000</v>
      </c>
      <c r="G19" s="848">
        <v>2221000</v>
      </c>
      <c r="H19" s="848">
        <v>2221000</v>
      </c>
      <c r="I19" s="848">
        <v>2016000</v>
      </c>
      <c r="J19" s="848">
        <v>2016000</v>
      </c>
      <c r="K19" s="848">
        <v>2014000</v>
      </c>
      <c r="L19" s="848">
        <v>2014000</v>
      </c>
      <c r="M19" s="848">
        <v>2014000</v>
      </c>
      <c r="N19" s="848">
        <v>2014000</v>
      </c>
      <c r="O19" s="848">
        <v>2014000</v>
      </c>
      <c r="P19" s="848">
        <v>1959000</v>
      </c>
      <c r="Q19" s="848">
        <v>1959000</v>
      </c>
      <c r="R19" s="848">
        <v>1959000</v>
      </c>
      <c r="S19" s="848">
        <v>1959000</v>
      </c>
      <c r="T19" s="848">
        <v>1953000</v>
      </c>
      <c r="U19" s="848">
        <v>1953000</v>
      </c>
      <c r="X19"/>
    </row>
    <row r="20" spans="1:24">
      <c r="A20" s="5"/>
      <c r="B20"/>
      <c r="C20" s="852"/>
      <c r="D20" s="852"/>
      <c r="E20" s="852"/>
      <c r="F20" s="852"/>
      <c r="G20" s="852"/>
      <c r="H20" s="852"/>
      <c r="I20" s="852"/>
      <c r="J20" s="852"/>
      <c r="K20" s="852"/>
      <c r="L20" s="852"/>
      <c r="M20" s="852"/>
      <c r="N20" s="852"/>
      <c r="O20" s="852"/>
      <c r="P20" s="852"/>
      <c r="Q20" s="852"/>
      <c r="R20" s="852"/>
      <c r="S20" s="852"/>
      <c r="T20" s="852"/>
      <c r="U20" s="852"/>
    </row>
    <row r="21" spans="1:24" ht="16.2" thickBot="1">
      <c r="A21" s="5"/>
      <c r="B21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  <c r="U21" s="853"/>
    </row>
    <row r="22" spans="1:24">
      <c r="A22" s="739" t="s">
        <v>0</v>
      </c>
      <c r="B22" s="740"/>
      <c r="C22" s="956">
        <v>138890000</v>
      </c>
      <c r="D22" s="956">
        <v>219400000</v>
      </c>
      <c r="E22" s="956">
        <v>132000000</v>
      </c>
      <c r="F22" s="956">
        <v>146676000</v>
      </c>
      <c r="G22" s="956">
        <v>138295000</v>
      </c>
      <c r="H22" s="956">
        <v>218000000</v>
      </c>
      <c r="I22" s="956">
        <v>133000000</v>
      </c>
      <c r="J22" s="956">
        <v>122821000</v>
      </c>
      <c r="K22" s="956">
        <v>208000000</v>
      </c>
      <c r="L22" s="956">
        <v>221700000</v>
      </c>
      <c r="M22" s="956">
        <v>210000000</v>
      </c>
      <c r="N22" s="956">
        <v>137000000</v>
      </c>
      <c r="O22" s="956">
        <v>159500000</v>
      </c>
      <c r="P22" s="956">
        <v>140924000</v>
      </c>
      <c r="Q22" s="956">
        <v>173000000</v>
      </c>
      <c r="R22" s="956">
        <v>71030000</v>
      </c>
      <c r="S22" s="956">
        <v>163000000</v>
      </c>
      <c r="T22" s="956">
        <v>188190000</v>
      </c>
      <c r="U22" s="956">
        <v>71072000</v>
      </c>
    </row>
    <row r="23" spans="1:24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  <c r="J23" s="686">
        <v>0</v>
      </c>
      <c r="K23" s="686">
        <v>0</v>
      </c>
      <c r="L23" s="686">
        <v>0</v>
      </c>
      <c r="M23" s="686">
        <v>0</v>
      </c>
      <c r="N23" s="686">
        <v>0</v>
      </c>
      <c r="O23" s="686">
        <v>0</v>
      </c>
      <c r="P23" s="686">
        <v>0</v>
      </c>
      <c r="Q23" s="686">
        <v>0</v>
      </c>
      <c r="R23" s="686">
        <v>0</v>
      </c>
      <c r="S23" s="686">
        <v>0</v>
      </c>
      <c r="T23" s="686">
        <v>0</v>
      </c>
      <c r="U23" s="686">
        <v>0</v>
      </c>
    </row>
    <row r="24" spans="1:24">
      <c r="A24" s="25" t="s">
        <v>555</v>
      </c>
      <c r="B24" s="741"/>
      <c r="C24" s="686">
        <v>13500</v>
      </c>
      <c r="D24" s="686">
        <v>28000</v>
      </c>
      <c r="E24" s="686">
        <v>58000</v>
      </c>
      <c r="F24" s="686">
        <v>18000</v>
      </c>
      <c r="G24" s="686">
        <v>35000</v>
      </c>
      <c r="H24" s="686">
        <v>71000</v>
      </c>
      <c r="I24" s="686">
        <v>39000</v>
      </c>
      <c r="J24" s="686">
        <v>25000</v>
      </c>
      <c r="K24" s="686">
        <v>24000</v>
      </c>
      <c r="L24" s="686">
        <v>51500</v>
      </c>
      <c r="M24" s="686">
        <v>23000</v>
      </c>
      <c r="N24" s="686">
        <v>47000</v>
      </c>
      <c r="O24" s="686">
        <v>74000</v>
      </c>
      <c r="P24" s="686">
        <v>55000</v>
      </c>
      <c r="Q24" s="686">
        <v>56000</v>
      </c>
      <c r="R24" s="686">
        <v>25000</v>
      </c>
      <c r="S24" s="686">
        <v>37000</v>
      </c>
      <c r="T24" s="686">
        <v>16000</v>
      </c>
      <c r="U24" s="686">
        <v>16000</v>
      </c>
    </row>
    <row r="25" spans="1:24">
      <c r="A25" s="25" t="s">
        <v>173</v>
      </c>
      <c r="B25" s="741"/>
      <c r="C25" s="686"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  <c r="J25" s="686">
        <v>0</v>
      </c>
      <c r="K25" s="686">
        <v>0</v>
      </c>
      <c r="L25" s="686">
        <v>0</v>
      </c>
      <c r="M25" s="686">
        <v>0</v>
      </c>
      <c r="N25" s="686">
        <v>0</v>
      </c>
      <c r="O25" s="686">
        <v>0</v>
      </c>
      <c r="P25" s="686">
        <v>0</v>
      </c>
      <c r="Q25" s="686">
        <v>0</v>
      </c>
      <c r="R25" s="686">
        <v>0</v>
      </c>
      <c r="S25" s="686">
        <v>0</v>
      </c>
      <c r="T25" s="686">
        <v>0</v>
      </c>
      <c r="U25" s="686">
        <v>0</v>
      </c>
    </row>
    <row r="26" spans="1:24">
      <c r="A26" s="25" t="s">
        <v>332</v>
      </c>
      <c r="B26" s="741"/>
      <c r="C26" s="686"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  <c r="J26" s="686">
        <v>0</v>
      </c>
      <c r="K26" s="686">
        <v>0</v>
      </c>
      <c r="L26" s="686">
        <v>0</v>
      </c>
      <c r="M26" s="686">
        <v>0</v>
      </c>
      <c r="N26" s="686">
        <v>0</v>
      </c>
      <c r="O26" s="686">
        <v>0</v>
      </c>
      <c r="P26" s="686">
        <v>0</v>
      </c>
      <c r="Q26" s="686">
        <v>0</v>
      </c>
      <c r="R26" s="686">
        <v>0</v>
      </c>
      <c r="S26" s="686">
        <v>0</v>
      </c>
      <c r="T26" s="686">
        <v>0</v>
      </c>
      <c r="U26" s="686">
        <v>0</v>
      </c>
    </row>
    <row r="27" spans="1:24">
      <c r="A27" s="25" t="s">
        <v>345</v>
      </c>
      <c r="B27" s="741"/>
      <c r="C27" s="686"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  <c r="J27" s="686">
        <v>0</v>
      </c>
      <c r="K27" s="686">
        <v>0</v>
      </c>
      <c r="L27" s="686">
        <v>0</v>
      </c>
      <c r="M27" s="686">
        <v>0</v>
      </c>
      <c r="N27" s="686">
        <v>0</v>
      </c>
      <c r="O27" s="686">
        <v>0</v>
      </c>
      <c r="P27" s="686">
        <v>0</v>
      </c>
      <c r="Q27" s="686">
        <v>0</v>
      </c>
      <c r="R27" s="686">
        <v>0</v>
      </c>
      <c r="S27" s="686">
        <v>0</v>
      </c>
      <c r="T27" s="686">
        <v>0</v>
      </c>
      <c r="U27" s="686">
        <v>0</v>
      </c>
    </row>
    <row r="28" spans="1:24">
      <c r="A28" s="25" t="s">
        <v>333</v>
      </c>
      <c r="B28" s="741"/>
      <c r="C28" s="686">
        <v>0</v>
      </c>
      <c r="D28" s="686">
        <v>0</v>
      </c>
      <c r="E28" s="686">
        <v>0</v>
      </c>
      <c r="F28" s="686">
        <v>35802000</v>
      </c>
      <c r="G28" s="686">
        <v>7116000</v>
      </c>
      <c r="H28" s="686">
        <v>0</v>
      </c>
      <c r="I28" s="686">
        <v>0</v>
      </c>
      <c r="J28" s="686">
        <v>0</v>
      </c>
      <c r="K28" s="686">
        <v>0</v>
      </c>
      <c r="L28" s="686">
        <v>0</v>
      </c>
      <c r="M28" s="686">
        <v>0</v>
      </c>
      <c r="N28" s="686">
        <v>0</v>
      </c>
      <c r="O28" s="686">
        <v>17573000</v>
      </c>
      <c r="P28" s="686">
        <v>0</v>
      </c>
      <c r="Q28" s="686">
        <v>0</v>
      </c>
      <c r="R28" s="686">
        <v>19658000</v>
      </c>
      <c r="S28" s="686">
        <v>30648400</v>
      </c>
      <c r="T28" s="686">
        <v>0</v>
      </c>
      <c r="U28" s="686">
        <v>27284000</v>
      </c>
    </row>
    <row r="29" spans="1:24">
      <c r="A29" s="1" t="s">
        <v>562</v>
      </c>
      <c r="B29" s="736"/>
      <c r="C29" s="641">
        <v>235000</v>
      </c>
      <c r="D29" s="641">
        <v>170000</v>
      </c>
      <c r="E29" s="641">
        <v>250000</v>
      </c>
      <c r="F29" s="641">
        <v>0</v>
      </c>
      <c r="G29" s="641">
        <v>0</v>
      </c>
      <c r="H29" s="641">
        <v>0</v>
      </c>
      <c r="I29" s="641">
        <v>0</v>
      </c>
      <c r="J29" s="641">
        <v>0</v>
      </c>
      <c r="K29" s="641">
        <v>0</v>
      </c>
      <c r="L29" s="641">
        <v>45000</v>
      </c>
      <c r="M29" s="641">
        <v>45000</v>
      </c>
      <c r="N29" s="641">
        <v>0</v>
      </c>
      <c r="O29" s="641">
        <v>0</v>
      </c>
      <c r="P29" s="641">
        <v>200000</v>
      </c>
      <c r="Q29" s="641">
        <v>0</v>
      </c>
      <c r="R29" s="641">
        <v>0</v>
      </c>
      <c r="S29" s="641">
        <v>0</v>
      </c>
      <c r="T29" s="641">
        <v>0</v>
      </c>
      <c r="U29" s="641">
        <v>0</v>
      </c>
    </row>
    <row r="30" spans="1:24">
      <c r="A30" s="1" t="s">
        <v>563</v>
      </c>
      <c r="B30" s="736"/>
      <c r="C30" s="641">
        <v>0</v>
      </c>
      <c r="D30" s="641">
        <v>65000</v>
      </c>
      <c r="E30" s="641">
        <v>65000</v>
      </c>
      <c r="F30" s="641">
        <v>0</v>
      </c>
      <c r="G30" s="641">
        <v>0</v>
      </c>
      <c r="H30" s="641">
        <v>0</v>
      </c>
      <c r="I30" s="641">
        <v>0</v>
      </c>
      <c r="J30" s="641">
        <v>0</v>
      </c>
      <c r="K30" s="641">
        <v>0</v>
      </c>
      <c r="L30" s="641">
        <v>0</v>
      </c>
      <c r="M30" s="641">
        <v>0</v>
      </c>
      <c r="N30" s="641">
        <v>0</v>
      </c>
      <c r="O30" s="641">
        <v>0</v>
      </c>
      <c r="P30" s="641">
        <v>0</v>
      </c>
      <c r="Q30" s="641">
        <v>0</v>
      </c>
      <c r="R30" s="641">
        <v>0</v>
      </c>
      <c r="S30" s="641">
        <v>0</v>
      </c>
      <c r="T30" s="641">
        <v>0</v>
      </c>
      <c r="U30" s="641">
        <v>0</v>
      </c>
    </row>
    <row r="31" spans="1:24" s="687" customFormat="1" ht="15" thickBot="1">
      <c r="A31" s="742"/>
      <c r="B31" s="743"/>
      <c r="C31" s="849">
        <v>139138500</v>
      </c>
      <c r="D31" s="849">
        <v>219663000</v>
      </c>
      <c r="E31" s="849">
        <v>132373000</v>
      </c>
      <c r="F31" s="849">
        <v>182496000</v>
      </c>
      <c r="G31" s="849">
        <v>145446000</v>
      </c>
      <c r="H31" s="849">
        <v>218071000</v>
      </c>
      <c r="I31" s="849">
        <v>133039000</v>
      </c>
      <c r="J31" s="849">
        <v>122846000</v>
      </c>
      <c r="K31" s="849">
        <v>208024000</v>
      </c>
      <c r="L31" s="849">
        <v>221796500</v>
      </c>
      <c r="M31" s="849">
        <v>210068000</v>
      </c>
      <c r="N31" s="849">
        <v>137047000</v>
      </c>
      <c r="O31" s="849">
        <v>177147000</v>
      </c>
      <c r="P31" s="849">
        <v>141179000</v>
      </c>
      <c r="Q31" s="849">
        <v>173056000</v>
      </c>
      <c r="R31" s="849">
        <v>90713000</v>
      </c>
      <c r="S31" s="849">
        <v>193685400</v>
      </c>
      <c r="T31" s="849">
        <v>188206000</v>
      </c>
      <c r="U31" s="849">
        <v>98372000</v>
      </c>
    </row>
    <row r="32" spans="1:24">
      <c r="A32"/>
      <c r="B32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1"/>
      <c r="N32" s="851"/>
      <c r="O32" s="851"/>
      <c r="P32" s="851"/>
      <c r="Q32" s="851"/>
      <c r="R32" s="851"/>
      <c r="S32" s="851"/>
      <c r="T32" s="851"/>
      <c r="U32" s="851"/>
    </row>
    <row r="33" spans="1:21" s="688" customFormat="1" ht="21">
      <c r="A33" s="1446" t="s">
        <v>225</v>
      </c>
      <c r="B33" s="1446"/>
      <c r="C33" s="850">
        <v>141359500</v>
      </c>
      <c r="D33" s="850">
        <v>221884000</v>
      </c>
      <c r="E33" s="850">
        <v>134594000</v>
      </c>
      <c r="F33" s="850">
        <v>184717000</v>
      </c>
      <c r="G33" s="850">
        <v>147667000</v>
      </c>
      <c r="H33" s="850">
        <v>220292000</v>
      </c>
      <c r="I33" s="850">
        <v>135055000</v>
      </c>
      <c r="J33" s="850">
        <v>124862000</v>
      </c>
      <c r="K33" s="850">
        <v>210038000</v>
      </c>
      <c r="L33" s="850">
        <v>223810500</v>
      </c>
      <c r="M33" s="850">
        <v>212082000</v>
      </c>
      <c r="N33" s="850">
        <v>139061000</v>
      </c>
      <c r="O33" s="850">
        <v>179161000</v>
      </c>
      <c r="P33" s="850">
        <v>143138000</v>
      </c>
      <c r="Q33" s="850">
        <v>175015000</v>
      </c>
      <c r="R33" s="850">
        <v>92672000</v>
      </c>
      <c r="S33" s="850">
        <v>195644400</v>
      </c>
      <c r="T33" s="850">
        <v>190159000</v>
      </c>
      <c r="U33" s="850">
        <v>100325000</v>
      </c>
    </row>
    <row r="34" spans="1:21" s="688" customFormat="1" ht="21">
      <c r="A34" s="1182"/>
      <c r="B34" s="1182"/>
      <c r="C34" s="850"/>
      <c r="D34" s="850"/>
      <c r="E34" s="850"/>
      <c r="F34" s="850"/>
      <c r="G34" s="850"/>
      <c r="H34" s="850"/>
      <c r="I34" s="850"/>
      <c r="J34" s="850"/>
      <c r="K34" s="850"/>
      <c r="L34" s="850"/>
      <c r="M34" s="850"/>
      <c r="N34" s="850"/>
      <c r="O34" s="850"/>
      <c r="P34" s="850"/>
      <c r="Q34" s="850"/>
      <c r="R34" s="850"/>
      <c r="S34" s="850"/>
      <c r="T34" s="850"/>
      <c r="U34" s="850"/>
    </row>
    <row r="35" spans="1:21" ht="15" thickBot="1">
      <c r="A35"/>
      <c r="B35"/>
      <c r="C35" s="851"/>
      <c r="D35" s="851"/>
      <c r="E35" s="851"/>
      <c r="F35" s="851"/>
      <c r="G35" s="851"/>
      <c r="H35" s="851"/>
      <c r="I35" s="851"/>
      <c r="J35" s="851"/>
      <c r="K35" s="851"/>
      <c r="L35" s="851"/>
      <c r="M35" s="851"/>
      <c r="N35" s="851"/>
      <c r="O35" s="851"/>
      <c r="P35" s="851"/>
      <c r="Q35" s="851"/>
      <c r="R35" s="851"/>
      <c r="S35" s="851"/>
      <c r="T35" s="851"/>
      <c r="U35" s="851"/>
    </row>
    <row r="36" spans="1:21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4"/>
      <c r="N36" s="854"/>
      <c r="O36" s="854"/>
      <c r="P36" s="854"/>
      <c r="Q36" s="854"/>
      <c r="R36" s="854"/>
      <c r="S36" s="854"/>
      <c r="T36" s="854"/>
      <c r="U36" s="854"/>
    </row>
    <row r="37" spans="1:21">
      <c r="A37" s="28"/>
      <c r="B37" s="746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  <c r="U37" s="855"/>
    </row>
    <row r="38" spans="1:21">
      <c r="A38" s="28" t="s">
        <v>812</v>
      </c>
      <c r="B38" s="747" t="s">
        <v>266</v>
      </c>
      <c r="C38" s="855">
        <v>53580001</v>
      </c>
      <c r="D38" s="855">
        <v>5000001</v>
      </c>
      <c r="E38" s="855">
        <v>5000001</v>
      </c>
      <c r="F38" s="855">
        <v>5000001</v>
      </c>
      <c r="G38" s="855">
        <v>5000001</v>
      </c>
      <c r="H38" s="855">
        <v>5000001</v>
      </c>
      <c r="I38" s="855">
        <v>5000001</v>
      </c>
      <c r="J38" s="855">
        <v>5000000</v>
      </c>
      <c r="K38" s="855">
        <v>5000001</v>
      </c>
      <c r="L38" s="855">
        <v>5000000</v>
      </c>
      <c r="M38" s="855">
        <v>5000000</v>
      </c>
      <c r="N38" s="855">
        <v>5000000</v>
      </c>
      <c r="O38" s="855">
        <v>5000000</v>
      </c>
      <c r="P38" s="855">
        <v>5000000</v>
      </c>
      <c r="Q38" s="855">
        <v>5000000</v>
      </c>
      <c r="R38" s="855">
        <v>5000000</v>
      </c>
      <c r="S38" s="855">
        <v>5000000</v>
      </c>
      <c r="T38" s="855">
        <v>5000000</v>
      </c>
      <c r="U38" s="855">
        <v>62640886</v>
      </c>
    </row>
    <row r="39" spans="1:21">
      <c r="A39" s="28" t="s">
        <v>74</v>
      </c>
      <c r="B39" s="746" t="s">
        <v>267</v>
      </c>
      <c r="C39" s="855">
        <v>926817</v>
      </c>
      <c r="D39" s="855">
        <v>375567</v>
      </c>
      <c r="E39" s="855">
        <v>118817</v>
      </c>
      <c r="F39" s="855">
        <v>946067</v>
      </c>
      <c r="G39" s="855">
        <v>1017567</v>
      </c>
      <c r="H39" s="855">
        <v>1017567</v>
      </c>
      <c r="I39" s="855">
        <v>1119067</v>
      </c>
      <c r="J39" s="855">
        <v>1771067</v>
      </c>
      <c r="K39" s="855">
        <v>2172817</v>
      </c>
      <c r="L39" s="855">
        <v>250567</v>
      </c>
      <c r="M39" s="855">
        <v>307817</v>
      </c>
      <c r="N39" s="855">
        <v>329467</v>
      </c>
      <c r="O39" s="855">
        <v>72917</v>
      </c>
      <c r="P39" s="855">
        <v>446967</v>
      </c>
      <c r="Q39" s="855">
        <v>446967</v>
      </c>
      <c r="R39" s="855">
        <v>889967</v>
      </c>
      <c r="S39" s="855">
        <v>961967</v>
      </c>
      <c r="T39" s="855">
        <v>63967</v>
      </c>
      <c r="U39" s="855">
        <v>926746</v>
      </c>
    </row>
    <row r="40" spans="1:21">
      <c r="A40" s="28" t="s">
        <v>1</v>
      </c>
      <c r="B40" s="746" t="s">
        <v>268</v>
      </c>
      <c r="C40" s="855">
        <v>1721519</v>
      </c>
      <c r="D40" s="855">
        <v>1943811</v>
      </c>
      <c r="E40" s="855">
        <v>292900</v>
      </c>
      <c r="F40" s="855">
        <v>651997</v>
      </c>
      <c r="G40" s="855">
        <v>1052688</v>
      </c>
      <c r="H40" s="855">
        <v>1433576</v>
      </c>
      <c r="I40" s="855">
        <v>175641</v>
      </c>
      <c r="J40" s="855">
        <v>556431</v>
      </c>
      <c r="K40" s="855">
        <v>299608</v>
      </c>
      <c r="L40" s="855">
        <v>928285</v>
      </c>
      <c r="M40" s="855">
        <v>349585</v>
      </c>
      <c r="N40" s="855">
        <v>1126565</v>
      </c>
      <c r="O40" s="855">
        <v>635665</v>
      </c>
      <c r="P40" s="855">
        <v>466613</v>
      </c>
      <c r="Q40" s="855">
        <v>850205</v>
      </c>
      <c r="R40" s="855">
        <v>464193</v>
      </c>
      <c r="S40" s="855">
        <v>906577</v>
      </c>
      <c r="T40" s="855">
        <v>967308</v>
      </c>
      <c r="U40" s="855">
        <v>2046746</v>
      </c>
    </row>
    <row r="41" spans="1:21">
      <c r="A41" s="28" t="s">
        <v>111</v>
      </c>
      <c r="B41" s="746" t="s">
        <v>269</v>
      </c>
      <c r="C41" s="855">
        <v>230318</v>
      </c>
      <c r="D41" s="855">
        <v>271818</v>
      </c>
      <c r="E41" s="855">
        <v>292318</v>
      </c>
      <c r="F41" s="855">
        <v>366568</v>
      </c>
      <c r="G41" s="855">
        <v>524518</v>
      </c>
      <c r="H41" s="855">
        <v>728618</v>
      </c>
      <c r="I41" s="855">
        <v>585983</v>
      </c>
      <c r="J41" s="855">
        <v>689303</v>
      </c>
      <c r="K41" s="855">
        <v>826573</v>
      </c>
      <c r="L41" s="855">
        <v>380573</v>
      </c>
      <c r="M41" s="855">
        <v>489773</v>
      </c>
      <c r="N41" s="855">
        <v>594773</v>
      </c>
      <c r="O41" s="855">
        <v>693273</v>
      </c>
      <c r="P41" s="855">
        <v>151483</v>
      </c>
      <c r="Q41" s="855">
        <v>389363</v>
      </c>
      <c r="R41" s="855">
        <v>456563</v>
      </c>
      <c r="S41" s="855">
        <v>372113</v>
      </c>
      <c r="T41" s="855">
        <v>300103</v>
      </c>
      <c r="U41" s="855">
        <v>393743</v>
      </c>
    </row>
    <row r="42" spans="1:21">
      <c r="A42" s="28" t="s">
        <v>168</v>
      </c>
      <c r="B42" s="746" t="s">
        <v>204</v>
      </c>
      <c r="C42" s="855">
        <v>226570</v>
      </c>
      <c r="D42" s="855">
        <v>226570</v>
      </c>
      <c r="E42" s="855">
        <v>226570</v>
      </c>
      <c r="F42" s="855">
        <v>247570</v>
      </c>
      <c r="G42" s="855">
        <v>270570</v>
      </c>
      <c r="H42" s="855">
        <v>308870</v>
      </c>
      <c r="I42" s="855">
        <v>308870</v>
      </c>
      <c r="J42" s="855">
        <v>332370</v>
      </c>
      <c r="K42" s="855">
        <v>394870</v>
      </c>
      <c r="L42" s="855">
        <v>457870</v>
      </c>
      <c r="M42" s="855">
        <v>508370</v>
      </c>
      <c r="N42" s="855">
        <v>508370</v>
      </c>
      <c r="O42" s="855">
        <v>564370</v>
      </c>
      <c r="P42" s="855">
        <v>640470</v>
      </c>
      <c r="Q42" s="855">
        <v>640470</v>
      </c>
      <c r="R42" s="855">
        <v>640470</v>
      </c>
      <c r="S42" s="855">
        <v>640470</v>
      </c>
      <c r="T42" s="855">
        <v>640470</v>
      </c>
      <c r="U42" s="855">
        <v>640470</v>
      </c>
    </row>
    <row r="43" spans="1:21">
      <c r="A43" s="28" t="s">
        <v>16</v>
      </c>
      <c r="B43" s="746" t="s">
        <v>484</v>
      </c>
      <c r="C43" s="855"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  <c r="J43" s="855">
        <v>0</v>
      </c>
      <c r="K43" s="855">
        <v>0</v>
      </c>
      <c r="L43" s="855">
        <v>0</v>
      </c>
      <c r="M43" s="855">
        <v>0</v>
      </c>
      <c r="N43" s="855">
        <v>0</v>
      </c>
      <c r="O43" s="855">
        <v>0</v>
      </c>
      <c r="P43" s="855">
        <v>0</v>
      </c>
      <c r="Q43" s="855">
        <v>0</v>
      </c>
      <c r="R43" s="855">
        <v>0</v>
      </c>
      <c r="S43" s="855">
        <v>0</v>
      </c>
      <c r="T43" s="855">
        <v>0</v>
      </c>
      <c r="U43" s="855">
        <v>0</v>
      </c>
    </row>
    <row r="44" spans="1:21">
      <c r="A44" s="28" t="s">
        <v>9</v>
      </c>
      <c r="B44" s="746" t="s">
        <v>270</v>
      </c>
      <c r="C44" s="855">
        <v>199895</v>
      </c>
      <c r="D44" s="855">
        <v>199895</v>
      </c>
      <c r="E44" s="855">
        <v>199895</v>
      </c>
      <c r="F44" s="855">
        <v>76221</v>
      </c>
      <c r="G44" s="855">
        <v>574784</v>
      </c>
      <c r="H44" s="855">
        <v>574784</v>
      </c>
      <c r="I44" s="855">
        <v>574784</v>
      </c>
      <c r="J44" s="855">
        <v>574784</v>
      </c>
      <c r="K44" s="855">
        <v>747847</v>
      </c>
      <c r="L44" s="855">
        <v>833310</v>
      </c>
      <c r="M44" s="855">
        <v>833310</v>
      </c>
      <c r="N44" s="855">
        <v>1006373</v>
      </c>
      <c r="O44" s="855">
        <v>1006373</v>
      </c>
      <c r="P44" s="855">
        <v>1259299</v>
      </c>
      <c r="Q44" s="855">
        <v>1259299</v>
      </c>
      <c r="R44" s="855">
        <v>1259299</v>
      </c>
      <c r="S44" s="855">
        <v>1259299</v>
      </c>
      <c r="T44" s="855">
        <v>1259299</v>
      </c>
      <c r="U44" s="855">
        <v>1259299</v>
      </c>
    </row>
    <row r="45" spans="1:21">
      <c r="A45" s="1" t="s">
        <v>819</v>
      </c>
      <c r="B45" s="748"/>
      <c r="C45" s="641">
        <v>3615</v>
      </c>
      <c r="D45" s="641">
        <v>3615</v>
      </c>
      <c r="E45" s="641">
        <v>3615</v>
      </c>
      <c r="F45" s="641">
        <v>3615</v>
      </c>
      <c r="G45" s="641">
        <v>3615</v>
      </c>
      <c r="H45" s="641">
        <v>3615</v>
      </c>
      <c r="I45" s="641">
        <v>3615</v>
      </c>
      <c r="J45" s="641">
        <v>3615</v>
      </c>
      <c r="K45" s="641">
        <v>3615</v>
      </c>
      <c r="L45" s="641">
        <v>3615</v>
      </c>
      <c r="M45" s="641">
        <v>3615</v>
      </c>
      <c r="N45" s="641">
        <v>3615</v>
      </c>
      <c r="O45" s="641">
        <v>3615</v>
      </c>
      <c r="P45" s="641">
        <v>3615</v>
      </c>
      <c r="Q45" s="641">
        <v>3615</v>
      </c>
      <c r="R45" s="641">
        <v>3615</v>
      </c>
      <c r="S45" s="641">
        <v>3615</v>
      </c>
      <c r="T45" s="641">
        <v>3615</v>
      </c>
      <c r="U45" s="641">
        <v>3615</v>
      </c>
    </row>
    <row r="46" spans="1:21">
      <c r="A46" s="1" t="s">
        <v>828</v>
      </c>
      <c r="B46" s="748"/>
      <c r="C46" s="641">
        <v>496187</v>
      </c>
      <c r="D46" s="641">
        <v>496187</v>
      </c>
      <c r="E46" s="641">
        <v>496187</v>
      </c>
      <c r="F46" s="641">
        <v>496187</v>
      </c>
      <c r="G46" s="641">
        <v>496187</v>
      </c>
      <c r="H46" s="641">
        <v>496187</v>
      </c>
      <c r="I46" s="641">
        <v>496187</v>
      </c>
      <c r="J46" s="641">
        <v>496187</v>
      </c>
      <c r="K46" s="641">
        <v>551187</v>
      </c>
      <c r="L46" s="641">
        <v>551187</v>
      </c>
      <c r="M46" s="641">
        <v>550000</v>
      </c>
      <c r="N46" s="641">
        <v>550000</v>
      </c>
      <c r="O46" s="641">
        <v>550000</v>
      </c>
      <c r="P46" s="641">
        <v>850000</v>
      </c>
      <c r="Q46" s="641">
        <v>850000</v>
      </c>
      <c r="R46" s="641">
        <v>850000</v>
      </c>
      <c r="S46" s="641">
        <v>850000</v>
      </c>
      <c r="T46" s="641">
        <v>850000</v>
      </c>
      <c r="U46" s="641">
        <v>850000</v>
      </c>
    </row>
    <row r="47" spans="1:21">
      <c r="A47" s="1" t="s">
        <v>550</v>
      </c>
      <c r="B47" s="748"/>
      <c r="C47" s="641">
        <v>103840</v>
      </c>
      <c r="D47" s="641">
        <v>103840</v>
      </c>
      <c r="E47" s="641">
        <v>103840</v>
      </c>
      <c r="F47" s="641">
        <v>103840</v>
      </c>
      <c r="G47" s="641">
        <v>103840</v>
      </c>
      <c r="H47" s="641">
        <v>103840</v>
      </c>
      <c r="I47" s="641">
        <v>5103840</v>
      </c>
      <c r="J47" s="641">
        <v>103840</v>
      </c>
      <c r="K47" s="641">
        <v>103840</v>
      </c>
      <c r="L47" s="641">
        <v>103839</v>
      </c>
      <c r="M47" s="641">
        <v>103839</v>
      </c>
      <c r="N47" s="641">
        <v>103839</v>
      </c>
      <c r="O47" s="641">
        <v>47500</v>
      </c>
      <c r="P47" s="641">
        <v>47500</v>
      </c>
      <c r="Q47" s="641">
        <v>47500</v>
      </c>
      <c r="R47" s="641">
        <v>47500</v>
      </c>
      <c r="S47" s="641">
        <v>47500</v>
      </c>
      <c r="T47" s="641">
        <v>47500</v>
      </c>
      <c r="U47" s="641">
        <v>47500</v>
      </c>
    </row>
    <row r="48" spans="1:21" s="687" customFormat="1" ht="15" thickBot="1">
      <c r="A48" s="1447" t="s">
        <v>224</v>
      </c>
      <c r="B48" s="1448"/>
      <c r="C48" s="856">
        <v>57488762</v>
      </c>
      <c r="D48" s="856">
        <v>8621304</v>
      </c>
      <c r="E48" s="856">
        <v>6734143</v>
      </c>
      <c r="F48" s="856">
        <v>7892066</v>
      </c>
      <c r="G48" s="856">
        <v>9043770</v>
      </c>
      <c r="H48" s="856">
        <v>9667058</v>
      </c>
      <c r="I48" s="856">
        <v>13367988</v>
      </c>
      <c r="J48" s="856">
        <v>9527597</v>
      </c>
      <c r="K48" s="856">
        <v>10100358</v>
      </c>
      <c r="L48" s="856">
        <v>8509246</v>
      </c>
      <c r="M48" s="856">
        <v>8146309</v>
      </c>
      <c r="N48" s="856">
        <v>9223002</v>
      </c>
      <c r="O48" s="856">
        <v>8573713</v>
      </c>
      <c r="P48" s="856">
        <v>8865947</v>
      </c>
      <c r="Q48" s="856">
        <v>9487419</v>
      </c>
      <c r="R48" s="856">
        <v>9611607</v>
      </c>
      <c r="S48" s="856">
        <v>10041541</v>
      </c>
      <c r="T48" s="856">
        <v>9132262</v>
      </c>
      <c r="U48" s="856">
        <v>68809005</v>
      </c>
    </row>
    <row r="49" spans="1:21" ht="15" thickBot="1">
      <c r="A49"/>
      <c r="B49" s="16"/>
      <c r="C49" s="851"/>
      <c r="D49" s="851"/>
      <c r="E49" s="851"/>
      <c r="F49" s="851"/>
      <c r="G49" s="851"/>
      <c r="H49" s="851"/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  <c r="U49" s="851"/>
    </row>
    <row r="50" spans="1:21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  <c r="J50" s="854"/>
      <c r="K50" s="854"/>
      <c r="L50" s="854"/>
      <c r="M50" s="854"/>
      <c r="N50" s="854"/>
      <c r="O50" s="854"/>
      <c r="P50" s="854"/>
      <c r="Q50" s="854"/>
      <c r="R50" s="854"/>
      <c r="S50" s="854"/>
      <c r="T50" s="854"/>
      <c r="U50" s="854"/>
    </row>
    <row r="51" spans="1:21">
      <c r="A51" s="28" t="s">
        <v>813</v>
      </c>
      <c r="B51" s="747" t="s">
        <v>206</v>
      </c>
      <c r="C51" s="855">
        <v>65500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5000000</v>
      </c>
      <c r="J51" s="855">
        <v>5000000</v>
      </c>
      <c r="K51" s="855">
        <v>5000000</v>
      </c>
      <c r="L51" s="855">
        <v>5000000</v>
      </c>
      <c r="M51" s="855">
        <v>5000000</v>
      </c>
      <c r="N51" s="855">
        <v>5000000</v>
      </c>
      <c r="O51" s="855">
        <v>5000000</v>
      </c>
      <c r="P51" s="855">
        <v>5000000</v>
      </c>
      <c r="Q51" s="855">
        <v>5000000</v>
      </c>
      <c r="R51" s="855">
        <v>5000000</v>
      </c>
      <c r="S51" s="855">
        <v>5000000</v>
      </c>
      <c r="T51" s="855">
        <v>5000000</v>
      </c>
      <c r="U51" s="855">
        <v>122810</v>
      </c>
    </row>
    <row r="52" spans="1:21">
      <c r="A52" s="28" t="s">
        <v>73</v>
      </c>
      <c r="B52" s="746" t="s">
        <v>81</v>
      </c>
      <c r="C52" s="855">
        <v>255218</v>
      </c>
      <c r="D52" s="855">
        <v>220218</v>
      </c>
      <c r="E52" s="855">
        <v>220218</v>
      </c>
      <c r="F52" s="855">
        <v>220218</v>
      </c>
      <c r="G52" s="855">
        <v>433318</v>
      </c>
      <c r="H52" s="855">
        <v>474818</v>
      </c>
      <c r="I52" s="855">
        <v>543603</v>
      </c>
      <c r="J52" s="855">
        <v>543603</v>
      </c>
      <c r="K52" s="855">
        <v>995603</v>
      </c>
      <c r="L52" s="855">
        <v>158588</v>
      </c>
      <c r="M52" s="855">
        <v>158588</v>
      </c>
      <c r="N52" s="855">
        <v>636338</v>
      </c>
      <c r="O52" s="855">
        <v>636338</v>
      </c>
      <c r="P52" s="855">
        <v>636338</v>
      </c>
      <c r="Q52" s="855">
        <v>636338</v>
      </c>
      <c r="R52" s="855">
        <v>118338</v>
      </c>
      <c r="S52" s="855">
        <v>165088</v>
      </c>
      <c r="T52" s="855">
        <v>761838</v>
      </c>
      <c r="U52" s="855">
        <v>761838</v>
      </c>
    </row>
    <row r="53" spans="1:21">
      <c r="A53" s="28" t="s">
        <v>1</v>
      </c>
      <c r="B53" s="746" t="s">
        <v>271</v>
      </c>
      <c r="C53" s="855">
        <v>92107</v>
      </c>
      <c r="D53" s="855">
        <v>563247</v>
      </c>
      <c r="E53" s="855">
        <v>563247</v>
      </c>
      <c r="F53" s="855">
        <v>56340</v>
      </c>
      <c r="G53" s="855">
        <v>295230</v>
      </c>
      <c r="H53" s="855">
        <v>705722</v>
      </c>
      <c r="I53" s="855">
        <v>340952</v>
      </c>
      <c r="J53" s="855">
        <v>340952</v>
      </c>
      <c r="K53" s="855">
        <v>64096</v>
      </c>
      <c r="L53" s="855">
        <v>554281</v>
      </c>
      <c r="M53" s="855">
        <v>929969</v>
      </c>
      <c r="N53" s="855">
        <v>778452</v>
      </c>
      <c r="O53" s="855">
        <v>778452</v>
      </c>
      <c r="P53" s="855">
        <v>1208522</v>
      </c>
      <c r="Q53" s="855">
        <v>1208522</v>
      </c>
      <c r="R53" s="855">
        <v>1585912</v>
      </c>
      <c r="S53" s="855">
        <v>614059</v>
      </c>
      <c r="T53" s="855">
        <v>835826</v>
      </c>
      <c r="U53" s="855">
        <v>1033722</v>
      </c>
    </row>
    <row r="54" spans="1:21">
      <c r="A54" s="28" t="s">
        <v>111</v>
      </c>
      <c r="B54" s="746" t="s">
        <v>83</v>
      </c>
      <c r="C54" s="855">
        <v>121965</v>
      </c>
      <c r="D54" s="855">
        <v>201215</v>
      </c>
      <c r="E54" s="855">
        <v>201215</v>
      </c>
      <c r="F54" s="855">
        <v>315715</v>
      </c>
      <c r="G54" s="855">
        <v>330535</v>
      </c>
      <c r="H54" s="855">
        <v>392935</v>
      </c>
      <c r="I54" s="855">
        <v>528135</v>
      </c>
      <c r="J54" s="855">
        <v>528135</v>
      </c>
      <c r="K54" s="855">
        <v>584635</v>
      </c>
      <c r="L54" s="855">
        <v>635725</v>
      </c>
      <c r="M54" s="855">
        <v>708725</v>
      </c>
      <c r="N54" s="855">
        <v>732725</v>
      </c>
      <c r="O54" s="855">
        <v>732725</v>
      </c>
      <c r="P54" s="855">
        <v>456745</v>
      </c>
      <c r="Q54" s="855">
        <v>456745</v>
      </c>
      <c r="R54" s="855">
        <v>456745</v>
      </c>
      <c r="S54" s="855">
        <v>559095</v>
      </c>
      <c r="T54" s="855">
        <v>604415</v>
      </c>
      <c r="U54" s="855">
        <v>645815</v>
      </c>
    </row>
    <row r="55" spans="1:21">
      <c r="A55" s="28" t="s">
        <v>168</v>
      </c>
      <c r="B55" s="746" t="s">
        <v>272</v>
      </c>
      <c r="C55" s="855">
        <v>447033</v>
      </c>
      <c r="D55" s="855">
        <v>447033</v>
      </c>
      <c r="E55" s="855">
        <v>447033</v>
      </c>
      <c r="F55" s="855">
        <v>490033</v>
      </c>
      <c r="G55" s="855">
        <v>501783</v>
      </c>
      <c r="H55" s="855">
        <v>501783</v>
      </c>
      <c r="I55" s="855">
        <v>501783</v>
      </c>
      <c r="J55" s="855">
        <v>501783</v>
      </c>
      <c r="K55" s="855">
        <v>519283</v>
      </c>
      <c r="L55" s="855">
        <v>269283</v>
      </c>
      <c r="M55" s="855">
        <v>269283</v>
      </c>
      <c r="N55" s="855">
        <v>269283</v>
      </c>
      <c r="O55" s="855">
        <v>269283</v>
      </c>
      <c r="P55" s="855">
        <v>368283</v>
      </c>
      <c r="Q55" s="855">
        <v>368283</v>
      </c>
      <c r="R55" s="855">
        <v>368283</v>
      </c>
      <c r="S55" s="855">
        <v>445783</v>
      </c>
      <c r="T55" s="855">
        <v>457533</v>
      </c>
      <c r="U55" s="855">
        <v>457533</v>
      </c>
    </row>
    <row r="56" spans="1:21">
      <c r="A56" s="28" t="s">
        <v>16</v>
      </c>
      <c r="B56" s="746" t="s">
        <v>273</v>
      </c>
      <c r="C56" s="855"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  <c r="J56" s="855">
        <v>0</v>
      </c>
      <c r="K56" s="855">
        <v>0</v>
      </c>
      <c r="L56" s="855">
        <v>0</v>
      </c>
      <c r="M56" s="855">
        <v>0</v>
      </c>
      <c r="N56" s="855">
        <v>0</v>
      </c>
      <c r="O56" s="855">
        <v>0</v>
      </c>
      <c r="P56" s="855">
        <v>0</v>
      </c>
      <c r="Q56" s="855">
        <v>0</v>
      </c>
      <c r="R56" s="855">
        <v>0</v>
      </c>
      <c r="S56" s="855">
        <v>0</v>
      </c>
      <c r="T56" s="855">
        <v>0</v>
      </c>
      <c r="U56" s="855">
        <v>0</v>
      </c>
    </row>
    <row r="57" spans="1:21">
      <c r="A57" s="28" t="s">
        <v>9</v>
      </c>
      <c r="B57" s="746" t="s">
        <v>166</v>
      </c>
      <c r="C57" s="855"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  <c r="J57" s="855">
        <v>208871</v>
      </c>
      <c r="K57" s="855">
        <v>208871</v>
      </c>
      <c r="L57" s="855">
        <v>208871</v>
      </c>
      <c r="M57" s="855">
        <v>208871</v>
      </c>
      <c r="N57" s="855">
        <v>208871</v>
      </c>
      <c r="O57" s="855">
        <v>208871</v>
      </c>
      <c r="P57" s="855">
        <v>208871</v>
      </c>
      <c r="Q57" s="855">
        <v>208871</v>
      </c>
      <c r="R57" s="855">
        <v>208871</v>
      </c>
      <c r="S57" s="855">
        <v>208871</v>
      </c>
      <c r="T57" s="855">
        <v>208871</v>
      </c>
      <c r="U57" s="855">
        <v>208871</v>
      </c>
    </row>
    <row r="58" spans="1:21">
      <c r="A58" s="28" t="s">
        <v>564</v>
      </c>
      <c r="B58" s="746"/>
      <c r="C58" s="855"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  <c r="J58" s="855">
        <v>4634</v>
      </c>
      <c r="K58" s="855">
        <v>4634</v>
      </c>
      <c r="L58" s="855">
        <v>4634</v>
      </c>
      <c r="M58" s="855">
        <v>4634</v>
      </c>
      <c r="N58" s="855">
        <v>4634</v>
      </c>
      <c r="O58" s="855">
        <v>4634</v>
      </c>
      <c r="P58" s="855">
        <v>4634</v>
      </c>
      <c r="Q58" s="855">
        <v>4634</v>
      </c>
      <c r="R58" s="855">
        <v>4634</v>
      </c>
      <c r="S58" s="855">
        <v>4634</v>
      </c>
      <c r="T58" s="855">
        <v>4634</v>
      </c>
      <c r="U58" s="855">
        <v>4634</v>
      </c>
    </row>
    <row r="59" spans="1:21">
      <c r="A59" s="1"/>
      <c r="B59" s="748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  <c r="U59" s="857"/>
    </row>
    <row r="60" spans="1:21" s="687" customFormat="1" ht="15" thickBot="1">
      <c r="A60" s="1447" t="s">
        <v>224</v>
      </c>
      <c r="B60" s="1448"/>
      <c r="C60" s="856">
        <v>1195328</v>
      </c>
      <c r="D60" s="856">
        <v>6645218</v>
      </c>
      <c r="E60" s="856">
        <v>6645218</v>
      </c>
      <c r="F60" s="856">
        <v>6295811</v>
      </c>
      <c r="G60" s="856">
        <v>6774371</v>
      </c>
      <c r="H60" s="856">
        <v>7288763</v>
      </c>
      <c r="I60" s="856">
        <v>7127978</v>
      </c>
      <c r="J60" s="856">
        <v>7127978</v>
      </c>
      <c r="K60" s="856">
        <v>7377122</v>
      </c>
      <c r="L60" s="856">
        <v>6831382</v>
      </c>
      <c r="M60" s="856">
        <v>7280070</v>
      </c>
      <c r="N60" s="856">
        <v>7630303</v>
      </c>
      <c r="O60" s="856">
        <v>7630303</v>
      </c>
      <c r="P60" s="856">
        <v>7883393</v>
      </c>
      <c r="Q60" s="856">
        <v>7883393</v>
      </c>
      <c r="R60" s="856">
        <v>7742783</v>
      </c>
      <c r="S60" s="856">
        <v>6997530</v>
      </c>
      <c r="T60" s="856">
        <v>7873117</v>
      </c>
      <c r="U60" s="856">
        <v>3235223</v>
      </c>
    </row>
    <row r="61" spans="1:21" ht="15" thickBot="1">
      <c r="A61"/>
      <c r="B61" s="16"/>
      <c r="C61" s="851"/>
      <c r="D61" s="851"/>
      <c r="E61" s="851"/>
      <c r="F61" s="851"/>
      <c r="G61" s="851"/>
      <c r="H61" s="851"/>
      <c r="I61" s="851"/>
      <c r="J61" s="851"/>
      <c r="K61" s="851"/>
      <c r="L61" s="851"/>
      <c r="M61" s="851"/>
      <c r="N61" s="851"/>
      <c r="O61" s="851"/>
      <c r="P61" s="851"/>
      <c r="Q61" s="851"/>
      <c r="R61" s="851"/>
      <c r="S61" s="851"/>
      <c r="T61" s="851"/>
      <c r="U61" s="851"/>
    </row>
    <row r="62" spans="1:21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  <c r="J62" s="858"/>
      <c r="K62" s="858"/>
      <c r="L62" s="858"/>
      <c r="M62" s="858"/>
      <c r="N62" s="858"/>
      <c r="O62" s="858"/>
      <c r="P62" s="858"/>
      <c r="Q62" s="858"/>
      <c r="R62" s="858"/>
      <c r="S62" s="858"/>
      <c r="T62" s="858"/>
      <c r="U62" s="858"/>
    </row>
    <row r="63" spans="1:21">
      <c r="A63" s="751" t="s">
        <v>1</v>
      </c>
      <c r="B63" s="752" t="s">
        <v>275</v>
      </c>
      <c r="C63" s="859">
        <v>103683</v>
      </c>
      <c r="D63" s="859">
        <v>643318</v>
      </c>
      <c r="E63" s="859">
        <v>643318</v>
      </c>
      <c r="F63" s="859">
        <v>97604</v>
      </c>
      <c r="G63" s="859">
        <v>20608</v>
      </c>
      <c r="H63" s="859">
        <v>1037326</v>
      </c>
      <c r="I63" s="859">
        <v>734255</v>
      </c>
      <c r="J63" s="859">
        <v>734255</v>
      </c>
      <c r="K63" s="859">
        <v>1489340</v>
      </c>
      <c r="L63" s="859">
        <v>715216</v>
      </c>
      <c r="M63" s="859">
        <v>201107</v>
      </c>
      <c r="N63" s="859">
        <v>419711</v>
      </c>
      <c r="O63" s="859">
        <v>419711</v>
      </c>
      <c r="P63" s="859">
        <v>776408</v>
      </c>
      <c r="Q63" s="859">
        <v>776408</v>
      </c>
      <c r="R63" s="859">
        <v>138799</v>
      </c>
      <c r="S63" s="859">
        <v>273064</v>
      </c>
      <c r="T63" s="859">
        <v>470178</v>
      </c>
      <c r="U63" s="859">
        <v>977269</v>
      </c>
    </row>
    <row r="64" spans="1:21">
      <c r="A64" s="751" t="s">
        <v>212</v>
      </c>
      <c r="B64" s="752" t="s">
        <v>274</v>
      </c>
      <c r="C64" s="859">
        <v>935916</v>
      </c>
      <c r="D64" s="859">
        <v>2916</v>
      </c>
      <c r="E64" s="859">
        <v>2916</v>
      </c>
      <c r="F64" s="859">
        <v>2916</v>
      </c>
      <c r="G64" s="859">
        <v>2916</v>
      </c>
      <c r="H64" s="859">
        <v>7366</v>
      </c>
      <c r="I64" s="859">
        <v>28366</v>
      </c>
      <c r="J64" s="859">
        <v>28366</v>
      </c>
      <c r="K64" s="859">
        <v>28366</v>
      </c>
      <c r="L64" s="859">
        <v>261616</v>
      </c>
      <c r="M64" s="859">
        <v>512616</v>
      </c>
      <c r="N64" s="859">
        <v>162616</v>
      </c>
      <c r="O64" s="859">
        <v>162616</v>
      </c>
      <c r="P64" s="859">
        <v>22266</v>
      </c>
      <c r="Q64" s="859">
        <v>22266</v>
      </c>
      <c r="R64" s="859">
        <v>1224266</v>
      </c>
      <c r="S64" s="859">
        <v>729266</v>
      </c>
      <c r="T64" s="859">
        <v>271266</v>
      </c>
      <c r="U64" s="859">
        <v>372266</v>
      </c>
    </row>
    <row r="65" spans="1:21">
      <c r="A65" s="751" t="s">
        <v>263</v>
      </c>
      <c r="B65" s="752" t="s">
        <v>276</v>
      </c>
      <c r="C65" s="859"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  <c r="J65" s="859">
        <v>159814</v>
      </c>
      <c r="K65" s="859">
        <v>159814</v>
      </c>
      <c r="L65" s="859">
        <v>159814</v>
      </c>
      <c r="M65" s="859">
        <v>159814</v>
      </c>
      <c r="N65" s="859">
        <v>159814</v>
      </c>
      <c r="O65" s="859">
        <v>159814</v>
      </c>
      <c r="P65" s="859">
        <v>159814</v>
      </c>
      <c r="Q65" s="859">
        <v>159814</v>
      </c>
      <c r="R65" s="859">
        <v>159814</v>
      </c>
      <c r="S65" s="859">
        <v>159814</v>
      </c>
      <c r="T65" s="859">
        <v>159814</v>
      </c>
      <c r="U65" s="859">
        <v>159814</v>
      </c>
    </row>
    <row r="66" spans="1:21">
      <c r="A66" s="751" t="s">
        <v>747</v>
      </c>
      <c r="B66" s="752" t="s">
        <v>277</v>
      </c>
      <c r="C66" s="859">
        <v>74782</v>
      </c>
      <c r="D66" s="859">
        <v>5537728</v>
      </c>
      <c r="E66" s="859">
        <v>5537728</v>
      </c>
      <c r="F66" s="859">
        <v>1811228</v>
      </c>
      <c r="G66" s="859">
        <v>924728</v>
      </c>
      <c r="H66" s="859">
        <v>2342836</v>
      </c>
      <c r="I66" s="859">
        <v>10351000</v>
      </c>
      <c r="J66" s="859">
        <v>351000</v>
      </c>
      <c r="K66" s="859">
        <v>351000</v>
      </c>
      <c r="L66" s="859">
        <v>71000</v>
      </c>
      <c r="M66" s="859">
        <v>71000</v>
      </c>
      <c r="N66" s="859">
        <v>71000</v>
      </c>
      <c r="O66" s="859">
        <v>875000</v>
      </c>
      <c r="P66" s="859">
        <v>875000</v>
      </c>
      <c r="Q66" s="859">
        <v>875000</v>
      </c>
      <c r="R66" s="859">
        <v>875000</v>
      </c>
      <c r="S66" s="859">
        <v>710000</v>
      </c>
      <c r="T66" s="859">
        <v>5000000</v>
      </c>
      <c r="U66" s="859">
        <v>63296</v>
      </c>
    </row>
    <row r="67" spans="1:21">
      <c r="A67" s="751" t="s">
        <v>200</v>
      </c>
      <c r="B67" s="752" t="s">
        <v>278</v>
      </c>
      <c r="C67" s="859">
        <v>21907</v>
      </c>
      <c r="D67" s="859">
        <v>21907</v>
      </c>
      <c r="E67" s="859">
        <v>21907</v>
      </c>
      <c r="F67" s="859">
        <v>21907</v>
      </c>
      <c r="G67" s="859">
        <v>21907</v>
      </c>
      <c r="H67" s="859">
        <v>21907</v>
      </c>
      <c r="I67" s="859">
        <v>21907</v>
      </c>
      <c r="J67" s="859">
        <v>21907</v>
      </c>
      <c r="K67" s="859">
        <v>21907</v>
      </c>
      <c r="L67" s="859">
        <v>24907</v>
      </c>
      <c r="M67" s="859">
        <v>24907</v>
      </c>
      <c r="N67" s="859">
        <v>24907</v>
      </c>
      <c r="O67" s="859">
        <v>24907</v>
      </c>
      <c r="P67" s="859">
        <v>24907</v>
      </c>
      <c r="Q67" s="859">
        <v>24907</v>
      </c>
      <c r="R67" s="859">
        <v>24907</v>
      </c>
      <c r="S67" s="859">
        <v>24907</v>
      </c>
      <c r="T67" s="859">
        <v>24907</v>
      </c>
      <c r="U67" s="859">
        <v>24907</v>
      </c>
    </row>
    <row r="68" spans="1:21">
      <c r="A68" s="751" t="s">
        <v>201</v>
      </c>
      <c r="B68" s="752" t="s">
        <v>279</v>
      </c>
      <c r="C68" s="859">
        <v>96000</v>
      </c>
      <c r="D68" s="859">
        <v>96000</v>
      </c>
      <c r="E68" s="859">
        <v>96000</v>
      </c>
      <c r="F68" s="859">
        <v>96000</v>
      </c>
      <c r="G68" s="859">
        <v>96000</v>
      </c>
      <c r="H68" s="859">
        <v>96000</v>
      </c>
      <c r="I68" s="859">
        <v>96000</v>
      </c>
      <c r="J68" s="859">
        <v>96000</v>
      </c>
      <c r="K68" s="859">
        <v>96000</v>
      </c>
      <c r="L68" s="859">
        <v>96000</v>
      </c>
      <c r="M68" s="859">
        <v>96000</v>
      </c>
      <c r="N68" s="859">
        <v>96000</v>
      </c>
      <c r="O68" s="859">
        <v>96000</v>
      </c>
      <c r="P68" s="859">
        <v>96000</v>
      </c>
      <c r="Q68" s="859">
        <v>96000</v>
      </c>
      <c r="R68" s="859">
        <v>96000</v>
      </c>
      <c r="S68" s="859">
        <v>96000</v>
      </c>
      <c r="T68" s="859">
        <v>96000</v>
      </c>
      <c r="U68" s="859">
        <v>96000</v>
      </c>
    </row>
    <row r="69" spans="1:21">
      <c r="A69" s="751" t="s">
        <v>202</v>
      </c>
      <c r="B69" s="752" t="s">
        <v>280</v>
      </c>
      <c r="C69" s="859">
        <v>46000</v>
      </c>
      <c r="D69" s="859">
        <v>46000</v>
      </c>
      <c r="E69" s="859">
        <v>46000</v>
      </c>
      <c r="F69" s="859">
        <v>46000</v>
      </c>
      <c r="G69" s="859">
        <v>46000</v>
      </c>
      <c r="H69" s="859">
        <v>46000</v>
      </c>
      <c r="I69" s="859">
        <v>46000</v>
      </c>
      <c r="J69" s="859">
        <v>46000</v>
      </c>
      <c r="K69" s="859">
        <v>46000</v>
      </c>
      <c r="L69" s="859">
        <v>56000</v>
      </c>
      <c r="M69" s="859">
        <v>56000</v>
      </c>
      <c r="N69" s="859">
        <v>106000</v>
      </c>
      <c r="O69" s="859">
        <v>106000</v>
      </c>
      <c r="P69" s="859">
        <v>106000</v>
      </c>
      <c r="Q69" s="859">
        <v>106000</v>
      </c>
      <c r="R69" s="859">
        <v>106000</v>
      </c>
      <c r="S69" s="859">
        <v>106000</v>
      </c>
      <c r="T69" s="859">
        <v>106000</v>
      </c>
      <c r="U69" s="859">
        <v>106000</v>
      </c>
    </row>
    <row r="70" spans="1:21">
      <c r="A70" s="751" t="s">
        <v>213</v>
      </c>
      <c r="B70" s="752" t="s">
        <v>281</v>
      </c>
      <c r="C70" s="859"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  <c r="J70" s="859">
        <v>69862</v>
      </c>
      <c r="K70" s="859">
        <v>69862</v>
      </c>
      <c r="L70" s="859">
        <v>69862</v>
      </c>
      <c r="M70" s="859">
        <v>69862</v>
      </c>
      <c r="N70" s="859">
        <v>69862</v>
      </c>
      <c r="O70" s="859">
        <v>69862</v>
      </c>
      <c r="P70" s="859">
        <v>69862</v>
      </c>
      <c r="Q70" s="859">
        <v>69862</v>
      </c>
      <c r="R70" s="859">
        <v>69862</v>
      </c>
      <c r="S70" s="859">
        <v>69862</v>
      </c>
      <c r="T70" s="859">
        <v>69862</v>
      </c>
      <c r="U70" s="859">
        <v>69862</v>
      </c>
    </row>
    <row r="71" spans="1:21">
      <c r="A71" s="751" t="s">
        <v>800</v>
      </c>
      <c r="B71" s="752"/>
      <c r="C71" s="859"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  <c r="J71" s="859">
        <v>0</v>
      </c>
      <c r="K71" s="859">
        <v>0</v>
      </c>
      <c r="L71" s="859">
        <v>0</v>
      </c>
      <c r="M71" s="859">
        <v>0</v>
      </c>
      <c r="N71" s="859">
        <v>0</v>
      </c>
      <c r="O71" s="859">
        <v>0</v>
      </c>
      <c r="P71" s="859">
        <v>0</v>
      </c>
      <c r="Q71" s="859">
        <v>0</v>
      </c>
      <c r="R71" s="859">
        <v>0</v>
      </c>
      <c r="S71" s="859">
        <v>0</v>
      </c>
      <c r="T71" s="859">
        <v>0</v>
      </c>
      <c r="U71" s="859">
        <v>0</v>
      </c>
    </row>
    <row r="72" spans="1:21">
      <c r="A72" s="751" t="s">
        <v>810</v>
      </c>
      <c r="B72" s="752"/>
      <c r="C72" s="859">
        <v>905000</v>
      </c>
      <c r="D72" s="859">
        <v>5000000</v>
      </c>
      <c r="E72" s="859">
        <v>5000000</v>
      </c>
      <c r="F72" s="859">
        <v>5000000</v>
      </c>
      <c r="G72" s="859">
        <v>5000000</v>
      </c>
      <c r="H72" s="859">
        <v>5000000</v>
      </c>
      <c r="I72" s="859">
        <v>5000001</v>
      </c>
      <c r="J72" s="859">
        <v>5000001</v>
      </c>
      <c r="K72" s="859">
        <v>5000000</v>
      </c>
      <c r="L72" s="859">
        <v>5000001</v>
      </c>
      <c r="M72" s="859">
        <v>5000001</v>
      </c>
      <c r="N72" s="859">
        <v>5000000</v>
      </c>
      <c r="O72" s="859">
        <v>5000001</v>
      </c>
      <c r="P72" s="859">
        <v>80231</v>
      </c>
      <c r="Q72" s="859">
        <v>63531</v>
      </c>
      <c r="R72" s="859">
        <v>5000001</v>
      </c>
      <c r="S72" s="859">
        <v>5000001</v>
      </c>
      <c r="T72" s="859">
        <v>50001</v>
      </c>
      <c r="U72" s="859">
        <v>63446031</v>
      </c>
    </row>
    <row r="73" spans="1:21" s="687" customFormat="1" ht="15" thickBot="1">
      <c r="A73" s="1447" t="s">
        <v>224</v>
      </c>
      <c r="B73" s="1448"/>
      <c r="C73" s="856">
        <v>2412964</v>
      </c>
      <c r="D73" s="856">
        <v>11577545</v>
      </c>
      <c r="E73" s="856">
        <v>11577545</v>
      </c>
      <c r="F73" s="856">
        <v>7305331</v>
      </c>
      <c r="G73" s="856">
        <v>6341835</v>
      </c>
      <c r="H73" s="856">
        <v>8781111</v>
      </c>
      <c r="I73" s="856">
        <v>16507205</v>
      </c>
      <c r="J73" s="856">
        <v>6507205</v>
      </c>
      <c r="K73" s="856">
        <v>7262289</v>
      </c>
      <c r="L73" s="856">
        <v>6454416</v>
      </c>
      <c r="M73" s="856">
        <v>6191307</v>
      </c>
      <c r="N73" s="856">
        <v>6109910</v>
      </c>
      <c r="O73" s="856">
        <v>6913911</v>
      </c>
      <c r="P73" s="856">
        <v>2210488</v>
      </c>
      <c r="Q73" s="856">
        <v>2193788</v>
      </c>
      <c r="R73" s="856">
        <v>7694649</v>
      </c>
      <c r="S73" s="856">
        <v>7168914</v>
      </c>
      <c r="T73" s="856">
        <v>6248028</v>
      </c>
      <c r="U73" s="856">
        <v>65315445</v>
      </c>
    </row>
    <row r="74" spans="1:21">
      <c r="A74" s="5"/>
      <c r="B74" s="16"/>
      <c r="C74" s="861"/>
      <c r="D74" s="861"/>
      <c r="E74" s="861"/>
      <c r="F74" s="861"/>
      <c r="G74" s="861"/>
      <c r="H74" s="861"/>
      <c r="I74" s="861"/>
      <c r="J74" s="861"/>
      <c r="K74" s="861"/>
      <c r="L74" s="861"/>
      <c r="M74" s="861"/>
      <c r="N74" s="861"/>
      <c r="O74" s="861"/>
      <c r="P74" s="861"/>
      <c r="Q74" s="861"/>
      <c r="R74" s="861"/>
      <c r="S74" s="861"/>
      <c r="T74" s="861"/>
      <c r="U74" s="861"/>
    </row>
    <row r="75" spans="1:21" ht="16.2" thickBot="1">
      <c r="A75" s="737"/>
      <c r="B75" s="73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848"/>
      <c r="O75" s="848"/>
      <c r="P75" s="848"/>
      <c r="Q75" s="848"/>
      <c r="R75" s="848"/>
      <c r="S75" s="848"/>
      <c r="T75" s="848"/>
      <c r="U75" s="848"/>
    </row>
    <row r="76" spans="1:21" ht="15" thickBot="1">
      <c r="A76" s="727"/>
      <c r="B76" s="726"/>
      <c r="C76" s="852"/>
      <c r="D76" s="852"/>
      <c r="E76" s="852"/>
      <c r="F76" s="852"/>
      <c r="G76" s="852"/>
      <c r="H76" s="852"/>
      <c r="I76" s="852"/>
      <c r="J76" s="852"/>
      <c r="K76" s="852"/>
      <c r="L76" s="852"/>
      <c r="M76" s="852"/>
      <c r="N76" s="852"/>
      <c r="O76" s="852"/>
      <c r="P76" s="852"/>
      <c r="Q76" s="852"/>
      <c r="R76" s="852"/>
      <c r="S76" s="852"/>
      <c r="T76" s="852"/>
      <c r="U76" s="852"/>
    </row>
    <row r="77" spans="1:21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  <c r="U77" s="854"/>
    </row>
    <row r="78" spans="1:21">
      <c r="A78" s="28" t="s">
        <v>814</v>
      </c>
      <c r="B78" s="747" t="s">
        <v>266</v>
      </c>
      <c r="C78" s="855">
        <v>55000000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5000000</v>
      </c>
      <c r="J78" s="855">
        <v>5000000</v>
      </c>
      <c r="K78" s="855">
        <v>5000000</v>
      </c>
      <c r="L78" s="855">
        <v>5000000</v>
      </c>
      <c r="M78" s="855">
        <v>5000000</v>
      </c>
      <c r="N78" s="855">
        <v>5000000</v>
      </c>
      <c r="O78" s="855">
        <v>5000000</v>
      </c>
      <c r="P78" s="855">
        <v>5000000</v>
      </c>
      <c r="Q78" s="855">
        <v>5000000</v>
      </c>
      <c r="R78" s="855">
        <v>5000000</v>
      </c>
      <c r="S78" s="855">
        <v>5000000</v>
      </c>
      <c r="T78" s="855">
        <v>5000000</v>
      </c>
      <c r="U78" s="855">
        <v>37635030</v>
      </c>
    </row>
    <row r="79" spans="1:21">
      <c r="A79" s="28" t="s">
        <v>73</v>
      </c>
      <c r="B79" s="746" t="s">
        <v>485</v>
      </c>
      <c r="C79" s="855">
        <v>632812</v>
      </c>
      <c r="D79" s="855">
        <v>17937</v>
      </c>
      <c r="E79" s="855">
        <v>17937</v>
      </c>
      <c r="F79" s="855">
        <v>600687</v>
      </c>
      <c r="G79" s="855">
        <v>600687</v>
      </c>
      <c r="H79" s="855">
        <v>627692</v>
      </c>
      <c r="I79" s="855">
        <v>1825892</v>
      </c>
      <c r="J79" s="855">
        <v>1825892</v>
      </c>
      <c r="K79" s="855">
        <v>943392</v>
      </c>
      <c r="L79" s="855">
        <v>323542</v>
      </c>
      <c r="M79" s="855">
        <v>653542</v>
      </c>
      <c r="N79" s="855">
        <v>765542</v>
      </c>
      <c r="O79" s="855">
        <v>765542</v>
      </c>
      <c r="P79" s="855">
        <v>958192</v>
      </c>
      <c r="Q79" s="855">
        <v>958192</v>
      </c>
      <c r="R79" s="855">
        <v>177942</v>
      </c>
      <c r="S79" s="855">
        <v>289442</v>
      </c>
      <c r="T79" s="855">
        <v>952942</v>
      </c>
      <c r="U79" s="855">
        <v>952942</v>
      </c>
    </row>
    <row r="80" spans="1:21">
      <c r="A80" s="28" t="s">
        <v>1</v>
      </c>
      <c r="B80" s="746" t="s">
        <v>486</v>
      </c>
      <c r="C80" s="855">
        <v>1141461</v>
      </c>
      <c r="D80" s="855">
        <v>1786807</v>
      </c>
      <c r="E80" s="855">
        <v>1786807</v>
      </c>
      <c r="F80" s="855">
        <v>695693</v>
      </c>
      <c r="G80" s="855">
        <v>1587162</v>
      </c>
      <c r="H80" s="855">
        <v>337151</v>
      </c>
      <c r="I80" s="855">
        <v>654117</v>
      </c>
      <c r="J80" s="855">
        <v>654117</v>
      </c>
      <c r="K80" s="855">
        <v>1149871</v>
      </c>
      <c r="L80" s="855">
        <v>934445</v>
      </c>
      <c r="M80" s="855">
        <v>468226</v>
      </c>
      <c r="N80" s="855">
        <v>777685</v>
      </c>
      <c r="O80" s="855">
        <v>777685</v>
      </c>
      <c r="P80" s="855">
        <v>802131</v>
      </c>
      <c r="Q80" s="855">
        <v>802131</v>
      </c>
      <c r="R80" s="855">
        <v>765275</v>
      </c>
      <c r="S80" s="855">
        <v>114249</v>
      </c>
      <c r="T80" s="855">
        <v>1181889</v>
      </c>
      <c r="U80" s="855">
        <v>452573</v>
      </c>
    </row>
    <row r="81" spans="1:21">
      <c r="A81" s="28" t="s">
        <v>111</v>
      </c>
      <c r="B81" s="746" t="s">
        <v>487</v>
      </c>
      <c r="C81" s="855">
        <v>271152</v>
      </c>
      <c r="D81" s="855">
        <v>342292</v>
      </c>
      <c r="E81" s="855">
        <v>342292</v>
      </c>
      <c r="F81" s="855">
        <v>367542</v>
      </c>
      <c r="G81" s="855">
        <v>373992</v>
      </c>
      <c r="H81" s="855">
        <v>415292</v>
      </c>
      <c r="I81" s="855">
        <v>394412</v>
      </c>
      <c r="J81" s="855">
        <v>394412</v>
      </c>
      <c r="K81" s="855">
        <v>646532</v>
      </c>
      <c r="L81" s="855">
        <v>303232</v>
      </c>
      <c r="M81" s="855">
        <v>368232</v>
      </c>
      <c r="N81" s="855">
        <v>398732</v>
      </c>
      <c r="O81" s="855">
        <v>398732</v>
      </c>
      <c r="P81" s="855">
        <v>311927</v>
      </c>
      <c r="Q81" s="855">
        <v>311927</v>
      </c>
      <c r="R81" s="855">
        <v>357127</v>
      </c>
      <c r="S81" s="855">
        <v>466067</v>
      </c>
      <c r="T81" s="855">
        <v>74587</v>
      </c>
      <c r="U81" s="855">
        <v>405307</v>
      </c>
    </row>
    <row r="82" spans="1:21">
      <c r="A82" s="28" t="s">
        <v>168</v>
      </c>
      <c r="B82" s="746" t="s">
        <v>488</v>
      </c>
      <c r="C82" s="855">
        <v>346700</v>
      </c>
      <c r="D82" s="855">
        <v>346700</v>
      </c>
      <c r="E82" s="855">
        <v>346700</v>
      </c>
      <c r="F82" s="855">
        <v>346700</v>
      </c>
      <c r="G82" s="855">
        <v>346700</v>
      </c>
      <c r="H82" s="855">
        <v>346700</v>
      </c>
      <c r="I82" s="855">
        <v>482200</v>
      </c>
      <c r="J82" s="855">
        <v>482200</v>
      </c>
      <c r="K82" s="855">
        <v>482200</v>
      </c>
      <c r="L82" s="855">
        <v>13200</v>
      </c>
      <c r="M82" s="855">
        <v>13200</v>
      </c>
      <c r="N82" s="855">
        <v>82200</v>
      </c>
      <c r="O82" s="855">
        <v>82200</v>
      </c>
      <c r="P82" s="855">
        <v>214550</v>
      </c>
      <c r="Q82" s="855">
        <v>214550</v>
      </c>
      <c r="R82" s="855">
        <v>243650</v>
      </c>
      <c r="S82" s="855">
        <v>314150</v>
      </c>
      <c r="T82" s="855">
        <v>337650</v>
      </c>
      <c r="U82" s="855">
        <v>444900</v>
      </c>
    </row>
    <row r="83" spans="1:21">
      <c r="A83" s="28" t="s">
        <v>16</v>
      </c>
      <c r="B83" s="746" t="s">
        <v>489</v>
      </c>
      <c r="C83" s="855"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  <c r="J83" s="855">
        <v>0</v>
      </c>
      <c r="K83" s="855">
        <v>0</v>
      </c>
      <c r="L83" s="855">
        <v>0</v>
      </c>
      <c r="M83" s="855">
        <v>0</v>
      </c>
      <c r="N83" s="855">
        <v>0</v>
      </c>
      <c r="O83" s="855">
        <v>0</v>
      </c>
      <c r="P83" s="855">
        <v>0</v>
      </c>
      <c r="Q83" s="855">
        <v>0</v>
      </c>
      <c r="R83" s="855">
        <v>0</v>
      </c>
      <c r="S83" s="855">
        <v>0</v>
      </c>
      <c r="T83" s="855">
        <v>0</v>
      </c>
      <c r="U83" s="855">
        <v>0</v>
      </c>
    </row>
    <row r="84" spans="1:21">
      <c r="A84" s="28" t="s">
        <v>9</v>
      </c>
      <c r="B84" s="746" t="s">
        <v>490</v>
      </c>
      <c r="C84" s="855">
        <v>595607</v>
      </c>
      <c r="D84" s="855">
        <v>595607</v>
      </c>
      <c r="E84" s="855">
        <v>595607</v>
      </c>
      <c r="F84" s="855">
        <v>595607</v>
      </c>
      <c r="G84" s="855">
        <v>595607</v>
      </c>
      <c r="H84" s="855">
        <v>595607</v>
      </c>
      <c r="I84" s="855">
        <v>595607</v>
      </c>
      <c r="J84" s="855">
        <v>595607</v>
      </c>
      <c r="K84" s="855">
        <v>595607</v>
      </c>
      <c r="L84" s="855">
        <v>595607</v>
      </c>
      <c r="M84" s="855">
        <v>595607</v>
      </c>
      <c r="N84" s="855">
        <v>595607</v>
      </c>
      <c r="O84" s="855">
        <v>595607</v>
      </c>
      <c r="P84" s="855">
        <v>595607</v>
      </c>
      <c r="Q84" s="855">
        <v>595607</v>
      </c>
      <c r="R84" s="855">
        <v>595607</v>
      </c>
      <c r="S84" s="855">
        <v>595607</v>
      </c>
      <c r="T84" s="855">
        <v>595607</v>
      </c>
      <c r="U84" s="855">
        <v>625970</v>
      </c>
    </row>
    <row r="85" spans="1:21">
      <c r="A85" s="1"/>
      <c r="B85" s="748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  <c r="U85" s="857"/>
    </row>
    <row r="86" spans="1:21" s="687" customFormat="1" ht="15" thickBot="1">
      <c r="A86" s="1447" t="s">
        <v>224</v>
      </c>
      <c r="B86" s="1448"/>
      <c r="C86" s="856">
        <v>57987732</v>
      </c>
      <c r="D86" s="856">
        <v>8089343</v>
      </c>
      <c r="E86" s="856">
        <v>8089343</v>
      </c>
      <c r="F86" s="856">
        <v>7606229</v>
      </c>
      <c r="G86" s="856">
        <v>8504148</v>
      </c>
      <c r="H86" s="856">
        <v>7322442</v>
      </c>
      <c r="I86" s="856">
        <v>8952228</v>
      </c>
      <c r="J86" s="856">
        <v>8952228</v>
      </c>
      <c r="K86" s="856">
        <v>8817602</v>
      </c>
      <c r="L86" s="856">
        <v>7170026</v>
      </c>
      <c r="M86" s="856">
        <v>7098807</v>
      </c>
      <c r="N86" s="856">
        <v>7619766</v>
      </c>
      <c r="O86" s="856">
        <v>7619766</v>
      </c>
      <c r="P86" s="856">
        <v>7882407</v>
      </c>
      <c r="Q86" s="856">
        <v>7882407</v>
      </c>
      <c r="R86" s="856">
        <v>7139601</v>
      </c>
      <c r="S86" s="856">
        <v>6779515</v>
      </c>
      <c r="T86" s="856">
        <v>8142675</v>
      </c>
      <c r="U86" s="856">
        <v>40516722</v>
      </c>
    </row>
    <row r="87" spans="1:21">
      <c r="A87" s="5"/>
      <c r="B87"/>
      <c r="C87" s="852"/>
      <c r="D87" s="852"/>
      <c r="E87" s="852"/>
      <c r="F87" s="852"/>
      <c r="G87" s="852"/>
      <c r="H87" s="852"/>
      <c r="I87" s="852"/>
      <c r="J87" s="852"/>
      <c r="K87" s="852"/>
      <c r="L87" s="852"/>
      <c r="M87" s="852"/>
      <c r="N87" s="852"/>
      <c r="O87" s="852"/>
      <c r="P87" s="852"/>
      <c r="Q87" s="852"/>
      <c r="R87" s="852"/>
      <c r="S87" s="852"/>
      <c r="T87" s="852"/>
      <c r="U87" s="852"/>
    </row>
    <row r="88" spans="1:21">
      <c r="A88" s="5"/>
      <c r="B88"/>
      <c r="C88" s="852"/>
      <c r="D88" s="852"/>
      <c r="E88" s="852"/>
      <c r="F88" s="852"/>
      <c r="G88" s="852"/>
      <c r="H88" s="852"/>
      <c r="I88" s="852"/>
      <c r="J88" s="852"/>
      <c r="K88" s="852"/>
      <c r="L88" s="852"/>
      <c r="M88" s="852"/>
      <c r="N88" s="852"/>
      <c r="O88" s="852"/>
      <c r="P88" s="852"/>
      <c r="Q88" s="852"/>
      <c r="R88" s="852"/>
      <c r="S88" s="852"/>
      <c r="T88" s="852"/>
      <c r="U88" s="852"/>
    </row>
    <row r="89" spans="1:21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  <c r="J89" s="862"/>
      <c r="K89" s="862"/>
      <c r="L89" s="862"/>
      <c r="M89" s="862"/>
      <c r="N89" s="862"/>
      <c r="O89" s="862"/>
      <c r="P89" s="862"/>
      <c r="Q89" s="862"/>
      <c r="R89" s="862"/>
      <c r="S89" s="862"/>
      <c r="T89" s="862"/>
      <c r="U89" s="862"/>
    </row>
    <row r="90" spans="1:21">
      <c r="A90" s="28" t="s">
        <v>95</v>
      </c>
      <c r="B90" s="747" t="s">
        <v>207</v>
      </c>
      <c r="C90" s="855">
        <v>414027</v>
      </c>
      <c r="D90" s="855">
        <v>509027</v>
      </c>
      <c r="E90" s="855">
        <v>1009027</v>
      </c>
      <c r="F90" s="855">
        <v>1514527</v>
      </c>
      <c r="G90" s="855">
        <v>39926117</v>
      </c>
      <c r="H90" s="855">
        <v>1051617</v>
      </c>
      <c r="I90" s="855">
        <v>34070726</v>
      </c>
      <c r="J90" s="855">
        <v>2742417</v>
      </c>
      <c r="K90" s="855">
        <v>17015412</v>
      </c>
      <c r="L90" s="855">
        <v>5129495</v>
      </c>
      <c r="M90" s="855">
        <v>14135935</v>
      </c>
      <c r="N90" s="855">
        <v>16059475</v>
      </c>
      <c r="O90" s="855">
        <v>15149475</v>
      </c>
      <c r="P90" s="855">
        <v>23960095</v>
      </c>
      <c r="Q90" s="855">
        <v>24076095</v>
      </c>
      <c r="R90" s="855">
        <v>34349345</v>
      </c>
      <c r="S90" s="855">
        <v>11972574</v>
      </c>
      <c r="T90" s="855">
        <v>45487404</v>
      </c>
      <c r="U90" s="855">
        <v>595095</v>
      </c>
    </row>
    <row r="91" spans="1:21">
      <c r="A91" s="1161" t="s">
        <v>852</v>
      </c>
      <c r="B91" s="747" t="s">
        <v>208</v>
      </c>
      <c r="C91" s="855"/>
      <c r="D91" s="855"/>
      <c r="E91" s="855"/>
      <c r="F91" s="855"/>
      <c r="G91" s="855"/>
      <c r="H91" s="855"/>
      <c r="I91" s="855"/>
      <c r="J91" s="855"/>
      <c r="K91" s="855"/>
      <c r="L91" s="855"/>
      <c r="M91" s="855"/>
      <c r="N91" s="855"/>
      <c r="O91" s="855"/>
      <c r="P91" s="855"/>
      <c r="Q91" s="855"/>
      <c r="R91" s="855"/>
      <c r="S91" s="855"/>
      <c r="T91" s="855"/>
      <c r="U91" s="855"/>
    </row>
    <row r="92" spans="1:21">
      <c r="A92" s="1162" t="s">
        <v>853</v>
      </c>
      <c r="B92" s="747"/>
      <c r="C92" s="855"/>
      <c r="D92" s="855"/>
      <c r="E92" s="855"/>
      <c r="F92" s="855"/>
      <c r="G92" s="855"/>
      <c r="H92" s="855"/>
      <c r="I92" s="855"/>
      <c r="J92" s="855"/>
      <c r="K92" s="855"/>
      <c r="L92" s="855"/>
      <c r="M92" s="855"/>
      <c r="N92" s="855"/>
      <c r="O92" s="855"/>
      <c r="P92" s="855"/>
      <c r="Q92" s="855"/>
      <c r="R92" s="855"/>
      <c r="S92" s="855"/>
      <c r="T92" s="855"/>
      <c r="U92" s="855"/>
    </row>
    <row r="93" spans="1:21">
      <c r="A93" s="28"/>
      <c r="B93" s="747"/>
      <c r="C93" s="855"/>
      <c r="D93" s="855"/>
      <c r="E93" s="855"/>
      <c r="F93" s="855"/>
      <c r="G93" s="855"/>
      <c r="H93" s="855"/>
      <c r="I93" s="855"/>
      <c r="J93" s="855"/>
      <c r="K93" s="855"/>
      <c r="L93" s="855"/>
      <c r="M93" s="855"/>
      <c r="N93" s="855"/>
      <c r="O93" s="855"/>
      <c r="P93" s="855"/>
      <c r="Q93" s="855"/>
      <c r="R93" s="855"/>
      <c r="S93" s="855"/>
      <c r="T93" s="855"/>
      <c r="U93" s="855"/>
    </row>
    <row r="94" spans="1:21">
      <c r="A94" s="28" t="s">
        <v>94</v>
      </c>
      <c r="B94" s="747" t="s">
        <v>82</v>
      </c>
      <c r="C94" s="855">
        <v>200000</v>
      </c>
      <c r="D94" s="855">
        <v>200000</v>
      </c>
      <c r="E94" s="855">
        <v>200000</v>
      </c>
      <c r="F94" s="855">
        <v>200000</v>
      </c>
      <c r="G94" s="855">
        <v>150000</v>
      </c>
      <c r="H94" s="855">
        <v>150000</v>
      </c>
      <c r="I94" s="855">
        <v>150000</v>
      </c>
      <c r="J94" s="855">
        <v>150000</v>
      </c>
      <c r="K94" s="855">
        <v>150000</v>
      </c>
      <c r="L94" s="855">
        <v>150000</v>
      </c>
      <c r="M94" s="855">
        <v>150000</v>
      </c>
      <c r="N94" s="855">
        <v>150000</v>
      </c>
      <c r="O94" s="855">
        <v>150000</v>
      </c>
      <c r="P94" s="855">
        <v>150000</v>
      </c>
      <c r="Q94" s="855">
        <v>150000</v>
      </c>
      <c r="R94" s="855">
        <v>150000</v>
      </c>
      <c r="S94" s="855">
        <v>150000</v>
      </c>
      <c r="T94" s="855">
        <v>150000</v>
      </c>
      <c r="U94" s="855">
        <v>150000</v>
      </c>
    </row>
    <row r="95" spans="1:21">
      <c r="A95" s="28" t="s">
        <v>103</v>
      </c>
      <c r="B95" s="747" t="s">
        <v>209</v>
      </c>
      <c r="C95" s="855">
        <v>150000</v>
      </c>
      <c r="D95" s="855">
        <v>150000</v>
      </c>
      <c r="E95" s="855">
        <v>150000</v>
      </c>
      <c r="F95" s="855">
        <v>150000</v>
      </c>
      <c r="G95" s="855">
        <v>150000</v>
      </c>
      <c r="H95" s="855">
        <v>150000</v>
      </c>
      <c r="I95" s="855">
        <v>150000</v>
      </c>
      <c r="J95" s="855">
        <v>150000</v>
      </c>
      <c r="K95" s="855">
        <v>150000</v>
      </c>
      <c r="L95" s="855">
        <v>150000</v>
      </c>
      <c r="M95" s="855">
        <v>150000</v>
      </c>
      <c r="N95" s="855">
        <v>150000</v>
      </c>
      <c r="O95" s="855">
        <v>150000</v>
      </c>
      <c r="P95" s="855">
        <v>150000</v>
      </c>
      <c r="Q95" s="855">
        <v>150000</v>
      </c>
      <c r="R95" s="855">
        <v>150000</v>
      </c>
      <c r="S95" s="855">
        <v>150000</v>
      </c>
      <c r="T95" s="855">
        <v>150000</v>
      </c>
      <c r="U95" s="855">
        <v>100000</v>
      </c>
    </row>
    <row r="96" spans="1:21">
      <c r="A96" s="28" t="s">
        <v>70</v>
      </c>
      <c r="B96" s="747" t="s">
        <v>210</v>
      </c>
      <c r="C96" s="855">
        <v>62002</v>
      </c>
      <c r="D96" s="855">
        <v>62002</v>
      </c>
      <c r="E96" s="855">
        <v>62002</v>
      </c>
      <c r="F96" s="855">
        <v>62002</v>
      </c>
      <c r="G96" s="855">
        <v>62002</v>
      </c>
      <c r="H96" s="855">
        <v>62002</v>
      </c>
      <c r="I96" s="855">
        <v>62002</v>
      </c>
      <c r="J96" s="855">
        <v>62002</v>
      </c>
      <c r="K96" s="855">
        <v>62002</v>
      </c>
      <c r="L96" s="855">
        <v>62002</v>
      </c>
      <c r="M96" s="855">
        <v>62002</v>
      </c>
      <c r="N96" s="855">
        <v>62002</v>
      </c>
      <c r="O96" s="855">
        <v>62002</v>
      </c>
      <c r="P96" s="855">
        <v>62002</v>
      </c>
      <c r="Q96" s="855">
        <v>62002</v>
      </c>
      <c r="R96" s="855">
        <v>112002</v>
      </c>
      <c r="S96" s="855">
        <v>112002</v>
      </c>
      <c r="T96" s="855">
        <v>112002</v>
      </c>
      <c r="U96" s="855">
        <v>132002</v>
      </c>
    </row>
    <row r="97" spans="1:21">
      <c r="A97" s="28" t="s">
        <v>220</v>
      </c>
      <c r="B97" s="747" t="s">
        <v>204</v>
      </c>
      <c r="C97" s="855">
        <v>83222</v>
      </c>
      <c r="D97" s="855">
        <v>83222</v>
      </c>
      <c r="E97" s="855">
        <v>83222</v>
      </c>
      <c r="F97" s="855">
        <v>83222</v>
      </c>
      <c r="G97" s="855">
        <v>83222</v>
      </c>
      <c r="H97" s="855">
        <v>83222</v>
      </c>
      <c r="I97" s="855">
        <v>83222</v>
      </c>
      <c r="J97" s="855">
        <v>83222</v>
      </c>
      <c r="K97" s="855">
        <v>83222</v>
      </c>
      <c r="L97" s="855">
        <v>83222</v>
      </c>
      <c r="M97" s="855">
        <v>83222</v>
      </c>
      <c r="N97" s="855">
        <v>83222</v>
      </c>
      <c r="O97" s="855">
        <v>83222</v>
      </c>
      <c r="P97" s="855">
        <v>1983222</v>
      </c>
      <c r="Q97" s="855">
        <v>1983222</v>
      </c>
      <c r="R97" s="855">
        <v>1983222</v>
      </c>
      <c r="S97" s="855">
        <v>1983222</v>
      </c>
      <c r="T97" s="855">
        <v>1983222</v>
      </c>
      <c r="U97" s="855">
        <v>2047222</v>
      </c>
    </row>
    <row r="98" spans="1:21">
      <c r="A98" s="28" t="s">
        <v>221</v>
      </c>
      <c r="B98" s="747" t="s">
        <v>205</v>
      </c>
      <c r="C98" s="855">
        <v>80999</v>
      </c>
      <c r="D98" s="855">
        <v>80999</v>
      </c>
      <c r="E98" s="855">
        <v>80999</v>
      </c>
      <c r="F98" s="855">
        <v>80999</v>
      </c>
      <c r="G98" s="855">
        <v>80999</v>
      </c>
      <c r="H98" s="855">
        <v>80999</v>
      </c>
      <c r="I98" s="855">
        <v>80999</v>
      </c>
      <c r="J98" s="855">
        <v>80999</v>
      </c>
      <c r="K98" s="855">
        <v>80999</v>
      </c>
      <c r="L98" s="855">
        <v>80999</v>
      </c>
      <c r="M98" s="855">
        <v>80999</v>
      </c>
      <c r="N98" s="855">
        <v>30999</v>
      </c>
      <c r="O98" s="855">
        <v>30999</v>
      </c>
      <c r="P98" s="855">
        <v>30999</v>
      </c>
      <c r="Q98" s="855">
        <v>30999</v>
      </c>
      <c r="R98" s="855">
        <v>30999</v>
      </c>
      <c r="S98" s="855">
        <v>30999</v>
      </c>
      <c r="T98" s="855">
        <v>30999</v>
      </c>
      <c r="U98" s="855">
        <v>36999</v>
      </c>
    </row>
    <row r="99" spans="1:21">
      <c r="A99" s="1" t="s">
        <v>5</v>
      </c>
      <c r="B99" s="756"/>
      <c r="C99" s="641">
        <v>0</v>
      </c>
      <c r="D99" s="641">
        <v>0</v>
      </c>
      <c r="E99" s="641">
        <v>0</v>
      </c>
      <c r="F99" s="641">
        <v>0</v>
      </c>
      <c r="G99" s="641">
        <v>0</v>
      </c>
      <c r="H99" s="641">
        <v>0</v>
      </c>
      <c r="I99" s="641">
        <v>0</v>
      </c>
      <c r="J99" s="641">
        <v>0</v>
      </c>
      <c r="K99" s="641">
        <v>0</v>
      </c>
      <c r="L99" s="641">
        <v>0</v>
      </c>
      <c r="M99" s="641">
        <v>0</v>
      </c>
      <c r="N99" s="641">
        <v>0</v>
      </c>
      <c r="O99" s="641">
        <v>0</v>
      </c>
      <c r="P99" s="641">
        <v>0</v>
      </c>
      <c r="Q99" s="641">
        <v>0</v>
      </c>
      <c r="R99" s="641">
        <v>0</v>
      </c>
      <c r="S99" s="641">
        <v>0</v>
      </c>
      <c r="T99" s="641">
        <v>0</v>
      </c>
      <c r="U99" s="641">
        <v>0</v>
      </c>
    </row>
    <row r="100" spans="1:21">
      <c r="A100" s="1" t="s">
        <v>6</v>
      </c>
      <c r="B100" s="756"/>
      <c r="C100" s="641">
        <v>0</v>
      </c>
      <c r="D100" s="641">
        <v>0</v>
      </c>
      <c r="E100" s="641">
        <v>0</v>
      </c>
      <c r="F100" s="641">
        <v>0</v>
      </c>
      <c r="G100" s="641">
        <v>0</v>
      </c>
      <c r="H100" s="641">
        <v>0</v>
      </c>
      <c r="I100" s="641">
        <v>0</v>
      </c>
      <c r="J100" s="641">
        <v>0</v>
      </c>
      <c r="K100" s="641">
        <v>0</v>
      </c>
      <c r="L100" s="641">
        <v>0</v>
      </c>
      <c r="M100" s="641">
        <v>0</v>
      </c>
      <c r="N100" s="641">
        <v>0</v>
      </c>
      <c r="O100" s="641">
        <v>0</v>
      </c>
      <c r="P100" s="641">
        <v>0</v>
      </c>
      <c r="Q100" s="641">
        <v>0</v>
      </c>
      <c r="R100" s="641">
        <v>0</v>
      </c>
      <c r="S100" s="641">
        <v>0</v>
      </c>
      <c r="T100" s="641">
        <v>0</v>
      </c>
      <c r="U100" s="641">
        <v>0</v>
      </c>
    </row>
    <row r="101" spans="1:21">
      <c r="A101" s="1" t="s">
        <v>7</v>
      </c>
      <c r="B101" s="756"/>
      <c r="C101" s="641">
        <v>0</v>
      </c>
      <c r="D101" s="641">
        <v>0</v>
      </c>
      <c r="E101" s="641">
        <v>0</v>
      </c>
      <c r="F101" s="641">
        <v>0</v>
      </c>
      <c r="G101" s="641">
        <v>0</v>
      </c>
      <c r="H101" s="641">
        <v>0</v>
      </c>
      <c r="I101" s="641">
        <v>0</v>
      </c>
      <c r="J101" s="641">
        <v>0</v>
      </c>
      <c r="K101" s="641">
        <v>0</v>
      </c>
      <c r="L101" s="641">
        <v>0</v>
      </c>
      <c r="M101" s="641">
        <v>0</v>
      </c>
      <c r="N101" s="641">
        <v>0</v>
      </c>
      <c r="O101" s="641">
        <v>0</v>
      </c>
      <c r="P101" s="641">
        <v>0</v>
      </c>
      <c r="Q101" s="641">
        <v>0</v>
      </c>
      <c r="R101" s="641">
        <v>0</v>
      </c>
      <c r="S101" s="641">
        <v>0</v>
      </c>
      <c r="T101" s="641">
        <v>0</v>
      </c>
      <c r="U101" s="641">
        <v>0</v>
      </c>
    </row>
    <row r="102" spans="1:21">
      <c r="A102" s="4" t="s">
        <v>815</v>
      </c>
      <c r="B102" s="757"/>
      <c r="C102" s="689">
        <v>2000</v>
      </c>
      <c r="D102" s="689">
        <v>2000</v>
      </c>
      <c r="E102" s="689">
        <v>2000</v>
      </c>
      <c r="F102" s="689">
        <v>2000</v>
      </c>
      <c r="G102" s="689">
        <v>2000</v>
      </c>
      <c r="H102" s="689">
        <v>2000</v>
      </c>
      <c r="I102" s="689">
        <v>2000</v>
      </c>
      <c r="J102" s="689">
        <v>2000</v>
      </c>
      <c r="K102" s="689">
        <v>2000</v>
      </c>
      <c r="L102" s="689">
        <v>2000</v>
      </c>
      <c r="M102" s="689">
        <v>2000</v>
      </c>
      <c r="N102" s="689">
        <v>2000</v>
      </c>
      <c r="O102" s="689">
        <v>2000</v>
      </c>
      <c r="P102" s="689">
        <v>2000</v>
      </c>
      <c r="Q102" s="689">
        <v>2000</v>
      </c>
      <c r="R102" s="689">
        <v>2000</v>
      </c>
      <c r="S102" s="689">
        <v>2000</v>
      </c>
      <c r="T102" s="689">
        <v>2000</v>
      </c>
      <c r="U102" s="689">
        <v>2000</v>
      </c>
    </row>
    <row r="103" spans="1:21">
      <c r="A103" s="4" t="s">
        <v>566</v>
      </c>
      <c r="B103" s="757"/>
      <c r="C103" s="689">
        <v>877</v>
      </c>
      <c r="D103" s="689">
        <v>877</v>
      </c>
      <c r="E103" s="689">
        <v>877</v>
      </c>
      <c r="F103" s="689">
        <v>877</v>
      </c>
      <c r="G103" s="689">
        <v>877</v>
      </c>
      <c r="H103" s="689">
        <v>877</v>
      </c>
      <c r="I103" s="689">
        <v>5000877</v>
      </c>
      <c r="J103" s="689">
        <v>877</v>
      </c>
      <c r="K103" s="689">
        <v>877</v>
      </c>
      <c r="L103" s="689">
        <v>877</v>
      </c>
      <c r="M103" s="689">
        <v>877</v>
      </c>
      <c r="N103" s="689">
        <v>877</v>
      </c>
      <c r="O103" s="689">
        <v>877</v>
      </c>
      <c r="P103" s="689">
        <v>877</v>
      </c>
      <c r="Q103" s="689">
        <v>877</v>
      </c>
      <c r="R103" s="689">
        <v>877</v>
      </c>
      <c r="S103" s="689">
        <v>877</v>
      </c>
      <c r="T103" s="689">
        <v>877</v>
      </c>
      <c r="U103" s="689">
        <v>877</v>
      </c>
    </row>
    <row r="104" spans="1:21">
      <c r="A104" s="4" t="s">
        <v>567</v>
      </c>
      <c r="B104" s="757"/>
      <c r="C104" s="689">
        <v>1345</v>
      </c>
      <c r="D104" s="689">
        <v>1345</v>
      </c>
      <c r="E104" s="689">
        <v>1345</v>
      </c>
      <c r="F104" s="689">
        <v>1345</v>
      </c>
      <c r="G104" s="689">
        <v>1345</v>
      </c>
      <c r="H104" s="689">
        <v>1345</v>
      </c>
      <c r="I104" s="689">
        <v>1345</v>
      </c>
      <c r="J104" s="689">
        <v>1345</v>
      </c>
      <c r="K104" s="689">
        <v>1345</v>
      </c>
      <c r="L104" s="689">
        <v>1345</v>
      </c>
      <c r="M104" s="689">
        <v>1345</v>
      </c>
      <c r="N104" s="689">
        <v>1345</v>
      </c>
      <c r="O104" s="689">
        <v>1345</v>
      </c>
      <c r="P104" s="689">
        <v>1345</v>
      </c>
      <c r="Q104" s="689">
        <v>1345</v>
      </c>
      <c r="R104" s="689">
        <v>1345</v>
      </c>
      <c r="S104" s="689">
        <v>1345</v>
      </c>
      <c r="T104" s="689">
        <v>1345</v>
      </c>
      <c r="U104" s="689">
        <v>1345</v>
      </c>
    </row>
    <row r="105" spans="1:21">
      <c r="A105" s="4" t="s">
        <v>568</v>
      </c>
      <c r="B105" s="757"/>
      <c r="C105" s="689">
        <v>3500</v>
      </c>
      <c r="D105" s="689">
        <v>3500</v>
      </c>
      <c r="E105" s="689">
        <v>3500</v>
      </c>
      <c r="F105" s="689">
        <v>3500</v>
      </c>
      <c r="G105" s="689">
        <v>3500</v>
      </c>
      <c r="H105" s="689">
        <v>3500</v>
      </c>
      <c r="I105" s="689">
        <v>3500</v>
      </c>
      <c r="J105" s="689">
        <v>3500</v>
      </c>
      <c r="K105" s="689">
        <v>3500</v>
      </c>
      <c r="L105" s="689">
        <v>3500</v>
      </c>
      <c r="M105" s="689">
        <v>3500</v>
      </c>
      <c r="N105" s="689">
        <v>3500</v>
      </c>
      <c r="O105" s="689">
        <v>3500</v>
      </c>
      <c r="P105" s="689">
        <v>3500</v>
      </c>
      <c r="Q105" s="689">
        <v>3500</v>
      </c>
      <c r="R105" s="689">
        <v>3500</v>
      </c>
      <c r="S105" s="689">
        <v>3500</v>
      </c>
      <c r="T105" s="689">
        <v>3500</v>
      </c>
      <c r="U105" s="689">
        <v>3500</v>
      </c>
    </row>
    <row r="106" spans="1:21">
      <c r="A106" s="4" t="s">
        <v>10</v>
      </c>
      <c r="B106" s="757"/>
      <c r="C106" s="689">
        <v>0</v>
      </c>
      <c r="D106" s="689">
        <v>0</v>
      </c>
      <c r="E106" s="689">
        <v>0</v>
      </c>
      <c r="F106" s="689">
        <v>0</v>
      </c>
      <c r="G106" s="689">
        <v>0</v>
      </c>
      <c r="H106" s="689">
        <v>1200000</v>
      </c>
      <c r="I106" s="689">
        <v>3050000</v>
      </c>
      <c r="J106" s="689">
        <v>0</v>
      </c>
      <c r="K106" s="689">
        <v>7000000</v>
      </c>
      <c r="L106" s="689">
        <v>10500000</v>
      </c>
      <c r="M106" s="689">
        <v>15000000</v>
      </c>
      <c r="N106" s="689">
        <v>23070000</v>
      </c>
      <c r="O106" s="689">
        <v>22400000</v>
      </c>
      <c r="P106" s="689">
        <v>31000000</v>
      </c>
      <c r="Q106" s="689">
        <v>35450000</v>
      </c>
      <c r="R106" s="689">
        <v>31000000</v>
      </c>
      <c r="S106" s="689">
        <v>36000000</v>
      </c>
      <c r="T106" s="689">
        <v>42000000</v>
      </c>
      <c r="U106" s="689">
        <v>36500000</v>
      </c>
    </row>
    <row r="107" spans="1:21">
      <c r="A107" s="4"/>
      <c r="B107" s="757"/>
      <c r="C107" s="689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</row>
    <row r="108" spans="1:21" ht="16.2" thickBot="1">
      <c r="A108" s="737"/>
      <c r="B108" s="738"/>
      <c r="C108" s="848">
        <v>997972</v>
      </c>
      <c r="D108" s="848">
        <v>1092972</v>
      </c>
      <c r="E108" s="848">
        <v>1592972</v>
      </c>
      <c r="F108" s="848">
        <v>2098472</v>
      </c>
      <c r="G108" s="848">
        <v>40460062</v>
      </c>
      <c r="H108" s="848">
        <v>2785562</v>
      </c>
      <c r="I108" s="848">
        <v>42654671</v>
      </c>
      <c r="J108" s="848">
        <v>3276362</v>
      </c>
      <c r="K108" s="848">
        <v>24549357</v>
      </c>
      <c r="L108" s="848">
        <v>16163440</v>
      </c>
      <c r="M108" s="848">
        <v>29669880</v>
      </c>
      <c r="N108" s="848">
        <v>39613420</v>
      </c>
      <c r="O108" s="848">
        <v>38033420</v>
      </c>
      <c r="P108" s="848">
        <v>57344040</v>
      </c>
      <c r="Q108" s="848">
        <v>61910040</v>
      </c>
      <c r="R108" s="848">
        <v>67783290</v>
      </c>
      <c r="S108" s="848">
        <v>50406519</v>
      </c>
      <c r="T108" s="848">
        <v>89921349</v>
      </c>
      <c r="U108" s="848">
        <v>39569040</v>
      </c>
    </row>
    <row r="109" spans="1:21">
      <c r="A109" s="5"/>
      <c r="B109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685"/>
      <c r="Q109" s="685"/>
      <c r="R109" s="685"/>
      <c r="S109" s="685"/>
      <c r="T109" s="685"/>
      <c r="U109" s="685"/>
    </row>
    <row r="110" spans="1:21">
      <c r="A110" s="5"/>
      <c r="B110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685"/>
      <c r="Q110" s="685"/>
      <c r="R110" s="685"/>
      <c r="S110" s="685"/>
      <c r="T110" s="685"/>
      <c r="U110" s="685"/>
    </row>
    <row r="111" spans="1:21">
      <c r="A111" s="754" t="s">
        <v>3</v>
      </c>
      <c r="B111" s="755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90"/>
      <c r="P111" s="690"/>
      <c r="Q111" s="690"/>
      <c r="R111" s="690"/>
      <c r="S111" s="690"/>
      <c r="T111" s="690"/>
      <c r="U111" s="690"/>
    </row>
    <row r="112" spans="1:21">
      <c r="A112" s="28" t="s">
        <v>223</v>
      </c>
      <c r="B112" s="747" t="s">
        <v>282</v>
      </c>
      <c r="C112" s="855">
        <v>77984</v>
      </c>
      <c r="D112" s="855">
        <v>77984</v>
      </c>
      <c r="E112" s="855">
        <v>77984</v>
      </c>
      <c r="F112" s="855">
        <v>77984</v>
      </c>
      <c r="G112" s="855">
        <v>77984</v>
      </c>
      <c r="H112" s="855">
        <v>77984</v>
      </c>
      <c r="I112" s="855">
        <v>77984</v>
      </c>
      <c r="J112" s="855">
        <v>77984</v>
      </c>
      <c r="K112" s="855">
        <v>93484</v>
      </c>
      <c r="L112" s="855">
        <v>93484</v>
      </c>
      <c r="M112" s="855">
        <v>113484</v>
      </c>
      <c r="N112" s="855">
        <v>113484</v>
      </c>
      <c r="O112" s="855">
        <v>113484</v>
      </c>
      <c r="P112" s="855">
        <v>113484</v>
      </c>
      <c r="Q112" s="855">
        <v>113484</v>
      </c>
      <c r="R112" s="855">
        <v>113484</v>
      </c>
      <c r="S112" s="855">
        <v>113484</v>
      </c>
      <c r="T112" s="855">
        <v>113484</v>
      </c>
      <c r="U112" s="855">
        <v>113484</v>
      </c>
    </row>
    <row r="113" spans="1:21">
      <c r="A113" s="28" t="s">
        <v>764</v>
      </c>
      <c r="B113" s="747"/>
      <c r="C113" s="855">
        <v>5606585</v>
      </c>
      <c r="D113" s="855">
        <v>21765085</v>
      </c>
      <c r="E113" s="855">
        <v>110002743</v>
      </c>
      <c r="F113" s="855">
        <v>60622226</v>
      </c>
      <c r="G113" s="855">
        <v>58184946</v>
      </c>
      <c r="H113" s="855">
        <v>20161161</v>
      </c>
      <c r="I113" s="855">
        <v>42780050</v>
      </c>
      <c r="J113" s="855">
        <v>122142130</v>
      </c>
      <c r="K113" s="855">
        <v>8365543</v>
      </c>
      <c r="L113" s="855">
        <v>5074355</v>
      </c>
      <c r="M113" s="855">
        <v>5887325</v>
      </c>
      <c r="N113" s="855">
        <v>62667825</v>
      </c>
      <c r="O113" s="855">
        <v>27002625</v>
      </c>
      <c r="P113" s="855">
        <v>72424375</v>
      </c>
      <c r="Q113" s="855">
        <v>34532055</v>
      </c>
      <c r="R113" s="855">
        <v>110041385</v>
      </c>
      <c r="S113" s="855">
        <v>55395058</v>
      </c>
      <c r="T113" s="855">
        <v>20337683</v>
      </c>
      <c r="U113" s="855">
        <v>14337503</v>
      </c>
    </row>
    <row r="114" spans="1:21">
      <c r="A114" s="1161" t="s">
        <v>765</v>
      </c>
      <c r="B114" s="747"/>
      <c r="C114" s="855"/>
      <c r="D114" s="855"/>
      <c r="E114" s="855"/>
      <c r="F114" s="855"/>
      <c r="G114" s="855"/>
      <c r="H114" s="855"/>
      <c r="I114" s="855"/>
      <c r="J114" s="855"/>
      <c r="K114" s="855"/>
      <c r="L114" s="855"/>
      <c r="M114" s="855"/>
      <c r="N114" s="855"/>
      <c r="O114" s="855"/>
      <c r="P114" s="855"/>
      <c r="Q114" s="855"/>
      <c r="R114" s="855"/>
      <c r="S114" s="855"/>
      <c r="T114" s="855"/>
      <c r="U114" s="855"/>
    </row>
    <row r="115" spans="1:21">
      <c r="A115" s="1161" t="s">
        <v>854</v>
      </c>
      <c r="B115" s="747"/>
      <c r="C115" s="855"/>
      <c r="D115" s="855"/>
      <c r="E115" s="855"/>
      <c r="F115" s="855"/>
      <c r="G115" s="855"/>
      <c r="H115" s="855"/>
      <c r="I115" s="855"/>
      <c r="J115" s="855"/>
      <c r="K115" s="855"/>
      <c r="L115" s="855"/>
      <c r="M115" s="855"/>
      <c r="N115" s="855"/>
      <c r="O115" s="855"/>
      <c r="P115" s="855"/>
      <c r="Q115" s="855"/>
      <c r="R115" s="855"/>
      <c r="S115" s="855"/>
      <c r="T115" s="855"/>
      <c r="U115" s="855"/>
    </row>
    <row r="116" spans="1:21">
      <c r="A116" s="28" t="s">
        <v>832</v>
      </c>
      <c r="B116" s="747"/>
      <c r="C116" s="855">
        <v>53000</v>
      </c>
      <c r="D116" s="855">
        <v>53000</v>
      </c>
      <c r="E116" s="855">
        <v>53000</v>
      </c>
      <c r="F116" s="855">
        <v>53000</v>
      </c>
      <c r="G116" s="855">
        <v>53000</v>
      </c>
      <c r="H116" s="855">
        <v>53000</v>
      </c>
      <c r="I116" s="855">
        <v>10053000</v>
      </c>
      <c r="J116" s="855">
        <v>53000</v>
      </c>
      <c r="K116" s="855">
        <v>53000</v>
      </c>
      <c r="L116" s="855">
        <v>53000</v>
      </c>
      <c r="M116" s="855">
        <v>53000</v>
      </c>
      <c r="N116" s="855">
        <v>53000</v>
      </c>
      <c r="O116" s="855">
        <v>53000</v>
      </c>
      <c r="P116" s="855">
        <v>53000</v>
      </c>
      <c r="Q116" s="855">
        <v>53000</v>
      </c>
      <c r="R116" s="855">
        <v>53000</v>
      </c>
      <c r="S116" s="855">
        <v>53000</v>
      </c>
      <c r="T116" s="855">
        <v>53000</v>
      </c>
      <c r="U116" s="855">
        <v>53000</v>
      </c>
    </row>
    <row r="117" spans="1:21">
      <c r="A117" s="1" t="s">
        <v>5</v>
      </c>
      <c r="B117" s="756"/>
      <c r="C117" s="641">
        <v>0</v>
      </c>
      <c r="D117" s="641">
        <v>0</v>
      </c>
      <c r="E117" s="641">
        <v>0</v>
      </c>
      <c r="F117" s="641">
        <v>0</v>
      </c>
      <c r="G117" s="641">
        <v>0</v>
      </c>
      <c r="H117" s="641">
        <v>0</v>
      </c>
      <c r="I117" s="641">
        <v>0</v>
      </c>
      <c r="J117" s="641">
        <v>0</v>
      </c>
      <c r="K117" s="641">
        <v>0</v>
      </c>
      <c r="L117" s="641">
        <v>0</v>
      </c>
      <c r="M117" s="641">
        <v>0</v>
      </c>
      <c r="N117" s="641">
        <v>0</v>
      </c>
      <c r="O117" s="641">
        <v>0</v>
      </c>
      <c r="P117" s="641">
        <v>0</v>
      </c>
      <c r="Q117" s="641">
        <v>0</v>
      </c>
      <c r="R117" s="641">
        <v>0</v>
      </c>
      <c r="S117" s="641">
        <v>0</v>
      </c>
      <c r="T117" s="641">
        <v>0</v>
      </c>
      <c r="U117" s="641">
        <v>0</v>
      </c>
    </row>
    <row r="118" spans="1:21">
      <c r="A118" s="1" t="s">
        <v>6</v>
      </c>
      <c r="B118" s="756"/>
      <c r="C118" s="641">
        <v>0</v>
      </c>
      <c r="D118" s="641">
        <v>0</v>
      </c>
      <c r="E118" s="641">
        <v>0</v>
      </c>
      <c r="F118" s="641">
        <v>0</v>
      </c>
      <c r="G118" s="641">
        <v>0</v>
      </c>
      <c r="H118" s="641">
        <v>0</v>
      </c>
      <c r="I118" s="641">
        <v>0</v>
      </c>
      <c r="J118" s="641">
        <v>0</v>
      </c>
      <c r="K118" s="641">
        <v>0</v>
      </c>
      <c r="L118" s="641">
        <v>0</v>
      </c>
      <c r="M118" s="641">
        <v>0</v>
      </c>
      <c r="N118" s="641">
        <v>0</v>
      </c>
      <c r="O118" s="641">
        <v>0</v>
      </c>
      <c r="P118" s="641">
        <v>0</v>
      </c>
      <c r="Q118" s="641">
        <v>0</v>
      </c>
      <c r="R118" s="641">
        <v>0</v>
      </c>
      <c r="S118" s="641">
        <v>0</v>
      </c>
      <c r="T118" s="641">
        <v>0</v>
      </c>
      <c r="U118" s="641">
        <v>0</v>
      </c>
    </row>
    <row r="119" spans="1:21">
      <c r="A119" s="1" t="s">
        <v>7</v>
      </c>
      <c r="B119" s="756"/>
      <c r="C119" s="641">
        <v>0</v>
      </c>
      <c r="D119" s="641">
        <v>0</v>
      </c>
      <c r="E119" s="641">
        <v>0</v>
      </c>
      <c r="F119" s="641">
        <v>0</v>
      </c>
      <c r="G119" s="641">
        <v>0</v>
      </c>
      <c r="H119" s="641">
        <v>0</v>
      </c>
      <c r="I119" s="641">
        <v>0</v>
      </c>
      <c r="J119" s="641">
        <v>0</v>
      </c>
      <c r="K119" s="641">
        <v>0</v>
      </c>
      <c r="L119" s="641">
        <v>0</v>
      </c>
      <c r="M119" s="641">
        <v>0</v>
      </c>
      <c r="N119" s="641">
        <v>0</v>
      </c>
      <c r="O119" s="641">
        <v>0</v>
      </c>
      <c r="P119" s="641">
        <v>0</v>
      </c>
      <c r="Q119" s="641">
        <v>0</v>
      </c>
      <c r="R119" s="641">
        <v>0</v>
      </c>
      <c r="S119" s="641">
        <v>0</v>
      </c>
      <c r="T119" s="641">
        <v>0</v>
      </c>
      <c r="U119" s="641">
        <v>0</v>
      </c>
    </row>
    <row r="120" spans="1:21">
      <c r="A120" s="1"/>
      <c r="B120" s="756"/>
      <c r="C120" s="641">
        <v>0</v>
      </c>
      <c r="D120" s="641">
        <v>0</v>
      </c>
      <c r="E120" s="641">
        <v>0</v>
      </c>
      <c r="F120" s="641">
        <v>0</v>
      </c>
      <c r="G120" s="641">
        <v>0</v>
      </c>
      <c r="H120" s="641">
        <v>0</v>
      </c>
      <c r="I120" s="641">
        <v>0</v>
      </c>
      <c r="J120" s="641">
        <v>0</v>
      </c>
      <c r="K120" s="641">
        <v>0</v>
      </c>
      <c r="L120" s="641">
        <v>0</v>
      </c>
      <c r="M120" s="641">
        <v>0</v>
      </c>
      <c r="N120" s="641">
        <v>0</v>
      </c>
      <c r="O120" s="641">
        <v>0</v>
      </c>
      <c r="P120" s="641">
        <v>0</v>
      </c>
      <c r="Q120" s="641">
        <v>0</v>
      </c>
      <c r="R120" s="641">
        <v>0</v>
      </c>
      <c r="S120" s="641">
        <v>0</v>
      </c>
      <c r="T120" s="641">
        <v>0</v>
      </c>
      <c r="U120" s="641">
        <v>0</v>
      </c>
    </row>
    <row r="121" spans="1:21">
      <c r="A121" s="1"/>
      <c r="B121" s="736"/>
      <c r="C121" s="641"/>
      <c r="D121" s="641"/>
      <c r="E121" s="641"/>
      <c r="F121" s="641"/>
      <c r="G121" s="641"/>
      <c r="H121" s="641"/>
      <c r="I121" s="641"/>
      <c r="J121" s="641"/>
      <c r="K121" s="641"/>
      <c r="L121" s="641"/>
      <c r="M121" s="641"/>
      <c r="N121" s="641"/>
      <c r="O121" s="641"/>
      <c r="P121" s="641"/>
      <c r="Q121" s="641"/>
      <c r="R121" s="641"/>
      <c r="S121" s="641"/>
      <c r="T121" s="641"/>
      <c r="U121" s="641"/>
    </row>
    <row r="122" spans="1:21" ht="15.6">
      <c r="A122" s="1"/>
      <c r="B122" s="736"/>
      <c r="C122" s="863">
        <v>5737569</v>
      </c>
      <c r="D122" s="863">
        <v>21896069</v>
      </c>
      <c r="E122" s="863">
        <v>110133727</v>
      </c>
      <c r="F122" s="863">
        <v>60753210</v>
      </c>
      <c r="G122" s="863">
        <v>58315930</v>
      </c>
      <c r="H122" s="863">
        <v>20292145</v>
      </c>
      <c r="I122" s="863">
        <v>52911034</v>
      </c>
      <c r="J122" s="863">
        <v>122273114</v>
      </c>
      <c r="K122" s="863">
        <v>8512027</v>
      </c>
      <c r="L122" s="863">
        <v>5220839</v>
      </c>
      <c r="M122" s="863">
        <v>6053809</v>
      </c>
      <c r="N122" s="863">
        <v>62834309</v>
      </c>
      <c r="O122" s="863">
        <v>27169109</v>
      </c>
      <c r="P122" s="863">
        <v>72590859</v>
      </c>
      <c r="Q122" s="863">
        <v>34698539</v>
      </c>
      <c r="R122" s="863">
        <v>110207869</v>
      </c>
      <c r="S122" s="863">
        <v>55561542</v>
      </c>
      <c r="T122" s="863">
        <v>20504167</v>
      </c>
      <c r="U122" s="863">
        <v>14503987</v>
      </c>
    </row>
    <row r="123" spans="1:21">
      <c r="A123" s="4"/>
      <c r="B123" s="15"/>
      <c r="C123" s="865"/>
      <c r="D123" s="865"/>
      <c r="E123" s="865"/>
      <c r="F123" s="865"/>
      <c r="G123" s="865"/>
      <c r="H123" s="865"/>
      <c r="I123" s="865"/>
      <c r="J123" s="865"/>
      <c r="K123" s="865"/>
      <c r="L123" s="865"/>
      <c r="M123" s="865"/>
      <c r="N123" s="865"/>
      <c r="O123" s="865"/>
      <c r="P123" s="865"/>
      <c r="Q123" s="865"/>
      <c r="R123" s="865"/>
      <c r="S123" s="865"/>
      <c r="T123" s="865"/>
      <c r="U123" s="865"/>
    </row>
    <row r="124" spans="1:21">
      <c r="A124" s="5"/>
      <c r="B124"/>
      <c r="C124" s="864"/>
      <c r="D124" s="864"/>
      <c r="E124" s="864"/>
      <c r="F124" s="864"/>
      <c r="G124" s="864"/>
      <c r="H124" s="864"/>
      <c r="I124" s="864"/>
      <c r="J124" s="864"/>
      <c r="K124" s="864"/>
      <c r="L124" s="864"/>
      <c r="M124" s="864"/>
      <c r="N124" s="864"/>
      <c r="O124" s="864"/>
      <c r="P124" s="864"/>
      <c r="Q124" s="864"/>
      <c r="R124" s="864"/>
      <c r="S124" s="864"/>
      <c r="T124" s="864"/>
      <c r="U124" s="864"/>
    </row>
    <row r="125" spans="1:21" s="688" customFormat="1" ht="21">
      <c r="A125" s="1449" t="s">
        <v>226</v>
      </c>
      <c r="B125" s="1446"/>
      <c r="C125" s="850">
        <v>125820327</v>
      </c>
      <c r="D125" s="850">
        <v>57922451</v>
      </c>
      <c r="E125" s="850">
        <v>144772948</v>
      </c>
      <c r="F125" s="850">
        <v>91951119</v>
      </c>
      <c r="G125" s="850">
        <v>129440116</v>
      </c>
      <c r="H125" s="850">
        <v>56137081</v>
      </c>
      <c r="I125" s="850">
        <v>141521104</v>
      </c>
      <c r="J125" s="850">
        <v>157664484</v>
      </c>
      <c r="K125" s="850">
        <v>66618755</v>
      </c>
      <c r="L125" s="850">
        <v>50349349</v>
      </c>
      <c r="M125" s="850">
        <v>64440182</v>
      </c>
      <c r="N125" s="850">
        <v>133030710</v>
      </c>
      <c r="O125" s="850">
        <v>95940222</v>
      </c>
      <c r="P125" s="850">
        <v>156777134</v>
      </c>
      <c r="Q125" s="850">
        <v>124055586</v>
      </c>
      <c r="R125" s="850">
        <v>210179799</v>
      </c>
      <c r="S125" s="850">
        <v>136955561</v>
      </c>
      <c r="T125" s="850">
        <v>141821598</v>
      </c>
      <c r="U125" s="850">
        <v>231949422</v>
      </c>
    </row>
    <row r="126" spans="1:21">
      <c r="A126" s="5"/>
      <c r="B126"/>
      <c r="C126" s="864"/>
      <c r="D126" s="864"/>
      <c r="E126" s="864"/>
      <c r="F126" s="864"/>
      <c r="G126" s="864"/>
      <c r="H126" s="864"/>
      <c r="I126" s="864"/>
      <c r="J126" s="864"/>
      <c r="K126" s="864"/>
      <c r="L126" s="864"/>
      <c r="M126" s="864"/>
      <c r="N126" s="864"/>
      <c r="O126" s="864"/>
      <c r="P126" s="864"/>
      <c r="Q126" s="864"/>
      <c r="R126" s="864"/>
      <c r="S126" s="864"/>
      <c r="T126" s="864"/>
      <c r="U126" s="864"/>
    </row>
    <row r="127" spans="1:21" ht="16.2" thickBot="1">
      <c r="A127" s="758"/>
      <c r="B127" s="759"/>
      <c r="C127" s="866"/>
      <c r="D127" s="866"/>
      <c r="E127" s="866"/>
      <c r="F127" s="866"/>
      <c r="G127" s="866"/>
      <c r="H127" s="866"/>
      <c r="I127" s="866"/>
      <c r="J127" s="866"/>
      <c r="K127" s="866"/>
      <c r="L127" s="866"/>
      <c r="M127" s="866"/>
      <c r="N127" s="866"/>
      <c r="O127" s="866"/>
      <c r="P127" s="866"/>
      <c r="Q127" s="866"/>
      <c r="R127" s="866"/>
      <c r="S127" s="866"/>
      <c r="T127" s="866"/>
      <c r="U127" s="866"/>
    </row>
    <row r="128" spans="1:21" ht="15" thickTop="1">
      <c r="A128" s="5"/>
      <c r="B128"/>
      <c r="C128" s="864"/>
      <c r="D128" s="864"/>
      <c r="E128" s="864"/>
      <c r="F128" s="864"/>
      <c r="G128" s="864"/>
      <c r="H128" s="864"/>
      <c r="I128" s="864"/>
      <c r="J128" s="864"/>
      <c r="K128" s="864"/>
      <c r="L128" s="864"/>
      <c r="M128" s="864"/>
      <c r="N128" s="864"/>
      <c r="O128" s="864"/>
      <c r="P128" s="864"/>
      <c r="Q128" s="864"/>
      <c r="R128" s="864"/>
      <c r="S128" s="864"/>
      <c r="T128" s="864"/>
      <c r="U128" s="864"/>
    </row>
    <row r="129" spans="1:21" s="691" customFormat="1" ht="21">
      <c r="A129" s="1442" t="s">
        <v>227</v>
      </c>
      <c r="B129" s="1443"/>
      <c r="C129" s="867">
        <v>267179827</v>
      </c>
      <c r="D129" s="867">
        <v>279806451</v>
      </c>
      <c r="E129" s="867">
        <v>279366948</v>
      </c>
      <c r="F129" s="867">
        <v>276668119</v>
      </c>
      <c r="G129" s="867">
        <v>277107116</v>
      </c>
      <c r="H129" s="867">
        <v>276429081</v>
      </c>
      <c r="I129" s="867">
        <v>276576104</v>
      </c>
      <c r="J129" s="867">
        <v>282526484</v>
      </c>
      <c r="K129" s="867">
        <v>276656755</v>
      </c>
      <c r="L129" s="867">
        <v>274159849</v>
      </c>
      <c r="M129" s="867">
        <v>276522182</v>
      </c>
      <c r="N129" s="867">
        <v>272091710</v>
      </c>
      <c r="O129" s="867">
        <v>275101222</v>
      </c>
      <c r="P129" s="867">
        <v>299915134</v>
      </c>
      <c r="Q129" s="867">
        <v>299070586</v>
      </c>
      <c r="R129" s="867">
        <v>302851799</v>
      </c>
      <c r="S129" s="867">
        <v>332599961</v>
      </c>
      <c r="T129" s="867">
        <v>331980598</v>
      </c>
      <c r="U129" s="867">
        <v>332274422</v>
      </c>
    </row>
    <row r="130" spans="1:21">
      <c r="A130" s="5"/>
      <c r="B130"/>
      <c r="C130" s="852"/>
      <c r="D130" s="852"/>
      <c r="E130" s="852"/>
      <c r="F130" s="852"/>
      <c r="G130" s="852"/>
      <c r="H130" s="852"/>
      <c r="I130" s="852"/>
      <c r="J130" s="852"/>
      <c r="K130" s="852"/>
      <c r="L130" s="852"/>
      <c r="M130" s="852"/>
      <c r="N130" s="852"/>
      <c r="O130" s="852"/>
      <c r="P130" s="852"/>
      <c r="Q130" s="852"/>
      <c r="R130" s="852"/>
      <c r="S130" s="852"/>
      <c r="T130" s="852"/>
      <c r="U130" s="852"/>
    </row>
    <row r="131" spans="1:21" ht="18">
      <c r="A131" s="754" t="s">
        <v>21</v>
      </c>
      <c r="B131" s="755"/>
      <c r="C131" s="692"/>
      <c r="D131" s="692"/>
      <c r="E131" s="692"/>
      <c r="F131" s="692"/>
      <c r="G131" s="692"/>
      <c r="H131" s="692"/>
      <c r="I131" s="692"/>
      <c r="J131" s="692"/>
      <c r="K131" s="692"/>
      <c r="L131" s="692"/>
      <c r="M131" s="692"/>
      <c r="N131" s="692"/>
      <c r="O131" s="692"/>
      <c r="P131" s="692"/>
      <c r="Q131" s="692"/>
      <c r="R131" s="692"/>
      <c r="S131" s="692"/>
      <c r="T131" s="692"/>
      <c r="U131" s="692"/>
    </row>
    <row r="132" spans="1:21">
      <c r="A132" s="1"/>
      <c r="B132" s="736"/>
      <c r="C132" s="641"/>
      <c r="D132" s="641"/>
      <c r="E132" s="641"/>
      <c r="F132" s="641"/>
      <c r="G132" s="641"/>
      <c r="H132" s="641"/>
      <c r="I132" s="641"/>
      <c r="J132" s="641"/>
      <c r="K132" s="641"/>
      <c r="L132" s="641"/>
      <c r="M132" s="641"/>
      <c r="N132" s="641"/>
      <c r="O132" s="641"/>
      <c r="P132" s="641"/>
      <c r="Q132" s="641"/>
      <c r="R132" s="641"/>
      <c r="S132" s="641"/>
      <c r="T132" s="641"/>
      <c r="U132" s="641"/>
    </row>
    <row r="133" spans="1:21">
      <c r="A133" s="4" t="s">
        <v>76</v>
      </c>
      <c r="B133" s="15"/>
      <c r="C133" s="689">
        <v>5000000</v>
      </c>
      <c r="D133" s="689">
        <v>5000000</v>
      </c>
      <c r="E133" s="689">
        <v>5000000</v>
      </c>
      <c r="F133" s="689">
        <v>5000000</v>
      </c>
      <c r="G133" s="689">
        <v>5000000</v>
      </c>
      <c r="H133" s="689">
        <v>5000000</v>
      </c>
      <c r="I133" s="689">
        <v>5000000</v>
      </c>
      <c r="J133" s="689">
        <v>5000000</v>
      </c>
      <c r="K133" s="689">
        <v>5000000</v>
      </c>
      <c r="L133" s="689">
        <v>5000000</v>
      </c>
      <c r="M133" s="689">
        <v>5000000</v>
      </c>
      <c r="N133" s="689">
        <v>5000000</v>
      </c>
      <c r="O133" s="689">
        <v>5000000</v>
      </c>
      <c r="P133" s="689">
        <v>5000000</v>
      </c>
      <c r="Q133" s="689">
        <v>5000000</v>
      </c>
      <c r="R133" s="689">
        <v>5000000</v>
      </c>
      <c r="S133" s="689">
        <v>5000000</v>
      </c>
      <c r="T133" s="689">
        <v>5000000</v>
      </c>
      <c r="U133" s="689">
        <v>5000000</v>
      </c>
    </row>
    <row r="134" spans="1:21">
      <c r="A134" s="4" t="s">
        <v>871</v>
      </c>
      <c r="B134" s="15"/>
      <c r="C134" s="1066">
        <v>0</v>
      </c>
      <c r="D134" s="1066">
        <v>0</v>
      </c>
      <c r="E134" s="693">
        <v>0</v>
      </c>
      <c r="F134" s="693">
        <v>250000</v>
      </c>
      <c r="G134" s="689"/>
      <c r="H134" s="689"/>
      <c r="I134" s="689"/>
      <c r="J134" s="689"/>
      <c r="K134" s="689"/>
      <c r="L134" s="689"/>
      <c r="M134" s="689"/>
      <c r="N134" s="689"/>
      <c r="O134" s="689"/>
      <c r="P134" s="689"/>
      <c r="Q134" s="689"/>
      <c r="R134" s="689"/>
      <c r="S134" s="689"/>
      <c r="T134" s="689"/>
      <c r="U134" s="689"/>
    </row>
    <row r="135" spans="1:21">
      <c r="A135" s="4" t="s">
        <v>120</v>
      </c>
      <c r="B135" s="15"/>
      <c r="C135" s="1066">
        <v>3650000</v>
      </c>
      <c r="D135" s="1066">
        <v>3650000</v>
      </c>
      <c r="E135" s="693">
        <v>3650000</v>
      </c>
      <c r="F135" s="1066">
        <v>4650000</v>
      </c>
      <c r="G135" s="1066">
        <v>4650000</v>
      </c>
      <c r="H135" s="1066">
        <v>4650000</v>
      </c>
      <c r="I135" s="1066">
        <v>4650000</v>
      </c>
      <c r="J135" s="1066">
        <v>4650000</v>
      </c>
      <c r="K135" s="1066">
        <v>4650000</v>
      </c>
      <c r="L135" s="1066">
        <v>4650000</v>
      </c>
      <c r="M135" s="1066">
        <v>4650000</v>
      </c>
      <c r="N135" s="1066">
        <v>4650000</v>
      </c>
      <c r="O135" s="693">
        <v>4650000</v>
      </c>
      <c r="P135" s="1066">
        <v>4500000</v>
      </c>
      <c r="Q135" s="1066">
        <v>4500000</v>
      </c>
      <c r="R135" s="1066">
        <v>4500000</v>
      </c>
      <c r="S135" s="1066">
        <v>4500000</v>
      </c>
      <c r="T135" s="1066">
        <v>4500000</v>
      </c>
      <c r="U135" s="1066">
        <v>4500000</v>
      </c>
    </row>
    <row r="136" spans="1:21">
      <c r="A136" s="4" t="s">
        <v>842</v>
      </c>
      <c r="B136" s="15"/>
      <c r="C136" s="1066">
        <v>2000000</v>
      </c>
      <c r="D136" s="1066">
        <v>2000000</v>
      </c>
      <c r="E136" s="1066">
        <v>2000000</v>
      </c>
      <c r="F136" s="1066">
        <v>2000000</v>
      </c>
      <c r="G136" s="1066">
        <v>2000000</v>
      </c>
      <c r="H136" s="1066">
        <v>2000000</v>
      </c>
      <c r="I136" s="1066">
        <v>2000000</v>
      </c>
      <c r="J136" s="1066">
        <v>2000000</v>
      </c>
      <c r="K136" s="1066">
        <v>2000000</v>
      </c>
      <c r="L136" s="1066">
        <v>2000000</v>
      </c>
      <c r="M136" s="1066">
        <v>2000000</v>
      </c>
      <c r="N136" s="1066">
        <v>2000000</v>
      </c>
      <c r="O136" s="1066">
        <v>2000000</v>
      </c>
      <c r="P136" s="1066">
        <v>2000000</v>
      </c>
      <c r="Q136" s="1066">
        <v>2000000</v>
      </c>
      <c r="R136" s="693">
        <v>2000000</v>
      </c>
      <c r="S136" s="1066">
        <v>0</v>
      </c>
      <c r="T136" s="1066">
        <v>0</v>
      </c>
      <c r="U136" s="1066">
        <v>0</v>
      </c>
    </row>
    <row r="137" spans="1:21">
      <c r="A137" s="4" t="s">
        <v>186</v>
      </c>
      <c r="B137" s="15"/>
      <c r="C137" s="689">
        <v>679000</v>
      </c>
      <c r="D137" s="689">
        <v>679000</v>
      </c>
      <c r="E137" s="689">
        <v>679000</v>
      </c>
      <c r="F137" s="689">
        <v>679000</v>
      </c>
      <c r="G137" s="689">
        <v>679000</v>
      </c>
      <c r="H137" s="689">
        <v>679000</v>
      </c>
      <c r="I137" s="689">
        <v>679000</v>
      </c>
      <c r="J137" s="689">
        <v>679000</v>
      </c>
      <c r="K137" s="689">
        <v>679000</v>
      </c>
      <c r="L137" s="689">
        <v>679000</v>
      </c>
      <c r="M137" s="689">
        <v>679000</v>
      </c>
      <c r="N137" s="689">
        <v>679000</v>
      </c>
      <c r="O137" s="689">
        <v>679000</v>
      </c>
      <c r="P137" s="689">
        <v>679000</v>
      </c>
      <c r="Q137" s="689">
        <v>679000</v>
      </c>
      <c r="R137" s="689">
        <v>679000</v>
      </c>
      <c r="S137" s="689">
        <v>679000</v>
      </c>
      <c r="T137" s="689">
        <v>679000</v>
      </c>
      <c r="U137" s="689">
        <v>679000</v>
      </c>
    </row>
    <row r="138" spans="1:21">
      <c r="A138" s="4" t="s">
        <v>261</v>
      </c>
      <c r="B138" s="15"/>
      <c r="C138" s="689">
        <v>200000</v>
      </c>
      <c r="D138" s="689">
        <v>200000</v>
      </c>
      <c r="E138" s="689">
        <v>200000</v>
      </c>
      <c r="F138" s="689">
        <v>200000</v>
      </c>
      <c r="G138" s="689">
        <v>200000</v>
      </c>
      <c r="H138" s="689">
        <v>200000</v>
      </c>
      <c r="I138" s="689">
        <v>200000</v>
      </c>
      <c r="J138" s="689">
        <v>200000</v>
      </c>
      <c r="K138" s="689">
        <v>200000</v>
      </c>
      <c r="L138" s="689">
        <v>200000</v>
      </c>
      <c r="M138" s="689">
        <v>200000</v>
      </c>
      <c r="N138" s="689">
        <v>200000</v>
      </c>
      <c r="O138" s="689">
        <v>200000</v>
      </c>
      <c r="P138" s="689">
        <v>200000</v>
      </c>
      <c r="Q138" s="689">
        <v>200000</v>
      </c>
      <c r="R138" s="689">
        <v>200000</v>
      </c>
      <c r="S138" s="689">
        <v>200000</v>
      </c>
      <c r="T138" s="689">
        <v>200000</v>
      </c>
      <c r="U138" s="689">
        <v>200000</v>
      </c>
    </row>
    <row r="139" spans="1:21">
      <c r="A139" s="4" t="s">
        <v>669</v>
      </c>
      <c r="B139" s="15"/>
      <c r="C139" s="689">
        <v>55000</v>
      </c>
      <c r="D139" s="689">
        <v>55000</v>
      </c>
      <c r="E139" s="689">
        <v>55000</v>
      </c>
      <c r="F139" s="689">
        <v>55000</v>
      </c>
      <c r="G139" s="689">
        <v>55000</v>
      </c>
      <c r="H139" s="689">
        <v>55000</v>
      </c>
      <c r="I139" s="689">
        <v>55000</v>
      </c>
      <c r="J139" s="689">
        <v>55000</v>
      </c>
      <c r="K139" s="689">
        <v>55000</v>
      </c>
      <c r="L139" s="689">
        <v>55000</v>
      </c>
      <c r="M139" s="689">
        <v>55000</v>
      </c>
      <c r="N139" s="689">
        <v>55000</v>
      </c>
      <c r="O139" s="689">
        <v>55000</v>
      </c>
      <c r="P139" s="689">
        <v>55000</v>
      </c>
      <c r="Q139" s="689">
        <v>55000</v>
      </c>
      <c r="R139" s="689">
        <v>55000</v>
      </c>
      <c r="S139" s="689">
        <v>55000</v>
      </c>
      <c r="T139" s="689">
        <v>55000</v>
      </c>
      <c r="U139" s="689">
        <v>55000</v>
      </c>
    </row>
    <row r="140" spans="1:21">
      <c r="A140" s="4" t="s">
        <v>847</v>
      </c>
      <c r="B140" s="15"/>
      <c r="C140" s="1066">
        <v>0</v>
      </c>
      <c r="D140" s="1066">
        <v>0</v>
      </c>
      <c r="E140" s="1066">
        <v>0</v>
      </c>
      <c r="F140" s="1066">
        <v>0</v>
      </c>
      <c r="G140" s="1066">
        <v>0</v>
      </c>
      <c r="H140" s="1066">
        <v>0</v>
      </c>
      <c r="I140" s="1066">
        <v>0</v>
      </c>
      <c r="J140" s="1066">
        <v>0</v>
      </c>
      <c r="K140" s="1066">
        <v>0</v>
      </c>
      <c r="L140" s="1066">
        <v>0</v>
      </c>
      <c r="M140" s="1066">
        <v>0</v>
      </c>
      <c r="N140" s="1066">
        <v>0</v>
      </c>
      <c r="O140" s="693">
        <v>0</v>
      </c>
      <c r="P140" s="1066">
        <v>1000000</v>
      </c>
      <c r="Q140" s="693">
        <v>1000000</v>
      </c>
      <c r="R140" s="1066">
        <v>0</v>
      </c>
      <c r="S140" s="1066">
        <v>0</v>
      </c>
      <c r="T140" s="1066">
        <v>0</v>
      </c>
      <c r="U140" s="1066">
        <v>0</v>
      </c>
    </row>
    <row r="141" spans="1:21">
      <c r="A141" s="4" t="s">
        <v>736</v>
      </c>
      <c r="B141" s="15"/>
      <c r="C141" s="1066">
        <v>800000</v>
      </c>
      <c r="D141" s="1066">
        <v>800000</v>
      </c>
      <c r="E141" s="1066">
        <v>800000</v>
      </c>
      <c r="F141" s="1066">
        <v>800000</v>
      </c>
      <c r="G141" s="1066">
        <v>800000</v>
      </c>
      <c r="H141" s="1066">
        <v>800000</v>
      </c>
      <c r="I141" s="1066">
        <v>800000</v>
      </c>
      <c r="J141" s="1066">
        <v>800000</v>
      </c>
      <c r="K141" s="1066">
        <v>800000</v>
      </c>
      <c r="L141" s="1066">
        <v>800000</v>
      </c>
      <c r="M141" s="1066">
        <v>800000</v>
      </c>
      <c r="N141" s="693">
        <v>800000</v>
      </c>
      <c r="O141" s="1066">
        <v>600000</v>
      </c>
      <c r="P141" s="1066">
        <v>600000</v>
      </c>
      <c r="Q141" s="1066">
        <v>600000</v>
      </c>
      <c r="R141" s="1066">
        <v>600000</v>
      </c>
      <c r="S141" s="1066">
        <v>600000</v>
      </c>
      <c r="T141" s="1066">
        <v>600000</v>
      </c>
      <c r="U141" s="1066">
        <v>600000</v>
      </c>
    </row>
    <row r="142" spans="1:21">
      <c r="A142" s="1" t="s">
        <v>26</v>
      </c>
      <c r="B142" s="736"/>
      <c r="C142" s="641">
        <v>50000</v>
      </c>
      <c r="D142" s="641">
        <v>50000</v>
      </c>
      <c r="E142" s="641">
        <v>50000</v>
      </c>
      <c r="F142" s="641">
        <v>50000</v>
      </c>
      <c r="G142" s="641">
        <v>50000</v>
      </c>
      <c r="H142" s="641">
        <v>50000</v>
      </c>
      <c r="I142" s="641">
        <v>50000</v>
      </c>
      <c r="J142" s="641">
        <v>50000</v>
      </c>
      <c r="K142" s="641">
        <v>50000</v>
      </c>
      <c r="L142" s="641">
        <v>50000</v>
      </c>
      <c r="M142" s="641">
        <v>50000</v>
      </c>
      <c r="N142" s="641">
        <v>50000</v>
      </c>
      <c r="O142" s="641">
        <v>50000</v>
      </c>
      <c r="P142" s="641">
        <v>50000</v>
      </c>
      <c r="Q142" s="641">
        <v>50000</v>
      </c>
      <c r="R142" s="641">
        <v>50000</v>
      </c>
      <c r="S142" s="641">
        <v>50000</v>
      </c>
      <c r="T142" s="641">
        <v>50000</v>
      </c>
      <c r="U142" s="641">
        <v>50000</v>
      </c>
    </row>
    <row r="143" spans="1:21">
      <c r="A143" s="1" t="s">
        <v>713</v>
      </c>
      <c r="B143" s="736"/>
      <c r="C143" s="684">
        <v>0</v>
      </c>
      <c r="D143" s="1067">
        <v>440000</v>
      </c>
      <c r="E143" s="1067">
        <v>440000</v>
      </c>
      <c r="F143" s="1067">
        <v>440000</v>
      </c>
      <c r="G143" s="1067">
        <v>440000</v>
      </c>
      <c r="H143" s="1067">
        <v>440000</v>
      </c>
      <c r="I143" s="1067">
        <v>440000</v>
      </c>
      <c r="J143" s="684">
        <v>440000</v>
      </c>
      <c r="K143" s="1067">
        <v>250000</v>
      </c>
      <c r="L143" s="684">
        <v>250000</v>
      </c>
      <c r="M143" s="1067">
        <v>0</v>
      </c>
      <c r="N143" s="1067">
        <v>0</v>
      </c>
      <c r="O143" s="1067">
        <v>0</v>
      </c>
      <c r="P143" s="1067">
        <v>0</v>
      </c>
      <c r="Q143" s="1067">
        <v>0</v>
      </c>
      <c r="R143" s="1067">
        <v>0</v>
      </c>
      <c r="S143" s="1067">
        <v>0</v>
      </c>
      <c r="T143" s="1067">
        <v>0</v>
      </c>
      <c r="U143" s="1067">
        <v>0</v>
      </c>
    </row>
    <row r="144" spans="1:21">
      <c r="A144" s="1" t="s">
        <v>571</v>
      </c>
      <c r="B144" s="736"/>
      <c r="C144" s="641">
        <v>190000</v>
      </c>
      <c r="D144" s="641">
        <v>190000</v>
      </c>
      <c r="E144" s="641">
        <v>190000</v>
      </c>
      <c r="F144" s="641">
        <v>190000</v>
      </c>
      <c r="G144" s="641">
        <v>190000</v>
      </c>
      <c r="H144" s="641">
        <v>190000</v>
      </c>
      <c r="I144" s="641">
        <v>190000</v>
      </c>
      <c r="J144" s="641">
        <v>190000</v>
      </c>
      <c r="K144" s="641">
        <v>190000</v>
      </c>
      <c r="L144" s="641">
        <v>190000</v>
      </c>
      <c r="M144" s="641">
        <v>190000</v>
      </c>
      <c r="N144" s="641">
        <v>190000</v>
      </c>
      <c r="O144" s="641">
        <v>190000</v>
      </c>
      <c r="P144" s="641">
        <v>190000</v>
      </c>
      <c r="Q144" s="641">
        <v>190000</v>
      </c>
      <c r="R144" s="641">
        <v>190000</v>
      </c>
      <c r="S144" s="641">
        <v>190000</v>
      </c>
      <c r="T144" s="641">
        <v>190000</v>
      </c>
      <c r="U144" s="641">
        <v>190000</v>
      </c>
    </row>
    <row r="145" spans="1:21">
      <c r="A145" s="1" t="s">
        <v>198</v>
      </c>
      <c r="B145" s="736"/>
      <c r="C145" s="1074">
        <v>100000</v>
      </c>
      <c r="D145" s="1074">
        <v>100000</v>
      </c>
      <c r="E145" s="1074">
        <v>100000</v>
      </c>
      <c r="F145" s="1074">
        <v>100000</v>
      </c>
      <c r="G145" s="1074">
        <v>100000</v>
      </c>
      <c r="H145" s="1074">
        <v>100000</v>
      </c>
      <c r="I145" s="1074">
        <v>100000</v>
      </c>
      <c r="J145" s="1074">
        <v>100000</v>
      </c>
      <c r="K145" s="1074">
        <v>100000</v>
      </c>
      <c r="L145" s="1074">
        <v>100000</v>
      </c>
      <c r="M145" s="1074">
        <v>100000</v>
      </c>
      <c r="N145" s="1074">
        <v>100000</v>
      </c>
      <c r="O145" s="1074">
        <v>100000</v>
      </c>
      <c r="P145" s="1074">
        <v>100000</v>
      </c>
      <c r="Q145" s="1074">
        <v>100000</v>
      </c>
      <c r="R145" s="1074">
        <v>100000</v>
      </c>
      <c r="S145" s="1074">
        <v>100000</v>
      </c>
      <c r="T145" s="1074">
        <v>100000</v>
      </c>
      <c r="U145" s="1074">
        <v>100000</v>
      </c>
    </row>
    <row r="146" spans="1:21">
      <c r="A146" s="1" t="s">
        <v>818</v>
      </c>
      <c r="B146" s="736"/>
      <c r="C146" s="1067">
        <v>1000000</v>
      </c>
      <c r="D146" s="1067">
        <v>1000000</v>
      </c>
      <c r="E146" s="1067">
        <v>1000000</v>
      </c>
      <c r="F146" s="1067">
        <v>1000000</v>
      </c>
      <c r="G146" s="1067">
        <v>1000000</v>
      </c>
      <c r="H146" s="1067">
        <v>1000000</v>
      </c>
      <c r="I146" s="1067">
        <v>1000000</v>
      </c>
      <c r="J146" s="1067">
        <v>1000000</v>
      </c>
      <c r="K146" s="1067">
        <v>1000000</v>
      </c>
      <c r="L146" s="1067">
        <v>1000000</v>
      </c>
      <c r="M146" s="1067">
        <v>1000000</v>
      </c>
      <c r="N146" s="1067">
        <v>1000000</v>
      </c>
      <c r="O146" s="1067">
        <v>1000000</v>
      </c>
      <c r="P146" s="1067">
        <v>1000000</v>
      </c>
      <c r="Q146" s="1067">
        <v>1000000</v>
      </c>
      <c r="R146" s="1067">
        <v>1000000</v>
      </c>
      <c r="S146" s="1067">
        <v>1000000</v>
      </c>
      <c r="T146" s="1067">
        <v>1000000</v>
      </c>
      <c r="U146" s="1067">
        <v>1000000</v>
      </c>
    </row>
    <row r="147" spans="1:21">
      <c r="A147" s="1" t="s">
        <v>740</v>
      </c>
      <c r="B147" s="736"/>
      <c r="C147" s="641">
        <v>506333</v>
      </c>
      <c r="D147" s="641">
        <v>506333</v>
      </c>
      <c r="E147" s="641">
        <v>506333</v>
      </c>
      <c r="F147" s="641">
        <v>506333</v>
      </c>
      <c r="G147" s="641">
        <v>506333</v>
      </c>
      <c r="H147" s="641">
        <v>506333</v>
      </c>
      <c r="I147" s="641">
        <v>506333</v>
      </c>
      <c r="J147" s="641">
        <v>506333</v>
      </c>
      <c r="K147" s="641">
        <v>506333</v>
      </c>
      <c r="L147" s="641">
        <v>506333</v>
      </c>
      <c r="M147" s="641">
        <v>506333</v>
      </c>
      <c r="N147" s="641">
        <v>506333</v>
      </c>
      <c r="O147" s="641">
        <v>506333</v>
      </c>
      <c r="P147" s="641">
        <v>506333</v>
      </c>
      <c r="Q147" s="641">
        <v>506333</v>
      </c>
      <c r="R147" s="641">
        <v>506333</v>
      </c>
      <c r="S147" s="641">
        <v>506333</v>
      </c>
      <c r="T147" s="641">
        <v>506333</v>
      </c>
      <c r="U147" s="641">
        <v>506333</v>
      </c>
    </row>
    <row r="148" spans="1:21">
      <c r="A148" s="1" t="s">
        <v>862</v>
      </c>
      <c r="B148" s="736"/>
      <c r="C148" s="1067">
        <v>0</v>
      </c>
      <c r="D148" s="1067">
        <v>0</v>
      </c>
      <c r="E148" s="1067">
        <v>0</v>
      </c>
      <c r="F148" s="1067">
        <v>0</v>
      </c>
      <c r="G148" s="1067">
        <v>0</v>
      </c>
      <c r="H148" s="1067">
        <v>0</v>
      </c>
      <c r="I148" s="1067">
        <v>0</v>
      </c>
      <c r="J148" s="1067">
        <v>0</v>
      </c>
      <c r="K148" s="684">
        <v>0</v>
      </c>
      <c r="L148" s="684">
        <v>2000000</v>
      </c>
      <c r="M148" s="1067">
        <v>0</v>
      </c>
      <c r="N148" s="1067">
        <v>0</v>
      </c>
      <c r="O148" s="1067">
        <v>0</v>
      </c>
      <c r="P148" s="1067">
        <v>0</v>
      </c>
      <c r="Q148" s="1067">
        <v>0</v>
      </c>
      <c r="R148" s="1067">
        <v>0</v>
      </c>
      <c r="S148" s="1067">
        <v>0</v>
      </c>
      <c r="T148" s="1067">
        <v>0</v>
      </c>
      <c r="U148" s="1067">
        <v>0</v>
      </c>
    </row>
    <row r="149" spans="1:21">
      <c r="A149" s="4" t="s">
        <v>660</v>
      </c>
      <c r="B149" s="15"/>
      <c r="C149" s="1066">
        <v>400000</v>
      </c>
      <c r="D149" s="1066">
        <v>400000</v>
      </c>
      <c r="E149" s="1066">
        <v>400000</v>
      </c>
      <c r="F149" s="1066">
        <v>400000</v>
      </c>
      <c r="G149" s="1066">
        <v>400000</v>
      </c>
      <c r="H149" s="1066">
        <v>400000</v>
      </c>
      <c r="I149" s="1066">
        <v>400000</v>
      </c>
      <c r="J149" s="1066">
        <v>400000</v>
      </c>
      <c r="K149" s="1066">
        <v>400000</v>
      </c>
      <c r="L149" s="1066">
        <v>400000</v>
      </c>
      <c r="M149" s="1066">
        <v>400000</v>
      </c>
      <c r="N149" s="1066">
        <v>400000</v>
      </c>
      <c r="O149" s="1066">
        <v>400000</v>
      </c>
      <c r="P149" s="1066">
        <v>400000</v>
      </c>
      <c r="Q149" s="1066">
        <v>400000</v>
      </c>
      <c r="R149" s="1066">
        <v>400000</v>
      </c>
      <c r="S149" s="1066">
        <v>400000</v>
      </c>
      <c r="T149" s="1066">
        <v>400000</v>
      </c>
      <c r="U149" s="1066">
        <v>400000</v>
      </c>
    </row>
    <row r="150" spans="1:21">
      <c r="A150" s="4" t="s">
        <v>191</v>
      </c>
      <c r="B150" s="15"/>
      <c r="C150" s="1066">
        <v>250000</v>
      </c>
      <c r="D150" s="1066">
        <v>250000</v>
      </c>
      <c r="E150" s="1066">
        <v>250000</v>
      </c>
      <c r="F150" s="1066">
        <v>250000</v>
      </c>
      <c r="G150" s="1066">
        <v>250000</v>
      </c>
      <c r="H150" s="1066">
        <v>250000</v>
      </c>
      <c r="I150" s="1066">
        <v>250000</v>
      </c>
      <c r="J150" s="1066">
        <v>250000</v>
      </c>
      <c r="K150" s="1066">
        <v>250000</v>
      </c>
      <c r="L150" s="1066">
        <v>250000</v>
      </c>
      <c r="M150" s="1066">
        <v>250000</v>
      </c>
      <c r="N150" s="1066">
        <v>250000</v>
      </c>
      <c r="O150" s="1066">
        <v>250000</v>
      </c>
      <c r="P150" s="1066">
        <v>250000</v>
      </c>
      <c r="Q150" s="1066">
        <v>250000</v>
      </c>
      <c r="R150" s="1066">
        <v>250000</v>
      </c>
      <c r="S150" s="1066">
        <v>250000</v>
      </c>
      <c r="T150" s="1066">
        <v>250000</v>
      </c>
      <c r="U150" s="1066">
        <v>250000</v>
      </c>
    </row>
    <row r="151" spans="1:21">
      <c r="A151" s="4" t="s">
        <v>651</v>
      </c>
      <c r="B151" s="15"/>
      <c r="C151" s="693">
        <v>0</v>
      </c>
      <c r="D151" s="1066">
        <v>200000</v>
      </c>
      <c r="E151" s="693">
        <v>200000</v>
      </c>
      <c r="F151" s="1066"/>
      <c r="G151" s="1066"/>
      <c r="H151" s="1066"/>
      <c r="I151" s="1066"/>
      <c r="J151" s="1066"/>
      <c r="K151" s="1066"/>
      <c r="L151" s="1066"/>
      <c r="M151" s="1066"/>
      <c r="N151" s="1066"/>
      <c r="O151" s="1066"/>
      <c r="P151" s="1066"/>
      <c r="Q151" s="1066"/>
      <c r="R151" s="1066"/>
      <c r="S151" s="1066"/>
      <c r="T151" s="1066"/>
      <c r="U151" s="1066"/>
    </row>
    <row r="152" spans="1:21">
      <c r="A152" s="4" t="s">
        <v>873</v>
      </c>
      <c r="B152" s="15"/>
      <c r="C152" s="1066">
        <v>460000</v>
      </c>
      <c r="D152" s="1066">
        <v>460000</v>
      </c>
      <c r="E152" s="693">
        <v>460000</v>
      </c>
      <c r="F152" s="1066">
        <v>0</v>
      </c>
      <c r="G152" s="1066">
        <v>0</v>
      </c>
      <c r="H152" s="1066">
        <v>0</v>
      </c>
      <c r="I152" s="1066">
        <v>0</v>
      </c>
      <c r="J152" s="1066">
        <v>0</v>
      </c>
      <c r="K152" s="1066">
        <v>0</v>
      </c>
      <c r="L152" s="1066">
        <v>0</v>
      </c>
      <c r="M152" s="1066">
        <v>0</v>
      </c>
      <c r="N152" s="1066">
        <v>0</v>
      </c>
      <c r="O152" s="1066">
        <v>0</v>
      </c>
      <c r="P152" s="1066">
        <v>0</v>
      </c>
      <c r="Q152" s="1066">
        <v>0</v>
      </c>
      <c r="R152" s="1066">
        <v>0</v>
      </c>
      <c r="S152" s="1066">
        <v>0</v>
      </c>
      <c r="T152" s="1066">
        <v>0</v>
      </c>
      <c r="U152" s="1066">
        <v>0</v>
      </c>
    </row>
    <row r="153" spans="1:21">
      <c r="A153" s="4" t="s">
        <v>850</v>
      </c>
      <c r="B153" s="15"/>
      <c r="C153" s="1066">
        <v>55000</v>
      </c>
      <c r="D153" s="1066">
        <v>55000</v>
      </c>
      <c r="E153" s="1066">
        <v>55000</v>
      </c>
      <c r="F153" s="1066">
        <v>55000</v>
      </c>
      <c r="G153" s="1066">
        <v>55000</v>
      </c>
      <c r="H153" s="1066">
        <v>55000</v>
      </c>
      <c r="I153" s="1066">
        <v>55000</v>
      </c>
      <c r="J153" s="1066">
        <v>55000</v>
      </c>
      <c r="K153" s="1066">
        <v>55000</v>
      </c>
      <c r="L153" s="1066">
        <v>55000</v>
      </c>
      <c r="M153" s="1066">
        <v>55000</v>
      </c>
      <c r="N153" s="1066">
        <v>55000</v>
      </c>
      <c r="O153" s="693">
        <v>55000</v>
      </c>
      <c r="P153" s="689">
        <v>0</v>
      </c>
      <c r="Q153" s="689">
        <v>0</v>
      </c>
      <c r="R153" s="689">
        <v>0</v>
      </c>
      <c r="S153" s="689">
        <v>0</v>
      </c>
      <c r="T153" s="689">
        <v>0</v>
      </c>
      <c r="U153" s="689">
        <v>0</v>
      </c>
    </row>
    <row r="154" spans="1:21">
      <c r="A154" s="4" t="s">
        <v>823</v>
      </c>
      <c r="B154" s="15"/>
      <c r="C154" s="1066">
        <v>50000</v>
      </c>
      <c r="D154" s="1066">
        <v>50000</v>
      </c>
      <c r="E154" s="1066">
        <v>50000</v>
      </c>
      <c r="F154" s="1066">
        <v>50000</v>
      </c>
      <c r="G154" s="1066">
        <v>50000</v>
      </c>
      <c r="H154" s="1066">
        <v>50000</v>
      </c>
      <c r="I154" s="1066">
        <v>50000</v>
      </c>
      <c r="J154" s="1066">
        <v>50000</v>
      </c>
      <c r="K154" s="1066">
        <v>50000</v>
      </c>
      <c r="L154" s="1066">
        <v>50000</v>
      </c>
      <c r="M154" s="1066">
        <v>50000</v>
      </c>
      <c r="N154" s="1066">
        <v>50000</v>
      </c>
      <c r="O154" s="1066">
        <v>50000</v>
      </c>
      <c r="P154" s="1066">
        <v>50000</v>
      </c>
      <c r="Q154" s="1066">
        <v>50000</v>
      </c>
      <c r="R154" s="1066">
        <v>50000</v>
      </c>
      <c r="S154" s="1066">
        <v>50000</v>
      </c>
      <c r="T154" s="1066">
        <v>50000</v>
      </c>
      <c r="U154" s="1066">
        <v>50000</v>
      </c>
    </row>
    <row r="155" spans="1:21">
      <c r="A155" s="4"/>
      <c r="B155" s="15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89"/>
      <c r="N155" s="689"/>
      <c r="O155" s="689"/>
      <c r="P155" s="689"/>
      <c r="Q155" s="689"/>
      <c r="R155" s="689"/>
      <c r="S155" s="689"/>
      <c r="T155" s="689"/>
      <c r="U155" s="689"/>
    </row>
    <row r="156" spans="1:21" ht="16.2" thickBot="1">
      <c r="A156" s="737"/>
      <c r="B156" s="738"/>
      <c r="C156" s="848">
        <v>10445333</v>
      </c>
      <c r="D156" s="848">
        <v>11085333</v>
      </c>
      <c r="E156" s="848">
        <v>11085333</v>
      </c>
      <c r="F156" s="848">
        <v>11675333</v>
      </c>
      <c r="G156" s="848">
        <v>11425333</v>
      </c>
      <c r="H156" s="848">
        <v>11425333</v>
      </c>
      <c r="I156" s="848">
        <v>11425333</v>
      </c>
      <c r="J156" s="848">
        <v>11425333</v>
      </c>
      <c r="K156" s="848">
        <v>12235333</v>
      </c>
      <c r="L156" s="848">
        <v>14235333</v>
      </c>
      <c r="M156" s="848">
        <v>11985333</v>
      </c>
      <c r="N156" s="848">
        <v>11985333</v>
      </c>
      <c r="O156" s="848">
        <v>11785333</v>
      </c>
      <c r="P156" s="848">
        <v>11580333</v>
      </c>
      <c r="Q156" s="848">
        <v>12100333</v>
      </c>
      <c r="R156" s="848">
        <v>11100333</v>
      </c>
      <c r="S156" s="848">
        <v>9100333</v>
      </c>
      <c r="T156" s="848">
        <v>9100333</v>
      </c>
      <c r="U156" s="848">
        <v>9100333</v>
      </c>
    </row>
    <row r="157" spans="1:21" ht="16.2" thickBot="1">
      <c r="A157" s="5"/>
      <c r="B157"/>
      <c r="C157" s="853"/>
      <c r="D157" s="853"/>
      <c r="E157" s="853"/>
      <c r="F157" s="853"/>
      <c r="G157" s="853"/>
      <c r="H157" s="853"/>
      <c r="I157" s="853"/>
      <c r="J157" s="853"/>
      <c r="K157" s="853"/>
      <c r="L157" s="853"/>
      <c r="M157" s="853"/>
      <c r="N157" s="853"/>
      <c r="O157" s="853"/>
      <c r="P157" s="853"/>
      <c r="Q157" s="853"/>
      <c r="R157" s="853"/>
      <c r="S157" s="853"/>
      <c r="T157" s="853"/>
      <c r="U157" s="853"/>
    </row>
    <row r="158" spans="1:21">
      <c r="A158" s="760" t="s">
        <v>12</v>
      </c>
      <c r="B158" s="761"/>
      <c r="C158" s="694"/>
      <c r="D158" s="694"/>
      <c r="E158" s="694"/>
      <c r="F158" s="694"/>
      <c r="G158" s="694"/>
      <c r="H158" s="694"/>
      <c r="I158" s="694"/>
      <c r="J158" s="694"/>
      <c r="K158" s="694"/>
      <c r="L158" s="694"/>
      <c r="M158" s="694"/>
      <c r="N158" s="694"/>
      <c r="O158" s="694"/>
      <c r="P158" s="694"/>
      <c r="Q158" s="694"/>
      <c r="R158" s="694"/>
      <c r="S158" s="694"/>
      <c r="T158" s="694"/>
      <c r="U158" s="694"/>
    </row>
    <row r="159" spans="1:21">
      <c r="A159" s="762"/>
      <c r="B159" s="763"/>
      <c r="C159" s="695"/>
      <c r="D159" s="695"/>
      <c r="E159" s="695"/>
      <c r="F159" s="695"/>
      <c r="G159" s="695"/>
      <c r="H159" s="695"/>
      <c r="I159" s="695"/>
      <c r="J159" s="695"/>
      <c r="K159" s="695"/>
      <c r="L159" s="695"/>
      <c r="M159" s="695"/>
      <c r="N159" s="695"/>
      <c r="O159" s="695"/>
      <c r="P159" s="695"/>
      <c r="Q159" s="695"/>
      <c r="R159" s="695"/>
      <c r="S159" s="695"/>
      <c r="T159" s="695"/>
      <c r="U159" s="695"/>
    </row>
    <row r="160" spans="1:21">
      <c r="A160" s="1" t="s">
        <v>22</v>
      </c>
      <c r="B160" s="736"/>
      <c r="C160" s="641">
        <v>192000</v>
      </c>
      <c r="D160" s="641">
        <v>192000</v>
      </c>
      <c r="E160" s="641">
        <v>192000</v>
      </c>
      <c r="F160" s="641">
        <v>192000</v>
      </c>
      <c r="G160" s="641">
        <v>192000</v>
      </c>
      <c r="H160" s="641">
        <v>192000</v>
      </c>
      <c r="I160" s="641">
        <v>192000</v>
      </c>
      <c r="J160" s="641">
        <v>192000</v>
      </c>
      <c r="K160" s="641">
        <v>192000</v>
      </c>
      <c r="L160" s="641">
        <v>192000</v>
      </c>
      <c r="M160" s="641">
        <v>192000</v>
      </c>
      <c r="N160" s="641">
        <v>192000</v>
      </c>
      <c r="O160" s="641">
        <v>192000</v>
      </c>
      <c r="P160" s="641">
        <v>192000</v>
      </c>
      <c r="Q160" s="641">
        <v>192000</v>
      </c>
      <c r="R160" s="641">
        <v>192000</v>
      </c>
      <c r="S160" s="641">
        <v>192000</v>
      </c>
      <c r="T160" s="641">
        <v>192000</v>
      </c>
      <c r="U160" s="641">
        <v>192000</v>
      </c>
    </row>
    <row r="161" spans="1:21">
      <c r="A161" s="1"/>
      <c r="B161" s="736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  <c r="U161" s="641"/>
    </row>
    <row r="162" spans="1:21">
      <c r="A162" s="1"/>
      <c r="B162" s="736"/>
      <c r="C162" s="641"/>
      <c r="D162" s="641"/>
      <c r="E162" s="641"/>
      <c r="F162" s="641"/>
      <c r="G162" s="641"/>
      <c r="H162" s="641"/>
      <c r="I162" s="641"/>
      <c r="J162" s="641"/>
      <c r="K162" s="641"/>
      <c r="L162" s="641"/>
      <c r="M162" s="641"/>
      <c r="N162" s="641"/>
      <c r="O162" s="641"/>
      <c r="P162" s="641"/>
      <c r="Q162" s="641"/>
      <c r="R162" s="641"/>
      <c r="S162" s="641"/>
      <c r="T162" s="641"/>
      <c r="U162" s="641"/>
    </row>
    <row r="163" spans="1:21">
      <c r="A163" s="1"/>
      <c r="B163" s="736"/>
      <c r="C163" s="641"/>
      <c r="D163" s="641"/>
      <c r="E163" s="641"/>
      <c r="F163" s="641"/>
      <c r="G163" s="641"/>
      <c r="H163" s="641"/>
      <c r="I163" s="641"/>
      <c r="J163" s="641"/>
      <c r="K163" s="641"/>
      <c r="L163" s="641"/>
      <c r="M163" s="641"/>
      <c r="N163" s="641"/>
      <c r="O163" s="641"/>
      <c r="P163" s="641"/>
      <c r="Q163" s="641"/>
      <c r="R163" s="641"/>
      <c r="S163" s="641"/>
      <c r="T163" s="641"/>
      <c r="U163" s="641"/>
    </row>
    <row r="164" spans="1:21">
      <c r="A164" s="1" t="s">
        <v>26</v>
      </c>
      <c r="B164" s="736"/>
      <c r="C164" s="641">
        <v>139500</v>
      </c>
      <c r="D164" s="641">
        <v>139500</v>
      </c>
      <c r="E164" s="641">
        <v>139500</v>
      </c>
      <c r="F164" s="641">
        <v>139500</v>
      </c>
      <c r="G164" s="641">
        <v>139500</v>
      </c>
      <c r="H164" s="641">
        <v>139500</v>
      </c>
      <c r="I164" s="641">
        <v>139500</v>
      </c>
      <c r="J164" s="641">
        <v>139500</v>
      </c>
      <c r="K164" s="641">
        <v>139500</v>
      </c>
      <c r="L164" s="641">
        <v>139500</v>
      </c>
      <c r="M164" s="641">
        <v>139500</v>
      </c>
      <c r="N164" s="641">
        <v>139500</v>
      </c>
      <c r="O164" s="641">
        <v>139500</v>
      </c>
      <c r="P164" s="641">
        <v>139500</v>
      </c>
      <c r="Q164" s="641">
        <v>139500</v>
      </c>
      <c r="R164" s="641">
        <v>139500</v>
      </c>
      <c r="S164" s="641">
        <v>139500</v>
      </c>
      <c r="T164" s="641">
        <v>139500</v>
      </c>
      <c r="U164" s="641">
        <v>139500</v>
      </c>
    </row>
    <row r="165" spans="1:21">
      <c r="A165" s="1"/>
      <c r="B165" s="736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1"/>
      <c r="P165" s="641"/>
      <c r="Q165" s="641"/>
      <c r="R165" s="641"/>
      <c r="S165" s="641"/>
      <c r="T165" s="641"/>
      <c r="U165" s="641"/>
    </row>
    <row r="166" spans="1:21">
      <c r="A166" s="1"/>
      <c r="B166" s="736"/>
      <c r="C166" s="641"/>
      <c r="D166" s="641"/>
      <c r="E166" s="641"/>
      <c r="F166" s="641"/>
      <c r="G166" s="641"/>
      <c r="H166" s="641"/>
      <c r="I166" s="641"/>
      <c r="J166" s="641"/>
      <c r="K166" s="641"/>
      <c r="L166" s="641"/>
      <c r="M166" s="641"/>
      <c r="N166" s="641"/>
      <c r="O166" s="641"/>
      <c r="P166" s="641"/>
      <c r="Q166" s="641"/>
      <c r="R166" s="641"/>
      <c r="S166" s="641"/>
      <c r="T166" s="641"/>
      <c r="U166" s="641"/>
    </row>
    <row r="167" spans="1:21">
      <c r="A167" s="1" t="s">
        <v>571</v>
      </c>
      <c r="B167" s="736"/>
      <c r="C167" s="641">
        <v>100000</v>
      </c>
      <c r="D167" s="641">
        <v>100000</v>
      </c>
      <c r="E167" s="641">
        <v>100000</v>
      </c>
      <c r="F167" s="641">
        <v>100000</v>
      </c>
      <c r="G167" s="641">
        <v>100000</v>
      </c>
      <c r="H167" s="641">
        <v>100000</v>
      </c>
      <c r="I167" s="641">
        <v>100000</v>
      </c>
      <c r="J167" s="641">
        <v>100000</v>
      </c>
      <c r="K167" s="641">
        <v>100000</v>
      </c>
      <c r="L167" s="641">
        <v>100000</v>
      </c>
      <c r="M167" s="641">
        <v>100000</v>
      </c>
      <c r="N167" s="641">
        <v>100000</v>
      </c>
      <c r="O167" s="641">
        <v>100000</v>
      </c>
      <c r="P167" s="641">
        <v>100000</v>
      </c>
      <c r="Q167" s="641">
        <v>100000</v>
      </c>
      <c r="R167" s="641">
        <v>100000</v>
      </c>
      <c r="S167" s="641">
        <v>100000</v>
      </c>
      <c r="T167" s="641">
        <v>100000</v>
      </c>
      <c r="U167" s="641">
        <v>100000</v>
      </c>
    </row>
    <row r="168" spans="1:21">
      <c r="A168" s="1"/>
      <c r="B168" s="736"/>
      <c r="C168" s="641"/>
      <c r="D168" s="641"/>
      <c r="E168" s="641"/>
      <c r="F168" s="641"/>
      <c r="G168" s="641"/>
      <c r="H168" s="641"/>
      <c r="I168" s="641"/>
      <c r="J168" s="641"/>
      <c r="K168" s="641"/>
      <c r="L168" s="641"/>
      <c r="M168" s="641"/>
      <c r="N168" s="641"/>
      <c r="O168" s="641"/>
      <c r="P168" s="641"/>
      <c r="Q168" s="641"/>
      <c r="R168" s="641"/>
      <c r="S168" s="641"/>
      <c r="T168" s="641"/>
      <c r="U168" s="641"/>
    </row>
    <row r="169" spans="1:21">
      <c r="A169" s="1"/>
      <c r="B169" s="736"/>
      <c r="C169" s="641"/>
      <c r="D169" s="641"/>
      <c r="E169" s="641"/>
      <c r="F169" s="641"/>
      <c r="G169" s="641"/>
      <c r="H169" s="641"/>
      <c r="I169" s="641"/>
      <c r="J169" s="641"/>
      <c r="K169" s="641"/>
      <c r="L169" s="641"/>
      <c r="M169" s="641"/>
      <c r="N169" s="641"/>
      <c r="O169" s="641"/>
      <c r="P169" s="641"/>
      <c r="Q169" s="641"/>
      <c r="R169" s="641"/>
      <c r="S169" s="641"/>
      <c r="T169" s="641"/>
      <c r="U169" s="641"/>
    </row>
    <row r="170" spans="1:21">
      <c r="A170" s="1"/>
      <c r="B170" s="736"/>
      <c r="C170" s="641"/>
      <c r="D170" s="641"/>
      <c r="E170" s="641"/>
      <c r="F170" s="641"/>
      <c r="G170" s="641"/>
      <c r="H170" s="641"/>
      <c r="I170" s="641"/>
      <c r="J170" s="641"/>
      <c r="K170" s="641"/>
      <c r="L170" s="641"/>
      <c r="M170" s="641"/>
      <c r="N170" s="641"/>
      <c r="O170" s="641"/>
      <c r="P170" s="641"/>
      <c r="Q170" s="641"/>
      <c r="R170" s="641"/>
      <c r="S170" s="641"/>
      <c r="T170" s="641"/>
      <c r="U170" s="641"/>
    </row>
    <row r="171" spans="1:21">
      <c r="A171" s="1"/>
      <c r="B171" s="736"/>
      <c r="C171" s="641"/>
      <c r="D171" s="641"/>
      <c r="E171" s="641"/>
      <c r="F171" s="641"/>
      <c r="G171" s="641"/>
      <c r="H171" s="641"/>
      <c r="I171" s="641"/>
      <c r="J171" s="641"/>
      <c r="K171" s="641"/>
      <c r="L171" s="641"/>
      <c r="M171" s="641"/>
      <c r="N171" s="641"/>
      <c r="O171" s="641"/>
      <c r="P171" s="641"/>
      <c r="Q171" s="641"/>
      <c r="R171" s="641"/>
      <c r="S171" s="641"/>
      <c r="T171" s="641"/>
      <c r="U171" s="641"/>
    </row>
    <row r="172" spans="1:21">
      <c r="A172" s="1"/>
      <c r="B172" s="736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</row>
    <row r="173" spans="1:21">
      <c r="A173" s="4"/>
      <c r="B173" s="15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89"/>
      <c r="N173" s="689"/>
      <c r="O173" s="689"/>
      <c r="P173" s="689"/>
      <c r="Q173" s="689"/>
      <c r="R173" s="689"/>
      <c r="S173" s="689"/>
      <c r="T173" s="689"/>
      <c r="U173" s="689"/>
    </row>
    <row r="174" spans="1:21">
      <c r="A174" s="4"/>
      <c r="B174" s="15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689"/>
      <c r="R174" s="689"/>
      <c r="S174" s="689"/>
      <c r="T174" s="689"/>
      <c r="U174" s="689"/>
    </row>
    <row r="175" spans="1:21">
      <c r="A175" s="4"/>
      <c r="B175" s="15"/>
      <c r="C175" s="689"/>
      <c r="D175" s="689"/>
      <c r="E175" s="689"/>
      <c r="F175" s="689"/>
      <c r="G175" s="689"/>
      <c r="H175" s="689"/>
      <c r="I175" s="689"/>
      <c r="J175" s="689"/>
      <c r="K175" s="689"/>
      <c r="L175" s="689"/>
      <c r="M175" s="689"/>
      <c r="N175" s="689"/>
      <c r="O175" s="689"/>
      <c r="P175" s="689"/>
      <c r="Q175" s="689"/>
      <c r="R175" s="689"/>
      <c r="S175" s="689"/>
      <c r="T175" s="689"/>
      <c r="U175" s="689"/>
    </row>
    <row r="176" spans="1:21" ht="16.2" thickBot="1">
      <c r="A176" s="737"/>
      <c r="B176" s="738"/>
      <c r="C176" s="848">
        <v>431500</v>
      </c>
      <c r="D176" s="848">
        <v>431500</v>
      </c>
      <c r="E176" s="848">
        <v>431500</v>
      </c>
      <c r="F176" s="848">
        <v>431500</v>
      </c>
      <c r="G176" s="848">
        <v>431500</v>
      </c>
      <c r="H176" s="848">
        <v>431500</v>
      </c>
      <c r="I176" s="848">
        <v>431500</v>
      </c>
      <c r="J176" s="848">
        <v>431500</v>
      </c>
      <c r="K176" s="848">
        <v>431500</v>
      </c>
      <c r="L176" s="848">
        <v>431500</v>
      </c>
      <c r="M176" s="848">
        <v>431500</v>
      </c>
      <c r="N176" s="848">
        <v>431500</v>
      </c>
      <c r="O176" s="848">
        <v>431500</v>
      </c>
      <c r="P176" s="848">
        <v>431500</v>
      </c>
      <c r="Q176" s="848">
        <v>431500</v>
      </c>
      <c r="R176" s="848">
        <v>431500</v>
      </c>
      <c r="S176" s="848">
        <v>431500</v>
      </c>
      <c r="T176" s="848">
        <v>431500</v>
      </c>
      <c r="U176" s="848">
        <v>431500</v>
      </c>
    </row>
    <row r="177" spans="1:21" s="697" customFormat="1">
      <c r="A177" s="764" t="s">
        <v>23</v>
      </c>
      <c r="B177" s="765"/>
      <c r="C177" s="696"/>
      <c r="D177" s="696"/>
      <c r="E177" s="696"/>
      <c r="F177" s="696"/>
      <c r="G177" s="696"/>
      <c r="H177" s="696"/>
      <c r="I177" s="696"/>
      <c r="J177" s="696"/>
      <c r="K177" s="696"/>
      <c r="L177" s="696"/>
      <c r="M177" s="696"/>
      <c r="N177" s="696"/>
      <c r="O177" s="696"/>
      <c r="P177" s="696"/>
      <c r="Q177" s="696"/>
      <c r="R177" s="696"/>
      <c r="S177" s="696"/>
      <c r="T177" s="696"/>
      <c r="U177" s="696"/>
    </row>
    <row r="178" spans="1:21" s="697" customFormat="1">
      <c r="A178" s="766"/>
      <c r="B178" s="767"/>
      <c r="C178" s="698"/>
      <c r="D178" s="698"/>
      <c r="E178" s="698"/>
      <c r="F178" s="698"/>
      <c r="G178" s="698"/>
      <c r="H178" s="698"/>
      <c r="I178" s="698"/>
      <c r="J178" s="698"/>
      <c r="K178" s="698"/>
      <c r="L178" s="698"/>
      <c r="M178" s="698"/>
      <c r="N178" s="698"/>
      <c r="O178" s="698"/>
      <c r="P178" s="698"/>
      <c r="Q178" s="698"/>
      <c r="R178" s="698"/>
      <c r="S178" s="698"/>
      <c r="T178" s="698"/>
      <c r="U178" s="698"/>
    </row>
    <row r="179" spans="1:21">
      <c r="A179" s="14" t="s">
        <v>152</v>
      </c>
      <c r="B179" s="15"/>
      <c r="C179" s="693">
        <v>175000</v>
      </c>
      <c r="D179" s="1066">
        <v>25000</v>
      </c>
      <c r="E179" s="693">
        <v>25000</v>
      </c>
      <c r="F179" s="1066">
        <v>0</v>
      </c>
      <c r="G179" s="1066">
        <v>0</v>
      </c>
      <c r="H179" s="1066">
        <v>0</v>
      </c>
      <c r="I179" s="1066">
        <v>0</v>
      </c>
      <c r="J179" s="1066">
        <v>0</v>
      </c>
      <c r="K179" s="1066">
        <v>0</v>
      </c>
      <c r="L179" s="1066">
        <v>0</v>
      </c>
      <c r="M179" s="1066">
        <v>0</v>
      </c>
      <c r="N179" s="1066">
        <v>0</v>
      </c>
      <c r="O179" s="1066">
        <v>0</v>
      </c>
      <c r="P179" s="1066">
        <v>0</v>
      </c>
      <c r="Q179" s="693">
        <v>0</v>
      </c>
      <c r="R179" s="1066">
        <v>1000000</v>
      </c>
      <c r="S179" s="1066">
        <v>1000000</v>
      </c>
      <c r="T179" s="1066">
        <v>1000000</v>
      </c>
      <c r="U179" s="1066">
        <v>1000000</v>
      </c>
    </row>
    <row r="180" spans="1:21">
      <c r="A180" s="14" t="s">
        <v>660</v>
      </c>
      <c r="B180" s="15"/>
      <c r="C180" s="1066">
        <v>4000000</v>
      </c>
      <c r="D180" s="1066">
        <v>4000000</v>
      </c>
      <c r="E180" s="1066">
        <v>4000000</v>
      </c>
      <c r="F180" s="1066">
        <v>4000000</v>
      </c>
      <c r="G180" s="1066">
        <v>4000000</v>
      </c>
      <c r="H180" s="1066">
        <v>4000000</v>
      </c>
      <c r="I180" s="1066">
        <v>4000000</v>
      </c>
      <c r="J180" s="1066">
        <v>4000000</v>
      </c>
      <c r="K180" s="1066">
        <v>4000000</v>
      </c>
      <c r="L180" s="1066">
        <v>4000000</v>
      </c>
      <c r="M180" s="1066">
        <v>4000000</v>
      </c>
      <c r="N180" s="1066">
        <v>4000000</v>
      </c>
      <c r="O180" s="1066">
        <v>4000000</v>
      </c>
      <c r="P180" s="1066">
        <v>4000000</v>
      </c>
      <c r="Q180" s="1066">
        <v>4000000</v>
      </c>
      <c r="R180" s="1066">
        <v>4000000</v>
      </c>
      <c r="S180" s="693">
        <v>4000000</v>
      </c>
      <c r="T180" s="1066">
        <v>5500000</v>
      </c>
      <c r="U180" s="1066">
        <v>5500000</v>
      </c>
    </row>
    <row r="181" spans="1:21">
      <c r="A181" s="14" t="s">
        <v>849</v>
      </c>
      <c r="B181" s="15"/>
      <c r="C181" s="1066">
        <v>0</v>
      </c>
      <c r="D181" s="1066">
        <v>0</v>
      </c>
      <c r="E181" s="1066">
        <v>0</v>
      </c>
      <c r="F181" s="1066">
        <v>0</v>
      </c>
      <c r="G181" s="1066">
        <v>0</v>
      </c>
      <c r="H181" s="1066">
        <v>0</v>
      </c>
      <c r="I181" s="1066">
        <v>0</v>
      </c>
      <c r="J181" s="1066">
        <v>0</v>
      </c>
      <c r="K181" s="1066">
        <v>0</v>
      </c>
      <c r="L181" s="1066">
        <v>0</v>
      </c>
      <c r="M181" s="1066">
        <v>0</v>
      </c>
      <c r="N181" s="1066">
        <v>0</v>
      </c>
      <c r="O181" s="693">
        <v>0</v>
      </c>
      <c r="P181" s="693">
        <v>150000</v>
      </c>
      <c r="Q181" s="1066">
        <v>0</v>
      </c>
      <c r="R181" s="1066">
        <v>0</v>
      </c>
      <c r="S181" s="1066">
        <v>0</v>
      </c>
      <c r="T181" s="1066">
        <v>0</v>
      </c>
      <c r="U181" s="1066">
        <v>0</v>
      </c>
    </row>
    <row r="182" spans="1:21">
      <c r="A182" s="14" t="s">
        <v>865</v>
      </c>
      <c r="B182" s="15"/>
      <c r="C182" s="1066">
        <v>0</v>
      </c>
      <c r="D182" s="1066">
        <v>0</v>
      </c>
      <c r="E182" s="1066">
        <v>0</v>
      </c>
      <c r="F182" s="1066">
        <v>0</v>
      </c>
      <c r="G182" s="1066">
        <v>0</v>
      </c>
      <c r="H182" s="693">
        <v>0</v>
      </c>
      <c r="I182" s="1066">
        <v>1000000</v>
      </c>
      <c r="J182" s="693">
        <v>1000000</v>
      </c>
      <c r="K182" s="1066"/>
      <c r="L182" s="1066"/>
      <c r="M182" s="1066"/>
      <c r="N182" s="1066"/>
      <c r="O182" s="1066"/>
      <c r="P182" s="1066">
        <v>0</v>
      </c>
      <c r="Q182" s="1066">
        <v>0</v>
      </c>
      <c r="R182" s="1066">
        <v>0</v>
      </c>
      <c r="S182" s="1066">
        <v>0</v>
      </c>
      <c r="T182" s="1066">
        <v>0</v>
      </c>
      <c r="U182" s="1066">
        <v>0</v>
      </c>
    </row>
    <row r="183" spans="1:21">
      <c r="A183" s="1017" t="s">
        <v>625</v>
      </c>
      <c r="B183" s="15"/>
      <c r="C183" s="1019">
        <v>450000</v>
      </c>
      <c r="D183" s="1019">
        <v>450000</v>
      </c>
      <c r="E183" s="1019">
        <v>450000</v>
      </c>
      <c r="F183" s="1019">
        <v>450000</v>
      </c>
      <c r="G183" s="1019">
        <v>450000</v>
      </c>
      <c r="H183" s="1019">
        <v>450000</v>
      </c>
      <c r="I183" s="1019">
        <v>450000</v>
      </c>
      <c r="J183" s="1019">
        <v>450000</v>
      </c>
      <c r="K183" s="1019">
        <v>450000</v>
      </c>
      <c r="L183" s="1019">
        <v>450000</v>
      </c>
      <c r="M183" s="1019">
        <v>450000</v>
      </c>
      <c r="N183" s="1019">
        <v>450000</v>
      </c>
      <c r="O183" s="1019">
        <v>450000</v>
      </c>
      <c r="P183" s="1019">
        <v>450000</v>
      </c>
      <c r="Q183" s="1019">
        <v>450000</v>
      </c>
      <c r="R183" s="1019">
        <v>450000</v>
      </c>
      <c r="S183" s="1019">
        <v>450000</v>
      </c>
      <c r="T183" s="1019">
        <v>450000</v>
      </c>
      <c r="U183" s="1019">
        <v>450000</v>
      </c>
    </row>
    <row r="184" spans="1:21">
      <c r="A184" s="1018" t="s">
        <v>626</v>
      </c>
      <c r="B184" s="736"/>
      <c r="C184" s="1020">
        <v>350000</v>
      </c>
      <c r="D184" s="1020">
        <v>350000</v>
      </c>
      <c r="E184" s="1020">
        <v>350000</v>
      </c>
      <c r="F184" s="1020">
        <v>350000</v>
      </c>
      <c r="G184" s="1020">
        <v>350000</v>
      </c>
      <c r="H184" s="1020">
        <v>350000</v>
      </c>
      <c r="I184" s="1020">
        <v>350000</v>
      </c>
      <c r="J184" s="1020">
        <v>350000</v>
      </c>
      <c r="K184" s="1020">
        <v>350000</v>
      </c>
      <c r="L184" s="1020">
        <v>350000</v>
      </c>
      <c r="M184" s="1020">
        <v>350000</v>
      </c>
      <c r="N184" s="1020">
        <v>350000</v>
      </c>
      <c r="O184" s="1020">
        <v>350000</v>
      </c>
      <c r="P184" s="1020">
        <v>350000</v>
      </c>
      <c r="Q184" s="1020">
        <v>350000</v>
      </c>
      <c r="R184" s="1020">
        <v>350000</v>
      </c>
      <c r="S184" s="1020">
        <v>350000</v>
      </c>
      <c r="T184" s="1020">
        <v>350000</v>
      </c>
      <c r="U184" s="1020">
        <v>350000</v>
      </c>
    </row>
    <row r="185" spans="1:21">
      <c r="A185" s="6" t="s">
        <v>726</v>
      </c>
      <c r="B185" s="736"/>
      <c r="C185" s="641">
        <v>5000000</v>
      </c>
      <c r="D185" s="641">
        <v>5000000</v>
      </c>
      <c r="E185" s="641">
        <v>5000000</v>
      </c>
      <c r="F185" s="641">
        <v>5000000</v>
      </c>
      <c r="G185" s="641">
        <v>5000000</v>
      </c>
      <c r="H185" s="641">
        <v>5000000</v>
      </c>
      <c r="I185" s="641">
        <v>5000000</v>
      </c>
      <c r="J185" s="641">
        <v>5000000</v>
      </c>
      <c r="K185" s="641">
        <v>5000000</v>
      </c>
      <c r="L185" s="641">
        <v>5000000</v>
      </c>
      <c r="M185" s="641">
        <v>5000000</v>
      </c>
      <c r="N185" s="641">
        <v>5000000</v>
      </c>
      <c r="O185" s="641">
        <v>5000000</v>
      </c>
      <c r="P185" s="641">
        <v>5000000</v>
      </c>
      <c r="Q185" s="641">
        <v>5000000</v>
      </c>
      <c r="R185" s="641">
        <v>5000000</v>
      </c>
      <c r="S185" s="641">
        <v>5000000</v>
      </c>
      <c r="T185" s="641">
        <v>5000000</v>
      </c>
      <c r="U185" s="641">
        <v>5000000</v>
      </c>
    </row>
    <row r="186" spans="1:21">
      <c r="A186" s="6" t="s">
        <v>768</v>
      </c>
      <c r="B186" s="736"/>
      <c r="C186" s="1067">
        <v>0</v>
      </c>
      <c r="D186" s="1067">
        <v>0</v>
      </c>
      <c r="E186" s="1067">
        <v>0</v>
      </c>
      <c r="F186" s="1067">
        <v>0</v>
      </c>
      <c r="G186" s="1067">
        <v>0</v>
      </c>
      <c r="H186" s="1067">
        <v>0</v>
      </c>
      <c r="I186" s="1067">
        <v>0</v>
      </c>
      <c r="J186" s="1067">
        <v>0</v>
      </c>
      <c r="K186" s="1067">
        <v>0</v>
      </c>
      <c r="L186" s="1067">
        <v>0</v>
      </c>
      <c r="M186" s="1067">
        <v>0</v>
      </c>
      <c r="N186" s="1067">
        <v>0</v>
      </c>
      <c r="O186" s="1067">
        <v>0</v>
      </c>
      <c r="P186" s="1067">
        <v>0</v>
      </c>
      <c r="Q186" s="1067">
        <v>0</v>
      </c>
      <c r="R186" s="1067">
        <v>0</v>
      </c>
      <c r="S186" s="1067">
        <v>0</v>
      </c>
      <c r="T186" s="1067">
        <v>0</v>
      </c>
      <c r="U186" s="1067">
        <v>0</v>
      </c>
    </row>
    <row r="187" spans="1:21">
      <c r="A187" s="1080" t="s">
        <v>838</v>
      </c>
      <c r="B187" s="736"/>
      <c r="C187" s="1067">
        <v>0</v>
      </c>
      <c r="D187" s="1067">
        <v>0</v>
      </c>
      <c r="E187" s="1067">
        <v>0</v>
      </c>
      <c r="F187" s="1067">
        <v>0</v>
      </c>
      <c r="G187" s="1067">
        <v>0</v>
      </c>
      <c r="H187" s="1067">
        <v>0</v>
      </c>
      <c r="I187" s="1067">
        <v>0</v>
      </c>
      <c r="J187" s="1067">
        <v>0</v>
      </c>
      <c r="K187" s="1067">
        <v>0</v>
      </c>
      <c r="L187" s="1067">
        <v>0</v>
      </c>
      <c r="M187" s="1067">
        <v>0</v>
      </c>
      <c r="N187" s="1067">
        <v>0</v>
      </c>
      <c r="O187" s="684">
        <v>0</v>
      </c>
      <c r="P187" s="1067">
        <v>30000000</v>
      </c>
      <c r="Q187" s="1067">
        <v>30000000</v>
      </c>
      <c r="R187" s="684">
        <v>30000000</v>
      </c>
      <c r="S187" s="684">
        <v>60000000</v>
      </c>
      <c r="T187" s="684">
        <v>60000000</v>
      </c>
      <c r="U187" s="684">
        <v>60000000</v>
      </c>
    </row>
    <row r="188" spans="1:21">
      <c r="A188" s="1080" t="s">
        <v>867</v>
      </c>
      <c r="B188" s="736"/>
      <c r="C188" s="1067">
        <v>0</v>
      </c>
      <c r="D188" s="1067">
        <v>0</v>
      </c>
      <c r="E188" s="1067">
        <v>0</v>
      </c>
      <c r="F188" s="1067">
        <v>0</v>
      </c>
      <c r="G188" s="684">
        <v>0</v>
      </c>
      <c r="H188" s="684">
        <v>250000</v>
      </c>
      <c r="I188" s="684">
        <v>550000</v>
      </c>
      <c r="J188" s="1067">
        <v>0</v>
      </c>
      <c r="K188" s="1067">
        <v>0</v>
      </c>
      <c r="L188" s="1067">
        <v>0</v>
      </c>
      <c r="M188" s="1067">
        <v>0</v>
      </c>
      <c r="N188" s="1067">
        <v>0</v>
      </c>
      <c r="O188" s="1067">
        <v>0</v>
      </c>
      <c r="P188" s="1067">
        <v>0</v>
      </c>
      <c r="Q188" s="1067">
        <v>0</v>
      </c>
      <c r="R188" s="1067">
        <v>0</v>
      </c>
      <c r="S188" s="1067">
        <v>0</v>
      </c>
      <c r="T188" s="1067">
        <v>0</v>
      </c>
      <c r="U188" s="1067">
        <v>0</v>
      </c>
    </row>
    <row r="189" spans="1:21">
      <c r="A189" s="6" t="s">
        <v>734</v>
      </c>
      <c r="B189" s="736"/>
      <c r="C189" s="641">
        <v>0</v>
      </c>
      <c r="D189" s="641">
        <v>0</v>
      </c>
      <c r="E189" s="641">
        <v>0</v>
      </c>
      <c r="F189" s="641">
        <v>0</v>
      </c>
      <c r="G189" s="641">
        <v>0</v>
      </c>
      <c r="H189" s="641">
        <v>0</v>
      </c>
      <c r="I189" s="641">
        <v>0</v>
      </c>
      <c r="J189" s="641">
        <v>0</v>
      </c>
      <c r="K189" s="641">
        <v>0</v>
      </c>
      <c r="L189" s="641">
        <v>0</v>
      </c>
      <c r="M189" s="641">
        <v>0</v>
      </c>
      <c r="N189" s="641">
        <v>0</v>
      </c>
      <c r="O189" s="641">
        <v>0</v>
      </c>
      <c r="P189" s="641">
        <v>0</v>
      </c>
      <c r="Q189" s="641">
        <v>0</v>
      </c>
      <c r="R189" s="641">
        <v>0</v>
      </c>
      <c r="S189" s="641">
        <v>0</v>
      </c>
      <c r="T189" s="641">
        <v>0</v>
      </c>
      <c r="U189" s="641">
        <v>0</v>
      </c>
    </row>
    <row r="190" spans="1:21">
      <c r="A190" s="6" t="s">
        <v>750</v>
      </c>
      <c r="B190" s="736"/>
      <c r="C190" s="1067">
        <v>0</v>
      </c>
      <c r="D190" s="1067">
        <v>0</v>
      </c>
      <c r="E190" s="1067">
        <v>0</v>
      </c>
      <c r="F190" s="1067">
        <v>0</v>
      </c>
      <c r="G190" s="1067">
        <v>0</v>
      </c>
      <c r="H190" s="1067">
        <v>0</v>
      </c>
      <c r="I190" s="1067">
        <v>0</v>
      </c>
      <c r="J190" s="1067">
        <v>0</v>
      </c>
      <c r="K190" s="1067">
        <v>0</v>
      </c>
      <c r="L190" s="1067">
        <v>0</v>
      </c>
      <c r="M190" s="1067">
        <v>0</v>
      </c>
      <c r="N190" s="1067">
        <v>0</v>
      </c>
      <c r="O190" s="1067">
        <v>0</v>
      </c>
      <c r="P190" s="1067">
        <v>0</v>
      </c>
      <c r="Q190" s="1067">
        <v>0</v>
      </c>
      <c r="R190" s="1067">
        <v>0</v>
      </c>
      <c r="S190" s="1067">
        <v>0</v>
      </c>
      <c r="T190" s="1067">
        <v>0</v>
      </c>
      <c r="U190" s="1067">
        <v>0</v>
      </c>
    </row>
    <row r="191" spans="1:21">
      <c r="A191" s="6" t="s">
        <v>751</v>
      </c>
      <c r="B191" s="736"/>
      <c r="C191" s="1067">
        <v>0</v>
      </c>
      <c r="D191" s="1067">
        <v>0</v>
      </c>
      <c r="E191" s="1067">
        <v>0</v>
      </c>
      <c r="F191" s="1067">
        <v>0</v>
      </c>
      <c r="G191" s="1067">
        <v>0</v>
      </c>
      <c r="H191" s="1067">
        <v>0</v>
      </c>
      <c r="I191" s="1067">
        <v>0</v>
      </c>
      <c r="J191" s="1067">
        <v>0</v>
      </c>
      <c r="K191" s="1067">
        <v>0</v>
      </c>
      <c r="L191" s="1067">
        <v>0</v>
      </c>
      <c r="M191" s="1067">
        <v>0</v>
      </c>
      <c r="N191" s="1067">
        <v>0</v>
      </c>
      <c r="O191" s="1067">
        <v>0</v>
      </c>
      <c r="P191" s="1067">
        <v>0</v>
      </c>
      <c r="Q191" s="1067">
        <v>0</v>
      </c>
      <c r="R191" s="1067">
        <v>0</v>
      </c>
      <c r="S191" s="1067">
        <v>0</v>
      </c>
      <c r="T191" s="1067">
        <v>0</v>
      </c>
      <c r="U191" s="1067">
        <v>0</v>
      </c>
    </row>
    <row r="192" spans="1:21">
      <c r="A192" s="6" t="s">
        <v>792</v>
      </c>
      <c r="B192" s="736"/>
      <c r="C192" s="1067">
        <v>75000</v>
      </c>
      <c r="D192" s="1067">
        <v>75000</v>
      </c>
      <c r="E192" s="1067">
        <v>75000</v>
      </c>
      <c r="F192" s="1067">
        <v>75000</v>
      </c>
      <c r="G192" s="1067">
        <v>75000</v>
      </c>
      <c r="H192" s="1067">
        <v>75000</v>
      </c>
      <c r="I192" s="1067">
        <v>75000</v>
      </c>
      <c r="J192" s="1067">
        <v>75000</v>
      </c>
      <c r="K192" s="1067">
        <v>75000</v>
      </c>
      <c r="L192" s="1067">
        <v>75000</v>
      </c>
      <c r="M192" s="1067">
        <v>75000</v>
      </c>
      <c r="N192" s="1067">
        <v>75000</v>
      </c>
      <c r="O192" s="1067">
        <v>75000</v>
      </c>
      <c r="P192" s="1067">
        <v>75000</v>
      </c>
      <c r="Q192" s="1067">
        <v>75000</v>
      </c>
      <c r="R192" s="1067">
        <v>75000</v>
      </c>
      <c r="S192" s="1067">
        <v>75000</v>
      </c>
      <c r="T192" s="1067">
        <v>75000</v>
      </c>
      <c r="U192" s="1067">
        <v>75000</v>
      </c>
    </row>
    <row r="193" spans="1:21">
      <c r="A193" s="6" t="s">
        <v>717</v>
      </c>
      <c r="B193" s="736"/>
      <c r="C193" s="641">
        <v>0</v>
      </c>
      <c r="D193" s="641">
        <v>0</v>
      </c>
      <c r="E193" s="641">
        <v>0</v>
      </c>
      <c r="F193" s="641">
        <v>0</v>
      </c>
      <c r="G193" s="641">
        <v>0</v>
      </c>
      <c r="H193" s="641">
        <v>0</v>
      </c>
      <c r="I193" s="641">
        <v>0</v>
      </c>
      <c r="J193" s="641">
        <v>0</v>
      </c>
      <c r="K193" s="641">
        <v>0</v>
      </c>
      <c r="L193" s="641">
        <v>0</v>
      </c>
      <c r="M193" s="641">
        <v>0</v>
      </c>
      <c r="N193" s="641">
        <v>0</v>
      </c>
      <c r="O193" s="641">
        <v>0</v>
      </c>
      <c r="P193" s="641">
        <v>0</v>
      </c>
      <c r="Q193" s="641">
        <v>0</v>
      </c>
      <c r="R193" s="641">
        <v>0</v>
      </c>
      <c r="S193" s="641">
        <v>0</v>
      </c>
      <c r="T193" s="641">
        <v>0</v>
      </c>
      <c r="U193" s="641">
        <v>0</v>
      </c>
    </row>
    <row r="194" spans="1:21">
      <c r="A194" s="6" t="s">
        <v>697</v>
      </c>
      <c r="B194" s="736"/>
      <c r="C194" s="641">
        <v>0</v>
      </c>
      <c r="D194" s="641">
        <v>0</v>
      </c>
      <c r="E194" s="641">
        <v>0</v>
      </c>
      <c r="F194" s="641">
        <v>0</v>
      </c>
      <c r="G194" s="641">
        <v>0</v>
      </c>
      <c r="H194" s="641">
        <v>0</v>
      </c>
      <c r="I194" s="641">
        <v>0</v>
      </c>
      <c r="J194" s="641">
        <v>0</v>
      </c>
      <c r="K194" s="641">
        <v>0</v>
      </c>
      <c r="L194" s="641">
        <v>0</v>
      </c>
      <c r="M194" s="641">
        <v>0</v>
      </c>
      <c r="N194" s="641">
        <v>0</v>
      </c>
      <c r="O194" s="641">
        <v>0</v>
      </c>
      <c r="P194" s="641">
        <v>0</v>
      </c>
      <c r="Q194" s="641">
        <v>0</v>
      </c>
      <c r="R194" s="641">
        <v>0</v>
      </c>
      <c r="S194" s="641">
        <v>0</v>
      </c>
      <c r="T194" s="641">
        <v>0</v>
      </c>
      <c r="U194" s="641">
        <v>0</v>
      </c>
    </row>
    <row r="195" spans="1:21">
      <c r="A195" s="6" t="s">
        <v>624</v>
      </c>
      <c r="B195" s="736"/>
      <c r="C195" s="1067">
        <v>2000000</v>
      </c>
      <c r="D195" s="1067">
        <v>2000000</v>
      </c>
      <c r="E195" s="1067">
        <v>2000000</v>
      </c>
      <c r="F195" s="1067">
        <v>2000000</v>
      </c>
      <c r="G195" s="1067">
        <v>2000000</v>
      </c>
      <c r="H195" s="1067">
        <v>2000000</v>
      </c>
      <c r="I195" s="1067">
        <v>2000000</v>
      </c>
      <c r="J195" s="1067">
        <v>2000000</v>
      </c>
      <c r="K195" s="1067">
        <v>2000000</v>
      </c>
      <c r="L195" s="1067">
        <v>2000000</v>
      </c>
      <c r="M195" s="1067">
        <v>2000000</v>
      </c>
      <c r="N195" s="1067">
        <v>2000000</v>
      </c>
      <c r="O195" s="1067">
        <v>2000000</v>
      </c>
      <c r="P195" s="1067">
        <v>2000000</v>
      </c>
      <c r="Q195" s="1067">
        <v>2000000</v>
      </c>
      <c r="R195" s="1067">
        <v>2000000</v>
      </c>
      <c r="S195" s="1067">
        <v>2000000</v>
      </c>
      <c r="T195" s="1067">
        <v>2000000</v>
      </c>
      <c r="U195" s="1067">
        <v>2000000</v>
      </c>
    </row>
    <row r="196" spans="1:21">
      <c r="A196" s="6" t="s">
        <v>119</v>
      </c>
      <c r="B196" s="736"/>
      <c r="C196" s="1067">
        <v>8500000</v>
      </c>
      <c r="D196" s="1067">
        <v>8500000</v>
      </c>
      <c r="E196" s="684">
        <v>8500000</v>
      </c>
      <c r="F196" s="1067">
        <v>7500000</v>
      </c>
      <c r="G196" s="1067">
        <v>7500000</v>
      </c>
      <c r="H196" s="1067">
        <v>7500000</v>
      </c>
      <c r="I196" s="1067">
        <v>7500000</v>
      </c>
      <c r="J196" s="1067">
        <v>7500000</v>
      </c>
      <c r="K196" s="684">
        <v>7500000</v>
      </c>
      <c r="L196" s="1067">
        <v>8500000</v>
      </c>
      <c r="M196" s="1067">
        <v>8500000</v>
      </c>
      <c r="N196" s="1067">
        <v>8500000</v>
      </c>
      <c r="O196" s="1067">
        <v>8500000</v>
      </c>
      <c r="P196" s="1067">
        <v>8500000</v>
      </c>
      <c r="Q196" s="1067">
        <v>8500000</v>
      </c>
      <c r="R196" s="1067">
        <v>8500000</v>
      </c>
      <c r="S196" s="1067">
        <v>8500000</v>
      </c>
      <c r="T196" s="1067">
        <v>8500000</v>
      </c>
      <c r="U196" s="1067">
        <v>8500000</v>
      </c>
    </row>
    <row r="197" spans="1:21">
      <c r="A197" s="6" t="s">
        <v>179</v>
      </c>
      <c r="B197" s="736"/>
      <c r="C197" s="1067">
        <v>0</v>
      </c>
      <c r="D197" s="1067">
        <v>0</v>
      </c>
      <c r="E197" s="1067">
        <v>0</v>
      </c>
      <c r="F197" s="1067">
        <v>0</v>
      </c>
      <c r="G197" s="1067">
        <v>0</v>
      </c>
      <c r="H197" s="1067">
        <v>0</v>
      </c>
      <c r="I197" s="1067">
        <v>0</v>
      </c>
      <c r="J197" s="1067">
        <v>0</v>
      </c>
      <c r="K197" s="1067">
        <v>0</v>
      </c>
      <c r="L197" s="1067">
        <v>0</v>
      </c>
      <c r="M197" s="1067">
        <v>0</v>
      </c>
      <c r="N197" s="1067">
        <v>0</v>
      </c>
      <c r="O197" s="1067">
        <v>0</v>
      </c>
      <c r="P197" s="1067">
        <v>0</v>
      </c>
      <c r="Q197" s="1067">
        <v>0</v>
      </c>
      <c r="R197" s="1067">
        <v>0</v>
      </c>
      <c r="S197" s="1067">
        <v>0</v>
      </c>
      <c r="T197" s="1067">
        <v>0</v>
      </c>
      <c r="U197" s="1067">
        <v>0</v>
      </c>
    </row>
    <row r="198" spans="1:21">
      <c r="A198" s="6" t="s">
        <v>756</v>
      </c>
      <c r="B198" s="736"/>
      <c r="C198" s="684">
        <v>37000000</v>
      </c>
      <c r="D198" s="1067">
        <v>47000000</v>
      </c>
      <c r="E198" s="1067">
        <v>47000000</v>
      </c>
      <c r="F198" s="1067">
        <v>47000000</v>
      </c>
      <c r="G198" s="1067">
        <v>47000000</v>
      </c>
      <c r="H198" s="1067">
        <v>47000000</v>
      </c>
      <c r="I198" s="1067">
        <v>47000000</v>
      </c>
      <c r="J198" s="1067">
        <v>47000000</v>
      </c>
      <c r="K198" s="1067">
        <v>47000000</v>
      </c>
      <c r="L198" s="1067">
        <v>47000000</v>
      </c>
      <c r="M198" s="1067">
        <v>47000000</v>
      </c>
      <c r="N198" s="1067">
        <v>47000000</v>
      </c>
      <c r="O198" s="1067">
        <v>47000000</v>
      </c>
      <c r="P198" s="1067">
        <v>47000000</v>
      </c>
      <c r="Q198" s="1067">
        <v>47000000</v>
      </c>
      <c r="R198" s="1067">
        <v>47000000</v>
      </c>
      <c r="S198" s="1067">
        <v>47000000</v>
      </c>
      <c r="T198" s="1067">
        <v>47000000</v>
      </c>
      <c r="U198" s="1067">
        <v>47000000</v>
      </c>
    </row>
    <row r="199" spans="1:21">
      <c r="A199" s="6" t="s">
        <v>161</v>
      </c>
      <c r="B199" s="736"/>
      <c r="C199" s="1067">
        <v>6500000</v>
      </c>
      <c r="D199" s="1067">
        <v>6500000</v>
      </c>
      <c r="E199" s="1067">
        <v>6500000</v>
      </c>
      <c r="F199" s="1067">
        <v>6500000</v>
      </c>
      <c r="G199" s="1067">
        <v>6500000</v>
      </c>
      <c r="H199" s="1067">
        <v>6500000</v>
      </c>
      <c r="I199" s="1067">
        <v>6500000</v>
      </c>
      <c r="J199" s="1067">
        <v>6500000</v>
      </c>
      <c r="K199" s="1067">
        <v>6500000</v>
      </c>
      <c r="L199" s="1067">
        <v>6500000</v>
      </c>
      <c r="M199" s="1067">
        <v>6500000</v>
      </c>
      <c r="N199" s="1067">
        <v>6500000</v>
      </c>
      <c r="O199" s="1067">
        <v>6500000</v>
      </c>
      <c r="P199" s="1067">
        <v>6500000</v>
      </c>
      <c r="Q199" s="1067">
        <v>6500000</v>
      </c>
      <c r="R199" s="1067">
        <v>6500000</v>
      </c>
      <c r="S199" s="1067">
        <v>6500000</v>
      </c>
      <c r="T199" s="1067">
        <v>6500000</v>
      </c>
      <c r="U199" s="1067">
        <v>6500000</v>
      </c>
    </row>
    <row r="200" spans="1:21" ht="16.2" thickBot="1">
      <c r="A200" s="7"/>
      <c r="B200" s="738"/>
      <c r="C200" s="848">
        <v>64050000</v>
      </c>
      <c r="D200" s="848">
        <v>73900000</v>
      </c>
      <c r="E200" s="848">
        <v>73900000</v>
      </c>
      <c r="F200" s="848">
        <v>72875000</v>
      </c>
      <c r="G200" s="848">
        <v>72875000</v>
      </c>
      <c r="H200" s="848">
        <v>73125000</v>
      </c>
      <c r="I200" s="848">
        <v>74425000</v>
      </c>
      <c r="J200" s="848">
        <v>73875000</v>
      </c>
      <c r="K200" s="848">
        <v>72875000</v>
      </c>
      <c r="L200" s="848">
        <v>73875000</v>
      </c>
      <c r="M200" s="848">
        <v>73875000</v>
      </c>
      <c r="N200" s="848">
        <v>73875000</v>
      </c>
      <c r="O200" s="848">
        <v>73875000</v>
      </c>
      <c r="P200" s="848">
        <v>104025000</v>
      </c>
      <c r="Q200" s="848">
        <v>103875000</v>
      </c>
      <c r="R200" s="848">
        <v>104875000</v>
      </c>
      <c r="S200" s="848">
        <v>134875000</v>
      </c>
      <c r="T200" s="848">
        <v>136375000</v>
      </c>
      <c r="U200" s="848">
        <v>76375000</v>
      </c>
    </row>
    <row r="201" spans="1:21" ht="16.2" thickBot="1">
      <c r="A201" s="9"/>
      <c r="B201" s="10"/>
      <c r="C201" s="869"/>
      <c r="D201" s="869"/>
      <c r="E201" s="869"/>
      <c r="F201" s="869"/>
      <c r="G201" s="869"/>
      <c r="H201" s="869"/>
      <c r="I201" s="869"/>
      <c r="J201" s="869"/>
      <c r="K201" s="869"/>
      <c r="L201" s="869"/>
      <c r="M201" s="869"/>
      <c r="N201" s="869"/>
      <c r="O201" s="869"/>
      <c r="P201" s="869"/>
      <c r="Q201" s="869"/>
      <c r="R201" s="869"/>
      <c r="S201" s="869"/>
      <c r="T201" s="869"/>
      <c r="U201" s="869"/>
    </row>
    <row r="202" spans="1:21" ht="16.2" thickBot="1">
      <c r="A202" s="768"/>
      <c r="B202" s="769"/>
      <c r="C202" s="868"/>
      <c r="D202" s="868"/>
      <c r="E202" s="868"/>
      <c r="F202" s="868"/>
      <c r="G202" s="868"/>
      <c r="H202" s="868"/>
      <c r="I202" s="868"/>
      <c r="J202" s="868"/>
      <c r="K202" s="868"/>
      <c r="L202" s="868"/>
      <c r="M202" s="868"/>
      <c r="N202" s="868"/>
      <c r="O202" s="868"/>
      <c r="P202" s="868"/>
      <c r="Q202" s="868"/>
      <c r="R202" s="868"/>
      <c r="S202" s="868"/>
      <c r="T202" s="868"/>
      <c r="U202" s="868"/>
    </row>
    <row r="203" spans="1:21" s="699" customFormat="1" ht="18.600000000000001" thickBot="1">
      <c r="A203" s="770" t="s">
        <v>35</v>
      </c>
      <c r="B203" s="771"/>
      <c r="C203" s="870">
        <v>214006660</v>
      </c>
      <c r="D203" s="870">
        <v>217423284</v>
      </c>
      <c r="E203" s="870">
        <v>216983781</v>
      </c>
      <c r="F203" s="870">
        <v>215899952</v>
      </c>
      <c r="G203" s="870">
        <v>216088949</v>
      </c>
      <c r="H203" s="870">
        <v>215160914</v>
      </c>
      <c r="I203" s="870">
        <v>214007937</v>
      </c>
      <c r="J203" s="870">
        <v>220508317</v>
      </c>
      <c r="K203" s="870">
        <v>216448588</v>
      </c>
      <c r="L203" s="870">
        <v>214951682</v>
      </c>
      <c r="M203" s="870">
        <v>215064015</v>
      </c>
      <c r="N203" s="870">
        <v>210633543</v>
      </c>
      <c r="O203" s="870">
        <v>213443055</v>
      </c>
      <c r="P203" s="870">
        <v>207901967</v>
      </c>
      <c r="Q203" s="870">
        <v>207727419</v>
      </c>
      <c r="R203" s="870">
        <v>209508632</v>
      </c>
      <c r="S203" s="870">
        <v>207256794</v>
      </c>
      <c r="T203" s="870">
        <v>205137431</v>
      </c>
      <c r="U203" s="870">
        <v>265431255</v>
      </c>
    </row>
    <row r="204" spans="1:21" s="699" customFormat="1" ht="18">
      <c r="A204" s="772"/>
      <c r="B204" s="773"/>
      <c r="C204" s="871"/>
      <c r="D204" s="871"/>
      <c r="E204" s="871"/>
      <c r="F204" s="871"/>
      <c r="G204" s="871"/>
      <c r="H204" s="871"/>
      <c r="I204" s="871"/>
      <c r="J204" s="871"/>
      <c r="K204" s="871"/>
      <c r="L204" s="871"/>
      <c r="M204" s="871"/>
      <c r="N204" s="871"/>
      <c r="O204" s="871"/>
      <c r="P204" s="871"/>
      <c r="Q204" s="871"/>
      <c r="R204" s="871"/>
      <c r="S204" s="871"/>
      <c r="T204" s="871"/>
      <c r="U204" s="871"/>
    </row>
    <row r="205" spans="1:21">
      <c r="A205" s="5"/>
      <c r="B205"/>
      <c r="C205" s="852"/>
      <c r="D205" s="852"/>
      <c r="E205" s="852"/>
      <c r="F205" s="852"/>
      <c r="G205" s="852"/>
      <c r="H205" s="852"/>
      <c r="I205" s="852"/>
      <c r="J205" s="852"/>
      <c r="K205" s="852"/>
      <c r="L205" s="852"/>
      <c r="M205" s="852"/>
      <c r="N205" s="852"/>
      <c r="O205" s="852"/>
      <c r="P205" s="852"/>
      <c r="Q205" s="852"/>
      <c r="R205" s="852"/>
      <c r="S205" s="852"/>
      <c r="T205" s="852"/>
      <c r="U205" s="852"/>
    </row>
    <row r="206" spans="1:21">
      <c r="A206" s="5" t="s">
        <v>25</v>
      </c>
      <c r="B206"/>
      <c r="C206" s="8">
        <v>267179827</v>
      </c>
      <c r="D206" s="8">
        <v>279806451</v>
      </c>
      <c r="E206" s="8">
        <v>279366948</v>
      </c>
      <c r="F206" s="8">
        <v>276668119</v>
      </c>
      <c r="G206" s="8">
        <v>277107116</v>
      </c>
      <c r="H206" s="8">
        <v>276429081</v>
      </c>
      <c r="I206" s="8">
        <v>276576104</v>
      </c>
      <c r="J206" s="8">
        <v>282526484</v>
      </c>
      <c r="K206" s="8">
        <v>276656755</v>
      </c>
      <c r="L206" s="8">
        <v>274159849</v>
      </c>
      <c r="M206" s="8">
        <v>276522182</v>
      </c>
      <c r="N206" s="8">
        <v>272091710</v>
      </c>
      <c r="O206" s="8">
        <v>275101222</v>
      </c>
      <c r="P206" s="8">
        <v>299915134</v>
      </c>
      <c r="Q206" s="8">
        <v>299070586</v>
      </c>
      <c r="R206" s="8">
        <v>302851799</v>
      </c>
      <c r="S206" s="8">
        <v>332599961</v>
      </c>
      <c r="T206" s="8">
        <v>331980598</v>
      </c>
      <c r="U206" s="8">
        <v>332274422</v>
      </c>
    </row>
    <row r="207" spans="1:21" ht="18">
      <c r="A207" s="774" t="s">
        <v>13</v>
      </c>
      <c r="B207" s="2"/>
      <c r="C207" s="24">
        <v>214006660</v>
      </c>
      <c r="D207" s="24">
        <v>217423284</v>
      </c>
      <c r="E207" s="24">
        <v>216983781</v>
      </c>
      <c r="F207" s="24">
        <v>215899952</v>
      </c>
      <c r="G207" s="24">
        <v>216088949</v>
      </c>
      <c r="H207" s="24">
        <v>215160914</v>
      </c>
      <c r="I207" s="24">
        <v>214007937</v>
      </c>
      <c r="J207" s="24">
        <v>220508317</v>
      </c>
      <c r="K207" s="24">
        <v>216448588</v>
      </c>
      <c r="L207" s="24">
        <v>214951682</v>
      </c>
      <c r="M207" s="24">
        <v>215064015</v>
      </c>
      <c r="N207" s="24">
        <v>210633543</v>
      </c>
      <c r="O207" s="24">
        <v>213443055</v>
      </c>
      <c r="P207" s="24">
        <v>207901967</v>
      </c>
      <c r="Q207" s="24">
        <v>207727419</v>
      </c>
      <c r="R207" s="24">
        <v>209508632</v>
      </c>
      <c r="S207" s="24">
        <v>207256794</v>
      </c>
      <c r="T207" s="24">
        <v>205137431</v>
      </c>
      <c r="U207" s="24">
        <v>265431255</v>
      </c>
    </row>
    <row r="208" spans="1:21" ht="18">
      <c r="A208" s="774"/>
      <c r="B208" s="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4" ht="15" thickBot="1">
      <c r="A209" s="5"/>
      <c r="B20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4">
      <c r="A210" s="775" t="s">
        <v>18</v>
      </c>
      <c r="B210" s="726"/>
      <c r="C210" s="700">
        <v>-12626624</v>
      </c>
      <c r="D210" s="700">
        <v>439503</v>
      </c>
      <c r="E210" s="700">
        <v>2698829</v>
      </c>
      <c r="F210" s="700">
        <v>-438997</v>
      </c>
      <c r="G210" s="700">
        <v>678035</v>
      </c>
      <c r="H210" s="700">
        <v>-147023</v>
      </c>
      <c r="I210" s="700">
        <v>-5950380</v>
      </c>
      <c r="J210" s="700">
        <v>5869729</v>
      </c>
      <c r="K210" s="700">
        <v>2496906</v>
      </c>
      <c r="L210" s="700">
        <v>-2362333</v>
      </c>
      <c r="M210" s="700">
        <v>4430472</v>
      </c>
      <c r="N210" s="700">
        <v>-3009512</v>
      </c>
      <c r="O210" s="700">
        <v>-24813912</v>
      </c>
      <c r="P210" s="700">
        <v>844548</v>
      </c>
      <c r="Q210" s="700">
        <v>-3781213</v>
      </c>
      <c r="R210" s="700">
        <v>-29748162</v>
      </c>
      <c r="S210" s="700">
        <v>619363</v>
      </c>
      <c r="T210" s="700">
        <v>-293824</v>
      </c>
      <c r="U210" s="700">
        <v>0</v>
      </c>
    </row>
    <row r="211" spans="1:24" ht="15" thickBot="1">
      <c r="A211" s="5"/>
      <c r="B211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4">
      <c r="A212" s="776"/>
      <c r="B212" s="777"/>
      <c r="C212" s="872"/>
      <c r="D212" s="872"/>
      <c r="E212" s="872"/>
      <c r="F212" s="872"/>
      <c r="G212" s="872"/>
      <c r="H212" s="872"/>
      <c r="I212" s="872"/>
      <c r="J212" s="872"/>
      <c r="K212" s="872"/>
      <c r="L212" s="872"/>
      <c r="M212" s="872"/>
      <c r="N212" s="872"/>
      <c r="O212" s="872"/>
      <c r="P212" s="872"/>
      <c r="Q212" s="872"/>
      <c r="R212" s="872"/>
      <c r="S212" s="872"/>
      <c r="T212" s="872"/>
      <c r="U212" s="872"/>
    </row>
    <row r="213" spans="1:24">
      <c r="A213" s="20" t="s">
        <v>183</v>
      </c>
      <c r="B213" s="778"/>
      <c r="C213" s="873">
        <v>374500</v>
      </c>
      <c r="D213" s="873">
        <v>350000</v>
      </c>
      <c r="E213" s="873">
        <v>576000</v>
      </c>
      <c r="F213" s="873">
        <v>695000</v>
      </c>
      <c r="G213" s="873">
        <v>582000</v>
      </c>
      <c r="H213" s="873">
        <v>1178000</v>
      </c>
      <c r="I213" s="873">
        <v>687000</v>
      </c>
      <c r="J213" s="873">
        <v>1026000</v>
      </c>
      <c r="K213" s="873">
        <v>587560</v>
      </c>
      <c r="L213" s="873">
        <v>448000</v>
      </c>
      <c r="M213" s="873">
        <v>853000</v>
      </c>
      <c r="N213" s="873">
        <v>392999</v>
      </c>
      <c r="O213" s="873">
        <v>1655500</v>
      </c>
      <c r="P213" s="873">
        <v>595000</v>
      </c>
      <c r="Q213" s="873">
        <v>648500</v>
      </c>
      <c r="R213" s="873">
        <v>763000</v>
      </c>
      <c r="S213" s="873">
        <v>1485806</v>
      </c>
      <c r="T213" s="873">
        <v>586194</v>
      </c>
      <c r="U213" s="873">
        <v>0</v>
      </c>
    </row>
    <row r="214" spans="1:24">
      <c r="A214" s="20" t="s">
        <v>24</v>
      </c>
      <c r="B214" s="778"/>
      <c r="C214" s="873">
        <v>324500</v>
      </c>
      <c r="D214" s="873">
        <v>300000</v>
      </c>
      <c r="E214" s="873">
        <v>501000</v>
      </c>
      <c r="F214" s="873">
        <v>595000</v>
      </c>
      <c r="G214" s="873">
        <v>302000</v>
      </c>
      <c r="H214" s="873">
        <v>1178000</v>
      </c>
      <c r="I214" s="873">
        <v>587000</v>
      </c>
      <c r="J214" s="873">
        <v>926000</v>
      </c>
      <c r="K214" s="873">
        <v>537560</v>
      </c>
      <c r="L214" s="873">
        <v>398000</v>
      </c>
      <c r="M214" s="873">
        <v>753000</v>
      </c>
      <c r="N214" s="873">
        <v>292999</v>
      </c>
      <c r="O214" s="873">
        <v>1155500</v>
      </c>
      <c r="P214" s="873">
        <v>545000</v>
      </c>
      <c r="Q214" s="873">
        <v>548500</v>
      </c>
      <c r="R214" s="873">
        <v>513000</v>
      </c>
      <c r="S214" s="873">
        <v>1485806</v>
      </c>
      <c r="T214" s="873">
        <v>586194</v>
      </c>
      <c r="U214" s="873">
        <v>0</v>
      </c>
    </row>
    <row r="215" spans="1:24">
      <c r="A215" s="28" t="s">
        <v>19</v>
      </c>
      <c r="B215" s="746" t="s">
        <v>283</v>
      </c>
      <c r="C215" s="874">
        <v>0</v>
      </c>
      <c r="D215" s="874">
        <v>0</v>
      </c>
      <c r="E215" s="874">
        <v>0</v>
      </c>
      <c r="F215" s="874">
        <v>1180000</v>
      </c>
      <c r="G215" s="874">
        <v>1349000</v>
      </c>
      <c r="H215" s="874">
        <v>1673000</v>
      </c>
      <c r="I215" s="874">
        <v>0</v>
      </c>
      <c r="J215" s="874">
        <v>0</v>
      </c>
      <c r="K215" s="874">
        <v>521000</v>
      </c>
      <c r="L215" s="874">
        <v>2608000</v>
      </c>
      <c r="M215" s="874">
        <v>1160000</v>
      </c>
      <c r="N215" s="874">
        <v>0</v>
      </c>
      <c r="O215" s="874">
        <v>2417000</v>
      </c>
      <c r="P215" s="874">
        <v>0</v>
      </c>
      <c r="Q215" s="874">
        <v>2907000</v>
      </c>
      <c r="R215" s="874">
        <v>0</v>
      </c>
      <c r="S215" s="874">
        <v>1705000</v>
      </c>
      <c r="T215" s="874">
        <v>290000</v>
      </c>
      <c r="U215" s="874">
        <v>0</v>
      </c>
    </row>
    <row r="216" spans="1:24" s="265" customFormat="1">
      <c r="A216" s="779" t="s">
        <v>189</v>
      </c>
      <c r="B216" s="780"/>
      <c r="C216" s="701">
        <v>15810000</v>
      </c>
      <c r="D216" s="701">
        <v>15810000</v>
      </c>
      <c r="E216" s="701">
        <v>15810000</v>
      </c>
      <c r="F216" s="701">
        <v>15810000</v>
      </c>
      <c r="G216" s="701">
        <v>14630000</v>
      </c>
      <c r="H216" s="701">
        <v>13281000</v>
      </c>
      <c r="I216" s="701">
        <v>11608000</v>
      </c>
      <c r="J216" s="701">
        <v>11608000</v>
      </c>
      <c r="K216" s="701">
        <v>11608000</v>
      </c>
      <c r="L216" s="701">
        <v>11087000</v>
      </c>
      <c r="M216" s="701">
        <v>8479000</v>
      </c>
      <c r="N216" s="701">
        <v>7319000</v>
      </c>
      <c r="O216" s="701">
        <v>7319000</v>
      </c>
      <c r="P216" s="701">
        <v>4902000</v>
      </c>
      <c r="Q216" s="701">
        <v>4902000</v>
      </c>
      <c r="R216" s="701">
        <v>1995000</v>
      </c>
      <c r="S216" s="701">
        <v>1995000</v>
      </c>
      <c r="T216" s="701">
        <v>290000</v>
      </c>
      <c r="U216" s="701">
        <v>0</v>
      </c>
    </row>
    <row r="217" spans="1:24">
      <c r="A217" s="28" t="s">
        <v>180</v>
      </c>
      <c r="B217" s="746" t="s">
        <v>284</v>
      </c>
      <c r="C217" s="874">
        <v>50000</v>
      </c>
      <c r="D217" s="874">
        <v>50000</v>
      </c>
      <c r="E217" s="874">
        <v>75000</v>
      </c>
      <c r="F217" s="874">
        <v>100000</v>
      </c>
      <c r="G217" s="874">
        <v>280000</v>
      </c>
      <c r="H217" s="874">
        <v>0</v>
      </c>
      <c r="I217" s="874">
        <v>100000</v>
      </c>
      <c r="J217" s="874">
        <v>100000</v>
      </c>
      <c r="K217" s="874">
        <v>50000</v>
      </c>
      <c r="L217" s="874">
        <v>50000</v>
      </c>
      <c r="M217" s="874">
        <v>100000</v>
      </c>
      <c r="N217" s="874">
        <v>100000</v>
      </c>
      <c r="O217" s="874">
        <v>500000</v>
      </c>
      <c r="P217" s="874">
        <v>50000</v>
      </c>
      <c r="Q217" s="874">
        <v>100000</v>
      </c>
      <c r="R217" s="874">
        <v>250000</v>
      </c>
      <c r="S217" s="874">
        <v>0</v>
      </c>
      <c r="T217" s="874">
        <v>0</v>
      </c>
      <c r="U217" s="874">
        <v>0</v>
      </c>
    </row>
    <row r="218" spans="1:24" s="265" customFormat="1">
      <c r="A218" s="779" t="s">
        <v>190</v>
      </c>
      <c r="B218" s="780"/>
      <c r="C218" s="702">
        <v>1955000</v>
      </c>
      <c r="D218" s="702">
        <v>1905000</v>
      </c>
      <c r="E218" s="702">
        <v>1855000</v>
      </c>
      <c r="F218" s="702">
        <v>1780000</v>
      </c>
      <c r="G218" s="702">
        <v>1680000</v>
      </c>
      <c r="H218" s="702">
        <v>1400000</v>
      </c>
      <c r="I218" s="702">
        <v>1400000</v>
      </c>
      <c r="J218" s="702">
        <v>1300000</v>
      </c>
      <c r="K218" s="702">
        <v>1200000</v>
      </c>
      <c r="L218" s="702">
        <v>1150000</v>
      </c>
      <c r="M218" s="702">
        <v>1100000</v>
      </c>
      <c r="N218" s="702">
        <v>1000000</v>
      </c>
      <c r="O218" s="702">
        <v>900000</v>
      </c>
      <c r="P218" s="702">
        <v>400000</v>
      </c>
      <c r="Q218" s="702">
        <v>350000</v>
      </c>
      <c r="R218" s="702">
        <v>250000</v>
      </c>
      <c r="S218" s="702">
        <v>0</v>
      </c>
      <c r="T218" s="702">
        <v>0</v>
      </c>
      <c r="U218" s="702">
        <v>0</v>
      </c>
    </row>
    <row r="219" spans="1:24">
      <c r="A219" s="20"/>
      <c r="B219" s="781"/>
      <c r="C219" s="873"/>
      <c r="D219" s="873"/>
      <c r="E219" s="873"/>
      <c r="F219" s="873"/>
      <c r="G219" s="873"/>
      <c r="H219" s="873"/>
      <c r="I219" s="873"/>
      <c r="J219" s="873"/>
      <c r="K219" s="873"/>
      <c r="L219" s="873"/>
      <c r="M219" s="873"/>
      <c r="N219" s="873"/>
      <c r="O219" s="873"/>
      <c r="P219" s="873"/>
      <c r="Q219" s="873"/>
      <c r="R219" s="873"/>
      <c r="S219" s="873"/>
      <c r="T219" s="873"/>
      <c r="U219" s="873">
        <v>0</v>
      </c>
    </row>
    <row r="220" spans="1:24">
      <c r="A220" s="28" t="s">
        <v>63</v>
      </c>
      <c r="B220" s="746" t="s">
        <v>285</v>
      </c>
      <c r="C220" s="875">
        <v>0</v>
      </c>
      <c r="D220" s="875">
        <v>0</v>
      </c>
      <c r="E220" s="875">
        <v>0</v>
      </c>
      <c r="F220" s="875">
        <v>0</v>
      </c>
      <c r="G220" s="875">
        <v>0</v>
      </c>
      <c r="H220" s="875">
        <v>0</v>
      </c>
      <c r="I220" s="875">
        <v>0</v>
      </c>
      <c r="J220" s="875">
        <v>0</v>
      </c>
      <c r="K220" s="875">
        <v>0</v>
      </c>
      <c r="L220" s="875">
        <v>0</v>
      </c>
      <c r="M220" s="875">
        <v>0</v>
      </c>
      <c r="N220" s="875">
        <v>0</v>
      </c>
      <c r="O220" s="875">
        <v>0</v>
      </c>
      <c r="P220" s="875">
        <v>0</v>
      </c>
      <c r="Q220" s="875">
        <v>0</v>
      </c>
      <c r="R220" s="875">
        <v>0</v>
      </c>
      <c r="S220" s="875">
        <v>0</v>
      </c>
      <c r="T220" s="875">
        <v>0</v>
      </c>
      <c r="U220" s="875">
        <v>0</v>
      </c>
      <c r="X220" s="703"/>
    </row>
    <row r="221" spans="1:24">
      <c r="A221" s="28" t="s">
        <v>12</v>
      </c>
      <c r="B221" s="746" t="s">
        <v>286</v>
      </c>
      <c r="C221" s="875">
        <v>0</v>
      </c>
      <c r="D221" s="875">
        <v>0</v>
      </c>
      <c r="E221" s="875">
        <v>0</v>
      </c>
      <c r="F221" s="875">
        <v>0</v>
      </c>
      <c r="G221" s="875">
        <v>0</v>
      </c>
      <c r="H221" s="875">
        <v>0</v>
      </c>
      <c r="I221" s="875">
        <v>0</v>
      </c>
      <c r="J221" s="875">
        <v>0</v>
      </c>
      <c r="K221" s="875">
        <v>0</v>
      </c>
      <c r="L221" s="875">
        <v>0</v>
      </c>
      <c r="M221" s="875">
        <v>0</v>
      </c>
      <c r="N221" s="875">
        <v>0</v>
      </c>
      <c r="O221" s="875">
        <v>0</v>
      </c>
      <c r="P221" s="875">
        <v>0</v>
      </c>
      <c r="Q221" s="875">
        <v>0</v>
      </c>
      <c r="R221" s="875">
        <v>0</v>
      </c>
      <c r="S221" s="875">
        <v>0</v>
      </c>
      <c r="T221" s="875">
        <v>0</v>
      </c>
      <c r="U221" s="875">
        <v>0</v>
      </c>
    </row>
    <row r="222" spans="1:24">
      <c r="A222" s="1"/>
      <c r="B222" s="748"/>
      <c r="C222" s="876"/>
      <c r="D222" s="876"/>
      <c r="E222" s="876"/>
      <c r="F222" s="876"/>
      <c r="G222" s="876"/>
      <c r="H222" s="876"/>
      <c r="I222" s="876"/>
      <c r="J222" s="876"/>
      <c r="K222" s="876"/>
      <c r="L222" s="876"/>
      <c r="M222" s="876"/>
      <c r="N222" s="876"/>
      <c r="O222" s="876"/>
      <c r="P222" s="876"/>
      <c r="Q222" s="876"/>
      <c r="R222" s="876"/>
      <c r="S222" s="876"/>
      <c r="T222" s="876"/>
      <c r="U222" s="876"/>
    </row>
    <row r="223" spans="1:24">
      <c r="A223" s="782" t="s">
        <v>47</v>
      </c>
      <c r="B223" s="781"/>
      <c r="C223" s="702">
        <v>-2325941</v>
      </c>
      <c r="D223" s="702">
        <v>-2700441</v>
      </c>
      <c r="E223" s="702">
        <v>-3050441</v>
      </c>
      <c r="F223" s="702">
        <v>-3626441</v>
      </c>
      <c r="G223" s="702">
        <v>-3141441</v>
      </c>
      <c r="H223" s="702">
        <v>-2374441</v>
      </c>
      <c r="I223" s="702">
        <v>-1879441</v>
      </c>
      <c r="J223" s="702">
        <v>-2566441</v>
      </c>
      <c r="K223" s="702">
        <v>-3592441</v>
      </c>
      <c r="L223" s="702">
        <v>-3659001</v>
      </c>
      <c r="M223" s="702">
        <v>-1499001</v>
      </c>
      <c r="N223" s="702">
        <v>-1192001</v>
      </c>
      <c r="O223" s="702">
        <v>-1585000</v>
      </c>
      <c r="P223" s="702">
        <v>-823500</v>
      </c>
      <c r="Q223" s="702">
        <v>-1418500</v>
      </c>
      <c r="R223" s="702">
        <v>840000</v>
      </c>
      <c r="S223" s="702">
        <v>77000</v>
      </c>
      <c r="T223" s="702">
        <v>296194</v>
      </c>
      <c r="U223" s="702">
        <v>0</v>
      </c>
    </row>
    <row r="224" spans="1:24">
      <c r="A224" s="1"/>
      <c r="B224" s="748"/>
      <c r="C224" s="876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  <c r="O224" s="876"/>
      <c r="P224" s="876"/>
      <c r="Q224" s="876"/>
      <c r="R224" s="876"/>
      <c r="S224" s="876"/>
      <c r="T224" s="876"/>
      <c r="U224" s="876"/>
    </row>
    <row r="225" spans="1:21">
      <c r="A225" s="28" t="s">
        <v>21</v>
      </c>
      <c r="B225" s="746" t="s">
        <v>287</v>
      </c>
      <c r="C225" s="875">
        <v>0</v>
      </c>
      <c r="D225" s="875">
        <v>0</v>
      </c>
      <c r="E225" s="875">
        <v>660000</v>
      </c>
      <c r="F225" s="875">
        <v>550000</v>
      </c>
      <c r="G225" s="875">
        <v>0</v>
      </c>
      <c r="H225" s="875">
        <v>0</v>
      </c>
      <c r="I225" s="875">
        <v>0</v>
      </c>
      <c r="J225" s="875">
        <v>190000</v>
      </c>
      <c r="K225" s="875">
        <v>0</v>
      </c>
      <c r="L225" s="875">
        <v>2250000</v>
      </c>
      <c r="M225" s="875">
        <v>0</v>
      </c>
      <c r="N225" s="875">
        <v>200000</v>
      </c>
      <c r="O225" s="875">
        <v>205000</v>
      </c>
      <c r="P225" s="875">
        <v>0</v>
      </c>
      <c r="Q225" s="875">
        <v>1000000</v>
      </c>
      <c r="R225" s="875">
        <v>2000000</v>
      </c>
      <c r="S225" s="875">
        <v>0</v>
      </c>
      <c r="T225" s="875">
        <v>0</v>
      </c>
      <c r="U225" s="875">
        <v>0</v>
      </c>
    </row>
    <row r="226" spans="1:21">
      <c r="A226" s="28" t="s">
        <v>64</v>
      </c>
      <c r="B226" s="746" t="s">
        <v>281</v>
      </c>
      <c r="C226" s="875">
        <v>640000</v>
      </c>
      <c r="D226" s="875">
        <v>0</v>
      </c>
      <c r="E226" s="875">
        <v>1275000</v>
      </c>
      <c r="F226" s="875">
        <v>300000</v>
      </c>
      <c r="G226" s="875">
        <v>0</v>
      </c>
      <c r="H226" s="875">
        <v>0</v>
      </c>
      <c r="I226" s="875">
        <v>0</v>
      </c>
      <c r="J226" s="875">
        <v>0</v>
      </c>
      <c r="K226" s="875">
        <v>2000000</v>
      </c>
      <c r="L226" s="875">
        <v>0</v>
      </c>
      <c r="M226" s="875">
        <v>0</v>
      </c>
      <c r="N226" s="875">
        <v>0</v>
      </c>
      <c r="O226" s="875">
        <v>1000000</v>
      </c>
      <c r="P226" s="875">
        <v>0</v>
      </c>
      <c r="Q226" s="875">
        <v>0</v>
      </c>
      <c r="R226" s="875">
        <v>0</v>
      </c>
      <c r="S226" s="875">
        <v>0</v>
      </c>
      <c r="T226" s="875">
        <v>0</v>
      </c>
      <c r="U226" s="875">
        <v>0</v>
      </c>
    </row>
    <row r="227" spans="1:21">
      <c r="A227" s="1"/>
      <c r="B227" s="748"/>
      <c r="C227" s="876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  <c r="O227" s="876"/>
      <c r="P227" s="876"/>
      <c r="Q227" s="876"/>
      <c r="R227" s="876"/>
      <c r="S227" s="876"/>
      <c r="T227" s="876"/>
      <c r="U227" s="876"/>
    </row>
    <row r="228" spans="1:21">
      <c r="A228" s="1444" t="s">
        <v>324</v>
      </c>
      <c r="B228" s="1445"/>
      <c r="C228" s="1069">
        <v>7000</v>
      </c>
      <c r="D228" s="1069">
        <v>7000</v>
      </c>
      <c r="E228" s="1069">
        <v>7000</v>
      </c>
      <c r="F228" s="1069">
        <v>7000</v>
      </c>
      <c r="G228" s="1069">
        <v>7000</v>
      </c>
      <c r="H228" s="1069">
        <v>7000</v>
      </c>
      <c r="I228" s="1069">
        <v>7000</v>
      </c>
      <c r="J228" s="1069">
        <v>7000</v>
      </c>
      <c r="K228" s="1069">
        <v>7000</v>
      </c>
      <c r="L228" s="1069">
        <v>7000</v>
      </c>
      <c r="M228" s="1069">
        <v>7000</v>
      </c>
      <c r="N228" s="1069">
        <v>7000</v>
      </c>
      <c r="O228" s="1069">
        <v>7000</v>
      </c>
      <c r="P228" s="1069">
        <v>7000</v>
      </c>
      <c r="Q228" s="1069">
        <v>7000</v>
      </c>
      <c r="R228" s="1069">
        <v>7000</v>
      </c>
      <c r="S228" s="1069">
        <v>0</v>
      </c>
      <c r="T228" s="1069">
        <v>21000</v>
      </c>
      <c r="U228" s="1069">
        <v>0</v>
      </c>
    </row>
    <row r="229" spans="1:21">
      <c r="A229" s="1444" t="s">
        <v>325</v>
      </c>
      <c r="B229" s="1445"/>
      <c r="C229" s="1069">
        <v>0</v>
      </c>
      <c r="D229" s="1069">
        <v>0</v>
      </c>
      <c r="E229" s="1069">
        <v>0</v>
      </c>
      <c r="F229" s="1069">
        <v>0</v>
      </c>
      <c r="G229" s="1069">
        <v>0</v>
      </c>
      <c r="H229" s="1069">
        <v>0</v>
      </c>
      <c r="I229" s="1069">
        <v>0</v>
      </c>
      <c r="J229" s="1069">
        <v>0</v>
      </c>
      <c r="K229" s="1069">
        <v>0</v>
      </c>
      <c r="L229" s="1069">
        <v>0</v>
      </c>
      <c r="M229" s="1069">
        <v>0</v>
      </c>
      <c r="N229" s="1069">
        <v>0</v>
      </c>
      <c r="O229" s="1069">
        <v>0</v>
      </c>
      <c r="P229" s="1069">
        <v>0</v>
      </c>
      <c r="Q229" s="1069">
        <v>0</v>
      </c>
      <c r="R229" s="1069">
        <v>0</v>
      </c>
      <c r="S229" s="1069">
        <v>0</v>
      </c>
      <c r="T229" s="1069">
        <v>26050</v>
      </c>
      <c r="U229" s="1069">
        <v>0</v>
      </c>
    </row>
    <row r="230" spans="1:21">
      <c r="A230" s="1181" t="s">
        <v>339</v>
      </c>
      <c r="B230" s="784"/>
      <c r="C230" s="1069">
        <v>0</v>
      </c>
      <c r="D230" s="1069">
        <v>0</v>
      </c>
      <c r="E230" s="1069">
        <v>0</v>
      </c>
      <c r="F230" s="1069">
        <v>0</v>
      </c>
      <c r="G230" s="1069">
        <v>0</v>
      </c>
      <c r="H230" s="1069">
        <v>0</v>
      </c>
      <c r="I230" s="1069">
        <v>0</v>
      </c>
      <c r="J230" s="1069">
        <v>0</v>
      </c>
      <c r="K230" s="1069">
        <v>0</v>
      </c>
      <c r="L230" s="1069">
        <v>0</v>
      </c>
      <c r="M230" s="1069">
        <v>0</v>
      </c>
      <c r="N230" s="1069">
        <v>0</v>
      </c>
      <c r="O230" s="1069">
        <v>0</v>
      </c>
      <c r="P230" s="1069">
        <v>0</v>
      </c>
      <c r="Q230" s="1069">
        <v>0</v>
      </c>
      <c r="R230" s="1069">
        <v>0</v>
      </c>
      <c r="S230" s="1069">
        <v>0</v>
      </c>
      <c r="T230" s="1069">
        <v>0</v>
      </c>
      <c r="U230" s="1069">
        <v>0</v>
      </c>
    </row>
    <row r="231" spans="1:21">
      <c r="A231" s="1181" t="s">
        <v>561</v>
      </c>
      <c r="B231" s="784"/>
      <c r="C231" s="1069">
        <v>7000</v>
      </c>
      <c r="D231" s="1069">
        <v>7000</v>
      </c>
      <c r="E231" s="1069">
        <v>7000</v>
      </c>
      <c r="F231" s="1069">
        <v>7000</v>
      </c>
      <c r="G231" s="1069">
        <v>7000</v>
      </c>
      <c r="H231" s="1069">
        <v>7000</v>
      </c>
      <c r="I231" s="1069">
        <v>7000</v>
      </c>
      <c r="J231" s="1069">
        <v>7000</v>
      </c>
      <c r="K231" s="1069">
        <v>7000</v>
      </c>
      <c r="L231" s="1069">
        <v>7000</v>
      </c>
      <c r="M231" s="1069">
        <v>7000</v>
      </c>
      <c r="N231" s="1069">
        <v>7000</v>
      </c>
      <c r="O231" s="1069">
        <v>7000</v>
      </c>
      <c r="P231" s="1069">
        <v>7000</v>
      </c>
      <c r="Q231" s="1069">
        <v>7000</v>
      </c>
      <c r="R231" s="1069">
        <v>7000</v>
      </c>
      <c r="S231" s="1069">
        <v>0</v>
      </c>
      <c r="T231" s="1069">
        <v>7000</v>
      </c>
      <c r="U231" s="1069">
        <v>0</v>
      </c>
    </row>
    <row r="232" spans="1:21">
      <c r="A232" s="1162"/>
      <c r="B232" s="784"/>
      <c r="C232" s="1069"/>
      <c r="D232" s="1069"/>
      <c r="E232" s="1069"/>
      <c r="F232" s="1069"/>
      <c r="G232" s="1069"/>
      <c r="H232" s="1069"/>
      <c r="I232" s="1069"/>
      <c r="J232" s="1069"/>
      <c r="K232" s="1069"/>
      <c r="L232" s="1069"/>
      <c r="M232" s="1069"/>
      <c r="N232" s="1069"/>
      <c r="O232" s="1069"/>
      <c r="P232" s="1069"/>
      <c r="Q232" s="1069"/>
      <c r="R232" s="1069"/>
      <c r="S232" s="1069"/>
      <c r="T232" s="1069"/>
      <c r="U232" s="1069"/>
    </row>
    <row r="233" spans="1:21">
      <c r="A233" s="1162"/>
      <c r="B233" s="784"/>
      <c r="C233" s="1069"/>
      <c r="D233" s="1069"/>
      <c r="E233" s="1069"/>
      <c r="F233" s="1069"/>
      <c r="G233" s="1069"/>
      <c r="H233" s="1069"/>
      <c r="I233" s="1069"/>
      <c r="J233" s="1069"/>
      <c r="K233" s="1069"/>
      <c r="L233" s="1069"/>
      <c r="M233" s="1069"/>
      <c r="N233" s="1069"/>
      <c r="O233" s="1069"/>
      <c r="P233" s="1069"/>
      <c r="Q233" s="1069"/>
      <c r="R233" s="1069"/>
      <c r="S233" s="1069"/>
      <c r="T233" s="1069"/>
      <c r="U233" s="1069"/>
    </row>
    <row r="234" spans="1:21">
      <c r="A234" s="965"/>
      <c r="B234" s="966"/>
      <c r="C234" s="1142">
        <v>14000</v>
      </c>
      <c r="D234" s="1142">
        <v>14000</v>
      </c>
      <c r="E234" s="1142">
        <v>14000</v>
      </c>
      <c r="F234" s="1142">
        <v>14000</v>
      </c>
      <c r="G234" s="1142">
        <v>14000</v>
      </c>
      <c r="H234" s="1142">
        <v>14000</v>
      </c>
      <c r="I234" s="1142">
        <v>14000</v>
      </c>
      <c r="J234" s="1142">
        <v>14000</v>
      </c>
      <c r="K234" s="1142">
        <v>14000</v>
      </c>
      <c r="L234" s="1142">
        <v>14000</v>
      </c>
      <c r="M234" s="1142">
        <v>14000</v>
      </c>
      <c r="N234" s="1142">
        <v>14000</v>
      </c>
      <c r="O234" s="1142">
        <v>14000</v>
      </c>
      <c r="P234" s="1142">
        <v>14000</v>
      </c>
      <c r="Q234" s="1142">
        <v>14000</v>
      </c>
      <c r="R234" s="1142">
        <v>14000</v>
      </c>
      <c r="S234" s="1142">
        <v>0</v>
      </c>
      <c r="T234" s="1142">
        <v>54050</v>
      </c>
      <c r="U234" s="1142">
        <v>0</v>
      </c>
    </row>
    <row r="235" spans="1:21">
      <c r="A235" s="1"/>
      <c r="B235" s="748"/>
      <c r="C235" s="1068"/>
      <c r="D235" s="1068"/>
      <c r="E235" s="1068"/>
      <c r="F235" s="1068"/>
      <c r="G235" s="1068"/>
      <c r="H235" s="1068"/>
      <c r="I235" s="1068"/>
      <c r="J235" s="1068"/>
      <c r="K235" s="1068"/>
      <c r="L235" s="1068"/>
      <c r="M235" s="1068"/>
      <c r="N235" s="1068"/>
      <c r="O235" s="1068"/>
      <c r="P235" s="1068"/>
      <c r="Q235" s="1068"/>
      <c r="R235" s="1068"/>
      <c r="S235" s="1068"/>
      <c r="T235" s="1068"/>
      <c r="U235" s="1068"/>
    </row>
    <row r="236" spans="1:21">
      <c r="A236" s="1" t="s">
        <v>557</v>
      </c>
      <c r="B236" s="748"/>
      <c r="C236" s="1068">
        <v>0</v>
      </c>
      <c r="D236" s="1068">
        <v>0</v>
      </c>
      <c r="E236" s="1068">
        <v>0</v>
      </c>
      <c r="F236" s="1068">
        <v>0</v>
      </c>
      <c r="G236" s="1068">
        <v>0</v>
      </c>
      <c r="H236" s="1068">
        <v>0</v>
      </c>
      <c r="I236" s="1068">
        <v>0</v>
      </c>
      <c r="J236" s="1068">
        <v>0</v>
      </c>
      <c r="K236" s="1068">
        <v>0</v>
      </c>
      <c r="L236" s="1068">
        <v>0</v>
      </c>
      <c r="M236" s="1068">
        <v>0</v>
      </c>
      <c r="N236" s="1068">
        <v>0</v>
      </c>
      <c r="O236" s="1068">
        <v>0</v>
      </c>
      <c r="P236" s="1068">
        <v>0</v>
      </c>
      <c r="Q236" s="1068">
        <v>0</v>
      </c>
      <c r="R236" s="1068">
        <v>0</v>
      </c>
      <c r="S236" s="1068">
        <v>0</v>
      </c>
      <c r="T236" s="1068">
        <v>248150</v>
      </c>
      <c r="U236" s="1068">
        <v>0</v>
      </c>
    </row>
    <row r="237" spans="1:21">
      <c r="A237" s="1" t="s">
        <v>558</v>
      </c>
      <c r="B237" s="748"/>
      <c r="C237" s="1068">
        <v>0</v>
      </c>
      <c r="D237" s="1068">
        <v>0</v>
      </c>
      <c r="E237" s="1068">
        <v>0</v>
      </c>
      <c r="F237" s="1068">
        <v>0</v>
      </c>
      <c r="G237" s="1068">
        <v>0</v>
      </c>
      <c r="H237" s="1068">
        <v>0</v>
      </c>
      <c r="I237" s="1068">
        <v>0</v>
      </c>
      <c r="J237" s="1068">
        <v>0</v>
      </c>
      <c r="K237" s="1068">
        <v>0</v>
      </c>
      <c r="L237" s="1068">
        <v>0</v>
      </c>
      <c r="M237" s="1068">
        <v>0</v>
      </c>
      <c r="N237" s="1068">
        <v>0</v>
      </c>
      <c r="O237" s="1068">
        <v>0</v>
      </c>
      <c r="P237" s="1068">
        <v>0</v>
      </c>
      <c r="Q237" s="1068">
        <v>0</v>
      </c>
      <c r="R237" s="1068">
        <v>0</v>
      </c>
      <c r="S237" s="1068">
        <v>0</v>
      </c>
      <c r="T237" s="1068">
        <v>250700</v>
      </c>
      <c r="U237" s="1068">
        <v>0</v>
      </c>
    </row>
    <row r="238" spans="1:21">
      <c r="A238" s="1" t="s">
        <v>559</v>
      </c>
      <c r="B238" s="748"/>
      <c r="C238" s="1068">
        <v>0</v>
      </c>
      <c r="D238" s="1068">
        <v>0</v>
      </c>
      <c r="E238" s="1068">
        <v>0</v>
      </c>
      <c r="F238" s="1068">
        <v>0</v>
      </c>
      <c r="G238" s="1068">
        <v>0</v>
      </c>
      <c r="H238" s="1068">
        <v>0</v>
      </c>
      <c r="I238" s="1068">
        <v>0</v>
      </c>
      <c r="J238" s="1068">
        <v>0</v>
      </c>
      <c r="K238" s="1068">
        <v>0</v>
      </c>
      <c r="L238" s="1068">
        <v>0</v>
      </c>
      <c r="M238" s="1068">
        <v>0</v>
      </c>
      <c r="N238" s="1068">
        <v>0</v>
      </c>
      <c r="O238" s="1068">
        <v>0</v>
      </c>
      <c r="P238" s="1068">
        <v>0</v>
      </c>
      <c r="Q238" s="1068">
        <v>0</v>
      </c>
      <c r="R238" s="1068">
        <v>0</v>
      </c>
      <c r="S238" s="1068">
        <v>0</v>
      </c>
      <c r="T238" s="1068">
        <v>224400</v>
      </c>
      <c r="U238" s="1068">
        <v>0</v>
      </c>
    </row>
    <row r="239" spans="1:21">
      <c r="A239" s="1" t="s">
        <v>560</v>
      </c>
      <c r="B239" s="748"/>
      <c r="C239" s="1068">
        <v>0</v>
      </c>
      <c r="D239" s="1068">
        <v>0</v>
      </c>
      <c r="E239" s="1068">
        <v>0</v>
      </c>
      <c r="F239" s="1068">
        <v>0</v>
      </c>
      <c r="G239" s="1068">
        <v>0</v>
      </c>
      <c r="H239" s="1068">
        <v>0</v>
      </c>
      <c r="I239" s="1068">
        <v>0</v>
      </c>
      <c r="J239" s="1068">
        <v>0</v>
      </c>
      <c r="K239" s="1068">
        <v>0</v>
      </c>
      <c r="L239" s="1068">
        <v>0</v>
      </c>
      <c r="M239" s="1068">
        <v>0</v>
      </c>
      <c r="N239" s="1068">
        <v>0</v>
      </c>
      <c r="O239" s="1068">
        <v>0</v>
      </c>
      <c r="P239" s="1068">
        <v>0</v>
      </c>
      <c r="Q239" s="1068">
        <v>0</v>
      </c>
      <c r="R239" s="1068">
        <v>0</v>
      </c>
      <c r="S239" s="1068">
        <v>0</v>
      </c>
      <c r="T239" s="1068">
        <v>291150</v>
      </c>
      <c r="U239" s="1068">
        <v>0</v>
      </c>
    </row>
    <row r="240" spans="1:21">
      <c r="A240" s="1161"/>
      <c r="B240" s="748"/>
      <c r="C240" s="1068"/>
      <c r="D240" s="1068"/>
      <c r="E240" s="1068"/>
      <c r="F240" s="1068"/>
      <c r="G240" s="1068"/>
      <c r="H240" s="1068"/>
      <c r="I240" s="1068"/>
      <c r="J240" s="1068"/>
      <c r="K240" s="1068"/>
      <c r="L240" s="1068"/>
      <c r="M240" s="1068"/>
      <c r="N240" s="1068"/>
      <c r="O240" s="1068"/>
      <c r="P240" s="1068"/>
      <c r="Q240" s="1068"/>
      <c r="R240" s="1068"/>
      <c r="S240" s="1068"/>
      <c r="T240" s="1068"/>
      <c r="U240" s="1068"/>
    </row>
    <row r="241" spans="1:21">
      <c r="A241" s="1161"/>
      <c r="B241" s="748"/>
      <c r="C241" s="1068"/>
      <c r="D241" s="1068"/>
      <c r="E241" s="1068"/>
      <c r="F241" s="1068"/>
      <c r="G241" s="1068"/>
      <c r="H241" s="1068"/>
      <c r="I241" s="1068"/>
      <c r="J241" s="1068"/>
      <c r="K241" s="1068"/>
      <c r="L241" s="1068"/>
      <c r="M241" s="1068"/>
      <c r="N241" s="1068"/>
      <c r="O241" s="1068"/>
      <c r="P241" s="1068"/>
      <c r="Q241" s="1068"/>
      <c r="R241" s="1068"/>
      <c r="S241" s="1068"/>
      <c r="T241" s="1068"/>
      <c r="U241" s="1068"/>
    </row>
    <row r="242" spans="1:21">
      <c r="A242" s="1"/>
      <c r="B242" s="748"/>
      <c r="C242" s="892">
        <v>0</v>
      </c>
      <c r="D242" s="892">
        <v>0</v>
      </c>
      <c r="E242" s="892">
        <v>0</v>
      </c>
      <c r="F242" s="892">
        <v>0</v>
      </c>
      <c r="G242" s="892">
        <v>0</v>
      </c>
      <c r="H242" s="892">
        <v>0</v>
      </c>
      <c r="I242" s="892">
        <v>0</v>
      </c>
      <c r="J242" s="892">
        <v>0</v>
      </c>
      <c r="K242" s="892">
        <v>0</v>
      </c>
      <c r="L242" s="892">
        <v>0</v>
      </c>
      <c r="M242" s="892">
        <v>0</v>
      </c>
      <c r="N242" s="892">
        <v>0</v>
      </c>
      <c r="O242" s="892">
        <v>0</v>
      </c>
      <c r="P242" s="892">
        <v>0</v>
      </c>
      <c r="Q242" s="892">
        <v>0</v>
      </c>
      <c r="R242" s="892">
        <v>0</v>
      </c>
      <c r="S242" s="892">
        <v>0</v>
      </c>
      <c r="T242" s="892">
        <v>1014400</v>
      </c>
      <c r="U242" s="892">
        <v>0</v>
      </c>
    </row>
    <row r="243" spans="1:21">
      <c r="A243" s="1"/>
      <c r="B243" s="748"/>
      <c r="C243" s="876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  <c r="O243" s="876"/>
      <c r="P243" s="876"/>
      <c r="Q243" s="876"/>
      <c r="R243" s="876"/>
      <c r="S243" s="876"/>
      <c r="T243" s="876"/>
      <c r="U243" s="876"/>
    </row>
    <row r="244" spans="1:21">
      <c r="A244" s="28" t="s">
        <v>11</v>
      </c>
      <c r="B244" s="746" t="s">
        <v>265</v>
      </c>
      <c r="C244" s="875">
        <v>150000</v>
      </c>
      <c r="D244" s="875">
        <v>0</v>
      </c>
      <c r="E244" s="875">
        <v>1000000</v>
      </c>
      <c r="F244" s="875">
        <v>0</v>
      </c>
      <c r="G244" s="875">
        <v>0</v>
      </c>
      <c r="H244" s="875">
        <v>3250000</v>
      </c>
      <c r="I244" s="875">
        <v>550000</v>
      </c>
      <c r="J244" s="875">
        <v>1000000</v>
      </c>
      <c r="K244" s="875">
        <v>0</v>
      </c>
      <c r="L244" s="875">
        <v>0</v>
      </c>
      <c r="M244" s="875">
        <v>0</v>
      </c>
      <c r="N244" s="875">
        <v>0</v>
      </c>
      <c r="O244" s="875">
        <v>0</v>
      </c>
      <c r="P244" s="875">
        <v>150000</v>
      </c>
      <c r="Q244" s="875">
        <v>0</v>
      </c>
      <c r="R244" s="875">
        <v>30000000</v>
      </c>
      <c r="S244" s="875">
        <v>0</v>
      </c>
      <c r="T244" s="875">
        <v>510000</v>
      </c>
      <c r="U244" s="875">
        <v>0</v>
      </c>
    </row>
    <row r="245" spans="1:21">
      <c r="A245" s="28" t="s">
        <v>65</v>
      </c>
      <c r="B245" s="746" t="s">
        <v>264</v>
      </c>
      <c r="C245" s="875">
        <v>10000000</v>
      </c>
      <c r="D245" s="875">
        <v>0</v>
      </c>
      <c r="E245" s="875">
        <v>0</v>
      </c>
      <c r="F245" s="875">
        <v>0</v>
      </c>
      <c r="G245" s="875">
        <v>250000</v>
      </c>
      <c r="H245" s="875">
        <v>4539000</v>
      </c>
      <c r="I245" s="875">
        <v>0</v>
      </c>
      <c r="J245" s="875">
        <v>0</v>
      </c>
      <c r="K245" s="875">
        <v>1000000</v>
      </c>
      <c r="L245" s="875">
        <v>0</v>
      </c>
      <c r="M245" s="875">
        <v>0</v>
      </c>
      <c r="N245" s="875">
        <v>0</v>
      </c>
      <c r="O245" s="875">
        <v>30150000</v>
      </c>
      <c r="P245" s="875">
        <v>0</v>
      </c>
      <c r="Q245" s="875">
        <v>1000000</v>
      </c>
      <c r="R245" s="875">
        <v>60000000</v>
      </c>
      <c r="S245" s="875">
        <v>1500000</v>
      </c>
      <c r="T245" s="875">
        <v>1310000</v>
      </c>
      <c r="U245" s="875">
        <v>0</v>
      </c>
    </row>
    <row r="246" spans="1:21">
      <c r="A246" s="1"/>
      <c r="B246" s="748"/>
      <c r="C246" s="876"/>
      <c r="D246" s="876"/>
      <c r="E246" s="876"/>
      <c r="F246" s="876"/>
      <c r="G246" s="876"/>
      <c r="H246" s="876"/>
      <c r="I246" s="876"/>
      <c r="J246" s="876"/>
      <c r="K246" s="876"/>
      <c r="L246" s="876"/>
      <c r="M246" s="876"/>
      <c r="N246" s="876"/>
      <c r="O246" s="876"/>
      <c r="P246" s="876"/>
      <c r="Q246" s="876"/>
      <c r="R246" s="876"/>
      <c r="S246" s="876"/>
      <c r="T246" s="876"/>
      <c r="U246" s="876"/>
    </row>
    <row r="247" spans="1:21" ht="15" thickBot="1">
      <c r="A247" s="4"/>
      <c r="B247" s="753"/>
      <c r="C247" s="877"/>
      <c r="D247" s="877"/>
      <c r="E247" s="877"/>
      <c r="F247" s="877"/>
      <c r="G247" s="877"/>
      <c r="H247" s="877"/>
      <c r="I247" s="877"/>
      <c r="J247" s="877"/>
      <c r="K247" s="877"/>
      <c r="L247" s="877"/>
      <c r="M247" s="877"/>
      <c r="N247" s="877"/>
      <c r="O247" s="877"/>
      <c r="P247" s="877"/>
      <c r="Q247" s="877"/>
      <c r="R247" s="877"/>
      <c r="S247" s="877"/>
      <c r="T247" s="877"/>
      <c r="U247" s="877"/>
    </row>
    <row r="248" spans="1:21" s="685" customFormat="1" ht="15" thickTop="1">
      <c r="A248" s="785" t="s">
        <v>173</v>
      </c>
      <c r="B248" s="786" t="s">
        <v>491</v>
      </c>
      <c r="C248" s="878">
        <v>494458</v>
      </c>
      <c r="D248" s="878">
        <v>263693</v>
      </c>
      <c r="E248" s="878">
        <v>336878</v>
      </c>
      <c r="F248" s="878">
        <v>312676</v>
      </c>
      <c r="G248" s="878">
        <v>339077</v>
      </c>
      <c r="H248" s="878">
        <v>1120408</v>
      </c>
      <c r="I248" s="878">
        <v>275280</v>
      </c>
      <c r="J248" s="878">
        <v>1182075</v>
      </c>
      <c r="K248" s="878">
        <v>600790</v>
      </c>
      <c r="L248" s="878">
        <v>573967</v>
      </c>
      <c r="M248" s="878">
        <v>1434727</v>
      </c>
      <c r="N248" s="878">
        <v>816488</v>
      </c>
      <c r="O248" s="878">
        <v>1774915</v>
      </c>
      <c r="P248" s="878">
        <v>508228</v>
      </c>
      <c r="Q248" s="878">
        <v>352962</v>
      </c>
      <c r="R248" s="878">
        <v>593706</v>
      </c>
      <c r="S248" s="878">
        <v>1100891</v>
      </c>
      <c r="T248" s="878">
        <v>708103</v>
      </c>
      <c r="U248" s="878">
        <v>0</v>
      </c>
    </row>
    <row r="249" spans="1:21" s="685" customFormat="1">
      <c r="A249" s="787"/>
      <c r="B249" s="788"/>
      <c r="C249" s="702">
        <v>12789322</v>
      </c>
      <c r="D249" s="702">
        <v>12294864</v>
      </c>
      <c r="E249" s="702">
        <v>12031171</v>
      </c>
      <c r="F249" s="702">
        <v>11694293</v>
      </c>
      <c r="G249" s="702">
        <v>11381617</v>
      </c>
      <c r="H249" s="702">
        <v>11042540</v>
      </c>
      <c r="I249" s="702">
        <v>9922132</v>
      </c>
      <c r="J249" s="702">
        <v>9646852</v>
      </c>
      <c r="K249" s="702">
        <v>8464777</v>
      </c>
      <c r="L249" s="702">
        <v>7863987</v>
      </c>
      <c r="M249" s="702">
        <v>7290020</v>
      </c>
      <c r="N249" s="702">
        <v>5855293</v>
      </c>
      <c r="O249" s="702">
        <v>5038805</v>
      </c>
      <c r="P249" s="702">
        <v>3263890</v>
      </c>
      <c r="Q249" s="702">
        <v>2755662</v>
      </c>
      <c r="R249" s="702">
        <v>2402700</v>
      </c>
      <c r="S249" s="702">
        <v>1808994</v>
      </c>
      <c r="T249" s="702">
        <v>708103</v>
      </c>
      <c r="U249" s="702">
        <v>0</v>
      </c>
    </row>
    <row r="250" spans="1:21" s="685" customFormat="1">
      <c r="A250" s="789" t="s">
        <v>100</v>
      </c>
      <c r="B250" s="790"/>
      <c r="C250" s="879"/>
      <c r="D250" s="879"/>
      <c r="E250" s="879"/>
      <c r="F250" s="879"/>
      <c r="G250" s="879"/>
      <c r="H250" s="879"/>
      <c r="I250" s="879"/>
      <c r="J250" s="879"/>
      <c r="K250" s="879"/>
      <c r="L250" s="879"/>
      <c r="M250" s="879"/>
      <c r="N250" s="879"/>
      <c r="O250" s="879"/>
      <c r="P250" s="879"/>
      <c r="Q250" s="879"/>
      <c r="R250" s="879"/>
      <c r="S250" s="879"/>
      <c r="T250" s="879"/>
      <c r="U250" s="879"/>
    </row>
    <row r="251" spans="1:21" s="685" customFormat="1">
      <c r="A251" s="791" t="s">
        <v>337</v>
      </c>
      <c r="B251" s="792" t="s">
        <v>492</v>
      </c>
      <c r="C251" s="880">
        <v>0</v>
      </c>
      <c r="D251" s="880">
        <v>0</v>
      </c>
      <c r="E251" s="880">
        <v>0</v>
      </c>
      <c r="F251" s="880">
        <v>0</v>
      </c>
      <c r="G251" s="880">
        <v>0</v>
      </c>
      <c r="H251" s="880">
        <v>0</v>
      </c>
      <c r="I251" s="880">
        <v>0</v>
      </c>
      <c r="J251" s="880">
        <v>0</v>
      </c>
      <c r="K251" s="880">
        <v>0</v>
      </c>
      <c r="L251" s="880">
        <v>0</v>
      </c>
      <c r="M251" s="880">
        <v>0</v>
      </c>
      <c r="N251" s="880">
        <v>0</v>
      </c>
      <c r="O251" s="880">
        <v>0</v>
      </c>
      <c r="P251" s="880">
        <v>0</v>
      </c>
      <c r="Q251" s="880">
        <v>0</v>
      </c>
      <c r="R251" s="880">
        <v>0</v>
      </c>
      <c r="S251" s="880">
        <v>0</v>
      </c>
      <c r="T251" s="880">
        <v>0</v>
      </c>
      <c r="U251" s="880">
        <v>0</v>
      </c>
    </row>
    <row r="252" spans="1:21" s="685" customFormat="1">
      <c r="A252" s="791"/>
      <c r="B252" s="792"/>
      <c r="C252" s="702">
        <v>0</v>
      </c>
      <c r="D252" s="702">
        <v>0</v>
      </c>
      <c r="E252" s="702">
        <v>0</v>
      </c>
      <c r="F252" s="702">
        <v>0</v>
      </c>
      <c r="G252" s="702">
        <v>0</v>
      </c>
      <c r="H252" s="702">
        <v>0</v>
      </c>
      <c r="I252" s="702">
        <v>0</v>
      </c>
      <c r="J252" s="702">
        <v>0</v>
      </c>
      <c r="K252" s="702">
        <v>0</v>
      </c>
      <c r="L252" s="702">
        <v>0</v>
      </c>
      <c r="M252" s="702">
        <v>0</v>
      </c>
      <c r="N252" s="702">
        <v>0</v>
      </c>
      <c r="O252" s="702">
        <v>0</v>
      </c>
      <c r="P252" s="702">
        <v>0</v>
      </c>
      <c r="Q252" s="702">
        <v>0</v>
      </c>
      <c r="R252" s="702">
        <v>0</v>
      </c>
      <c r="S252" s="702">
        <v>0</v>
      </c>
      <c r="T252" s="702">
        <v>0</v>
      </c>
      <c r="U252" s="702">
        <v>0</v>
      </c>
    </row>
    <row r="253" spans="1:21" s="685" customFormat="1">
      <c r="A253" s="791" t="s">
        <v>353</v>
      </c>
      <c r="B253" s="792" t="s">
        <v>493</v>
      </c>
      <c r="C253" s="880">
        <v>0</v>
      </c>
      <c r="D253" s="880">
        <v>0</v>
      </c>
      <c r="E253" s="880">
        <v>0</v>
      </c>
      <c r="F253" s="880">
        <v>0</v>
      </c>
      <c r="G253" s="880">
        <v>36750</v>
      </c>
      <c r="H253" s="880">
        <v>0</v>
      </c>
      <c r="I253" s="880">
        <v>0</v>
      </c>
      <c r="J253" s="880">
        <v>5000</v>
      </c>
      <c r="K253" s="880">
        <v>0</v>
      </c>
      <c r="L253" s="880">
        <v>0</v>
      </c>
      <c r="M253" s="880">
        <v>0</v>
      </c>
      <c r="N253" s="880">
        <v>0</v>
      </c>
      <c r="O253" s="880">
        <v>0</v>
      </c>
      <c r="P253" s="880">
        <v>0</v>
      </c>
      <c r="Q253" s="880">
        <v>0</v>
      </c>
      <c r="R253" s="880">
        <v>0</v>
      </c>
      <c r="S253" s="880">
        <v>0</v>
      </c>
      <c r="T253" s="880">
        <v>0</v>
      </c>
      <c r="U253" s="880">
        <v>0</v>
      </c>
    </row>
    <row r="254" spans="1:21" s="685" customFormat="1">
      <c r="A254" s="791"/>
      <c r="B254" s="792"/>
      <c r="C254" s="702">
        <v>41750</v>
      </c>
      <c r="D254" s="702">
        <v>41750</v>
      </c>
      <c r="E254" s="702">
        <v>41750</v>
      </c>
      <c r="F254" s="702">
        <v>41750</v>
      </c>
      <c r="G254" s="702">
        <v>41750</v>
      </c>
      <c r="H254" s="702">
        <v>5000</v>
      </c>
      <c r="I254" s="702">
        <v>5000</v>
      </c>
      <c r="J254" s="702">
        <v>5000</v>
      </c>
      <c r="K254" s="702">
        <v>0</v>
      </c>
      <c r="L254" s="702">
        <v>0</v>
      </c>
      <c r="M254" s="702">
        <v>0</v>
      </c>
      <c r="N254" s="702">
        <v>0</v>
      </c>
      <c r="O254" s="702">
        <v>0</v>
      </c>
      <c r="P254" s="702">
        <v>0</v>
      </c>
      <c r="Q254" s="702">
        <v>0</v>
      </c>
      <c r="R254" s="702">
        <v>0</v>
      </c>
      <c r="S254" s="702">
        <v>0</v>
      </c>
      <c r="T254" s="702">
        <v>0</v>
      </c>
      <c r="U254" s="702">
        <v>0</v>
      </c>
    </row>
    <row r="255" spans="1:21" s="685" customFormat="1">
      <c r="A255" s="791" t="s">
        <v>245</v>
      </c>
      <c r="B255" s="792" t="s">
        <v>494</v>
      </c>
      <c r="C255" s="880">
        <v>0</v>
      </c>
      <c r="D255" s="880">
        <v>0</v>
      </c>
      <c r="E255" s="880">
        <v>0</v>
      </c>
      <c r="F255" s="880">
        <v>0</v>
      </c>
      <c r="G255" s="880">
        <v>0</v>
      </c>
      <c r="H255" s="880">
        <v>0</v>
      </c>
      <c r="I255" s="880">
        <v>0</v>
      </c>
      <c r="J255" s="880">
        <v>0</v>
      </c>
      <c r="K255" s="880">
        <v>0</v>
      </c>
      <c r="L255" s="880">
        <v>0</v>
      </c>
      <c r="M255" s="880">
        <v>0</v>
      </c>
      <c r="N255" s="880">
        <v>0</v>
      </c>
      <c r="O255" s="880">
        <v>137500</v>
      </c>
      <c r="P255" s="880">
        <v>0</v>
      </c>
      <c r="Q255" s="880">
        <v>0</v>
      </c>
      <c r="R255" s="880">
        <v>0</v>
      </c>
      <c r="S255" s="880">
        <v>0</v>
      </c>
      <c r="T255" s="880">
        <v>0</v>
      </c>
      <c r="U255" s="880">
        <v>0</v>
      </c>
    </row>
    <row r="256" spans="1:21" s="685" customFormat="1">
      <c r="A256" s="791"/>
      <c r="B256" s="792"/>
      <c r="C256" s="702">
        <v>137500</v>
      </c>
      <c r="D256" s="702">
        <v>137500</v>
      </c>
      <c r="E256" s="702">
        <v>137500</v>
      </c>
      <c r="F256" s="702">
        <v>137500</v>
      </c>
      <c r="G256" s="702">
        <v>137500</v>
      </c>
      <c r="H256" s="702">
        <v>137500</v>
      </c>
      <c r="I256" s="702">
        <v>137500</v>
      </c>
      <c r="J256" s="702">
        <v>137500</v>
      </c>
      <c r="K256" s="702">
        <v>137500</v>
      </c>
      <c r="L256" s="702">
        <v>137500</v>
      </c>
      <c r="M256" s="702">
        <v>137500</v>
      </c>
      <c r="N256" s="702">
        <v>137500</v>
      </c>
      <c r="O256" s="702">
        <v>137500</v>
      </c>
      <c r="P256" s="702">
        <v>0</v>
      </c>
      <c r="Q256" s="702">
        <v>0</v>
      </c>
      <c r="R256" s="702">
        <v>0</v>
      </c>
      <c r="S256" s="702">
        <v>0</v>
      </c>
      <c r="T256" s="702">
        <v>0</v>
      </c>
      <c r="U256" s="702">
        <v>0</v>
      </c>
    </row>
    <row r="257" spans="1:21" s="685" customFormat="1">
      <c r="A257" s="791" t="s">
        <v>349</v>
      </c>
      <c r="B257" s="792" t="s">
        <v>495</v>
      </c>
      <c r="C257" s="880"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  <c r="J257" s="880">
        <v>0</v>
      </c>
      <c r="K257" s="880">
        <v>0</v>
      </c>
      <c r="L257" s="880">
        <v>0</v>
      </c>
      <c r="M257" s="880">
        <v>0</v>
      </c>
      <c r="N257" s="880">
        <v>0</v>
      </c>
      <c r="O257" s="880">
        <v>0</v>
      </c>
      <c r="P257" s="880">
        <v>0</v>
      </c>
      <c r="Q257" s="880">
        <v>0</v>
      </c>
      <c r="R257" s="880">
        <v>0</v>
      </c>
      <c r="S257" s="880">
        <v>0</v>
      </c>
      <c r="T257" s="880">
        <v>0</v>
      </c>
      <c r="U257" s="880">
        <v>0</v>
      </c>
    </row>
    <row r="258" spans="1:21" s="685" customFormat="1">
      <c r="A258" s="791"/>
      <c r="B258" s="792"/>
      <c r="C258" s="702"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  <c r="J258" s="702">
        <v>0</v>
      </c>
      <c r="K258" s="702">
        <v>0</v>
      </c>
      <c r="L258" s="702">
        <v>0</v>
      </c>
      <c r="M258" s="702">
        <v>0</v>
      </c>
      <c r="N258" s="702">
        <v>0</v>
      </c>
      <c r="O258" s="702">
        <v>0</v>
      </c>
      <c r="P258" s="702">
        <v>0</v>
      </c>
      <c r="Q258" s="702">
        <v>0</v>
      </c>
      <c r="R258" s="702">
        <v>0</v>
      </c>
      <c r="S258" s="702">
        <v>0</v>
      </c>
      <c r="T258" s="702">
        <v>0</v>
      </c>
      <c r="U258" s="702">
        <v>0</v>
      </c>
    </row>
    <row r="259" spans="1:21" s="685" customFormat="1">
      <c r="A259" s="791" t="s">
        <v>247</v>
      </c>
      <c r="B259" s="792" t="s">
        <v>496</v>
      </c>
      <c r="C259" s="880">
        <v>0</v>
      </c>
      <c r="D259" s="880">
        <v>0</v>
      </c>
      <c r="E259" s="880">
        <v>0</v>
      </c>
      <c r="F259" s="880">
        <v>0</v>
      </c>
      <c r="G259" s="880">
        <v>0</v>
      </c>
      <c r="H259" s="880">
        <v>0</v>
      </c>
      <c r="I259" s="880">
        <v>0</v>
      </c>
      <c r="J259" s="880">
        <v>0</v>
      </c>
      <c r="K259" s="880">
        <v>0</v>
      </c>
      <c r="L259" s="880">
        <v>0</v>
      </c>
      <c r="M259" s="880">
        <v>0</v>
      </c>
      <c r="N259" s="880">
        <v>0</v>
      </c>
      <c r="O259" s="880">
        <v>0</v>
      </c>
      <c r="P259" s="880">
        <v>0</v>
      </c>
      <c r="Q259" s="880">
        <v>102400</v>
      </c>
      <c r="R259" s="880">
        <v>0</v>
      </c>
      <c r="S259" s="880">
        <v>0</v>
      </c>
      <c r="T259" s="880">
        <v>0</v>
      </c>
      <c r="U259" s="880">
        <v>0</v>
      </c>
    </row>
    <row r="260" spans="1:21" s="685" customFormat="1">
      <c r="A260" s="791"/>
      <c r="B260" s="792"/>
      <c r="C260" s="702">
        <v>102400</v>
      </c>
      <c r="D260" s="702">
        <v>102400</v>
      </c>
      <c r="E260" s="702">
        <v>102400</v>
      </c>
      <c r="F260" s="702">
        <v>102400</v>
      </c>
      <c r="G260" s="702">
        <v>102400</v>
      </c>
      <c r="H260" s="702">
        <v>102400</v>
      </c>
      <c r="I260" s="702">
        <v>102400</v>
      </c>
      <c r="J260" s="702">
        <v>102400</v>
      </c>
      <c r="K260" s="702">
        <v>102400</v>
      </c>
      <c r="L260" s="702">
        <v>102400</v>
      </c>
      <c r="M260" s="702">
        <v>102400</v>
      </c>
      <c r="N260" s="702">
        <v>102400</v>
      </c>
      <c r="O260" s="702">
        <v>102400</v>
      </c>
      <c r="P260" s="702">
        <v>102400</v>
      </c>
      <c r="Q260" s="702">
        <v>102400</v>
      </c>
      <c r="R260" s="702">
        <v>0</v>
      </c>
      <c r="S260" s="702">
        <v>0</v>
      </c>
      <c r="T260" s="702">
        <v>0</v>
      </c>
      <c r="U260" s="702">
        <v>0</v>
      </c>
    </row>
    <row r="261" spans="1:21" s="685" customFormat="1">
      <c r="A261" s="791" t="s">
        <v>187</v>
      </c>
      <c r="B261" s="792" t="s">
        <v>497</v>
      </c>
      <c r="C261" s="880">
        <v>1451000</v>
      </c>
      <c r="D261" s="880">
        <v>100000</v>
      </c>
      <c r="E261" s="880">
        <v>0</v>
      </c>
      <c r="F261" s="880">
        <v>0</v>
      </c>
      <c r="G261" s="880">
        <v>0</v>
      </c>
      <c r="H261" s="880">
        <v>100000</v>
      </c>
      <c r="I261" s="880">
        <v>0</v>
      </c>
      <c r="J261" s="880">
        <v>0</v>
      </c>
      <c r="K261" s="880">
        <v>125000</v>
      </c>
      <c r="L261" s="880">
        <v>0</v>
      </c>
      <c r="M261" s="880">
        <v>0</v>
      </c>
      <c r="N261" s="880">
        <v>0</v>
      </c>
      <c r="O261" s="880">
        <v>0</v>
      </c>
      <c r="P261" s="880">
        <v>100000</v>
      </c>
      <c r="Q261" s="880">
        <v>0</v>
      </c>
      <c r="R261" s="880">
        <v>0</v>
      </c>
      <c r="S261" s="880">
        <v>100000</v>
      </c>
      <c r="T261" s="880">
        <v>0</v>
      </c>
      <c r="U261" s="880">
        <v>0</v>
      </c>
    </row>
    <row r="262" spans="1:21" s="685" customFormat="1">
      <c r="A262" s="791"/>
      <c r="B262" s="792"/>
      <c r="C262" s="702">
        <v>1976000</v>
      </c>
      <c r="D262" s="702">
        <v>525000</v>
      </c>
      <c r="E262" s="702">
        <v>425000</v>
      </c>
      <c r="F262" s="702">
        <v>425000</v>
      </c>
      <c r="G262" s="702">
        <v>425000</v>
      </c>
      <c r="H262" s="702">
        <v>425000</v>
      </c>
      <c r="I262" s="702">
        <v>325000</v>
      </c>
      <c r="J262" s="702">
        <v>325000</v>
      </c>
      <c r="K262" s="702">
        <v>325000</v>
      </c>
      <c r="L262" s="702">
        <v>200000</v>
      </c>
      <c r="M262" s="702">
        <v>200000</v>
      </c>
      <c r="N262" s="702">
        <v>200000</v>
      </c>
      <c r="O262" s="702">
        <v>200000</v>
      </c>
      <c r="P262" s="702">
        <v>200000</v>
      </c>
      <c r="Q262" s="702">
        <v>100000</v>
      </c>
      <c r="R262" s="702">
        <v>100000</v>
      </c>
      <c r="S262" s="702">
        <v>100000</v>
      </c>
      <c r="T262" s="702">
        <v>0</v>
      </c>
      <c r="U262" s="702">
        <v>0</v>
      </c>
    </row>
    <row r="263" spans="1:21" s="685" customFormat="1">
      <c r="A263" s="791" t="s">
        <v>246</v>
      </c>
      <c r="B263" s="792" t="s">
        <v>498</v>
      </c>
      <c r="C263" s="880">
        <v>0</v>
      </c>
      <c r="D263" s="880">
        <v>0</v>
      </c>
      <c r="E263" s="880">
        <v>0</v>
      </c>
      <c r="F263" s="880">
        <v>0</v>
      </c>
      <c r="G263" s="880">
        <v>0</v>
      </c>
      <c r="H263" s="880">
        <v>0</v>
      </c>
      <c r="I263" s="880">
        <v>0</v>
      </c>
      <c r="J263" s="880">
        <v>0</v>
      </c>
      <c r="K263" s="880">
        <v>0</v>
      </c>
      <c r="L263" s="880">
        <v>0</v>
      </c>
      <c r="M263" s="880">
        <v>0</v>
      </c>
      <c r="N263" s="880">
        <v>0</v>
      </c>
      <c r="O263" s="880">
        <v>0</v>
      </c>
      <c r="P263" s="880">
        <v>0</v>
      </c>
      <c r="Q263" s="880">
        <v>0</v>
      </c>
      <c r="R263" s="880">
        <v>0</v>
      </c>
      <c r="S263" s="880">
        <v>0</v>
      </c>
      <c r="T263" s="880">
        <v>0</v>
      </c>
      <c r="U263" s="880">
        <v>0</v>
      </c>
    </row>
    <row r="264" spans="1:21" s="685" customFormat="1">
      <c r="A264" s="791"/>
      <c r="B264" s="792"/>
      <c r="C264" s="702">
        <v>0</v>
      </c>
      <c r="D264" s="702">
        <v>0</v>
      </c>
      <c r="E264" s="702">
        <v>0</v>
      </c>
      <c r="F264" s="702">
        <v>0</v>
      </c>
      <c r="G264" s="702">
        <v>0</v>
      </c>
      <c r="H264" s="702">
        <v>0</v>
      </c>
      <c r="I264" s="702">
        <v>0</v>
      </c>
      <c r="J264" s="702">
        <v>0</v>
      </c>
      <c r="K264" s="702">
        <v>0</v>
      </c>
      <c r="L264" s="702">
        <v>0</v>
      </c>
      <c r="M264" s="702">
        <v>0</v>
      </c>
      <c r="N264" s="702">
        <v>0</v>
      </c>
      <c r="O264" s="702">
        <v>0</v>
      </c>
      <c r="P264" s="702">
        <v>0</v>
      </c>
      <c r="Q264" s="702">
        <v>0</v>
      </c>
      <c r="R264" s="702">
        <v>0</v>
      </c>
      <c r="S264" s="702">
        <v>0</v>
      </c>
      <c r="T264" s="702">
        <v>0</v>
      </c>
      <c r="U264" s="702">
        <v>0</v>
      </c>
    </row>
    <row r="265" spans="1:21" s="685" customFormat="1">
      <c r="A265" s="791" t="s">
        <v>334</v>
      </c>
      <c r="B265" s="792" t="s">
        <v>499</v>
      </c>
      <c r="C265" s="880">
        <v>0</v>
      </c>
      <c r="D265" s="880">
        <v>0</v>
      </c>
      <c r="E265" s="880">
        <v>0</v>
      </c>
      <c r="F265" s="880">
        <v>0</v>
      </c>
      <c r="G265" s="880">
        <v>0</v>
      </c>
      <c r="H265" s="880">
        <v>0</v>
      </c>
      <c r="I265" s="880">
        <v>0</v>
      </c>
      <c r="J265" s="880">
        <v>0</v>
      </c>
      <c r="K265" s="880">
        <v>0</v>
      </c>
      <c r="L265" s="880">
        <v>0</v>
      </c>
      <c r="M265" s="880">
        <v>0</v>
      </c>
      <c r="N265" s="880">
        <v>0</v>
      </c>
      <c r="O265" s="880">
        <v>0</v>
      </c>
      <c r="P265" s="880">
        <v>0</v>
      </c>
      <c r="Q265" s="880">
        <v>0</v>
      </c>
      <c r="R265" s="880">
        <v>0</v>
      </c>
      <c r="S265" s="880">
        <v>0</v>
      </c>
      <c r="T265" s="880">
        <v>0</v>
      </c>
      <c r="U265" s="880">
        <v>0</v>
      </c>
    </row>
    <row r="266" spans="1:21" s="685" customFormat="1">
      <c r="A266" s="791"/>
      <c r="B266" s="792"/>
      <c r="C266" s="702">
        <v>0</v>
      </c>
      <c r="D266" s="702">
        <v>0</v>
      </c>
      <c r="E266" s="702">
        <v>0</v>
      </c>
      <c r="F266" s="702">
        <v>0</v>
      </c>
      <c r="G266" s="702">
        <v>0</v>
      </c>
      <c r="H266" s="702">
        <v>0</v>
      </c>
      <c r="I266" s="702">
        <v>0</v>
      </c>
      <c r="J266" s="702">
        <v>0</v>
      </c>
      <c r="K266" s="702">
        <v>0</v>
      </c>
      <c r="L266" s="702">
        <v>0</v>
      </c>
      <c r="M266" s="702">
        <v>0</v>
      </c>
      <c r="N266" s="702">
        <v>0</v>
      </c>
      <c r="O266" s="702">
        <v>0</v>
      </c>
      <c r="P266" s="702">
        <v>0</v>
      </c>
      <c r="Q266" s="702">
        <v>0</v>
      </c>
      <c r="R266" s="702">
        <v>0</v>
      </c>
      <c r="S266" s="702">
        <v>0</v>
      </c>
      <c r="T266" s="702">
        <v>0</v>
      </c>
      <c r="U266" s="702">
        <v>0</v>
      </c>
    </row>
    <row r="267" spans="1:21" s="685" customFormat="1">
      <c r="A267" s="791" t="s">
        <v>27</v>
      </c>
      <c r="B267" s="792" t="s">
        <v>500</v>
      </c>
      <c r="C267" s="880">
        <v>0</v>
      </c>
      <c r="D267" s="880">
        <v>0</v>
      </c>
      <c r="E267" s="880">
        <v>0</v>
      </c>
      <c r="F267" s="880">
        <v>12500</v>
      </c>
      <c r="G267" s="880">
        <v>0</v>
      </c>
      <c r="H267" s="880">
        <v>0</v>
      </c>
      <c r="I267" s="880">
        <v>0</v>
      </c>
      <c r="J267" s="880">
        <v>0</v>
      </c>
      <c r="K267" s="880">
        <v>33559</v>
      </c>
      <c r="L267" s="880">
        <v>0</v>
      </c>
      <c r="M267" s="880">
        <v>0</v>
      </c>
      <c r="N267" s="880">
        <v>0</v>
      </c>
      <c r="O267" s="880">
        <v>39375</v>
      </c>
      <c r="P267" s="880">
        <v>0</v>
      </c>
      <c r="Q267" s="880">
        <v>30000</v>
      </c>
      <c r="R267" s="880">
        <v>78750</v>
      </c>
      <c r="S267" s="880">
        <v>10000</v>
      </c>
      <c r="T267" s="880">
        <v>0</v>
      </c>
      <c r="U267" s="880">
        <v>0</v>
      </c>
    </row>
    <row r="268" spans="1:21" s="685" customFormat="1">
      <c r="A268" s="791"/>
      <c r="B268" s="792"/>
      <c r="C268" s="702">
        <v>204184</v>
      </c>
      <c r="D268" s="702">
        <v>204184</v>
      </c>
      <c r="E268" s="702">
        <v>204184</v>
      </c>
      <c r="F268" s="702">
        <v>204184</v>
      </c>
      <c r="G268" s="702">
        <v>191684</v>
      </c>
      <c r="H268" s="702">
        <v>191684</v>
      </c>
      <c r="I268" s="702">
        <v>191684</v>
      </c>
      <c r="J268" s="702">
        <v>191684</v>
      </c>
      <c r="K268" s="702">
        <v>191684</v>
      </c>
      <c r="L268" s="702">
        <v>158125</v>
      </c>
      <c r="M268" s="702">
        <v>158125</v>
      </c>
      <c r="N268" s="702">
        <v>158125</v>
      </c>
      <c r="O268" s="702">
        <v>158125</v>
      </c>
      <c r="P268" s="702">
        <v>118750</v>
      </c>
      <c r="Q268" s="702">
        <v>118750</v>
      </c>
      <c r="R268" s="702">
        <v>88750</v>
      </c>
      <c r="S268" s="702">
        <v>10000</v>
      </c>
      <c r="T268" s="702">
        <v>0</v>
      </c>
      <c r="U268" s="702">
        <v>0</v>
      </c>
    </row>
    <row r="269" spans="1:21" s="685" customFormat="1">
      <c r="A269" s="791" t="s">
        <v>180</v>
      </c>
      <c r="B269" s="792"/>
      <c r="C269" s="1021">
        <v>0</v>
      </c>
      <c r="D269" s="1021">
        <v>0</v>
      </c>
      <c r="E269" s="1021">
        <v>0</v>
      </c>
      <c r="F269" s="1021">
        <v>0</v>
      </c>
      <c r="G269" s="1021">
        <v>0</v>
      </c>
      <c r="H269" s="1021">
        <v>0</v>
      </c>
      <c r="I269" s="1021">
        <v>0</v>
      </c>
      <c r="J269" s="1021">
        <v>0</v>
      </c>
      <c r="K269" s="1021">
        <v>0</v>
      </c>
      <c r="L269" s="1021">
        <v>0</v>
      </c>
      <c r="M269" s="1021">
        <v>0</v>
      </c>
      <c r="N269" s="1021">
        <v>0</v>
      </c>
      <c r="O269" s="1021">
        <v>0</v>
      </c>
      <c r="P269" s="1021">
        <v>0</v>
      </c>
      <c r="Q269" s="1021">
        <v>0</v>
      </c>
      <c r="R269" s="1021">
        <v>0</v>
      </c>
      <c r="S269" s="1021">
        <v>0</v>
      </c>
      <c r="T269" s="1021">
        <v>0</v>
      </c>
      <c r="U269" s="1021">
        <v>0</v>
      </c>
    </row>
    <row r="270" spans="1:21" s="685" customFormat="1">
      <c r="A270" s="791"/>
      <c r="B270" s="792"/>
      <c r="C270" s="702">
        <v>0</v>
      </c>
      <c r="D270" s="702">
        <v>0</v>
      </c>
      <c r="E270" s="702">
        <v>0</v>
      </c>
      <c r="F270" s="702">
        <v>0</v>
      </c>
      <c r="G270" s="702">
        <v>0</v>
      </c>
      <c r="H270" s="702">
        <v>0</v>
      </c>
      <c r="I270" s="702">
        <v>0</v>
      </c>
      <c r="J270" s="702">
        <v>0</v>
      </c>
      <c r="K270" s="702">
        <v>0</v>
      </c>
      <c r="L270" s="702">
        <v>0</v>
      </c>
      <c r="M270" s="702">
        <v>0</v>
      </c>
      <c r="N270" s="702">
        <v>0</v>
      </c>
      <c r="O270" s="702">
        <v>0</v>
      </c>
      <c r="P270" s="702">
        <v>0</v>
      </c>
      <c r="Q270" s="702">
        <v>0</v>
      </c>
      <c r="R270" s="702">
        <v>0</v>
      </c>
      <c r="S270" s="702">
        <v>0</v>
      </c>
      <c r="T270" s="702">
        <v>0</v>
      </c>
      <c r="U270" s="702">
        <v>0</v>
      </c>
    </row>
    <row r="271" spans="1:21" s="685" customFormat="1">
      <c r="A271" s="791" t="s">
        <v>59</v>
      </c>
      <c r="B271" s="792"/>
      <c r="C271" s="881">
        <v>1451000</v>
      </c>
      <c r="D271" s="881">
        <v>100000</v>
      </c>
      <c r="E271" s="881">
        <v>0</v>
      </c>
      <c r="F271" s="881">
        <v>12500</v>
      </c>
      <c r="G271" s="881">
        <v>36750</v>
      </c>
      <c r="H271" s="881">
        <v>100000</v>
      </c>
      <c r="I271" s="881">
        <v>0</v>
      </c>
      <c r="J271" s="881">
        <v>5000</v>
      </c>
      <c r="K271" s="881">
        <v>158559</v>
      </c>
      <c r="L271" s="881">
        <v>0</v>
      </c>
      <c r="M271" s="881">
        <v>0</v>
      </c>
      <c r="N271" s="881">
        <v>0</v>
      </c>
      <c r="O271" s="881">
        <v>176875</v>
      </c>
      <c r="P271" s="881">
        <v>100000</v>
      </c>
      <c r="Q271" s="881">
        <v>132400</v>
      </c>
      <c r="R271" s="881">
        <v>78750</v>
      </c>
      <c r="S271" s="881">
        <v>110000</v>
      </c>
      <c r="T271" s="881">
        <v>0</v>
      </c>
      <c r="U271" s="881">
        <v>0</v>
      </c>
    </row>
    <row r="272" spans="1:21" s="685" customFormat="1">
      <c r="A272" s="791"/>
      <c r="B272" s="792"/>
      <c r="C272" s="702">
        <v>2461834</v>
      </c>
      <c r="D272" s="702">
        <v>1010834</v>
      </c>
      <c r="E272" s="702">
        <v>910834</v>
      </c>
      <c r="F272" s="702">
        <v>910834</v>
      </c>
      <c r="G272" s="702">
        <v>898334</v>
      </c>
      <c r="H272" s="702">
        <v>861584</v>
      </c>
      <c r="I272" s="702">
        <v>761584</v>
      </c>
      <c r="J272" s="702">
        <v>761584</v>
      </c>
      <c r="K272" s="702">
        <v>756584</v>
      </c>
      <c r="L272" s="702">
        <v>598025</v>
      </c>
      <c r="M272" s="702">
        <v>598025</v>
      </c>
      <c r="N272" s="702">
        <v>598025</v>
      </c>
      <c r="O272" s="702">
        <v>598025</v>
      </c>
      <c r="P272" s="702">
        <v>421150</v>
      </c>
      <c r="Q272" s="702">
        <v>321150</v>
      </c>
      <c r="R272" s="702">
        <v>188750</v>
      </c>
      <c r="S272" s="702">
        <v>110000</v>
      </c>
      <c r="T272" s="702">
        <v>0</v>
      </c>
      <c r="U272" s="702">
        <v>0</v>
      </c>
    </row>
    <row r="273" spans="1:21" s="685" customFormat="1" ht="18" customHeight="1">
      <c r="A273" s="793" t="s">
        <v>350</v>
      </c>
      <c r="B273" s="794"/>
      <c r="C273" s="882">
        <v>-956542</v>
      </c>
      <c r="D273" s="882">
        <v>163693</v>
      </c>
      <c r="E273" s="882">
        <v>336878</v>
      </c>
      <c r="F273" s="882">
        <v>300176</v>
      </c>
      <c r="G273" s="882">
        <v>302327</v>
      </c>
      <c r="H273" s="882">
        <v>1020408</v>
      </c>
      <c r="I273" s="882">
        <v>275280</v>
      </c>
      <c r="J273" s="882">
        <v>1177075</v>
      </c>
      <c r="K273" s="882">
        <v>442231</v>
      </c>
      <c r="L273" s="882">
        <v>573967</v>
      </c>
      <c r="M273" s="882">
        <v>1434727</v>
      </c>
      <c r="N273" s="882">
        <v>816488</v>
      </c>
      <c r="O273" s="882">
        <v>1598040</v>
      </c>
      <c r="P273" s="882">
        <v>408228</v>
      </c>
      <c r="Q273" s="882">
        <v>220562</v>
      </c>
      <c r="R273" s="882">
        <v>514956</v>
      </c>
      <c r="S273" s="882">
        <v>990891</v>
      </c>
      <c r="T273" s="882">
        <v>708103</v>
      </c>
      <c r="U273" s="882">
        <v>0</v>
      </c>
    </row>
    <row r="274" spans="1:21" s="685" customFormat="1" ht="18" customHeight="1">
      <c r="A274" s="793"/>
      <c r="B274" s="794"/>
      <c r="C274" s="702">
        <v>10327488</v>
      </c>
      <c r="D274" s="702">
        <v>11284030</v>
      </c>
      <c r="E274" s="702">
        <v>11120337</v>
      </c>
      <c r="F274" s="702">
        <v>10783459</v>
      </c>
      <c r="G274" s="702">
        <v>10483283</v>
      </c>
      <c r="H274" s="702">
        <v>10180956</v>
      </c>
      <c r="I274" s="702">
        <v>9160548</v>
      </c>
      <c r="J274" s="702">
        <v>8885268</v>
      </c>
      <c r="K274" s="702">
        <v>7708193</v>
      </c>
      <c r="L274" s="702">
        <v>7265962</v>
      </c>
      <c r="M274" s="702">
        <v>6691995</v>
      </c>
      <c r="N274" s="702">
        <v>5257268</v>
      </c>
      <c r="O274" s="702">
        <v>4440780</v>
      </c>
      <c r="P274" s="702">
        <v>2842740</v>
      </c>
      <c r="Q274" s="702">
        <v>2434512</v>
      </c>
      <c r="R274" s="702">
        <v>2213950</v>
      </c>
      <c r="S274" s="702">
        <v>1698994</v>
      </c>
      <c r="T274" s="702">
        <v>708103</v>
      </c>
      <c r="U274" s="702">
        <v>0</v>
      </c>
    </row>
    <row r="275" spans="1:21" s="685" customFormat="1">
      <c r="A275" s="795"/>
      <c r="B275" s="748"/>
      <c r="C275" s="704"/>
      <c r="D275" s="704"/>
      <c r="E275" s="704"/>
      <c r="F275" s="704"/>
      <c r="G275" s="704"/>
      <c r="H275" s="704"/>
      <c r="I275" s="704"/>
      <c r="J275" s="704"/>
      <c r="K275" s="704"/>
      <c r="L275" s="704"/>
      <c r="M275" s="704"/>
      <c r="N275" s="704"/>
      <c r="O275" s="704"/>
      <c r="P275" s="704"/>
      <c r="Q275" s="704"/>
      <c r="R275" s="704"/>
      <c r="S275" s="704"/>
      <c r="T275" s="704"/>
      <c r="U275" s="704"/>
    </row>
    <row r="276" spans="1:21" s="685" customFormat="1">
      <c r="A276" s="796" t="s">
        <v>174</v>
      </c>
      <c r="B276" s="788" t="s">
        <v>288</v>
      </c>
      <c r="C276" s="880">
        <v>433110</v>
      </c>
      <c r="D276" s="880">
        <v>40000</v>
      </c>
      <c r="E276" s="880">
        <v>332297</v>
      </c>
      <c r="F276" s="880">
        <v>237440</v>
      </c>
      <c r="G276" s="880">
        <v>250108</v>
      </c>
      <c r="H276" s="880">
        <v>1095957</v>
      </c>
      <c r="I276" s="880">
        <v>37280</v>
      </c>
      <c r="J276" s="880">
        <v>896666</v>
      </c>
      <c r="K276" s="880">
        <v>355808</v>
      </c>
      <c r="L276" s="880">
        <v>348452</v>
      </c>
      <c r="M276" s="880">
        <v>861297</v>
      </c>
      <c r="N276" s="880">
        <v>39920</v>
      </c>
      <c r="O276" s="880">
        <v>1938120</v>
      </c>
      <c r="P276" s="880">
        <v>49340</v>
      </c>
      <c r="Q276" s="880">
        <v>267890</v>
      </c>
      <c r="R276" s="880">
        <v>641940</v>
      </c>
      <c r="S276" s="880">
        <v>1229477</v>
      </c>
      <c r="T276" s="880">
        <v>263874</v>
      </c>
      <c r="U276" s="880">
        <v>0</v>
      </c>
    </row>
    <row r="277" spans="1:21" s="685" customFormat="1">
      <c r="A277" s="787"/>
      <c r="B277" s="788"/>
      <c r="C277" s="702">
        <v>9318976</v>
      </c>
      <c r="D277" s="702">
        <v>8885866</v>
      </c>
      <c r="E277" s="702">
        <v>8845866</v>
      </c>
      <c r="F277" s="702">
        <v>8513569</v>
      </c>
      <c r="G277" s="702">
        <v>8276129</v>
      </c>
      <c r="H277" s="702">
        <v>8026021</v>
      </c>
      <c r="I277" s="702">
        <v>6930064</v>
      </c>
      <c r="J277" s="702">
        <v>6892784</v>
      </c>
      <c r="K277" s="702">
        <v>5996118</v>
      </c>
      <c r="L277" s="702">
        <v>5640310</v>
      </c>
      <c r="M277" s="702">
        <v>5291858</v>
      </c>
      <c r="N277" s="702">
        <v>4430561</v>
      </c>
      <c r="O277" s="702">
        <v>4390641</v>
      </c>
      <c r="P277" s="702">
        <v>2452521</v>
      </c>
      <c r="Q277" s="702">
        <v>2403181</v>
      </c>
      <c r="R277" s="702">
        <v>2135291</v>
      </c>
      <c r="S277" s="702">
        <v>1493351</v>
      </c>
      <c r="T277" s="702">
        <v>263874</v>
      </c>
      <c r="U277" s="702">
        <v>0</v>
      </c>
    </row>
    <row r="278" spans="1:21" s="685" customFormat="1">
      <c r="A278" s="789" t="s">
        <v>100</v>
      </c>
      <c r="B278" s="790"/>
      <c r="C278" s="704"/>
      <c r="D278" s="704"/>
      <c r="E278" s="704"/>
      <c r="F278" s="704"/>
      <c r="G278" s="704"/>
      <c r="H278" s="704"/>
      <c r="I278" s="704"/>
      <c r="J278" s="704"/>
      <c r="K278" s="704"/>
      <c r="L278" s="704"/>
      <c r="M278" s="704"/>
      <c r="N278" s="704"/>
      <c r="O278" s="704"/>
      <c r="P278" s="704"/>
      <c r="Q278" s="704"/>
      <c r="R278" s="704"/>
      <c r="S278" s="704"/>
      <c r="T278" s="704"/>
      <c r="U278" s="704"/>
    </row>
    <row r="279" spans="1:21" s="685" customFormat="1">
      <c r="A279" s="791" t="s">
        <v>337</v>
      </c>
      <c r="B279" s="792" t="s">
        <v>501</v>
      </c>
      <c r="C279" s="880">
        <v>0</v>
      </c>
      <c r="D279" s="880">
        <v>0</v>
      </c>
      <c r="E279" s="880">
        <v>0</v>
      </c>
      <c r="F279" s="880">
        <v>0</v>
      </c>
      <c r="G279" s="880">
        <v>0</v>
      </c>
      <c r="H279" s="880">
        <v>0</v>
      </c>
      <c r="I279" s="880">
        <v>0</v>
      </c>
      <c r="J279" s="880">
        <v>0</v>
      </c>
      <c r="K279" s="880">
        <v>0</v>
      </c>
      <c r="L279" s="880">
        <v>0</v>
      </c>
      <c r="M279" s="880">
        <v>0</v>
      </c>
      <c r="N279" s="880">
        <v>0</v>
      </c>
      <c r="O279" s="880">
        <v>0</v>
      </c>
      <c r="P279" s="880">
        <v>0</v>
      </c>
      <c r="Q279" s="880">
        <v>0</v>
      </c>
      <c r="R279" s="880">
        <v>0</v>
      </c>
      <c r="S279" s="880">
        <v>0</v>
      </c>
      <c r="T279" s="880">
        <v>0</v>
      </c>
      <c r="U279" s="880">
        <v>0</v>
      </c>
    </row>
    <row r="280" spans="1:21" s="685" customFormat="1">
      <c r="A280" s="791"/>
      <c r="B280" s="792"/>
      <c r="C280" s="702">
        <v>0</v>
      </c>
      <c r="D280" s="702">
        <v>0</v>
      </c>
      <c r="E280" s="702">
        <v>0</v>
      </c>
      <c r="F280" s="702">
        <v>0</v>
      </c>
      <c r="G280" s="702">
        <v>0</v>
      </c>
      <c r="H280" s="702">
        <v>0</v>
      </c>
      <c r="I280" s="702">
        <v>0</v>
      </c>
      <c r="J280" s="702">
        <v>0</v>
      </c>
      <c r="K280" s="702">
        <v>0</v>
      </c>
      <c r="L280" s="702">
        <v>0</v>
      </c>
      <c r="M280" s="702">
        <v>0</v>
      </c>
      <c r="N280" s="702">
        <v>0</v>
      </c>
      <c r="O280" s="702">
        <v>0</v>
      </c>
      <c r="P280" s="702">
        <v>0</v>
      </c>
      <c r="Q280" s="702">
        <v>0</v>
      </c>
      <c r="R280" s="702">
        <v>0</v>
      </c>
      <c r="S280" s="702">
        <v>0</v>
      </c>
      <c r="T280" s="702">
        <v>0</v>
      </c>
      <c r="U280" s="702">
        <v>0</v>
      </c>
    </row>
    <row r="281" spans="1:21" s="685" customFormat="1">
      <c r="A281" s="791" t="s">
        <v>353</v>
      </c>
      <c r="B281" s="792" t="s">
        <v>502</v>
      </c>
      <c r="C281" s="880">
        <v>0</v>
      </c>
      <c r="D281" s="880">
        <v>0</v>
      </c>
      <c r="E281" s="880">
        <v>0</v>
      </c>
      <c r="F281" s="880">
        <v>0</v>
      </c>
      <c r="G281" s="880">
        <v>0</v>
      </c>
      <c r="H281" s="880">
        <v>0</v>
      </c>
      <c r="I281" s="880">
        <v>0</v>
      </c>
      <c r="J281" s="880">
        <v>0</v>
      </c>
      <c r="K281" s="880">
        <v>0</v>
      </c>
      <c r="L281" s="880">
        <v>0</v>
      </c>
      <c r="M281" s="880">
        <v>0</v>
      </c>
      <c r="N281" s="880">
        <v>0</v>
      </c>
      <c r="O281" s="880">
        <v>0</v>
      </c>
      <c r="P281" s="880">
        <v>0</v>
      </c>
      <c r="Q281" s="880">
        <v>0</v>
      </c>
      <c r="R281" s="880">
        <v>0</v>
      </c>
      <c r="S281" s="880">
        <v>0</v>
      </c>
      <c r="T281" s="880">
        <v>0</v>
      </c>
      <c r="U281" s="880">
        <v>0</v>
      </c>
    </row>
    <row r="282" spans="1:21" s="685" customFormat="1">
      <c r="A282" s="791"/>
      <c r="B282" s="792"/>
      <c r="C282" s="702">
        <v>0</v>
      </c>
      <c r="D282" s="702">
        <v>0</v>
      </c>
      <c r="E282" s="702">
        <v>0</v>
      </c>
      <c r="F282" s="702">
        <v>0</v>
      </c>
      <c r="G282" s="702">
        <v>0</v>
      </c>
      <c r="H282" s="702">
        <v>0</v>
      </c>
      <c r="I282" s="702">
        <v>0</v>
      </c>
      <c r="J282" s="702">
        <v>0</v>
      </c>
      <c r="K282" s="702">
        <v>0</v>
      </c>
      <c r="L282" s="702">
        <v>0</v>
      </c>
      <c r="M282" s="702">
        <v>0</v>
      </c>
      <c r="N282" s="702">
        <v>0</v>
      </c>
      <c r="O282" s="702">
        <v>0</v>
      </c>
      <c r="P282" s="702">
        <v>0</v>
      </c>
      <c r="Q282" s="702">
        <v>0</v>
      </c>
      <c r="R282" s="702">
        <v>0</v>
      </c>
      <c r="S282" s="702">
        <v>0</v>
      </c>
      <c r="T282" s="702">
        <v>0</v>
      </c>
      <c r="U282" s="702">
        <v>0</v>
      </c>
    </row>
    <row r="283" spans="1:21" s="685" customFormat="1">
      <c r="A283" s="791" t="s">
        <v>245</v>
      </c>
      <c r="B283" s="792" t="s">
        <v>503</v>
      </c>
      <c r="C283" s="880">
        <v>0</v>
      </c>
      <c r="D283" s="880">
        <v>0</v>
      </c>
      <c r="E283" s="880">
        <v>91000</v>
      </c>
      <c r="F283" s="880">
        <v>0</v>
      </c>
      <c r="G283" s="880">
        <v>0</v>
      </c>
      <c r="H283" s="880">
        <v>0</v>
      </c>
      <c r="I283" s="880">
        <v>0</v>
      </c>
      <c r="J283" s="880">
        <v>9500</v>
      </c>
      <c r="K283" s="880">
        <v>0</v>
      </c>
      <c r="L283" s="880">
        <v>0</v>
      </c>
      <c r="M283" s="880">
        <v>0</v>
      </c>
      <c r="N283" s="880">
        <v>0</v>
      </c>
      <c r="O283" s="880">
        <v>0</v>
      </c>
      <c r="P283" s="880">
        <v>0</v>
      </c>
      <c r="Q283" s="880">
        <v>0</v>
      </c>
      <c r="R283" s="880">
        <v>0</v>
      </c>
      <c r="S283" s="880">
        <v>0</v>
      </c>
      <c r="T283" s="880">
        <v>0</v>
      </c>
      <c r="U283" s="880">
        <v>0</v>
      </c>
    </row>
    <row r="284" spans="1:21" s="685" customFormat="1">
      <c r="A284" s="791"/>
      <c r="B284" s="792"/>
      <c r="C284" s="702">
        <v>100500</v>
      </c>
      <c r="D284" s="702">
        <v>100500</v>
      </c>
      <c r="E284" s="702">
        <v>100500</v>
      </c>
      <c r="F284" s="702">
        <v>9500</v>
      </c>
      <c r="G284" s="702">
        <v>9500</v>
      </c>
      <c r="H284" s="702">
        <v>9500</v>
      </c>
      <c r="I284" s="702">
        <v>9500</v>
      </c>
      <c r="J284" s="702">
        <v>9500</v>
      </c>
      <c r="K284" s="702">
        <v>0</v>
      </c>
      <c r="L284" s="702">
        <v>0</v>
      </c>
      <c r="M284" s="702">
        <v>0</v>
      </c>
      <c r="N284" s="702">
        <v>0</v>
      </c>
      <c r="O284" s="702">
        <v>0</v>
      </c>
      <c r="P284" s="702">
        <v>0</v>
      </c>
      <c r="Q284" s="702">
        <v>0</v>
      </c>
      <c r="R284" s="702">
        <v>0</v>
      </c>
      <c r="S284" s="702">
        <v>0</v>
      </c>
      <c r="T284" s="702">
        <v>0</v>
      </c>
      <c r="U284" s="702">
        <v>0</v>
      </c>
    </row>
    <row r="285" spans="1:21" s="685" customFormat="1">
      <c r="A285" s="791" t="s">
        <v>349</v>
      </c>
      <c r="B285" s="792" t="s">
        <v>504</v>
      </c>
      <c r="C285" s="880"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  <c r="J285" s="880">
        <v>5000</v>
      </c>
      <c r="K285" s="880">
        <v>0</v>
      </c>
      <c r="L285" s="880">
        <v>0</v>
      </c>
      <c r="M285" s="880">
        <v>0</v>
      </c>
      <c r="N285" s="880">
        <v>0</v>
      </c>
      <c r="O285" s="880">
        <v>0</v>
      </c>
      <c r="P285" s="880">
        <v>0</v>
      </c>
      <c r="Q285" s="880">
        <v>0</v>
      </c>
      <c r="R285" s="880">
        <v>0</v>
      </c>
      <c r="S285" s="880">
        <v>0</v>
      </c>
      <c r="T285" s="880">
        <v>0</v>
      </c>
      <c r="U285" s="880">
        <v>0</v>
      </c>
    </row>
    <row r="286" spans="1:21" s="685" customFormat="1">
      <c r="A286" s="791"/>
      <c r="B286" s="792"/>
      <c r="C286" s="702">
        <v>5000</v>
      </c>
      <c r="D286" s="702">
        <v>5000</v>
      </c>
      <c r="E286" s="702">
        <v>5000</v>
      </c>
      <c r="F286" s="702">
        <v>5000</v>
      </c>
      <c r="G286" s="702">
        <v>5000</v>
      </c>
      <c r="H286" s="702">
        <v>5000</v>
      </c>
      <c r="I286" s="702">
        <v>5000</v>
      </c>
      <c r="J286" s="702">
        <v>5000</v>
      </c>
      <c r="K286" s="702">
        <v>0</v>
      </c>
      <c r="L286" s="702">
        <v>0</v>
      </c>
      <c r="M286" s="702">
        <v>0</v>
      </c>
      <c r="N286" s="702">
        <v>0</v>
      </c>
      <c r="O286" s="702">
        <v>0</v>
      </c>
      <c r="P286" s="702">
        <v>0</v>
      </c>
      <c r="Q286" s="702">
        <v>0</v>
      </c>
      <c r="R286" s="702">
        <v>0</v>
      </c>
      <c r="S286" s="702">
        <v>0</v>
      </c>
      <c r="T286" s="702">
        <v>0</v>
      </c>
      <c r="U286" s="702">
        <v>0</v>
      </c>
    </row>
    <row r="287" spans="1:21" s="685" customFormat="1">
      <c r="A287" s="791" t="s">
        <v>247</v>
      </c>
      <c r="B287" s="792" t="s">
        <v>505</v>
      </c>
      <c r="C287" s="880">
        <v>0</v>
      </c>
      <c r="D287" s="880">
        <v>0</v>
      </c>
      <c r="E287" s="880">
        <v>0</v>
      </c>
      <c r="F287" s="880">
        <v>0</v>
      </c>
      <c r="G287" s="880">
        <v>0</v>
      </c>
      <c r="H287" s="880">
        <v>0</v>
      </c>
      <c r="I287" s="880">
        <v>0</v>
      </c>
      <c r="J287" s="880">
        <v>0</v>
      </c>
      <c r="K287" s="880">
        <v>0</v>
      </c>
      <c r="L287" s="880">
        <v>0</v>
      </c>
      <c r="M287" s="880">
        <v>0</v>
      </c>
      <c r="N287" s="880">
        <v>0</v>
      </c>
      <c r="O287" s="880">
        <v>0</v>
      </c>
      <c r="P287" s="880">
        <v>0</v>
      </c>
      <c r="Q287" s="880">
        <v>0</v>
      </c>
      <c r="R287" s="880">
        <v>0</v>
      </c>
      <c r="S287" s="880">
        <v>102400</v>
      </c>
      <c r="T287" s="880">
        <v>0</v>
      </c>
      <c r="U287" s="880">
        <v>0</v>
      </c>
    </row>
    <row r="288" spans="1:21" s="685" customFormat="1">
      <c r="A288" s="791"/>
      <c r="B288" s="792"/>
      <c r="C288" s="702">
        <v>102400</v>
      </c>
      <c r="D288" s="702">
        <v>102400</v>
      </c>
      <c r="E288" s="702">
        <v>102400</v>
      </c>
      <c r="F288" s="702">
        <v>102400</v>
      </c>
      <c r="G288" s="702">
        <v>102400</v>
      </c>
      <c r="H288" s="702">
        <v>102400</v>
      </c>
      <c r="I288" s="702">
        <v>102400</v>
      </c>
      <c r="J288" s="702">
        <v>102400</v>
      </c>
      <c r="K288" s="702">
        <v>102400</v>
      </c>
      <c r="L288" s="702">
        <v>102400</v>
      </c>
      <c r="M288" s="702">
        <v>102400</v>
      </c>
      <c r="N288" s="702">
        <v>102400</v>
      </c>
      <c r="O288" s="702">
        <v>102400</v>
      </c>
      <c r="P288" s="702">
        <v>102400</v>
      </c>
      <c r="Q288" s="702">
        <v>102400</v>
      </c>
      <c r="R288" s="702">
        <v>102400</v>
      </c>
      <c r="S288" s="702">
        <v>102400</v>
      </c>
      <c r="T288" s="702">
        <v>0</v>
      </c>
      <c r="U288" s="702">
        <v>0</v>
      </c>
    </row>
    <row r="289" spans="1:21" s="685" customFormat="1">
      <c r="A289" s="791" t="s">
        <v>187</v>
      </c>
      <c r="B289" s="792" t="s">
        <v>506</v>
      </c>
      <c r="C289" s="880">
        <v>1451000</v>
      </c>
      <c r="D289" s="880">
        <v>0</v>
      </c>
      <c r="E289" s="880">
        <v>0</v>
      </c>
      <c r="F289" s="880">
        <v>0</v>
      </c>
      <c r="G289" s="880">
        <v>0</v>
      </c>
      <c r="H289" s="880">
        <v>0</v>
      </c>
      <c r="I289" s="880">
        <v>0</v>
      </c>
      <c r="J289" s="880">
        <v>0</v>
      </c>
      <c r="K289" s="880">
        <v>125000</v>
      </c>
      <c r="L289" s="880">
        <v>0</v>
      </c>
      <c r="M289" s="880">
        <v>0</v>
      </c>
      <c r="N289" s="880">
        <v>0</v>
      </c>
      <c r="O289" s="880">
        <v>0</v>
      </c>
      <c r="P289" s="880">
        <v>0</v>
      </c>
      <c r="Q289" s="880">
        <v>0</v>
      </c>
      <c r="R289" s="880">
        <v>0</v>
      </c>
      <c r="S289" s="880">
        <v>0</v>
      </c>
      <c r="T289" s="880">
        <v>0</v>
      </c>
      <c r="U289" s="880">
        <v>0</v>
      </c>
    </row>
    <row r="290" spans="1:21" s="685" customFormat="1">
      <c r="A290" s="791"/>
      <c r="B290" s="792"/>
      <c r="C290" s="702">
        <v>1576000</v>
      </c>
      <c r="D290" s="702">
        <v>125000</v>
      </c>
      <c r="E290" s="702">
        <v>125000</v>
      </c>
      <c r="F290" s="702">
        <v>125000</v>
      </c>
      <c r="G290" s="702">
        <v>125000</v>
      </c>
      <c r="H290" s="702">
        <v>125000</v>
      </c>
      <c r="I290" s="702">
        <v>125000</v>
      </c>
      <c r="J290" s="702">
        <v>125000</v>
      </c>
      <c r="K290" s="702">
        <v>125000</v>
      </c>
      <c r="L290" s="702">
        <v>0</v>
      </c>
      <c r="M290" s="702">
        <v>0</v>
      </c>
      <c r="N290" s="702">
        <v>0</v>
      </c>
      <c r="O290" s="702">
        <v>0</v>
      </c>
      <c r="P290" s="702">
        <v>0</v>
      </c>
      <c r="Q290" s="702">
        <v>0</v>
      </c>
      <c r="R290" s="702">
        <v>0</v>
      </c>
      <c r="S290" s="702">
        <v>0</v>
      </c>
      <c r="T290" s="702">
        <v>0</v>
      </c>
      <c r="U290" s="702">
        <v>0</v>
      </c>
    </row>
    <row r="291" spans="1:21" s="685" customFormat="1">
      <c r="A291" s="791" t="s">
        <v>246</v>
      </c>
      <c r="B291" s="792" t="s">
        <v>507</v>
      </c>
      <c r="C291" s="880">
        <v>0</v>
      </c>
      <c r="D291" s="880">
        <v>0</v>
      </c>
      <c r="E291" s="880">
        <v>0</v>
      </c>
      <c r="F291" s="880">
        <v>0</v>
      </c>
      <c r="G291" s="880">
        <v>0</v>
      </c>
      <c r="H291" s="880">
        <v>0</v>
      </c>
      <c r="I291" s="880">
        <v>0</v>
      </c>
      <c r="J291" s="880">
        <v>0</v>
      </c>
      <c r="K291" s="880">
        <v>0</v>
      </c>
      <c r="L291" s="880">
        <v>0</v>
      </c>
      <c r="M291" s="880">
        <v>0</v>
      </c>
      <c r="N291" s="880">
        <v>0</v>
      </c>
      <c r="O291" s="880">
        <v>0</v>
      </c>
      <c r="P291" s="880">
        <v>0</v>
      </c>
      <c r="Q291" s="880">
        <v>0</v>
      </c>
      <c r="R291" s="880">
        <v>0</v>
      </c>
      <c r="S291" s="880">
        <v>0</v>
      </c>
      <c r="T291" s="880">
        <v>0</v>
      </c>
      <c r="U291" s="880">
        <v>0</v>
      </c>
    </row>
    <row r="292" spans="1:21" s="685" customFormat="1">
      <c r="A292" s="791"/>
      <c r="B292" s="792"/>
      <c r="C292" s="702">
        <v>0</v>
      </c>
      <c r="D292" s="702">
        <v>0</v>
      </c>
      <c r="E292" s="702">
        <v>0</v>
      </c>
      <c r="F292" s="702">
        <v>0</v>
      </c>
      <c r="G292" s="702">
        <v>0</v>
      </c>
      <c r="H292" s="702">
        <v>0</v>
      </c>
      <c r="I292" s="702">
        <v>0</v>
      </c>
      <c r="J292" s="702">
        <v>0</v>
      </c>
      <c r="K292" s="702">
        <v>0</v>
      </c>
      <c r="L292" s="702">
        <v>0</v>
      </c>
      <c r="M292" s="702">
        <v>0</v>
      </c>
      <c r="N292" s="702">
        <v>0</v>
      </c>
      <c r="O292" s="702">
        <v>0</v>
      </c>
      <c r="P292" s="702">
        <v>0</v>
      </c>
      <c r="Q292" s="702">
        <v>0</v>
      </c>
      <c r="R292" s="702">
        <v>0</v>
      </c>
      <c r="S292" s="702">
        <v>0</v>
      </c>
      <c r="T292" s="702">
        <v>0</v>
      </c>
      <c r="U292" s="702">
        <v>0</v>
      </c>
    </row>
    <row r="293" spans="1:21" s="685" customFormat="1">
      <c r="A293" s="791" t="s">
        <v>334</v>
      </c>
      <c r="B293" s="792" t="s">
        <v>508</v>
      </c>
      <c r="C293" s="880">
        <v>0</v>
      </c>
      <c r="D293" s="880">
        <v>0</v>
      </c>
      <c r="E293" s="880">
        <v>0</v>
      </c>
      <c r="F293" s="880">
        <v>0</v>
      </c>
      <c r="G293" s="880">
        <v>0</v>
      </c>
      <c r="H293" s="880">
        <v>0</v>
      </c>
      <c r="I293" s="880">
        <v>0</v>
      </c>
      <c r="J293" s="880">
        <v>0</v>
      </c>
      <c r="K293" s="880">
        <v>0</v>
      </c>
      <c r="L293" s="880">
        <v>0</v>
      </c>
      <c r="M293" s="880">
        <v>0</v>
      </c>
      <c r="N293" s="880">
        <v>0</v>
      </c>
      <c r="O293" s="880">
        <v>0</v>
      </c>
      <c r="P293" s="880">
        <v>0</v>
      </c>
      <c r="Q293" s="880">
        <v>0</v>
      </c>
      <c r="R293" s="880">
        <v>0</v>
      </c>
      <c r="S293" s="880">
        <v>0</v>
      </c>
      <c r="T293" s="880">
        <v>0</v>
      </c>
      <c r="U293" s="880">
        <v>0</v>
      </c>
    </row>
    <row r="294" spans="1:21" s="685" customFormat="1">
      <c r="A294" s="791"/>
      <c r="B294" s="792"/>
      <c r="C294" s="702">
        <v>0</v>
      </c>
      <c r="D294" s="702">
        <v>0</v>
      </c>
      <c r="E294" s="702">
        <v>0</v>
      </c>
      <c r="F294" s="702">
        <v>0</v>
      </c>
      <c r="G294" s="702">
        <v>0</v>
      </c>
      <c r="H294" s="702">
        <v>0</v>
      </c>
      <c r="I294" s="702">
        <v>0</v>
      </c>
      <c r="J294" s="702">
        <v>0</v>
      </c>
      <c r="K294" s="702">
        <v>0</v>
      </c>
      <c r="L294" s="702">
        <v>0</v>
      </c>
      <c r="M294" s="702">
        <v>0</v>
      </c>
      <c r="N294" s="702">
        <v>0</v>
      </c>
      <c r="O294" s="702">
        <v>0</v>
      </c>
      <c r="P294" s="702">
        <v>0</v>
      </c>
      <c r="Q294" s="702">
        <v>0</v>
      </c>
      <c r="R294" s="702">
        <v>0</v>
      </c>
      <c r="S294" s="702">
        <v>0</v>
      </c>
      <c r="T294" s="702">
        <v>0</v>
      </c>
      <c r="U294" s="702">
        <v>0</v>
      </c>
    </row>
    <row r="295" spans="1:21" s="685" customFormat="1">
      <c r="A295" s="791" t="s">
        <v>27</v>
      </c>
      <c r="B295" s="792" t="s">
        <v>509</v>
      </c>
      <c r="C295" s="880">
        <v>0</v>
      </c>
      <c r="D295" s="880">
        <v>0</v>
      </c>
      <c r="E295" s="880">
        <v>0</v>
      </c>
      <c r="F295" s="880">
        <v>12500</v>
      </c>
      <c r="G295" s="880">
        <v>0</v>
      </c>
      <c r="H295" s="880">
        <v>0</v>
      </c>
      <c r="I295" s="880">
        <v>0</v>
      </c>
      <c r="J295" s="880">
        <v>10000</v>
      </c>
      <c r="K295" s="880">
        <v>32500</v>
      </c>
      <c r="L295" s="880">
        <v>0</v>
      </c>
      <c r="M295" s="880">
        <v>0</v>
      </c>
      <c r="N295" s="880">
        <v>0</v>
      </c>
      <c r="O295" s="880">
        <v>39375</v>
      </c>
      <c r="P295" s="880">
        <v>0</v>
      </c>
      <c r="Q295" s="880">
        <v>50000</v>
      </c>
      <c r="R295" s="880">
        <v>78750</v>
      </c>
      <c r="S295" s="880">
        <v>20000</v>
      </c>
      <c r="T295" s="880">
        <v>0</v>
      </c>
      <c r="U295" s="880">
        <v>0</v>
      </c>
    </row>
    <row r="296" spans="1:21" s="685" customFormat="1">
      <c r="A296" s="791"/>
      <c r="B296" s="792"/>
      <c r="C296" s="968">
        <v>243125</v>
      </c>
      <c r="D296" s="968">
        <v>243125</v>
      </c>
      <c r="E296" s="968">
        <v>243125</v>
      </c>
      <c r="F296" s="968">
        <v>243125</v>
      </c>
      <c r="G296" s="968">
        <v>230625</v>
      </c>
      <c r="H296" s="968">
        <v>230625</v>
      </c>
      <c r="I296" s="968">
        <v>230625</v>
      </c>
      <c r="J296" s="968">
        <v>230625</v>
      </c>
      <c r="K296" s="968">
        <v>220625</v>
      </c>
      <c r="L296" s="968">
        <v>188125</v>
      </c>
      <c r="M296" s="968">
        <v>188125</v>
      </c>
      <c r="N296" s="968">
        <v>188125</v>
      </c>
      <c r="O296" s="968">
        <v>188125</v>
      </c>
      <c r="P296" s="968">
        <v>148750</v>
      </c>
      <c r="Q296" s="968">
        <v>148750</v>
      </c>
      <c r="R296" s="968">
        <v>98750</v>
      </c>
      <c r="S296" s="968">
        <v>20000</v>
      </c>
      <c r="T296" s="968">
        <v>0</v>
      </c>
      <c r="U296" s="968">
        <v>0</v>
      </c>
    </row>
    <row r="297" spans="1:21" s="685" customFormat="1">
      <c r="A297" s="791" t="s">
        <v>180</v>
      </c>
      <c r="B297" s="792"/>
      <c r="C297" s="1023">
        <v>0</v>
      </c>
      <c r="D297" s="1023">
        <v>0</v>
      </c>
      <c r="E297" s="1023">
        <v>0</v>
      </c>
      <c r="F297" s="1023">
        <v>0</v>
      </c>
      <c r="G297" s="1023">
        <v>0</v>
      </c>
      <c r="H297" s="1023">
        <v>0</v>
      </c>
      <c r="I297" s="1023">
        <v>0</v>
      </c>
      <c r="J297" s="1023">
        <v>0</v>
      </c>
      <c r="K297" s="1023">
        <v>0</v>
      </c>
      <c r="L297" s="1023">
        <v>0</v>
      </c>
      <c r="M297" s="1023">
        <v>0</v>
      </c>
      <c r="N297" s="1023">
        <v>0</v>
      </c>
      <c r="O297" s="1023">
        <v>0</v>
      </c>
      <c r="P297" s="1023">
        <v>0</v>
      </c>
      <c r="Q297" s="1023">
        <v>0</v>
      </c>
      <c r="R297" s="1023">
        <v>0</v>
      </c>
      <c r="S297" s="1023">
        <v>0</v>
      </c>
      <c r="T297" s="1023">
        <v>0</v>
      </c>
      <c r="U297" s="1023">
        <v>0</v>
      </c>
    </row>
    <row r="298" spans="1:21" s="685" customFormat="1">
      <c r="A298" s="791"/>
      <c r="B298" s="792"/>
      <c r="C298" s="968">
        <v>0</v>
      </c>
      <c r="D298" s="968">
        <v>0</v>
      </c>
      <c r="E298" s="968">
        <v>0</v>
      </c>
      <c r="F298" s="968">
        <v>0</v>
      </c>
      <c r="G298" s="968">
        <v>0</v>
      </c>
      <c r="H298" s="968">
        <v>0</v>
      </c>
      <c r="I298" s="968">
        <v>0</v>
      </c>
      <c r="J298" s="968">
        <v>0</v>
      </c>
      <c r="K298" s="968">
        <v>0</v>
      </c>
      <c r="L298" s="968">
        <v>0</v>
      </c>
      <c r="M298" s="968">
        <v>0</v>
      </c>
      <c r="N298" s="968">
        <v>0</v>
      </c>
      <c r="O298" s="968">
        <v>0</v>
      </c>
      <c r="P298" s="968">
        <v>0</v>
      </c>
      <c r="Q298" s="968">
        <v>0</v>
      </c>
      <c r="R298" s="968">
        <v>0</v>
      </c>
      <c r="S298" s="968">
        <v>0</v>
      </c>
      <c r="T298" s="968">
        <v>0</v>
      </c>
      <c r="U298" s="968">
        <v>0</v>
      </c>
    </row>
    <row r="299" spans="1:21" s="685" customFormat="1">
      <c r="A299" s="791" t="s">
        <v>59</v>
      </c>
      <c r="B299" s="792"/>
      <c r="C299" s="880">
        <v>1451000</v>
      </c>
      <c r="D299" s="880">
        <v>0</v>
      </c>
      <c r="E299" s="880">
        <v>91000</v>
      </c>
      <c r="F299" s="880">
        <v>12500</v>
      </c>
      <c r="G299" s="880">
        <v>0</v>
      </c>
      <c r="H299" s="880">
        <v>0</v>
      </c>
      <c r="I299" s="880">
        <v>0</v>
      </c>
      <c r="J299" s="880">
        <v>24500</v>
      </c>
      <c r="K299" s="880">
        <v>157500</v>
      </c>
      <c r="L299" s="880">
        <v>0</v>
      </c>
      <c r="M299" s="880">
        <v>0</v>
      </c>
      <c r="N299" s="880">
        <v>0</v>
      </c>
      <c r="O299" s="880">
        <v>39375</v>
      </c>
      <c r="P299" s="880">
        <v>0</v>
      </c>
      <c r="Q299" s="880">
        <v>50000</v>
      </c>
      <c r="R299" s="880">
        <v>78750</v>
      </c>
      <c r="S299" s="880">
        <v>122400</v>
      </c>
      <c r="T299" s="880">
        <v>0</v>
      </c>
      <c r="U299" s="880">
        <v>0</v>
      </c>
    </row>
    <row r="300" spans="1:21" s="685" customFormat="1">
      <c r="A300" s="791"/>
      <c r="B300" s="792"/>
      <c r="C300" s="702">
        <v>2027025</v>
      </c>
      <c r="D300" s="702">
        <v>576025</v>
      </c>
      <c r="E300" s="702">
        <v>576025</v>
      </c>
      <c r="F300" s="702">
        <v>485025</v>
      </c>
      <c r="G300" s="702">
        <v>472525</v>
      </c>
      <c r="H300" s="702">
        <v>472525</v>
      </c>
      <c r="I300" s="702">
        <v>472525</v>
      </c>
      <c r="J300" s="702">
        <v>472525</v>
      </c>
      <c r="K300" s="702">
        <v>448025</v>
      </c>
      <c r="L300" s="702">
        <v>290525</v>
      </c>
      <c r="M300" s="702">
        <v>290525</v>
      </c>
      <c r="N300" s="702">
        <v>290525</v>
      </c>
      <c r="O300" s="702">
        <v>290525</v>
      </c>
      <c r="P300" s="702">
        <v>251150</v>
      </c>
      <c r="Q300" s="702">
        <v>251150</v>
      </c>
      <c r="R300" s="702">
        <v>201150</v>
      </c>
      <c r="S300" s="702">
        <v>122400</v>
      </c>
      <c r="T300" s="702">
        <v>0</v>
      </c>
      <c r="U300" s="702">
        <v>0</v>
      </c>
    </row>
    <row r="301" spans="1:21" s="685" customFormat="1" ht="21.6" customHeight="1">
      <c r="A301" s="793" t="s">
        <v>350</v>
      </c>
      <c r="B301" s="794"/>
      <c r="C301" s="882">
        <v>-1017890</v>
      </c>
      <c r="D301" s="882">
        <v>40000</v>
      </c>
      <c r="E301" s="882">
        <v>241297</v>
      </c>
      <c r="F301" s="882">
        <v>224940</v>
      </c>
      <c r="G301" s="882">
        <v>250108</v>
      </c>
      <c r="H301" s="882">
        <v>1095957</v>
      </c>
      <c r="I301" s="882">
        <v>37280</v>
      </c>
      <c r="J301" s="882">
        <v>872166</v>
      </c>
      <c r="K301" s="882">
        <v>198308</v>
      </c>
      <c r="L301" s="882">
        <v>348452</v>
      </c>
      <c r="M301" s="882">
        <v>861297</v>
      </c>
      <c r="N301" s="882">
        <v>39920</v>
      </c>
      <c r="O301" s="882">
        <v>1898745</v>
      </c>
      <c r="P301" s="882">
        <v>49340</v>
      </c>
      <c r="Q301" s="882">
        <v>217890</v>
      </c>
      <c r="R301" s="882">
        <v>563190</v>
      </c>
      <c r="S301" s="882">
        <v>1107077</v>
      </c>
      <c r="T301" s="882">
        <v>263874</v>
      </c>
      <c r="U301" s="882">
        <v>0</v>
      </c>
    </row>
    <row r="302" spans="1:21" s="685" customFormat="1" ht="19.95" customHeight="1">
      <c r="A302" s="793"/>
      <c r="B302" s="794"/>
      <c r="C302" s="702">
        <v>7291951</v>
      </c>
      <c r="D302" s="702">
        <v>8309841</v>
      </c>
      <c r="E302" s="702">
        <v>8269841</v>
      </c>
      <c r="F302" s="702">
        <v>8028544</v>
      </c>
      <c r="G302" s="702">
        <v>7803604</v>
      </c>
      <c r="H302" s="702">
        <v>7553496</v>
      </c>
      <c r="I302" s="702">
        <v>6457539</v>
      </c>
      <c r="J302" s="702">
        <v>6420259</v>
      </c>
      <c r="K302" s="702">
        <v>5548093</v>
      </c>
      <c r="L302" s="702">
        <v>5349785</v>
      </c>
      <c r="M302" s="702">
        <v>5001333</v>
      </c>
      <c r="N302" s="702">
        <v>4140036</v>
      </c>
      <c r="O302" s="702">
        <v>4100116</v>
      </c>
      <c r="P302" s="702">
        <v>2201371</v>
      </c>
      <c r="Q302" s="702">
        <v>2152031</v>
      </c>
      <c r="R302" s="702">
        <v>1934141</v>
      </c>
      <c r="S302" s="702">
        <v>1370951</v>
      </c>
      <c r="T302" s="702">
        <v>263874</v>
      </c>
      <c r="U302" s="702">
        <v>0</v>
      </c>
    </row>
    <row r="303" spans="1:21" s="685" customFormat="1">
      <c r="A303" s="795"/>
      <c r="B303" s="748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4"/>
      <c r="P303" s="704"/>
      <c r="Q303" s="704"/>
      <c r="R303" s="704"/>
      <c r="S303" s="704"/>
      <c r="T303" s="704"/>
      <c r="U303" s="704"/>
    </row>
    <row r="304" spans="1:21" s="685" customFormat="1">
      <c r="A304" s="796" t="s">
        <v>228</v>
      </c>
      <c r="B304" s="788" t="s">
        <v>289</v>
      </c>
      <c r="C304" s="880">
        <v>662419</v>
      </c>
      <c r="D304" s="880">
        <v>38140</v>
      </c>
      <c r="E304" s="880">
        <v>558774</v>
      </c>
      <c r="F304" s="880">
        <v>416526</v>
      </c>
      <c r="G304" s="880">
        <v>1087504</v>
      </c>
      <c r="H304" s="880">
        <v>1885077</v>
      </c>
      <c r="I304" s="880">
        <v>53920</v>
      </c>
      <c r="J304" s="880">
        <v>1419216</v>
      </c>
      <c r="K304" s="880">
        <v>1131611</v>
      </c>
      <c r="L304" s="880">
        <v>649639</v>
      </c>
      <c r="M304" s="880">
        <v>1707941</v>
      </c>
      <c r="N304" s="880">
        <v>52339</v>
      </c>
      <c r="O304" s="880">
        <v>2520680</v>
      </c>
      <c r="P304" s="880">
        <v>16700</v>
      </c>
      <c r="Q304" s="880">
        <v>213139</v>
      </c>
      <c r="R304" s="880">
        <v>783466</v>
      </c>
      <c r="S304" s="880">
        <v>1176036</v>
      </c>
      <c r="T304" s="880">
        <v>312159</v>
      </c>
      <c r="U304" s="880">
        <v>0</v>
      </c>
    </row>
    <row r="305" spans="1:21" s="685" customFormat="1">
      <c r="A305" s="787"/>
      <c r="B305" s="788"/>
      <c r="C305" s="702">
        <v>14685286</v>
      </c>
      <c r="D305" s="702">
        <v>14022867</v>
      </c>
      <c r="E305" s="702">
        <v>13984727</v>
      </c>
      <c r="F305" s="702">
        <v>13425953</v>
      </c>
      <c r="G305" s="702">
        <v>13009427</v>
      </c>
      <c r="H305" s="702">
        <v>11921923</v>
      </c>
      <c r="I305" s="702">
        <v>10036846</v>
      </c>
      <c r="J305" s="702">
        <v>9982926</v>
      </c>
      <c r="K305" s="702">
        <v>8563710</v>
      </c>
      <c r="L305" s="702">
        <v>7432099</v>
      </c>
      <c r="M305" s="702">
        <v>6782460</v>
      </c>
      <c r="N305" s="702">
        <v>5074519</v>
      </c>
      <c r="O305" s="702">
        <v>5022180</v>
      </c>
      <c r="P305" s="702">
        <v>2501500</v>
      </c>
      <c r="Q305" s="702">
        <v>2484800</v>
      </c>
      <c r="R305" s="702">
        <v>2271661</v>
      </c>
      <c r="S305" s="702">
        <v>1488195</v>
      </c>
      <c r="T305" s="702">
        <v>312159</v>
      </c>
      <c r="U305" s="702">
        <v>0</v>
      </c>
    </row>
    <row r="306" spans="1:21" s="685" customFormat="1">
      <c r="A306" s="789" t="s">
        <v>100</v>
      </c>
      <c r="B306" s="790"/>
      <c r="C306" s="879"/>
      <c r="D306" s="879"/>
      <c r="E306" s="879"/>
      <c r="F306" s="879"/>
      <c r="G306" s="879"/>
      <c r="H306" s="879"/>
      <c r="I306" s="879"/>
      <c r="J306" s="879"/>
      <c r="K306" s="879"/>
      <c r="L306" s="879"/>
      <c r="M306" s="879"/>
      <c r="N306" s="879"/>
      <c r="O306" s="879"/>
      <c r="P306" s="879"/>
      <c r="Q306" s="879"/>
      <c r="R306" s="879"/>
      <c r="S306" s="879"/>
      <c r="T306" s="879"/>
      <c r="U306" s="879"/>
    </row>
    <row r="307" spans="1:21" s="685" customFormat="1">
      <c r="A307" s="791" t="s">
        <v>337</v>
      </c>
      <c r="B307" s="792" t="s">
        <v>510</v>
      </c>
      <c r="C307" s="880">
        <v>0</v>
      </c>
      <c r="D307" s="880">
        <v>0</v>
      </c>
      <c r="E307" s="880">
        <v>0</v>
      </c>
      <c r="F307" s="880">
        <v>0</v>
      </c>
      <c r="G307" s="880">
        <v>0</v>
      </c>
      <c r="H307" s="880">
        <v>0</v>
      </c>
      <c r="I307" s="880">
        <v>0</v>
      </c>
      <c r="J307" s="880">
        <v>0</v>
      </c>
      <c r="K307" s="880">
        <v>0</v>
      </c>
      <c r="L307" s="880">
        <v>0</v>
      </c>
      <c r="M307" s="880">
        <v>0</v>
      </c>
      <c r="N307" s="880">
        <v>0</v>
      </c>
      <c r="O307" s="880">
        <v>0</v>
      </c>
      <c r="P307" s="880">
        <v>0</v>
      </c>
      <c r="Q307" s="880">
        <v>0</v>
      </c>
      <c r="R307" s="880">
        <v>0</v>
      </c>
      <c r="S307" s="880">
        <v>0</v>
      </c>
      <c r="T307" s="880">
        <v>0</v>
      </c>
      <c r="U307" s="880">
        <v>0</v>
      </c>
    </row>
    <row r="308" spans="1:21" s="685" customFormat="1">
      <c r="A308" s="791"/>
      <c r="B308" s="792"/>
      <c r="C308" s="702">
        <v>0</v>
      </c>
      <c r="D308" s="702">
        <v>0</v>
      </c>
      <c r="E308" s="702">
        <v>0</v>
      </c>
      <c r="F308" s="702">
        <v>0</v>
      </c>
      <c r="G308" s="702">
        <v>0</v>
      </c>
      <c r="H308" s="702">
        <v>0</v>
      </c>
      <c r="I308" s="702">
        <v>0</v>
      </c>
      <c r="J308" s="702">
        <v>0</v>
      </c>
      <c r="K308" s="702">
        <v>0</v>
      </c>
      <c r="L308" s="702">
        <v>0</v>
      </c>
      <c r="M308" s="702">
        <v>0</v>
      </c>
      <c r="N308" s="702">
        <v>0</v>
      </c>
      <c r="O308" s="702">
        <v>0</v>
      </c>
      <c r="P308" s="702">
        <v>0</v>
      </c>
      <c r="Q308" s="702">
        <v>0</v>
      </c>
      <c r="R308" s="702">
        <v>0</v>
      </c>
      <c r="S308" s="702">
        <v>0</v>
      </c>
      <c r="T308" s="702">
        <v>0</v>
      </c>
      <c r="U308" s="702">
        <v>0</v>
      </c>
    </row>
    <row r="309" spans="1:21" s="685" customFormat="1">
      <c r="A309" s="791" t="s">
        <v>353</v>
      </c>
      <c r="B309" s="792" t="s">
        <v>511</v>
      </c>
      <c r="C309" s="880">
        <v>0</v>
      </c>
      <c r="D309" s="880">
        <v>0</v>
      </c>
      <c r="E309" s="880">
        <v>0</v>
      </c>
      <c r="F309" s="880">
        <v>0</v>
      </c>
      <c r="G309" s="880">
        <v>0</v>
      </c>
      <c r="H309" s="880">
        <v>10000</v>
      </c>
      <c r="I309" s="880">
        <v>0</v>
      </c>
      <c r="J309" s="880">
        <v>0</v>
      </c>
      <c r="K309" s="880">
        <v>0</v>
      </c>
      <c r="L309" s="880">
        <v>0</v>
      </c>
      <c r="M309" s="880">
        <v>10035</v>
      </c>
      <c r="N309" s="880">
        <v>0</v>
      </c>
      <c r="O309" s="880">
        <v>0</v>
      </c>
      <c r="P309" s="880">
        <v>0</v>
      </c>
      <c r="Q309" s="880">
        <v>0</v>
      </c>
      <c r="R309" s="880">
        <v>0</v>
      </c>
      <c r="S309" s="880">
        <v>0</v>
      </c>
      <c r="T309" s="880">
        <v>0</v>
      </c>
      <c r="U309" s="880">
        <v>0</v>
      </c>
    </row>
    <row r="310" spans="1:21" s="685" customFormat="1">
      <c r="A310" s="791"/>
      <c r="B310" s="792"/>
      <c r="C310" s="702">
        <v>20035</v>
      </c>
      <c r="D310" s="702">
        <v>20035</v>
      </c>
      <c r="E310" s="702">
        <v>20035</v>
      </c>
      <c r="F310" s="702">
        <v>20035</v>
      </c>
      <c r="G310" s="702">
        <v>20035</v>
      </c>
      <c r="H310" s="702">
        <v>20035</v>
      </c>
      <c r="I310" s="702">
        <v>10035</v>
      </c>
      <c r="J310" s="702">
        <v>10035</v>
      </c>
      <c r="K310" s="702">
        <v>10035</v>
      </c>
      <c r="L310" s="702">
        <v>10035</v>
      </c>
      <c r="M310" s="702">
        <v>10035</v>
      </c>
      <c r="N310" s="702">
        <v>0</v>
      </c>
      <c r="O310" s="702">
        <v>0</v>
      </c>
      <c r="P310" s="702">
        <v>0</v>
      </c>
      <c r="Q310" s="702">
        <v>0</v>
      </c>
      <c r="R310" s="702">
        <v>0</v>
      </c>
      <c r="S310" s="702">
        <v>0</v>
      </c>
      <c r="T310" s="702">
        <v>0</v>
      </c>
      <c r="U310" s="702">
        <v>0</v>
      </c>
    </row>
    <row r="311" spans="1:21" s="685" customFormat="1">
      <c r="A311" s="791" t="s">
        <v>245</v>
      </c>
      <c r="B311" s="792" t="s">
        <v>512</v>
      </c>
      <c r="C311" s="880">
        <v>0</v>
      </c>
      <c r="D311" s="880">
        <v>0</v>
      </c>
      <c r="E311" s="880">
        <v>0</v>
      </c>
      <c r="F311" s="880">
        <v>0</v>
      </c>
      <c r="G311" s="880">
        <v>0</v>
      </c>
      <c r="H311" s="880">
        <v>0</v>
      </c>
      <c r="I311" s="880">
        <v>0</v>
      </c>
      <c r="J311" s="880">
        <v>0</v>
      </c>
      <c r="K311" s="880">
        <v>0</v>
      </c>
      <c r="L311" s="880">
        <v>0</v>
      </c>
      <c r="M311" s="880">
        <v>0</v>
      </c>
      <c r="N311" s="880">
        <v>0</v>
      </c>
      <c r="O311" s="880">
        <v>50999</v>
      </c>
      <c r="P311" s="880">
        <v>0</v>
      </c>
      <c r="Q311" s="880">
        <v>0</v>
      </c>
      <c r="R311" s="880">
        <v>0</v>
      </c>
      <c r="S311" s="880">
        <v>0</v>
      </c>
      <c r="T311" s="880">
        <v>0</v>
      </c>
      <c r="U311" s="880">
        <v>0</v>
      </c>
    </row>
    <row r="312" spans="1:21" s="685" customFormat="1">
      <c r="A312" s="791"/>
      <c r="B312" s="792"/>
      <c r="C312" s="702">
        <v>50999</v>
      </c>
      <c r="D312" s="702">
        <v>50999</v>
      </c>
      <c r="E312" s="702">
        <v>50999</v>
      </c>
      <c r="F312" s="702">
        <v>50999</v>
      </c>
      <c r="G312" s="702">
        <v>50999</v>
      </c>
      <c r="H312" s="702">
        <v>50999</v>
      </c>
      <c r="I312" s="702">
        <v>50999</v>
      </c>
      <c r="J312" s="702">
        <v>50999</v>
      </c>
      <c r="K312" s="702">
        <v>50999</v>
      </c>
      <c r="L312" s="702">
        <v>50999</v>
      </c>
      <c r="M312" s="702">
        <v>50999</v>
      </c>
      <c r="N312" s="702">
        <v>50999</v>
      </c>
      <c r="O312" s="702">
        <v>50999</v>
      </c>
      <c r="P312" s="702">
        <v>0</v>
      </c>
      <c r="Q312" s="702">
        <v>0</v>
      </c>
      <c r="R312" s="702">
        <v>0</v>
      </c>
      <c r="S312" s="702">
        <v>0</v>
      </c>
      <c r="T312" s="702">
        <v>0</v>
      </c>
      <c r="U312" s="702">
        <v>0</v>
      </c>
    </row>
    <row r="313" spans="1:21" s="685" customFormat="1">
      <c r="A313" s="791" t="s">
        <v>349</v>
      </c>
      <c r="B313" s="792" t="s">
        <v>513</v>
      </c>
      <c r="C313" s="880">
        <v>0</v>
      </c>
      <c r="D313" s="880">
        <v>0</v>
      </c>
      <c r="E313" s="880">
        <v>0</v>
      </c>
      <c r="F313" s="880">
        <v>0</v>
      </c>
      <c r="G313" s="880">
        <v>0</v>
      </c>
      <c r="H313" s="880">
        <v>0</v>
      </c>
      <c r="I313" s="880">
        <v>0</v>
      </c>
      <c r="J313" s="880">
        <v>0</v>
      </c>
      <c r="K313" s="880">
        <v>0</v>
      </c>
      <c r="L313" s="880">
        <v>0</v>
      </c>
      <c r="M313" s="880">
        <v>0</v>
      </c>
      <c r="N313" s="880">
        <v>0</v>
      </c>
      <c r="O313" s="880">
        <v>0</v>
      </c>
      <c r="P313" s="880">
        <v>0</v>
      </c>
      <c r="Q313" s="880">
        <v>0</v>
      </c>
      <c r="R313" s="880">
        <v>0</v>
      </c>
      <c r="S313" s="880">
        <v>0</v>
      </c>
      <c r="T313" s="880">
        <v>0</v>
      </c>
      <c r="U313" s="880">
        <v>0</v>
      </c>
    </row>
    <row r="314" spans="1:21" s="685" customFormat="1">
      <c r="A314" s="791"/>
      <c r="B314" s="792"/>
      <c r="C314" s="702">
        <v>0</v>
      </c>
      <c r="D314" s="702">
        <v>0</v>
      </c>
      <c r="E314" s="702">
        <v>0</v>
      </c>
      <c r="F314" s="702">
        <v>0</v>
      </c>
      <c r="G314" s="702">
        <v>0</v>
      </c>
      <c r="H314" s="702">
        <v>0</v>
      </c>
      <c r="I314" s="702">
        <v>0</v>
      </c>
      <c r="J314" s="702">
        <v>0</v>
      </c>
      <c r="K314" s="702">
        <v>0</v>
      </c>
      <c r="L314" s="702">
        <v>0</v>
      </c>
      <c r="M314" s="702">
        <v>0</v>
      </c>
      <c r="N314" s="702">
        <v>0</v>
      </c>
      <c r="O314" s="702">
        <v>0</v>
      </c>
      <c r="P314" s="702">
        <v>0</v>
      </c>
      <c r="Q314" s="702">
        <v>0</v>
      </c>
      <c r="R314" s="702">
        <v>0</v>
      </c>
      <c r="S314" s="702">
        <v>0</v>
      </c>
      <c r="T314" s="702">
        <v>0</v>
      </c>
      <c r="U314" s="702">
        <v>0</v>
      </c>
    </row>
    <row r="315" spans="1:21" s="685" customFormat="1">
      <c r="A315" s="791" t="s">
        <v>247</v>
      </c>
      <c r="B315" s="792" t="s">
        <v>514</v>
      </c>
      <c r="C315" s="880">
        <v>0</v>
      </c>
      <c r="D315" s="880">
        <v>0</v>
      </c>
      <c r="E315" s="880">
        <v>0</v>
      </c>
      <c r="F315" s="880">
        <v>0</v>
      </c>
      <c r="G315" s="880">
        <v>0</v>
      </c>
      <c r="H315" s="880">
        <v>0</v>
      </c>
      <c r="I315" s="880">
        <v>0</v>
      </c>
      <c r="J315" s="880">
        <v>0</v>
      </c>
      <c r="K315" s="880">
        <v>0</v>
      </c>
      <c r="L315" s="880">
        <v>0</v>
      </c>
      <c r="M315" s="880">
        <v>0</v>
      </c>
      <c r="N315" s="880">
        <v>0</v>
      </c>
      <c r="O315" s="880">
        <v>0</v>
      </c>
      <c r="P315" s="880">
        <v>0</v>
      </c>
      <c r="Q315" s="880">
        <v>0</v>
      </c>
      <c r="R315" s="880">
        <v>0</v>
      </c>
      <c r="S315" s="880">
        <v>0</v>
      </c>
      <c r="T315" s="880">
        <v>0</v>
      </c>
      <c r="U315" s="880">
        <v>0</v>
      </c>
    </row>
    <row r="316" spans="1:21" s="685" customFormat="1">
      <c r="A316" s="791"/>
      <c r="B316" s="792"/>
      <c r="C316" s="702">
        <v>0</v>
      </c>
      <c r="D316" s="702">
        <v>0</v>
      </c>
      <c r="E316" s="702">
        <v>0</v>
      </c>
      <c r="F316" s="702">
        <v>0</v>
      </c>
      <c r="G316" s="702">
        <v>0</v>
      </c>
      <c r="H316" s="702">
        <v>0</v>
      </c>
      <c r="I316" s="702">
        <v>0</v>
      </c>
      <c r="J316" s="702">
        <v>0</v>
      </c>
      <c r="K316" s="702">
        <v>0</v>
      </c>
      <c r="L316" s="702">
        <v>0</v>
      </c>
      <c r="M316" s="702">
        <v>0</v>
      </c>
      <c r="N316" s="702">
        <v>0</v>
      </c>
      <c r="O316" s="702">
        <v>0</v>
      </c>
      <c r="P316" s="702">
        <v>0</v>
      </c>
      <c r="Q316" s="702">
        <v>0</v>
      </c>
      <c r="R316" s="702">
        <v>0</v>
      </c>
      <c r="S316" s="702">
        <v>0</v>
      </c>
      <c r="T316" s="702">
        <v>0</v>
      </c>
      <c r="U316" s="702">
        <v>0</v>
      </c>
    </row>
    <row r="317" spans="1:21" s="685" customFormat="1">
      <c r="A317" s="791" t="s">
        <v>187</v>
      </c>
      <c r="B317" s="792" t="s">
        <v>515</v>
      </c>
      <c r="C317" s="880">
        <v>1610000</v>
      </c>
      <c r="D317" s="880">
        <v>0</v>
      </c>
      <c r="E317" s="880">
        <v>0</v>
      </c>
      <c r="F317" s="880">
        <v>0</v>
      </c>
      <c r="G317" s="880">
        <v>0</v>
      </c>
      <c r="H317" s="880">
        <v>0</v>
      </c>
      <c r="I317" s="880">
        <v>0</v>
      </c>
      <c r="J317" s="880">
        <v>0</v>
      </c>
      <c r="K317" s="880">
        <v>125000</v>
      </c>
      <c r="L317" s="880">
        <v>0</v>
      </c>
      <c r="M317" s="880">
        <v>0</v>
      </c>
      <c r="N317" s="880">
        <v>0</v>
      </c>
      <c r="O317" s="880">
        <v>0</v>
      </c>
      <c r="P317" s="880">
        <v>0</v>
      </c>
      <c r="Q317" s="880">
        <v>0</v>
      </c>
      <c r="R317" s="880">
        <v>0</v>
      </c>
      <c r="S317" s="880">
        <v>0</v>
      </c>
      <c r="T317" s="880">
        <v>0</v>
      </c>
      <c r="U317" s="880">
        <v>0</v>
      </c>
    </row>
    <row r="318" spans="1:21" s="685" customFormat="1">
      <c r="A318" s="791"/>
      <c r="B318" s="792"/>
      <c r="C318" s="702">
        <v>1735000</v>
      </c>
      <c r="D318" s="702">
        <v>125000</v>
      </c>
      <c r="E318" s="702">
        <v>125000</v>
      </c>
      <c r="F318" s="702">
        <v>125000</v>
      </c>
      <c r="G318" s="702">
        <v>125000</v>
      </c>
      <c r="H318" s="702">
        <v>125000</v>
      </c>
      <c r="I318" s="702">
        <v>125000</v>
      </c>
      <c r="J318" s="702">
        <v>125000</v>
      </c>
      <c r="K318" s="702">
        <v>125000</v>
      </c>
      <c r="L318" s="702">
        <v>0</v>
      </c>
      <c r="M318" s="702">
        <v>0</v>
      </c>
      <c r="N318" s="702">
        <v>0</v>
      </c>
      <c r="O318" s="702">
        <v>0</v>
      </c>
      <c r="P318" s="702">
        <v>0</v>
      </c>
      <c r="Q318" s="702">
        <v>0</v>
      </c>
      <c r="R318" s="702">
        <v>0</v>
      </c>
      <c r="S318" s="702">
        <v>0</v>
      </c>
      <c r="T318" s="702">
        <v>0</v>
      </c>
      <c r="U318" s="702">
        <v>0</v>
      </c>
    </row>
    <row r="319" spans="1:21" s="685" customFormat="1">
      <c r="A319" s="791" t="s">
        <v>246</v>
      </c>
      <c r="B319" s="792" t="s">
        <v>516</v>
      </c>
      <c r="C319" s="880">
        <v>0</v>
      </c>
      <c r="D319" s="880">
        <v>0</v>
      </c>
      <c r="E319" s="880">
        <v>0</v>
      </c>
      <c r="F319" s="880">
        <v>0</v>
      </c>
      <c r="G319" s="880">
        <v>0</v>
      </c>
      <c r="H319" s="880">
        <v>0</v>
      </c>
      <c r="I319" s="880">
        <v>0</v>
      </c>
      <c r="J319" s="880">
        <v>0</v>
      </c>
      <c r="K319" s="880">
        <v>0</v>
      </c>
      <c r="L319" s="880">
        <v>0</v>
      </c>
      <c r="M319" s="880">
        <v>0</v>
      </c>
      <c r="N319" s="880">
        <v>0</v>
      </c>
      <c r="O319" s="880">
        <v>0</v>
      </c>
      <c r="P319" s="880">
        <v>0</v>
      </c>
      <c r="Q319" s="880">
        <v>0</v>
      </c>
      <c r="R319" s="880">
        <v>0</v>
      </c>
      <c r="S319" s="880">
        <v>0</v>
      </c>
      <c r="T319" s="880">
        <v>0</v>
      </c>
      <c r="U319" s="880">
        <v>0</v>
      </c>
    </row>
    <row r="320" spans="1:21" s="685" customFormat="1">
      <c r="A320" s="791"/>
      <c r="B320" s="792"/>
      <c r="C320" s="702">
        <v>0</v>
      </c>
      <c r="D320" s="702">
        <v>0</v>
      </c>
      <c r="E320" s="702">
        <v>0</v>
      </c>
      <c r="F320" s="702">
        <v>0</v>
      </c>
      <c r="G320" s="702">
        <v>0</v>
      </c>
      <c r="H320" s="702">
        <v>0</v>
      </c>
      <c r="I320" s="702">
        <v>0</v>
      </c>
      <c r="J320" s="702">
        <v>0</v>
      </c>
      <c r="K320" s="702">
        <v>0</v>
      </c>
      <c r="L320" s="702">
        <v>0</v>
      </c>
      <c r="M320" s="702">
        <v>0</v>
      </c>
      <c r="N320" s="702">
        <v>0</v>
      </c>
      <c r="O320" s="702">
        <v>0</v>
      </c>
      <c r="P320" s="702">
        <v>0</v>
      </c>
      <c r="Q320" s="702">
        <v>0</v>
      </c>
      <c r="R320" s="702">
        <v>0</v>
      </c>
      <c r="S320" s="702">
        <v>0</v>
      </c>
      <c r="T320" s="702">
        <v>0</v>
      </c>
      <c r="U320" s="702">
        <v>0</v>
      </c>
    </row>
    <row r="321" spans="1:21" s="685" customFormat="1">
      <c r="A321" s="791" t="s">
        <v>334</v>
      </c>
      <c r="B321" s="792" t="s">
        <v>517</v>
      </c>
      <c r="C321" s="880">
        <v>0</v>
      </c>
      <c r="D321" s="880">
        <v>0</v>
      </c>
      <c r="E321" s="880">
        <v>0</v>
      </c>
      <c r="F321" s="880">
        <v>0</v>
      </c>
      <c r="G321" s="880">
        <v>0</v>
      </c>
      <c r="H321" s="880">
        <v>0</v>
      </c>
      <c r="I321" s="880">
        <v>0</v>
      </c>
      <c r="J321" s="880">
        <v>0</v>
      </c>
      <c r="K321" s="880">
        <v>0</v>
      </c>
      <c r="L321" s="880">
        <v>0</v>
      </c>
      <c r="M321" s="880">
        <v>0</v>
      </c>
      <c r="N321" s="880">
        <v>0</v>
      </c>
      <c r="O321" s="880">
        <v>0</v>
      </c>
      <c r="P321" s="880">
        <v>0</v>
      </c>
      <c r="Q321" s="880">
        <v>0</v>
      </c>
      <c r="R321" s="880">
        <v>0</v>
      </c>
      <c r="S321" s="880">
        <v>0</v>
      </c>
      <c r="T321" s="880">
        <v>0</v>
      </c>
      <c r="U321" s="880">
        <v>0</v>
      </c>
    </row>
    <row r="322" spans="1:21" s="685" customFormat="1">
      <c r="A322" s="791"/>
      <c r="B322" s="792"/>
      <c r="C322" s="702">
        <v>0</v>
      </c>
      <c r="D322" s="702">
        <v>0</v>
      </c>
      <c r="E322" s="702">
        <v>0</v>
      </c>
      <c r="F322" s="702">
        <v>0</v>
      </c>
      <c r="G322" s="702">
        <v>0</v>
      </c>
      <c r="H322" s="702">
        <v>0</v>
      </c>
      <c r="I322" s="702">
        <v>0</v>
      </c>
      <c r="J322" s="702">
        <v>0</v>
      </c>
      <c r="K322" s="702">
        <v>0</v>
      </c>
      <c r="L322" s="702">
        <v>0</v>
      </c>
      <c r="M322" s="702">
        <v>0</v>
      </c>
      <c r="N322" s="702">
        <v>0</v>
      </c>
      <c r="O322" s="702">
        <v>0</v>
      </c>
      <c r="P322" s="702">
        <v>0</v>
      </c>
      <c r="Q322" s="702">
        <v>0</v>
      </c>
      <c r="R322" s="702">
        <v>0</v>
      </c>
      <c r="S322" s="702">
        <v>0</v>
      </c>
      <c r="T322" s="702">
        <v>0</v>
      </c>
      <c r="U322" s="702">
        <v>0</v>
      </c>
    </row>
    <row r="323" spans="1:21" s="685" customFormat="1">
      <c r="A323" s="791" t="s">
        <v>27</v>
      </c>
      <c r="B323" s="792" t="s">
        <v>303</v>
      </c>
      <c r="C323" s="880">
        <v>0</v>
      </c>
      <c r="D323" s="880">
        <v>0</v>
      </c>
      <c r="E323" s="880">
        <v>0</v>
      </c>
      <c r="F323" s="880">
        <v>12500</v>
      </c>
      <c r="G323" s="880">
        <v>0</v>
      </c>
      <c r="H323" s="880">
        <v>40000</v>
      </c>
      <c r="I323" s="880">
        <v>0</v>
      </c>
      <c r="J323" s="880">
        <v>60000</v>
      </c>
      <c r="K323" s="880">
        <v>52500</v>
      </c>
      <c r="L323" s="880">
        <v>0</v>
      </c>
      <c r="M323" s="880">
        <v>40000</v>
      </c>
      <c r="N323" s="880">
        <v>0</v>
      </c>
      <c r="O323" s="880">
        <v>59375</v>
      </c>
      <c r="P323" s="880">
        <v>0</v>
      </c>
      <c r="Q323" s="880">
        <v>30000</v>
      </c>
      <c r="R323" s="880">
        <v>98750</v>
      </c>
      <c r="S323" s="880">
        <v>0</v>
      </c>
      <c r="T323" s="880">
        <v>0</v>
      </c>
      <c r="U323" s="880">
        <v>0</v>
      </c>
    </row>
    <row r="324" spans="1:21" s="685" customFormat="1">
      <c r="A324" s="791"/>
      <c r="B324" s="792"/>
      <c r="C324" s="702">
        <v>393125</v>
      </c>
      <c r="D324" s="702">
        <v>393125</v>
      </c>
      <c r="E324" s="702">
        <v>393125</v>
      </c>
      <c r="F324" s="702">
        <v>393125</v>
      </c>
      <c r="G324" s="702">
        <v>380625</v>
      </c>
      <c r="H324" s="702">
        <v>380625</v>
      </c>
      <c r="I324" s="702">
        <v>340625</v>
      </c>
      <c r="J324" s="702">
        <v>340625</v>
      </c>
      <c r="K324" s="702">
        <v>280625</v>
      </c>
      <c r="L324" s="702">
        <v>228125</v>
      </c>
      <c r="M324" s="702">
        <v>228125</v>
      </c>
      <c r="N324" s="702">
        <v>188125</v>
      </c>
      <c r="O324" s="702">
        <v>188125</v>
      </c>
      <c r="P324" s="702">
        <v>128750</v>
      </c>
      <c r="Q324" s="702">
        <v>128750</v>
      </c>
      <c r="R324" s="702">
        <v>98750</v>
      </c>
      <c r="S324" s="702">
        <v>0</v>
      </c>
      <c r="T324" s="702">
        <v>0</v>
      </c>
      <c r="U324" s="702">
        <v>0</v>
      </c>
    </row>
    <row r="325" spans="1:21" s="685" customFormat="1">
      <c r="A325" s="791" t="s">
        <v>180</v>
      </c>
      <c r="B325" s="792"/>
      <c r="C325" s="1021">
        <v>0</v>
      </c>
      <c r="D325" s="1021">
        <v>0</v>
      </c>
      <c r="E325" s="1021">
        <v>0</v>
      </c>
      <c r="F325" s="1021">
        <v>0</v>
      </c>
      <c r="G325" s="1021">
        <v>0</v>
      </c>
      <c r="H325" s="1021">
        <v>0</v>
      </c>
      <c r="I325" s="1021">
        <v>0</v>
      </c>
      <c r="J325" s="1021">
        <v>0</v>
      </c>
      <c r="K325" s="1021">
        <v>0</v>
      </c>
      <c r="L325" s="1021">
        <v>0</v>
      </c>
      <c r="M325" s="1021">
        <v>0</v>
      </c>
      <c r="N325" s="1021">
        <v>0</v>
      </c>
      <c r="O325" s="1021">
        <v>0</v>
      </c>
      <c r="P325" s="1021">
        <v>0</v>
      </c>
      <c r="Q325" s="1021">
        <v>0</v>
      </c>
      <c r="R325" s="1021">
        <v>0</v>
      </c>
      <c r="S325" s="1021">
        <v>0</v>
      </c>
      <c r="T325" s="1021">
        <v>0</v>
      </c>
      <c r="U325" s="1021">
        <v>0</v>
      </c>
    </row>
    <row r="326" spans="1:21" s="685" customFormat="1">
      <c r="A326" s="791"/>
      <c r="B326" s="792"/>
      <c r="C326" s="702">
        <v>0</v>
      </c>
      <c r="D326" s="702">
        <v>0</v>
      </c>
      <c r="E326" s="702">
        <v>0</v>
      </c>
      <c r="F326" s="702">
        <v>0</v>
      </c>
      <c r="G326" s="702">
        <v>0</v>
      </c>
      <c r="H326" s="702">
        <v>0</v>
      </c>
      <c r="I326" s="702">
        <v>0</v>
      </c>
      <c r="J326" s="702">
        <v>0</v>
      </c>
      <c r="K326" s="702">
        <v>0</v>
      </c>
      <c r="L326" s="702">
        <v>0</v>
      </c>
      <c r="M326" s="702">
        <v>0</v>
      </c>
      <c r="N326" s="702">
        <v>0</v>
      </c>
      <c r="O326" s="702">
        <v>0</v>
      </c>
      <c r="P326" s="702">
        <v>0</v>
      </c>
      <c r="Q326" s="702">
        <v>0</v>
      </c>
      <c r="R326" s="702">
        <v>0</v>
      </c>
      <c r="S326" s="702">
        <v>0</v>
      </c>
      <c r="T326" s="702">
        <v>0</v>
      </c>
      <c r="U326" s="702">
        <v>0</v>
      </c>
    </row>
    <row r="327" spans="1:21" s="685" customFormat="1">
      <c r="A327" s="791" t="s">
        <v>59</v>
      </c>
      <c r="B327" s="792"/>
      <c r="C327" s="880">
        <v>1610000</v>
      </c>
      <c r="D327" s="880">
        <v>0</v>
      </c>
      <c r="E327" s="880">
        <v>0</v>
      </c>
      <c r="F327" s="880">
        <v>12500</v>
      </c>
      <c r="G327" s="880">
        <v>0</v>
      </c>
      <c r="H327" s="880">
        <v>50000</v>
      </c>
      <c r="I327" s="880">
        <v>0</v>
      </c>
      <c r="J327" s="880">
        <v>60000</v>
      </c>
      <c r="K327" s="880">
        <v>177500</v>
      </c>
      <c r="L327" s="880">
        <v>0</v>
      </c>
      <c r="M327" s="880">
        <v>50035</v>
      </c>
      <c r="N327" s="880">
        <v>0</v>
      </c>
      <c r="O327" s="880">
        <v>110374</v>
      </c>
      <c r="P327" s="880">
        <v>0</v>
      </c>
      <c r="Q327" s="880">
        <v>30000</v>
      </c>
      <c r="R327" s="880">
        <v>98750</v>
      </c>
      <c r="S327" s="880">
        <v>0</v>
      </c>
      <c r="T327" s="880">
        <v>0</v>
      </c>
      <c r="U327" s="880">
        <v>0</v>
      </c>
    </row>
    <row r="328" spans="1:21" s="685" customFormat="1">
      <c r="A328" s="791"/>
      <c r="B328" s="792"/>
      <c r="C328" s="702">
        <v>2199159</v>
      </c>
      <c r="D328" s="702">
        <v>589159</v>
      </c>
      <c r="E328" s="702">
        <v>589159</v>
      </c>
      <c r="F328" s="702">
        <v>589159</v>
      </c>
      <c r="G328" s="702">
        <v>576659</v>
      </c>
      <c r="H328" s="702">
        <v>576659</v>
      </c>
      <c r="I328" s="702">
        <v>526659</v>
      </c>
      <c r="J328" s="702">
        <v>526659</v>
      </c>
      <c r="K328" s="702">
        <v>466659</v>
      </c>
      <c r="L328" s="702">
        <v>289159</v>
      </c>
      <c r="M328" s="702">
        <v>289159</v>
      </c>
      <c r="N328" s="702">
        <v>239124</v>
      </c>
      <c r="O328" s="702">
        <v>239124</v>
      </c>
      <c r="P328" s="702">
        <v>128750</v>
      </c>
      <c r="Q328" s="702">
        <v>128750</v>
      </c>
      <c r="R328" s="702">
        <v>98750</v>
      </c>
      <c r="S328" s="702">
        <v>0</v>
      </c>
      <c r="T328" s="702">
        <v>0</v>
      </c>
      <c r="U328" s="702">
        <v>0</v>
      </c>
    </row>
    <row r="329" spans="1:21" s="685" customFormat="1" ht="20.399999999999999" customHeight="1">
      <c r="A329" s="793" t="s">
        <v>350</v>
      </c>
      <c r="B329" s="794"/>
      <c r="C329" s="882">
        <v>-947581</v>
      </c>
      <c r="D329" s="882">
        <v>38140</v>
      </c>
      <c r="E329" s="882">
        <v>558774</v>
      </c>
      <c r="F329" s="882">
        <v>404026</v>
      </c>
      <c r="G329" s="882">
        <v>1087504</v>
      </c>
      <c r="H329" s="882">
        <v>1835077</v>
      </c>
      <c r="I329" s="882">
        <v>53920</v>
      </c>
      <c r="J329" s="882">
        <v>1359216</v>
      </c>
      <c r="K329" s="882">
        <v>954111</v>
      </c>
      <c r="L329" s="882">
        <v>649639</v>
      </c>
      <c r="M329" s="882">
        <v>1657906</v>
      </c>
      <c r="N329" s="882">
        <v>52339</v>
      </c>
      <c r="O329" s="882">
        <v>2410306</v>
      </c>
      <c r="P329" s="882">
        <v>16700</v>
      </c>
      <c r="Q329" s="882">
        <v>183139</v>
      </c>
      <c r="R329" s="882">
        <v>684716</v>
      </c>
      <c r="S329" s="882">
        <v>1176036</v>
      </c>
      <c r="T329" s="882">
        <v>312159</v>
      </c>
      <c r="U329" s="882">
        <v>0</v>
      </c>
    </row>
    <row r="330" spans="1:21" s="685" customFormat="1" ht="18.600000000000001" customHeight="1">
      <c r="A330" s="793"/>
      <c r="B330" s="794"/>
      <c r="C330" s="702">
        <v>12486127</v>
      </c>
      <c r="D330" s="702">
        <v>13433708</v>
      </c>
      <c r="E330" s="702">
        <v>13395568</v>
      </c>
      <c r="F330" s="702">
        <v>12836794</v>
      </c>
      <c r="G330" s="702">
        <v>12432768</v>
      </c>
      <c r="H330" s="702">
        <v>11345264</v>
      </c>
      <c r="I330" s="702">
        <v>9510187</v>
      </c>
      <c r="J330" s="702">
        <v>9456267</v>
      </c>
      <c r="K330" s="702">
        <v>8097051</v>
      </c>
      <c r="L330" s="702">
        <v>7142940</v>
      </c>
      <c r="M330" s="702">
        <v>6493301</v>
      </c>
      <c r="N330" s="702">
        <v>4835395</v>
      </c>
      <c r="O330" s="702">
        <v>4783056</v>
      </c>
      <c r="P330" s="702">
        <v>2372750</v>
      </c>
      <c r="Q330" s="702">
        <v>2356050</v>
      </c>
      <c r="R330" s="702">
        <v>2172911</v>
      </c>
      <c r="S330" s="702">
        <v>1488195</v>
      </c>
      <c r="T330" s="702">
        <v>312159</v>
      </c>
      <c r="U330" s="702">
        <v>0</v>
      </c>
    </row>
    <row r="331" spans="1:21" s="685" customFormat="1" ht="14.4" customHeight="1">
      <c r="A331" s="797"/>
      <c r="B331" s="748"/>
      <c r="C331" s="879"/>
      <c r="D331" s="879"/>
      <c r="E331" s="879"/>
      <c r="F331" s="879"/>
      <c r="G331" s="879"/>
      <c r="H331" s="879"/>
      <c r="I331" s="879"/>
      <c r="J331" s="879"/>
      <c r="K331" s="879"/>
      <c r="L331" s="879"/>
      <c r="M331" s="879"/>
      <c r="N331" s="879"/>
      <c r="O331" s="879"/>
      <c r="P331" s="879"/>
      <c r="Q331" s="879"/>
      <c r="R331" s="879"/>
      <c r="S331" s="879"/>
      <c r="T331" s="879"/>
      <c r="U331" s="879"/>
    </row>
    <row r="332" spans="1:21" s="685" customFormat="1">
      <c r="A332" s="796" t="s">
        <v>345</v>
      </c>
      <c r="B332" s="788" t="s">
        <v>518</v>
      </c>
      <c r="C332" s="880">
        <v>771889</v>
      </c>
      <c r="D332" s="880">
        <v>69670</v>
      </c>
      <c r="E332" s="880">
        <v>453780</v>
      </c>
      <c r="F332" s="880">
        <v>419361</v>
      </c>
      <c r="G332" s="880">
        <v>446596</v>
      </c>
      <c r="H332" s="880">
        <v>1381244</v>
      </c>
      <c r="I332" s="880">
        <v>50640</v>
      </c>
      <c r="J332" s="880">
        <v>1417156</v>
      </c>
      <c r="K332" s="880">
        <v>425696</v>
      </c>
      <c r="L332" s="880">
        <v>615109</v>
      </c>
      <c r="M332" s="880">
        <v>1480542</v>
      </c>
      <c r="N332" s="880">
        <v>43640</v>
      </c>
      <c r="O332" s="880">
        <v>1801509</v>
      </c>
      <c r="P332" s="880">
        <v>41280</v>
      </c>
      <c r="Q332" s="880">
        <v>427196</v>
      </c>
      <c r="R332" s="880">
        <v>697726</v>
      </c>
      <c r="S332" s="880">
        <v>1226051</v>
      </c>
      <c r="T332" s="880">
        <v>391653</v>
      </c>
      <c r="U332" s="880">
        <v>0</v>
      </c>
    </row>
    <row r="333" spans="1:21" s="685" customFormat="1">
      <c r="A333" s="787"/>
      <c r="B333" s="788"/>
      <c r="C333" s="702">
        <v>12160738</v>
      </c>
      <c r="D333" s="702">
        <v>11388849</v>
      </c>
      <c r="E333" s="702">
        <v>11319179</v>
      </c>
      <c r="F333" s="702">
        <v>10865399</v>
      </c>
      <c r="G333" s="702">
        <v>10446038</v>
      </c>
      <c r="H333" s="702">
        <v>9999442</v>
      </c>
      <c r="I333" s="702">
        <v>8618198</v>
      </c>
      <c r="J333" s="702">
        <v>8567558</v>
      </c>
      <c r="K333" s="702">
        <v>7150402</v>
      </c>
      <c r="L333" s="702">
        <v>6724706</v>
      </c>
      <c r="M333" s="702">
        <v>6109597</v>
      </c>
      <c r="N333" s="702">
        <v>4629055</v>
      </c>
      <c r="O333" s="702">
        <v>4585415</v>
      </c>
      <c r="P333" s="702">
        <v>2783906</v>
      </c>
      <c r="Q333" s="702">
        <v>2742626</v>
      </c>
      <c r="R333" s="702">
        <v>2315430</v>
      </c>
      <c r="S333" s="702">
        <v>1617704</v>
      </c>
      <c r="T333" s="702">
        <v>391653</v>
      </c>
      <c r="U333" s="702">
        <v>0</v>
      </c>
    </row>
    <row r="334" spans="1:21" s="685" customFormat="1">
      <c r="A334" s="789" t="s">
        <v>100</v>
      </c>
      <c r="B334" s="790"/>
      <c r="C334" s="879"/>
      <c r="D334" s="879"/>
      <c r="E334" s="879"/>
      <c r="F334" s="879"/>
      <c r="G334" s="879"/>
      <c r="H334" s="879"/>
      <c r="I334" s="879"/>
      <c r="J334" s="879"/>
      <c r="K334" s="879"/>
      <c r="L334" s="879"/>
      <c r="M334" s="879"/>
      <c r="N334" s="879"/>
      <c r="O334" s="879"/>
      <c r="P334" s="879"/>
      <c r="Q334" s="879"/>
      <c r="R334" s="879"/>
      <c r="S334" s="879"/>
      <c r="T334" s="879"/>
      <c r="U334" s="879"/>
    </row>
    <row r="335" spans="1:21" s="685" customFormat="1">
      <c r="A335" s="791" t="s">
        <v>337</v>
      </c>
      <c r="B335" s="792" t="s">
        <v>519</v>
      </c>
      <c r="C335" s="880">
        <v>0</v>
      </c>
      <c r="D335" s="880">
        <v>0</v>
      </c>
      <c r="E335" s="880">
        <v>0</v>
      </c>
      <c r="F335" s="880">
        <v>0</v>
      </c>
      <c r="G335" s="880">
        <v>0</v>
      </c>
      <c r="H335" s="880">
        <v>0</v>
      </c>
      <c r="I335" s="880">
        <v>0</v>
      </c>
      <c r="J335" s="880">
        <v>0</v>
      </c>
      <c r="K335" s="880">
        <v>0</v>
      </c>
      <c r="L335" s="880">
        <v>0</v>
      </c>
      <c r="M335" s="880">
        <v>0</v>
      </c>
      <c r="N335" s="880">
        <v>0</v>
      </c>
      <c r="O335" s="880">
        <v>0</v>
      </c>
      <c r="P335" s="880">
        <v>0</v>
      </c>
      <c r="Q335" s="880">
        <v>0</v>
      </c>
      <c r="R335" s="880">
        <v>0</v>
      </c>
      <c r="S335" s="880">
        <v>0</v>
      </c>
      <c r="T335" s="880">
        <v>0</v>
      </c>
      <c r="U335" s="880">
        <v>0</v>
      </c>
    </row>
    <row r="336" spans="1:21" s="685" customFormat="1">
      <c r="A336" s="791"/>
      <c r="B336" s="792"/>
      <c r="C336" s="702">
        <v>0</v>
      </c>
      <c r="D336" s="702">
        <v>0</v>
      </c>
      <c r="E336" s="702">
        <v>0</v>
      </c>
      <c r="F336" s="702">
        <v>0</v>
      </c>
      <c r="G336" s="702">
        <v>0</v>
      </c>
      <c r="H336" s="702">
        <v>0</v>
      </c>
      <c r="I336" s="702">
        <v>0</v>
      </c>
      <c r="J336" s="702">
        <v>0</v>
      </c>
      <c r="K336" s="702">
        <v>0</v>
      </c>
      <c r="L336" s="702">
        <v>0</v>
      </c>
      <c r="M336" s="702">
        <v>0</v>
      </c>
      <c r="N336" s="702">
        <v>0</v>
      </c>
      <c r="O336" s="702">
        <v>0</v>
      </c>
      <c r="P336" s="702">
        <v>0</v>
      </c>
      <c r="Q336" s="702">
        <v>0</v>
      </c>
      <c r="R336" s="702">
        <v>0</v>
      </c>
      <c r="S336" s="702">
        <v>0</v>
      </c>
      <c r="T336" s="702">
        <v>0</v>
      </c>
      <c r="U336" s="702">
        <v>0</v>
      </c>
    </row>
    <row r="337" spans="1:21" s="685" customFormat="1">
      <c r="A337" s="791" t="s">
        <v>353</v>
      </c>
      <c r="B337" s="792" t="s">
        <v>520</v>
      </c>
      <c r="C337" s="880">
        <v>0</v>
      </c>
      <c r="D337" s="880">
        <v>0</v>
      </c>
      <c r="E337" s="880">
        <v>0</v>
      </c>
      <c r="F337" s="880">
        <v>0</v>
      </c>
      <c r="G337" s="880">
        <v>0</v>
      </c>
      <c r="H337" s="880">
        <v>0</v>
      </c>
      <c r="I337" s="880">
        <v>0</v>
      </c>
      <c r="J337" s="880">
        <v>0</v>
      </c>
      <c r="K337" s="880">
        <v>0</v>
      </c>
      <c r="L337" s="880">
        <v>0</v>
      </c>
      <c r="M337" s="880">
        <v>10000</v>
      </c>
      <c r="N337" s="880">
        <v>0</v>
      </c>
      <c r="O337" s="880">
        <v>0</v>
      </c>
      <c r="P337" s="880">
        <v>0</v>
      </c>
      <c r="Q337" s="880">
        <v>0</v>
      </c>
      <c r="R337" s="880">
        <v>0</v>
      </c>
      <c r="S337" s="880">
        <v>0</v>
      </c>
      <c r="T337" s="880">
        <v>0</v>
      </c>
      <c r="U337" s="880">
        <v>0</v>
      </c>
    </row>
    <row r="338" spans="1:21" s="685" customFormat="1">
      <c r="A338" s="791"/>
      <c r="B338" s="792"/>
      <c r="C338" s="702">
        <v>10000</v>
      </c>
      <c r="D338" s="702">
        <v>10000</v>
      </c>
      <c r="E338" s="702">
        <v>10000</v>
      </c>
      <c r="F338" s="702">
        <v>10000</v>
      </c>
      <c r="G338" s="702">
        <v>10000</v>
      </c>
      <c r="H338" s="702">
        <v>10000</v>
      </c>
      <c r="I338" s="702">
        <v>10000</v>
      </c>
      <c r="J338" s="702">
        <v>10000</v>
      </c>
      <c r="K338" s="702">
        <v>10000</v>
      </c>
      <c r="L338" s="702">
        <v>10000</v>
      </c>
      <c r="M338" s="702">
        <v>10000</v>
      </c>
      <c r="N338" s="702">
        <v>0</v>
      </c>
      <c r="O338" s="702">
        <v>0</v>
      </c>
      <c r="P338" s="702">
        <v>0</v>
      </c>
      <c r="Q338" s="702">
        <v>0</v>
      </c>
      <c r="R338" s="702">
        <v>0</v>
      </c>
      <c r="S338" s="702">
        <v>0</v>
      </c>
      <c r="T338" s="702">
        <v>0</v>
      </c>
      <c r="U338" s="702">
        <v>0</v>
      </c>
    </row>
    <row r="339" spans="1:21" s="685" customFormat="1">
      <c r="A339" s="791" t="s">
        <v>245</v>
      </c>
      <c r="B339" s="792" t="s">
        <v>521</v>
      </c>
      <c r="C339" s="880">
        <v>0</v>
      </c>
      <c r="D339" s="880">
        <v>0</v>
      </c>
      <c r="E339" s="880">
        <v>0</v>
      </c>
      <c r="F339" s="880">
        <v>0</v>
      </c>
      <c r="G339" s="880">
        <v>0</v>
      </c>
      <c r="H339" s="880">
        <v>91000</v>
      </c>
      <c r="I339" s="880">
        <v>0</v>
      </c>
      <c r="J339" s="880">
        <v>0</v>
      </c>
      <c r="K339" s="880">
        <v>0</v>
      </c>
      <c r="L339" s="880">
        <v>0</v>
      </c>
      <c r="M339" s="880">
        <v>0</v>
      </c>
      <c r="N339" s="880">
        <v>0</v>
      </c>
      <c r="O339" s="880">
        <v>0</v>
      </c>
      <c r="P339" s="880">
        <v>0</v>
      </c>
      <c r="Q339" s="880">
        <v>0</v>
      </c>
      <c r="R339" s="880">
        <v>0</v>
      </c>
      <c r="S339" s="880">
        <v>0</v>
      </c>
      <c r="T339" s="880">
        <v>0</v>
      </c>
      <c r="U339" s="880">
        <v>0</v>
      </c>
    </row>
    <row r="340" spans="1:21" s="685" customFormat="1">
      <c r="A340" s="791"/>
      <c r="B340" s="792"/>
      <c r="C340" s="702">
        <v>91000</v>
      </c>
      <c r="D340" s="702">
        <v>91000</v>
      </c>
      <c r="E340" s="702">
        <v>91000</v>
      </c>
      <c r="F340" s="702">
        <v>91000</v>
      </c>
      <c r="G340" s="702">
        <v>91000</v>
      </c>
      <c r="H340" s="702">
        <v>91000</v>
      </c>
      <c r="I340" s="702">
        <v>0</v>
      </c>
      <c r="J340" s="702">
        <v>0</v>
      </c>
      <c r="K340" s="702">
        <v>0</v>
      </c>
      <c r="L340" s="702">
        <v>0</v>
      </c>
      <c r="M340" s="702">
        <v>0</v>
      </c>
      <c r="N340" s="702">
        <v>0</v>
      </c>
      <c r="O340" s="702">
        <v>0</v>
      </c>
      <c r="P340" s="702">
        <v>0</v>
      </c>
      <c r="Q340" s="702">
        <v>0</v>
      </c>
      <c r="R340" s="702">
        <v>0</v>
      </c>
      <c r="S340" s="702">
        <v>0</v>
      </c>
      <c r="T340" s="702">
        <v>0</v>
      </c>
      <c r="U340" s="702">
        <v>0</v>
      </c>
    </row>
    <row r="341" spans="1:21" s="685" customFormat="1">
      <c r="A341" s="791" t="s">
        <v>349</v>
      </c>
      <c r="B341" s="792" t="s">
        <v>522</v>
      </c>
      <c r="C341" s="880">
        <v>0</v>
      </c>
      <c r="D341" s="880">
        <v>0</v>
      </c>
      <c r="E341" s="880">
        <v>0</v>
      </c>
      <c r="F341" s="880">
        <v>0</v>
      </c>
      <c r="G341" s="880">
        <v>0</v>
      </c>
      <c r="H341" s="880">
        <v>0</v>
      </c>
      <c r="I341" s="880">
        <v>0</v>
      </c>
      <c r="J341" s="880">
        <v>0</v>
      </c>
      <c r="K341" s="880">
        <v>0</v>
      </c>
      <c r="L341" s="880">
        <v>0</v>
      </c>
      <c r="M341" s="880">
        <v>0</v>
      </c>
      <c r="N341" s="880">
        <v>0</v>
      </c>
      <c r="O341" s="880">
        <v>0</v>
      </c>
      <c r="P341" s="880">
        <v>0</v>
      </c>
      <c r="Q341" s="880">
        <v>0</v>
      </c>
      <c r="R341" s="880">
        <v>0</v>
      </c>
      <c r="S341" s="880">
        <v>0</v>
      </c>
      <c r="T341" s="880">
        <v>0</v>
      </c>
      <c r="U341" s="880">
        <v>0</v>
      </c>
    </row>
    <row r="342" spans="1:21" s="685" customFormat="1">
      <c r="A342" s="791"/>
      <c r="B342" s="792"/>
      <c r="C342" s="702">
        <v>0</v>
      </c>
      <c r="D342" s="702">
        <v>0</v>
      </c>
      <c r="E342" s="702">
        <v>0</v>
      </c>
      <c r="F342" s="702">
        <v>0</v>
      </c>
      <c r="G342" s="702">
        <v>0</v>
      </c>
      <c r="H342" s="702">
        <v>0</v>
      </c>
      <c r="I342" s="702">
        <v>0</v>
      </c>
      <c r="J342" s="702">
        <v>0</v>
      </c>
      <c r="K342" s="702">
        <v>0</v>
      </c>
      <c r="L342" s="702">
        <v>0</v>
      </c>
      <c r="M342" s="702">
        <v>0</v>
      </c>
      <c r="N342" s="702">
        <v>0</v>
      </c>
      <c r="O342" s="702">
        <v>0</v>
      </c>
      <c r="P342" s="702">
        <v>0</v>
      </c>
      <c r="Q342" s="702">
        <v>0</v>
      </c>
      <c r="R342" s="702">
        <v>0</v>
      </c>
      <c r="S342" s="702">
        <v>0</v>
      </c>
      <c r="T342" s="702">
        <v>0</v>
      </c>
      <c r="U342" s="702">
        <v>0</v>
      </c>
    </row>
    <row r="343" spans="1:21" s="685" customFormat="1">
      <c r="A343" s="791" t="s">
        <v>247</v>
      </c>
      <c r="B343" s="792" t="s">
        <v>523</v>
      </c>
      <c r="C343" s="880">
        <v>0</v>
      </c>
      <c r="D343" s="880">
        <v>0</v>
      </c>
      <c r="E343" s="880">
        <v>0</v>
      </c>
      <c r="F343" s="880">
        <v>0</v>
      </c>
      <c r="G343" s="880">
        <v>0</v>
      </c>
      <c r="H343" s="880">
        <v>0</v>
      </c>
      <c r="I343" s="880">
        <v>0</v>
      </c>
      <c r="J343" s="880">
        <v>0</v>
      </c>
      <c r="K343" s="880">
        <v>0</v>
      </c>
      <c r="L343" s="880">
        <v>0</v>
      </c>
      <c r="M343" s="880">
        <v>0</v>
      </c>
      <c r="N343" s="880">
        <v>0</v>
      </c>
      <c r="O343" s="880">
        <v>0</v>
      </c>
      <c r="P343" s="880">
        <v>0</v>
      </c>
      <c r="Q343" s="880">
        <v>0</v>
      </c>
      <c r="R343" s="880">
        <v>0</v>
      </c>
      <c r="S343" s="880">
        <v>0</v>
      </c>
      <c r="T343" s="880">
        <v>0</v>
      </c>
      <c r="U343" s="880">
        <v>0</v>
      </c>
    </row>
    <row r="344" spans="1:21" s="685" customFormat="1">
      <c r="A344" s="791"/>
      <c r="B344" s="792"/>
      <c r="C344" s="702">
        <v>0</v>
      </c>
      <c r="D344" s="702">
        <v>0</v>
      </c>
      <c r="E344" s="702">
        <v>0</v>
      </c>
      <c r="F344" s="702">
        <v>0</v>
      </c>
      <c r="G344" s="702">
        <v>0</v>
      </c>
      <c r="H344" s="702">
        <v>0</v>
      </c>
      <c r="I344" s="702">
        <v>0</v>
      </c>
      <c r="J344" s="702">
        <v>0</v>
      </c>
      <c r="K344" s="702">
        <v>0</v>
      </c>
      <c r="L344" s="702">
        <v>0</v>
      </c>
      <c r="M344" s="702">
        <v>0</v>
      </c>
      <c r="N344" s="702">
        <v>0</v>
      </c>
      <c r="O344" s="702">
        <v>0</v>
      </c>
      <c r="P344" s="702">
        <v>0</v>
      </c>
      <c r="Q344" s="702">
        <v>0</v>
      </c>
      <c r="R344" s="702">
        <v>0</v>
      </c>
      <c r="S344" s="702">
        <v>0</v>
      </c>
      <c r="T344" s="702">
        <v>0</v>
      </c>
      <c r="U344" s="702">
        <v>0</v>
      </c>
    </row>
    <row r="345" spans="1:21" s="685" customFormat="1">
      <c r="A345" s="791" t="s">
        <v>187</v>
      </c>
      <c r="B345" s="792" t="s">
        <v>524</v>
      </c>
      <c r="C345" s="880">
        <v>1451000</v>
      </c>
      <c r="D345" s="880">
        <v>0</v>
      </c>
      <c r="E345" s="880">
        <v>0</v>
      </c>
      <c r="F345" s="880">
        <v>0</v>
      </c>
      <c r="G345" s="880">
        <v>0</v>
      </c>
      <c r="H345" s="880">
        <v>0</v>
      </c>
      <c r="I345" s="880">
        <v>0</v>
      </c>
      <c r="J345" s="880">
        <v>0</v>
      </c>
      <c r="K345" s="880">
        <v>125000</v>
      </c>
      <c r="L345" s="880">
        <v>0</v>
      </c>
      <c r="M345" s="880">
        <v>0</v>
      </c>
      <c r="N345" s="880">
        <v>0</v>
      </c>
      <c r="O345" s="880">
        <v>0</v>
      </c>
      <c r="P345" s="880">
        <v>0</v>
      </c>
      <c r="Q345" s="880">
        <v>0</v>
      </c>
      <c r="R345" s="880">
        <v>0</v>
      </c>
      <c r="S345" s="880">
        <v>0</v>
      </c>
      <c r="T345" s="880">
        <v>0</v>
      </c>
      <c r="U345" s="880">
        <v>0</v>
      </c>
    </row>
    <row r="346" spans="1:21" s="685" customFormat="1">
      <c r="A346" s="791"/>
      <c r="B346" s="792"/>
      <c r="C346" s="702">
        <v>1576000</v>
      </c>
      <c r="D346" s="702">
        <v>125000</v>
      </c>
      <c r="E346" s="702">
        <v>125000</v>
      </c>
      <c r="F346" s="702">
        <v>125000</v>
      </c>
      <c r="G346" s="702">
        <v>125000</v>
      </c>
      <c r="H346" s="702">
        <v>125000</v>
      </c>
      <c r="I346" s="702">
        <v>125000</v>
      </c>
      <c r="J346" s="702">
        <v>125000</v>
      </c>
      <c r="K346" s="702">
        <v>125000</v>
      </c>
      <c r="L346" s="702">
        <v>0</v>
      </c>
      <c r="M346" s="702">
        <v>0</v>
      </c>
      <c r="N346" s="702">
        <v>0</v>
      </c>
      <c r="O346" s="702">
        <v>0</v>
      </c>
      <c r="P346" s="702">
        <v>0</v>
      </c>
      <c r="Q346" s="702">
        <v>0</v>
      </c>
      <c r="R346" s="702">
        <v>0</v>
      </c>
      <c r="S346" s="702">
        <v>0</v>
      </c>
      <c r="T346" s="702">
        <v>0</v>
      </c>
      <c r="U346" s="702">
        <v>0</v>
      </c>
    </row>
    <row r="347" spans="1:21" s="685" customFormat="1">
      <c r="A347" s="791" t="s">
        <v>246</v>
      </c>
      <c r="B347" s="792" t="s">
        <v>525</v>
      </c>
      <c r="C347" s="880">
        <v>0</v>
      </c>
      <c r="D347" s="880">
        <v>0</v>
      </c>
      <c r="E347" s="880">
        <v>0</v>
      </c>
      <c r="F347" s="880">
        <v>0</v>
      </c>
      <c r="G347" s="880">
        <v>0</v>
      </c>
      <c r="H347" s="880">
        <v>0</v>
      </c>
      <c r="I347" s="880">
        <v>0</v>
      </c>
      <c r="J347" s="880">
        <v>0</v>
      </c>
      <c r="K347" s="880">
        <v>0</v>
      </c>
      <c r="L347" s="880">
        <v>0</v>
      </c>
      <c r="M347" s="880">
        <v>0</v>
      </c>
      <c r="N347" s="880">
        <v>0</v>
      </c>
      <c r="O347" s="880">
        <v>0</v>
      </c>
      <c r="P347" s="880">
        <v>0</v>
      </c>
      <c r="Q347" s="880">
        <v>0</v>
      </c>
      <c r="R347" s="880">
        <v>0</v>
      </c>
      <c r="S347" s="880">
        <v>0</v>
      </c>
      <c r="T347" s="880">
        <v>0</v>
      </c>
      <c r="U347" s="880">
        <v>0</v>
      </c>
    </row>
    <row r="348" spans="1:21" s="685" customFormat="1">
      <c r="A348" s="791"/>
      <c r="B348" s="792"/>
      <c r="C348" s="702">
        <v>0</v>
      </c>
      <c r="D348" s="702">
        <v>0</v>
      </c>
      <c r="E348" s="702">
        <v>0</v>
      </c>
      <c r="F348" s="702">
        <v>0</v>
      </c>
      <c r="G348" s="702">
        <v>0</v>
      </c>
      <c r="H348" s="702">
        <v>0</v>
      </c>
      <c r="I348" s="702">
        <v>0</v>
      </c>
      <c r="J348" s="702">
        <v>0</v>
      </c>
      <c r="K348" s="702">
        <v>0</v>
      </c>
      <c r="L348" s="702">
        <v>0</v>
      </c>
      <c r="M348" s="702">
        <v>0</v>
      </c>
      <c r="N348" s="702">
        <v>0</v>
      </c>
      <c r="O348" s="702">
        <v>0</v>
      </c>
      <c r="P348" s="702">
        <v>0</v>
      </c>
      <c r="Q348" s="702">
        <v>0</v>
      </c>
      <c r="R348" s="702">
        <v>0</v>
      </c>
      <c r="S348" s="702">
        <v>0</v>
      </c>
      <c r="T348" s="702">
        <v>0</v>
      </c>
      <c r="U348" s="702">
        <v>0</v>
      </c>
    </row>
    <row r="349" spans="1:21" s="685" customFormat="1">
      <c r="A349" s="791" t="s">
        <v>334</v>
      </c>
      <c r="B349" s="792" t="s">
        <v>526</v>
      </c>
      <c r="C349" s="880">
        <v>0</v>
      </c>
      <c r="D349" s="880">
        <v>0</v>
      </c>
      <c r="E349" s="880">
        <v>0</v>
      </c>
      <c r="F349" s="880">
        <v>0</v>
      </c>
      <c r="G349" s="880">
        <v>0</v>
      </c>
      <c r="H349" s="880">
        <v>0</v>
      </c>
      <c r="I349" s="880">
        <v>0</v>
      </c>
      <c r="J349" s="880">
        <v>0</v>
      </c>
      <c r="K349" s="880">
        <v>0</v>
      </c>
      <c r="L349" s="880">
        <v>0</v>
      </c>
      <c r="M349" s="880">
        <v>0</v>
      </c>
      <c r="N349" s="880">
        <v>0</v>
      </c>
      <c r="O349" s="880">
        <v>0</v>
      </c>
      <c r="P349" s="880">
        <v>0</v>
      </c>
      <c r="Q349" s="880">
        <v>0</v>
      </c>
      <c r="R349" s="880">
        <v>0</v>
      </c>
      <c r="S349" s="880">
        <v>0</v>
      </c>
      <c r="T349" s="880">
        <v>0</v>
      </c>
      <c r="U349" s="880">
        <v>0</v>
      </c>
    </row>
    <row r="350" spans="1:21" s="685" customFormat="1">
      <c r="A350" s="791"/>
      <c r="B350" s="792"/>
      <c r="C350" s="702">
        <v>0</v>
      </c>
      <c r="D350" s="702">
        <v>0</v>
      </c>
      <c r="E350" s="702">
        <v>0</v>
      </c>
      <c r="F350" s="702">
        <v>0</v>
      </c>
      <c r="G350" s="702">
        <v>0</v>
      </c>
      <c r="H350" s="702">
        <v>0</v>
      </c>
      <c r="I350" s="702">
        <v>0</v>
      </c>
      <c r="J350" s="702">
        <v>0</v>
      </c>
      <c r="K350" s="702">
        <v>0</v>
      </c>
      <c r="L350" s="702">
        <v>0</v>
      </c>
      <c r="M350" s="702">
        <v>0</v>
      </c>
      <c r="N350" s="702">
        <v>0</v>
      </c>
      <c r="O350" s="702">
        <v>0</v>
      </c>
      <c r="P350" s="702">
        <v>0</v>
      </c>
      <c r="Q350" s="702">
        <v>0</v>
      </c>
      <c r="R350" s="702">
        <v>0</v>
      </c>
      <c r="S350" s="702">
        <v>0</v>
      </c>
      <c r="T350" s="702">
        <v>0</v>
      </c>
      <c r="U350" s="702">
        <v>0</v>
      </c>
    </row>
    <row r="351" spans="1:21" s="685" customFormat="1">
      <c r="A351" s="791" t="s">
        <v>27</v>
      </c>
      <c r="B351" s="792" t="s">
        <v>527</v>
      </c>
      <c r="C351" s="880">
        <v>0</v>
      </c>
      <c r="D351" s="880">
        <v>0</v>
      </c>
      <c r="E351" s="880">
        <v>0</v>
      </c>
      <c r="F351" s="880">
        <v>12500</v>
      </c>
      <c r="G351" s="880">
        <v>0</v>
      </c>
      <c r="H351" s="880">
        <v>0</v>
      </c>
      <c r="I351" s="880">
        <v>0</v>
      </c>
      <c r="J351" s="880">
        <v>0</v>
      </c>
      <c r="K351" s="880">
        <v>32500</v>
      </c>
      <c r="L351" s="880">
        <v>0</v>
      </c>
      <c r="M351" s="880">
        <v>5000</v>
      </c>
      <c r="N351" s="880">
        <v>0</v>
      </c>
      <c r="O351" s="880">
        <v>52362</v>
      </c>
      <c r="P351" s="880">
        <v>0</v>
      </c>
      <c r="Q351" s="880">
        <v>30000</v>
      </c>
      <c r="R351" s="880">
        <v>78750</v>
      </c>
      <c r="S351" s="880">
        <v>0</v>
      </c>
      <c r="T351" s="880">
        <v>0</v>
      </c>
      <c r="U351" s="880">
        <v>0</v>
      </c>
    </row>
    <row r="352" spans="1:21" s="685" customFormat="1">
      <c r="A352" s="791"/>
      <c r="B352" s="792"/>
      <c r="C352" s="702">
        <v>211112</v>
      </c>
      <c r="D352" s="702">
        <v>211112</v>
      </c>
      <c r="E352" s="702">
        <v>211112</v>
      </c>
      <c r="F352" s="702">
        <v>211112</v>
      </c>
      <c r="G352" s="702">
        <v>198612</v>
      </c>
      <c r="H352" s="702">
        <v>198612</v>
      </c>
      <c r="I352" s="702">
        <v>198612</v>
      </c>
      <c r="J352" s="702">
        <v>198612</v>
      </c>
      <c r="K352" s="702">
        <v>198612</v>
      </c>
      <c r="L352" s="702">
        <v>166112</v>
      </c>
      <c r="M352" s="702">
        <v>166112</v>
      </c>
      <c r="N352" s="702">
        <v>161112</v>
      </c>
      <c r="O352" s="702">
        <v>161112</v>
      </c>
      <c r="P352" s="702">
        <v>108750</v>
      </c>
      <c r="Q352" s="702">
        <v>108750</v>
      </c>
      <c r="R352" s="702">
        <v>78750</v>
      </c>
      <c r="S352" s="702">
        <v>0</v>
      </c>
      <c r="T352" s="702">
        <v>0</v>
      </c>
      <c r="U352" s="702">
        <v>0</v>
      </c>
    </row>
    <row r="353" spans="1:21" s="685" customFormat="1">
      <c r="A353" s="791" t="s">
        <v>180</v>
      </c>
      <c r="B353" s="792"/>
      <c r="C353" s="1021">
        <v>0</v>
      </c>
      <c r="D353" s="1021">
        <v>0</v>
      </c>
      <c r="E353" s="1021">
        <v>0</v>
      </c>
      <c r="F353" s="1021">
        <v>0</v>
      </c>
      <c r="G353" s="1021">
        <v>0</v>
      </c>
      <c r="H353" s="1021">
        <v>0</v>
      </c>
      <c r="I353" s="1021">
        <v>0</v>
      </c>
      <c r="J353" s="1021">
        <v>0</v>
      </c>
      <c r="K353" s="1021">
        <v>0</v>
      </c>
      <c r="L353" s="1021">
        <v>0</v>
      </c>
      <c r="M353" s="1021">
        <v>0</v>
      </c>
      <c r="N353" s="1021">
        <v>0</v>
      </c>
      <c r="O353" s="1021">
        <v>0</v>
      </c>
      <c r="P353" s="1021">
        <v>0</v>
      </c>
      <c r="Q353" s="1021">
        <v>0</v>
      </c>
      <c r="R353" s="1021">
        <v>0</v>
      </c>
      <c r="S353" s="1021">
        <v>0</v>
      </c>
      <c r="T353" s="1021">
        <v>0</v>
      </c>
      <c r="U353" s="1021">
        <v>0</v>
      </c>
    </row>
    <row r="354" spans="1:21" s="685" customFormat="1">
      <c r="A354" s="791"/>
      <c r="B354" s="792"/>
      <c r="C354" s="702">
        <v>0</v>
      </c>
      <c r="D354" s="702">
        <v>0</v>
      </c>
      <c r="E354" s="702">
        <v>0</v>
      </c>
      <c r="F354" s="702">
        <v>0</v>
      </c>
      <c r="G354" s="702">
        <v>0</v>
      </c>
      <c r="H354" s="702">
        <v>0</v>
      </c>
      <c r="I354" s="702">
        <v>0</v>
      </c>
      <c r="J354" s="702">
        <v>0</v>
      </c>
      <c r="K354" s="702">
        <v>0</v>
      </c>
      <c r="L354" s="702">
        <v>0</v>
      </c>
      <c r="M354" s="702">
        <v>0</v>
      </c>
      <c r="N354" s="702">
        <v>0</v>
      </c>
      <c r="O354" s="702">
        <v>0</v>
      </c>
      <c r="P354" s="702">
        <v>0</v>
      </c>
      <c r="Q354" s="702">
        <v>0</v>
      </c>
      <c r="R354" s="702">
        <v>0</v>
      </c>
      <c r="S354" s="702">
        <v>0</v>
      </c>
      <c r="T354" s="702">
        <v>0</v>
      </c>
      <c r="U354" s="702">
        <v>0</v>
      </c>
    </row>
    <row r="355" spans="1:21" s="685" customFormat="1">
      <c r="A355" s="791" t="s">
        <v>59</v>
      </c>
      <c r="B355" s="792"/>
      <c r="C355" s="880">
        <v>1451000</v>
      </c>
      <c r="D355" s="880">
        <v>0</v>
      </c>
      <c r="E355" s="880">
        <v>0</v>
      </c>
      <c r="F355" s="880">
        <v>12500</v>
      </c>
      <c r="G355" s="880">
        <v>0</v>
      </c>
      <c r="H355" s="880">
        <v>91000</v>
      </c>
      <c r="I355" s="880">
        <v>0</v>
      </c>
      <c r="J355" s="880">
        <v>0</v>
      </c>
      <c r="K355" s="880">
        <v>157500</v>
      </c>
      <c r="L355" s="880">
        <v>0</v>
      </c>
      <c r="M355" s="880">
        <v>15000</v>
      </c>
      <c r="N355" s="880">
        <v>0</v>
      </c>
      <c r="O355" s="880">
        <v>52362</v>
      </c>
      <c r="P355" s="880">
        <v>0</v>
      </c>
      <c r="Q355" s="880">
        <v>30000</v>
      </c>
      <c r="R355" s="880">
        <v>78750</v>
      </c>
      <c r="S355" s="880">
        <v>0</v>
      </c>
      <c r="T355" s="880">
        <v>0</v>
      </c>
      <c r="U355" s="880">
        <v>0</v>
      </c>
    </row>
    <row r="356" spans="1:21" s="685" customFormat="1">
      <c r="A356" s="791"/>
      <c r="B356" s="792"/>
      <c r="C356" s="702">
        <v>1888112</v>
      </c>
      <c r="D356" s="702">
        <v>437112</v>
      </c>
      <c r="E356" s="702">
        <v>437112</v>
      </c>
      <c r="F356" s="702">
        <v>437112</v>
      </c>
      <c r="G356" s="702">
        <v>424612</v>
      </c>
      <c r="H356" s="702">
        <v>424612</v>
      </c>
      <c r="I356" s="702">
        <v>333612</v>
      </c>
      <c r="J356" s="702">
        <v>333612</v>
      </c>
      <c r="K356" s="702">
        <v>333612</v>
      </c>
      <c r="L356" s="702">
        <v>176112</v>
      </c>
      <c r="M356" s="702">
        <v>176112</v>
      </c>
      <c r="N356" s="702">
        <v>161112</v>
      </c>
      <c r="O356" s="702">
        <v>161112</v>
      </c>
      <c r="P356" s="702">
        <v>108750</v>
      </c>
      <c r="Q356" s="702">
        <v>108750</v>
      </c>
      <c r="R356" s="702">
        <v>78750</v>
      </c>
      <c r="S356" s="702">
        <v>0</v>
      </c>
      <c r="T356" s="702">
        <v>0</v>
      </c>
      <c r="U356" s="702">
        <v>0</v>
      </c>
    </row>
    <row r="357" spans="1:21" s="685" customFormat="1" ht="19.95" customHeight="1">
      <c r="A357" s="793" t="s">
        <v>350</v>
      </c>
      <c r="B357" s="794"/>
      <c r="C357" s="882">
        <v>-679111</v>
      </c>
      <c r="D357" s="882">
        <v>69670</v>
      </c>
      <c r="E357" s="882">
        <v>453780</v>
      </c>
      <c r="F357" s="882">
        <v>406861</v>
      </c>
      <c r="G357" s="882">
        <v>446596</v>
      </c>
      <c r="H357" s="882">
        <v>1290244</v>
      </c>
      <c r="I357" s="882">
        <v>50640</v>
      </c>
      <c r="J357" s="882">
        <v>1417156</v>
      </c>
      <c r="K357" s="882">
        <v>268196</v>
      </c>
      <c r="L357" s="882">
        <v>615109</v>
      </c>
      <c r="M357" s="882">
        <v>1465542</v>
      </c>
      <c r="N357" s="882">
        <v>43640</v>
      </c>
      <c r="O357" s="882">
        <v>1749147</v>
      </c>
      <c r="P357" s="882">
        <v>41280</v>
      </c>
      <c r="Q357" s="882">
        <v>397196</v>
      </c>
      <c r="R357" s="882">
        <v>618976</v>
      </c>
      <c r="S357" s="882">
        <v>1226051</v>
      </c>
      <c r="T357" s="882">
        <v>391653</v>
      </c>
      <c r="U357" s="882">
        <v>0</v>
      </c>
    </row>
    <row r="358" spans="1:21" s="685" customFormat="1" ht="17.399999999999999" customHeight="1">
      <c r="A358" s="793"/>
      <c r="B358" s="794"/>
      <c r="C358" s="702">
        <v>10272626</v>
      </c>
      <c r="D358" s="702">
        <v>10951737</v>
      </c>
      <c r="E358" s="702">
        <v>10882067</v>
      </c>
      <c r="F358" s="702">
        <v>10428287</v>
      </c>
      <c r="G358" s="702">
        <v>10021426</v>
      </c>
      <c r="H358" s="702">
        <v>9574830</v>
      </c>
      <c r="I358" s="702">
        <v>8284586</v>
      </c>
      <c r="J358" s="702">
        <v>8233946</v>
      </c>
      <c r="K358" s="702">
        <v>6816790</v>
      </c>
      <c r="L358" s="702">
        <v>6548594</v>
      </c>
      <c r="M358" s="702">
        <v>5933485</v>
      </c>
      <c r="N358" s="702">
        <v>4467943</v>
      </c>
      <c r="O358" s="702">
        <v>4424303</v>
      </c>
      <c r="P358" s="702">
        <v>2675156</v>
      </c>
      <c r="Q358" s="702">
        <v>2633876</v>
      </c>
      <c r="R358" s="702">
        <v>2236680</v>
      </c>
      <c r="S358" s="702">
        <v>1617704</v>
      </c>
      <c r="T358" s="702">
        <v>391653</v>
      </c>
      <c r="U358" s="702">
        <v>0</v>
      </c>
    </row>
    <row r="359" spans="1:21" s="685" customFormat="1" ht="17.399999999999999" customHeight="1">
      <c r="A359" s="797"/>
      <c r="B359" s="748"/>
      <c r="C359" s="704"/>
      <c r="D359" s="704"/>
      <c r="E359" s="704"/>
      <c r="F359" s="704"/>
      <c r="G359" s="704"/>
      <c r="H359" s="704"/>
      <c r="I359" s="704"/>
      <c r="J359" s="704"/>
      <c r="K359" s="704"/>
      <c r="L359" s="704"/>
      <c r="M359" s="704"/>
      <c r="N359" s="704"/>
      <c r="O359" s="704"/>
      <c r="P359" s="704"/>
      <c r="Q359" s="704"/>
      <c r="R359" s="704"/>
      <c r="S359" s="704"/>
      <c r="T359" s="704"/>
      <c r="U359" s="704"/>
    </row>
    <row r="360" spans="1:21" s="685" customFormat="1">
      <c r="A360" s="1163" t="s">
        <v>845</v>
      </c>
      <c r="B360" s="788" t="s">
        <v>518</v>
      </c>
      <c r="C360" s="880">
        <v>0</v>
      </c>
      <c r="D360" s="880">
        <v>0</v>
      </c>
      <c r="E360" s="880">
        <v>0</v>
      </c>
      <c r="F360" s="880">
        <v>0</v>
      </c>
      <c r="G360" s="880">
        <v>0</v>
      </c>
      <c r="H360" s="880">
        <v>0</v>
      </c>
      <c r="I360" s="880">
        <v>0</v>
      </c>
      <c r="J360" s="880">
        <v>0</v>
      </c>
      <c r="K360" s="880">
        <v>0</v>
      </c>
      <c r="L360" s="880">
        <v>0</v>
      </c>
      <c r="M360" s="880">
        <v>0</v>
      </c>
      <c r="N360" s="880">
        <v>0</v>
      </c>
      <c r="O360" s="880">
        <v>0</v>
      </c>
      <c r="P360" s="880">
        <v>0</v>
      </c>
      <c r="Q360" s="880">
        <v>0</v>
      </c>
      <c r="R360" s="880">
        <v>0</v>
      </c>
      <c r="S360" s="880">
        <v>0</v>
      </c>
      <c r="T360" s="880">
        <v>0</v>
      </c>
      <c r="U360" s="880">
        <v>0</v>
      </c>
    </row>
    <row r="361" spans="1:21" s="685" customFormat="1">
      <c r="A361" s="1164"/>
      <c r="B361" s="788"/>
      <c r="C361" s="702">
        <v>0</v>
      </c>
      <c r="D361" s="702">
        <v>0</v>
      </c>
      <c r="E361" s="702">
        <v>0</v>
      </c>
      <c r="F361" s="702">
        <v>0</v>
      </c>
      <c r="G361" s="702">
        <v>0</v>
      </c>
      <c r="H361" s="702">
        <v>0</v>
      </c>
      <c r="I361" s="702">
        <v>0</v>
      </c>
      <c r="J361" s="702">
        <v>0</v>
      </c>
      <c r="K361" s="702">
        <v>0</v>
      </c>
      <c r="L361" s="702">
        <v>0</v>
      </c>
      <c r="M361" s="702">
        <v>0</v>
      </c>
      <c r="N361" s="702">
        <v>0</v>
      </c>
      <c r="O361" s="702">
        <v>0</v>
      </c>
      <c r="P361" s="702">
        <v>0</v>
      </c>
      <c r="Q361" s="702">
        <v>0</v>
      </c>
      <c r="R361" s="702">
        <v>0</v>
      </c>
      <c r="S361" s="702">
        <v>0</v>
      </c>
      <c r="T361" s="702">
        <v>0</v>
      </c>
      <c r="U361" s="702">
        <v>0</v>
      </c>
    </row>
    <row r="362" spans="1:21" s="685" customFormat="1">
      <c r="A362" s="1165" t="s">
        <v>100</v>
      </c>
      <c r="B362" s="790"/>
      <c r="C362" s="879"/>
      <c r="D362" s="879"/>
      <c r="E362" s="879"/>
      <c r="F362" s="879"/>
      <c r="G362" s="879"/>
      <c r="H362" s="879"/>
      <c r="I362" s="879"/>
      <c r="J362" s="879"/>
      <c r="K362" s="879"/>
      <c r="L362" s="879"/>
      <c r="M362" s="879"/>
      <c r="N362" s="879"/>
      <c r="O362" s="879"/>
      <c r="P362" s="879"/>
      <c r="Q362" s="879"/>
      <c r="R362" s="879"/>
      <c r="S362" s="879"/>
      <c r="T362" s="879"/>
      <c r="U362" s="879"/>
    </row>
    <row r="363" spans="1:21" s="685" customFormat="1">
      <c r="A363" s="1166" t="s">
        <v>337</v>
      </c>
      <c r="B363" s="792" t="s">
        <v>519</v>
      </c>
      <c r="C363" s="880">
        <v>0</v>
      </c>
      <c r="D363" s="880">
        <v>0</v>
      </c>
      <c r="E363" s="880">
        <v>0</v>
      </c>
      <c r="F363" s="880">
        <v>0</v>
      </c>
      <c r="G363" s="880">
        <v>0</v>
      </c>
      <c r="H363" s="880">
        <v>0</v>
      </c>
      <c r="I363" s="880">
        <v>0</v>
      </c>
      <c r="J363" s="880">
        <v>0</v>
      </c>
      <c r="K363" s="880">
        <v>0</v>
      </c>
      <c r="L363" s="880">
        <v>0</v>
      </c>
      <c r="M363" s="880">
        <v>0</v>
      </c>
      <c r="N363" s="880">
        <v>0</v>
      </c>
      <c r="O363" s="880">
        <v>0</v>
      </c>
      <c r="P363" s="880">
        <v>0</v>
      </c>
      <c r="Q363" s="880">
        <v>0</v>
      </c>
      <c r="R363" s="880">
        <v>0</v>
      </c>
      <c r="S363" s="880">
        <v>0</v>
      </c>
      <c r="T363" s="880">
        <v>0</v>
      </c>
      <c r="U363" s="880">
        <v>0</v>
      </c>
    </row>
    <row r="364" spans="1:21" s="685" customFormat="1">
      <c r="A364" s="1166"/>
      <c r="B364" s="792"/>
      <c r="C364" s="702">
        <v>0</v>
      </c>
      <c r="D364" s="702">
        <v>0</v>
      </c>
      <c r="E364" s="702">
        <v>0</v>
      </c>
      <c r="F364" s="702">
        <v>0</v>
      </c>
      <c r="G364" s="702">
        <v>0</v>
      </c>
      <c r="H364" s="702">
        <v>0</v>
      </c>
      <c r="I364" s="702">
        <v>0</v>
      </c>
      <c r="J364" s="702">
        <v>0</v>
      </c>
      <c r="K364" s="702">
        <v>0</v>
      </c>
      <c r="L364" s="702">
        <v>0</v>
      </c>
      <c r="M364" s="702">
        <v>0</v>
      </c>
      <c r="N364" s="702">
        <v>0</v>
      </c>
      <c r="O364" s="702">
        <v>0</v>
      </c>
      <c r="P364" s="702">
        <v>0</v>
      </c>
      <c r="Q364" s="702">
        <v>0</v>
      </c>
      <c r="R364" s="702">
        <v>0</v>
      </c>
      <c r="S364" s="702">
        <v>0</v>
      </c>
      <c r="T364" s="702">
        <v>0</v>
      </c>
      <c r="U364" s="702">
        <v>0</v>
      </c>
    </row>
    <row r="365" spans="1:21" s="685" customFormat="1">
      <c r="A365" s="1166" t="s">
        <v>353</v>
      </c>
      <c r="B365" s="792" t="s">
        <v>520</v>
      </c>
      <c r="C365" s="880">
        <v>0</v>
      </c>
      <c r="D365" s="880">
        <v>0</v>
      </c>
      <c r="E365" s="880">
        <v>0</v>
      </c>
      <c r="F365" s="880">
        <v>0</v>
      </c>
      <c r="G365" s="880">
        <v>0</v>
      </c>
      <c r="H365" s="880">
        <v>0</v>
      </c>
      <c r="I365" s="880">
        <v>0</v>
      </c>
      <c r="J365" s="880">
        <v>0</v>
      </c>
      <c r="K365" s="880">
        <v>0</v>
      </c>
      <c r="L365" s="880">
        <v>0</v>
      </c>
      <c r="M365" s="880">
        <v>0</v>
      </c>
      <c r="N365" s="880">
        <v>0</v>
      </c>
      <c r="O365" s="880">
        <v>0</v>
      </c>
      <c r="P365" s="880">
        <v>0</v>
      </c>
      <c r="Q365" s="880">
        <v>0</v>
      </c>
      <c r="R365" s="880">
        <v>0</v>
      </c>
      <c r="S365" s="880">
        <v>0</v>
      </c>
      <c r="T365" s="880">
        <v>0</v>
      </c>
      <c r="U365" s="880">
        <v>0</v>
      </c>
    </row>
    <row r="366" spans="1:21" s="685" customFormat="1">
      <c r="A366" s="1166"/>
      <c r="B366" s="792"/>
      <c r="C366" s="702">
        <v>0</v>
      </c>
      <c r="D366" s="702">
        <v>0</v>
      </c>
      <c r="E366" s="702">
        <v>0</v>
      </c>
      <c r="F366" s="702">
        <v>0</v>
      </c>
      <c r="G366" s="702">
        <v>0</v>
      </c>
      <c r="H366" s="702">
        <v>0</v>
      </c>
      <c r="I366" s="702">
        <v>0</v>
      </c>
      <c r="J366" s="702">
        <v>0</v>
      </c>
      <c r="K366" s="702">
        <v>0</v>
      </c>
      <c r="L366" s="702">
        <v>0</v>
      </c>
      <c r="M366" s="702">
        <v>0</v>
      </c>
      <c r="N366" s="702">
        <v>0</v>
      </c>
      <c r="O366" s="702">
        <v>0</v>
      </c>
      <c r="P366" s="702">
        <v>0</v>
      </c>
      <c r="Q366" s="702">
        <v>0</v>
      </c>
      <c r="R366" s="702">
        <v>0</v>
      </c>
      <c r="S366" s="702">
        <v>0</v>
      </c>
      <c r="T366" s="702">
        <v>0</v>
      </c>
      <c r="U366" s="702">
        <v>0</v>
      </c>
    </row>
    <row r="367" spans="1:21" s="685" customFormat="1">
      <c r="A367" s="1166" t="s">
        <v>245</v>
      </c>
      <c r="B367" s="792" t="s">
        <v>521</v>
      </c>
      <c r="C367" s="880">
        <v>0</v>
      </c>
      <c r="D367" s="880">
        <v>0</v>
      </c>
      <c r="E367" s="880">
        <v>0</v>
      </c>
      <c r="F367" s="880">
        <v>0</v>
      </c>
      <c r="G367" s="880">
        <v>0</v>
      </c>
      <c r="H367" s="880">
        <v>0</v>
      </c>
      <c r="I367" s="880">
        <v>0</v>
      </c>
      <c r="J367" s="880">
        <v>0</v>
      </c>
      <c r="K367" s="880">
        <v>0</v>
      </c>
      <c r="L367" s="880">
        <v>0</v>
      </c>
      <c r="M367" s="880">
        <v>0</v>
      </c>
      <c r="N367" s="880">
        <v>0</v>
      </c>
      <c r="O367" s="880">
        <v>0</v>
      </c>
      <c r="P367" s="880">
        <v>0</v>
      </c>
      <c r="Q367" s="880">
        <v>0</v>
      </c>
      <c r="R367" s="880">
        <v>0</v>
      </c>
      <c r="S367" s="880">
        <v>0</v>
      </c>
      <c r="T367" s="880">
        <v>0</v>
      </c>
      <c r="U367" s="880">
        <v>0</v>
      </c>
    </row>
    <row r="368" spans="1:21" s="685" customFormat="1">
      <c r="A368" s="1166"/>
      <c r="B368" s="792"/>
      <c r="C368" s="702">
        <v>0</v>
      </c>
      <c r="D368" s="702">
        <v>0</v>
      </c>
      <c r="E368" s="702">
        <v>0</v>
      </c>
      <c r="F368" s="702">
        <v>0</v>
      </c>
      <c r="G368" s="702">
        <v>0</v>
      </c>
      <c r="H368" s="702">
        <v>0</v>
      </c>
      <c r="I368" s="702">
        <v>0</v>
      </c>
      <c r="J368" s="702">
        <v>0</v>
      </c>
      <c r="K368" s="702">
        <v>0</v>
      </c>
      <c r="L368" s="702">
        <v>0</v>
      </c>
      <c r="M368" s="702">
        <v>0</v>
      </c>
      <c r="N368" s="702">
        <v>0</v>
      </c>
      <c r="O368" s="702">
        <v>0</v>
      </c>
      <c r="P368" s="702">
        <v>0</v>
      </c>
      <c r="Q368" s="702">
        <v>0</v>
      </c>
      <c r="R368" s="702">
        <v>0</v>
      </c>
      <c r="S368" s="702">
        <v>0</v>
      </c>
      <c r="T368" s="702">
        <v>0</v>
      </c>
      <c r="U368" s="702">
        <v>0</v>
      </c>
    </row>
    <row r="369" spans="1:21" s="685" customFormat="1">
      <c r="A369" s="1166" t="s">
        <v>349</v>
      </c>
      <c r="B369" s="792" t="s">
        <v>522</v>
      </c>
      <c r="C369" s="880">
        <v>0</v>
      </c>
      <c r="D369" s="880">
        <v>0</v>
      </c>
      <c r="E369" s="880">
        <v>0</v>
      </c>
      <c r="F369" s="880">
        <v>0</v>
      </c>
      <c r="G369" s="880">
        <v>0</v>
      </c>
      <c r="H369" s="880">
        <v>0</v>
      </c>
      <c r="I369" s="880">
        <v>0</v>
      </c>
      <c r="J369" s="880">
        <v>0</v>
      </c>
      <c r="K369" s="880">
        <v>0</v>
      </c>
      <c r="L369" s="880">
        <v>0</v>
      </c>
      <c r="M369" s="880">
        <v>0</v>
      </c>
      <c r="N369" s="880">
        <v>0</v>
      </c>
      <c r="O369" s="880">
        <v>0</v>
      </c>
      <c r="P369" s="880">
        <v>0</v>
      </c>
      <c r="Q369" s="880">
        <v>0</v>
      </c>
      <c r="R369" s="880">
        <v>0</v>
      </c>
      <c r="S369" s="880">
        <v>0</v>
      </c>
      <c r="T369" s="880">
        <v>0</v>
      </c>
      <c r="U369" s="880">
        <v>0</v>
      </c>
    </row>
    <row r="370" spans="1:21" s="685" customFormat="1">
      <c r="A370" s="1166"/>
      <c r="B370" s="792"/>
      <c r="C370" s="702">
        <v>0</v>
      </c>
      <c r="D370" s="702">
        <v>0</v>
      </c>
      <c r="E370" s="702">
        <v>0</v>
      </c>
      <c r="F370" s="702">
        <v>0</v>
      </c>
      <c r="G370" s="702">
        <v>0</v>
      </c>
      <c r="H370" s="702">
        <v>0</v>
      </c>
      <c r="I370" s="702">
        <v>0</v>
      </c>
      <c r="J370" s="702">
        <v>0</v>
      </c>
      <c r="K370" s="702">
        <v>0</v>
      </c>
      <c r="L370" s="702">
        <v>0</v>
      </c>
      <c r="M370" s="702">
        <v>0</v>
      </c>
      <c r="N370" s="702">
        <v>0</v>
      </c>
      <c r="O370" s="702">
        <v>0</v>
      </c>
      <c r="P370" s="702">
        <v>0</v>
      </c>
      <c r="Q370" s="702">
        <v>0</v>
      </c>
      <c r="R370" s="702">
        <v>0</v>
      </c>
      <c r="S370" s="702">
        <v>0</v>
      </c>
      <c r="T370" s="702">
        <v>0</v>
      </c>
      <c r="U370" s="702">
        <v>0</v>
      </c>
    </row>
    <row r="371" spans="1:21" s="685" customFormat="1">
      <c r="A371" s="1166" t="s">
        <v>247</v>
      </c>
      <c r="B371" s="792" t="s">
        <v>523</v>
      </c>
      <c r="C371" s="880">
        <v>0</v>
      </c>
      <c r="D371" s="880">
        <v>0</v>
      </c>
      <c r="E371" s="880">
        <v>0</v>
      </c>
      <c r="F371" s="880">
        <v>0</v>
      </c>
      <c r="G371" s="880">
        <v>0</v>
      </c>
      <c r="H371" s="880">
        <v>0</v>
      </c>
      <c r="I371" s="880">
        <v>0</v>
      </c>
      <c r="J371" s="880">
        <v>0</v>
      </c>
      <c r="K371" s="880">
        <v>0</v>
      </c>
      <c r="L371" s="880">
        <v>0</v>
      </c>
      <c r="M371" s="880">
        <v>0</v>
      </c>
      <c r="N371" s="880">
        <v>0</v>
      </c>
      <c r="O371" s="880">
        <v>0</v>
      </c>
      <c r="P371" s="880">
        <v>0</v>
      </c>
      <c r="Q371" s="880">
        <v>0</v>
      </c>
      <c r="R371" s="880">
        <v>0</v>
      </c>
      <c r="S371" s="880">
        <v>0</v>
      </c>
      <c r="T371" s="880">
        <v>0</v>
      </c>
      <c r="U371" s="880">
        <v>0</v>
      </c>
    </row>
    <row r="372" spans="1:21" s="685" customFormat="1">
      <c r="A372" s="1166"/>
      <c r="B372" s="792"/>
      <c r="C372" s="702">
        <v>0</v>
      </c>
      <c r="D372" s="702">
        <v>0</v>
      </c>
      <c r="E372" s="702">
        <v>0</v>
      </c>
      <c r="F372" s="702">
        <v>0</v>
      </c>
      <c r="G372" s="702">
        <v>0</v>
      </c>
      <c r="H372" s="702">
        <v>0</v>
      </c>
      <c r="I372" s="702">
        <v>0</v>
      </c>
      <c r="J372" s="702">
        <v>0</v>
      </c>
      <c r="K372" s="702">
        <v>0</v>
      </c>
      <c r="L372" s="702">
        <v>0</v>
      </c>
      <c r="M372" s="702">
        <v>0</v>
      </c>
      <c r="N372" s="702">
        <v>0</v>
      </c>
      <c r="O372" s="702">
        <v>0</v>
      </c>
      <c r="P372" s="702">
        <v>0</v>
      </c>
      <c r="Q372" s="702">
        <v>0</v>
      </c>
      <c r="R372" s="702">
        <v>0</v>
      </c>
      <c r="S372" s="702">
        <v>0</v>
      </c>
      <c r="T372" s="702">
        <v>0</v>
      </c>
      <c r="U372" s="702">
        <v>0</v>
      </c>
    </row>
    <row r="373" spans="1:21" s="685" customFormat="1">
      <c r="A373" s="1166" t="s">
        <v>187</v>
      </c>
      <c r="B373" s="792" t="s">
        <v>524</v>
      </c>
      <c r="C373" s="880">
        <v>0</v>
      </c>
      <c r="D373" s="880">
        <v>0</v>
      </c>
      <c r="E373" s="880">
        <v>0</v>
      </c>
      <c r="F373" s="880">
        <v>0</v>
      </c>
      <c r="G373" s="880">
        <v>0</v>
      </c>
      <c r="H373" s="880">
        <v>0</v>
      </c>
      <c r="I373" s="880">
        <v>0</v>
      </c>
      <c r="J373" s="880">
        <v>0</v>
      </c>
      <c r="K373" s="880">
        <v>0</v>
      </c>
      <c r="L373" s="880">
        <v>0</v>
      </c>
      <c r="M373" s="880">
        <v>0</v>
      </c>
      <c r="N373" s="880">
        <v>0</v>
      </c>
      <c r="O373" s="880">
        <v>0</v>
      </c>
      <c r="P373" s="880">
        <v>0</v>
      </c>
      <c r="Q373" s="880">
        <v>0</v>
      </c>
      <c r="R373" s="880">
        <v>0</v>
      </c>
      <c r="S373" s="880">
        <v>0</v>
      </c>
      <c r="T373" s="880">
        <v>0</v>
      </c>
      <c r="U373" s="880">
        <v>0</v>
      </c>
    </row>
    <row r="374" spans="1:21" s="685" customFormat="1">
      <c r="A374" s="1166"/>
      <c r="B374" s="792"/>
      <c r="C374" s="702">
        <v>0</v>
      </c>
      <c r="D374" s="702">
        <v>0</v>
      </c>
      <c r="E374" s="702">
        <v>0</v>
      </c>
      <c r="F374" s="702">
        <v>0</v>
      </c>
      <c r="G374" s="702">
        <v>0</v>
      </c>
      <c r="H374" s="702">
        <v>0</v>
      </c>
      <c r="I374" s="702">
        <v>0</v>
      </c>
      <c r="J374" s="702">
        <v>0</v>
      </c>
      <c r="K374" s="702">
        <v>0</v>
      </c>
      <c r="L374" s="702">
        <v>0</v>
      </c>
      <c r="M374" s="702">
        <v>0</v>
      </c>
      <c r="N374" s="702">
        <v>0</v>
      </c>
      <c r="O374" s="702">
        <v>0</v>
      </c>
      <c r="P374" s="702">
        <v>0</v>
      </c>
      <c r="Q374" s="702">
        <v>0</v>
      </c>
      <c r="R374" s="702">
        <v>0</v>
      </c>
      <c r="S374" s="702">
        <v>0</v>
      </c>
      <c r="T374" s="702">
        <v>0</v>
      </c>
      <c r="U374" s="702">
        <v>0</v>
      </c>
    </row>
    <row r="375" spans="1:21" s="685" customFormat="1">
      <c r="A375" s="1166" t="s">
        <v>246</v>
      </c>
      <c r="B375" s="792" t="s">
        <v>525</v>
      </c>
      <c r="C375" s="880">
        <v>0</v>
      </c>
      <c r="D375" s="880">
        <v>0</v>
      </c>
      <c r="E375" s="880">
        <v>0</v>
      </c>
      <c r="F375" s="880">
        <v>0</v>
      </c>
      <c r="G375" s="880">
        <v>0</v>
      </c>
      <c r="H375" s="880">
        <v>0</v>
      </c>
      <c r="I375" s="880">
        <v>0</v>
      </c>
      <c r="J375" s="880">
        <v>0</v>
      </c>
      <c r="K375" s="880">
        <v>0</v>
      </c>
      <c r="L375" s="880">
        <v>0</v>
      </c>
      <c r="M375" s="880">
        <v>0</v>
      </c>
      <c r="N375" s="880">
        <v>0</v>
      </c>
      <c r="O375" s="880">
        <v>0</v>
      </c>
      <c r="P375" s="880">
        <v>0</v>
      </c>
      <c r="Q375" s="880">
        <v>0</v>
      </c>
      <c r="R375" s="880">
        <v>0</v>
      </c>
      <c r="S375" s="880">
        <v>0</v>
      </c>
      <c r="T375" s="880">
        <v>0</v>
      </c>
      <c r="U375" s="880">
        <v>0</v>
      </c>
    </row>
    <row r="376" spans="1:21" s="685" customFormat="1">
      <c r="A376" s="1166"/>
      <c r="B376" s="792"/>
      <c r="C376" s="702">
        <v>0</v>
      </c>
      <c r="D376" s="702">
        <v>0</v>
      </c>
      <c r="E376" s="702">
        <v>0</v>
      </c>
      <c r="F376" s="702">
        <v>0</v>
      </c>
      <c r="G376" s="702">
        <v>0</v>
      </c>
      <c r="H376" s="702">
        <v>0</v>
      </c>
      <c r="I376" s="702">
        <v>0</v>
      </c>
      <c r="J376" s="702">
        <v>0</v>
      </c>
      <c r="K376" s="702">
        <v>0</v>
      </c>
      <c r="L376" s="702">
        <v>0</v>
      </c>
      <c r="M376" s="702">
        <v>0</v>
      </c>
      <c r="N376" s="702">
        <v>0</v>
      </c>
      <c r="O376" s="702">
        <v>0</v>
      </c>
      <c r="P376" s="702">
        <v>0</v>
      </c>
      <c r="Q376" s="702">
        <v>0</v>
      </c>
      <c r="R376" s="702">
        <v>0</v>
      </c>
      <c r="S376" s="702">
        <v>0</v>
      </c>
      <c r="T376" s="702">
        <v>0</v>
      </c>
      <c r="U376" s="702">
        <v>0</v>
      </c>
    </row>
    <row r="377" spans="1:21" s="685" customFormat="1">
      <c r="A377" s="1166" t="s">
        <v>334</v>
      </c>
      <c r="B377" s="792" t="s">
        <v>526</v>
      </c>
      <c r="C377" s="880">
        <v>0</v>
      </c>
      <c r="D377" s="880">
        <v>0</v>
      </c>
      <c r="E377" s="880">
        <v>0</v>
      </c>
      <c r="F377" s="880">
        <v>0</v>
      </c>
      <c r="G377" s="880">
        <v>0</v>
      </c>
      <c r="H377" s="880">
        <v>0</v>
      </c>
      <c r="I377" s="880">
        <v>0</v>
      </c>
      <c r="J377" s="880">
        <v>0</v>
      </c>
      <c r="K377" s="880">
        <v>0</v>
      </c>
      <c r="L377" s="880">
        <v>0</v>
      </c>
      <c r="M377" s="880">
        <v>0</v>
      </c>
      <c r="N377" s="880">
        <v>0</v>
      </c>
      <c r="O377" s="880">
        <v>0</v>
      </c>
      <c r="P377" s="880">
        <v>0</v>
      </c>
      <c r="Q377" s="880">
        <v>0</v>
      </c>
      <c r="R377" s="880">
        <v>0</v>
      </c>
      <c r="S377" s="880">
        <v>0</v>
      </c>
      <c r="T377" s="880">
        <v>0</v>
      </c>
      <c r="U377" s="880">
        <v>0</v>
      </c>
    </row>
    <row r="378" spans="1:21" s="685" customFormat="1">
      <c r="A378" s="1166"/>
      <c r="B378" s="792"/>
      <c r="C378" s="702">
        <v>0</v>
      </c>
      <c r="D378" s="702">
        <v>0</v>
      </c>
      <c r="E378" s="702">
        <v>0</v>
      </c>
      <c r="F378" s="702">
        <v>0</v>
      </c>
      <c r="G378" s="702">
        <v>0</v>
      </c>
      <c r="H378" s="702">
        <v>0</v>
      </c>
      <c r="I378" s="702">
        <v>0</v>
      </c>
      <c r="J378" s="702">
        <v>0</v>
      </c>
      <c r="K378" s="702">
        <v>0</v>
      </c>
      <c r="L378" s="702">
        <v>0</v>
      </c>
      <c r="M378" s="702">
        <v>0</v>
      </c>
      <c r="N378" s="702">
        <v>0</v>
      </c>
      <c r="O378" s="702">
        <v>0</v>
      </c>
      <c r="P378" s="702">
        <v>0</v>
      </c>
      <c r="Q378" s="702">
        <v>0</v>
      </c>
      <c r="R378" s="702">
        <v>0</v>
      </c>
      <c r="S378" s="702">
        <v>0</v>
      </c>
      <c r="T378" s="702">
        <v>0</v>
      </c>
      <c r="U378" s="702">
        <v>0</v>
      </c>
    </row>
    <row r="379" spans="1:21" s="685" customFormat="1">
      <c r="A379" s="1166" t="s">
        <v>27</v>
      </c>
      <c r="B379" s="792" t="s">
        <v>527</v>
      </c>
      <c r="C379" s="880">
        <v>0</v>
      </c>
      <c r="D379" s="880">
        <v>0</v>
      </c>
      <c r="E379" s="880">
        <v>0</v>
      </c>
      <c r="F379" s="880">
        <v>0</v>
      </c>
      <c r="G379" s="880">
        <v>0</v>
      </c>
      <c r="H379" s="880">
        <v>0</v>
      </c>
      <c r="I379" s="880">
        <v>0</v>
      </c>
      <c r="J379" s="880">
        <v>0</v>
      </c>
      <c r="K379" s="880">
        <v>0</v>
      </c>
      <c r="L379" s="880">
        <v>0</v>
      </c>
      <c r="M379" s="880">
        <v>0</v>
      </c>
      <c r="N379" s="880">
        <v>0</v>
      </c>
      <c r="O379" s="880">
        <v>0</v>
      </c>
      <c r="P379" s="880">
        <v>0</v>
      </c>
      <c r="Q379" s="880">
        <v>0</v>
      </c>
      <c r="R379" s="880">
        <v>0</v>
      </c>
      <c r="S379" s="880">
        <v>0</v>
      </c>
      <c r="T379" s="880">
        <v>0</v>
      </c>
      <c r="U379" s="880">
        <v>0</v>
      </c>
    </row>
    <row r="380" spans="1:21" s="685" customFormat="1">
      <c r="A380" s="1166"/>
      <c r="B380" s="792"/>
      <c r="C380" s="702">
        <v>0</v>
      </c>
      <c r="D380" s="702">
        <v>0</v>
      </c>
      <c r="E380" s="702">
        <v>0</v>
      </c>
      <c r="F380" s="702">
        <v>0</v>
      </c>
      <c r="G380" s="702">
        <v>0</v>
      </c>
      <c r="H380" s="702">
        <v>0</v>
      </c>
      <c r="I380" s="702">
        <v>0</v>
      </c>
      <c r="J380" s="702">
        <v>0</v>
      </c>
      <c r="K380" s="702">
        <v>0</v>
      </c>
      <c r="L380" s="702">
        <v>0</v>
      </c>
      <c r="M380" s="702">
        <v>0</v>
      </c>
      <c r="N380" s="702">
        <v>0</v>
      </c>
      <c r="O380" s="702">
        <v>0</v>
      </c>
      <c r="P380" s="702">
        <v>0</v>
      </c>
      <c r="Q380" s="702">
        <v>0</v>
      </c>
      <c r="R380" s="702">
        <v>0</v>
      </c>
      <c r="S380" s="702">
        <v>0</v>
      </c>
      <c r="T380" s="702">
        <v>0</v>
      </c>
      <c r="U380" s="702">
        <v>0</v>
      </c>
    </row>
    <row r="381" spans="1:21" s="685" customFormat="1">
      <c r="A381" s="1166" t="s">
        <v>180</v>
      </c>
      <c r="B381" s="792"/>
      <c r="C381" s="1021">
        <v>0</v>
      </c>
      <c r="D381" s="1021">
        <v>0</v>
      </c>
      <c r="E381" s="1021">
        <v>0</v>
      </c>
      <c r="F381" s="1021">
        <v>0</v>
      </c>
      <c r="G381" s="1021">
        <v>0</v>
      </c>
      <c r="H381" s="1021">
        <v>0</v>
      </c>
      <c r="I381" s="1021">
        <v>0</v>
      </c>
      <c r="J381" s="1021">
        <v>0</v>
      </c>
      <c r="K381" s="1021">
        <v>0</v>
      </c>
      <c r="L381" s="1021">
        <v>0</v>
      </c>
      <c r="M381" s="1021">
        <v>0</v>
      </c>
      <c r="N381" s="1021">
        <v>0</v>
      </c>
      <c r="O381" s="1021">
        <v>0</v>
      </c>
      <c r="P381" s="1021">
        <v>0</v>
      </c>
      <c r="Q381" s="1021">
        <v>0</v>
      </c>
      <c r="R381" s="1021">
        <v>0</v>
      </c>
      <c r="S381" s="1021">
        <v>0</v>
      </c>
      <c r="T381" s="1021">
        <v>0</v>
      </c>
      <c r="U381" s="1021">
        <v>0</v>
      </c>
    </row>
    <row r="382" spans="1:21" s="685" customFormat="1">
      <c r="A382" s="1166"/>
      <c r="B382" s="792"/>
      <c r="C382" s="702">
        <v>0</v>
      </c>
      <c r="D382" s="702">
        <v>0</v>
      </c>
      <c r="E382" s="702">
        <v>0</v>
      </c>
      <c r="F382" s="702">
        <v>0</v>
      </c>
      <c r="G382" s="702">
        <v>0</v>
      </c>
      <c r="H382" s="702">
        <v>0</v>
      </c>
      <c r="I382" s="702">
        <v>0</v>
      </c>
      <c r="J382" s="702">
        <v>0</v>
      </c>
      <c r="K382" s="702">
        <v>0</v>
      </c>
      <c r="L382" s="702">
        <v>0</v>
      </c>
      <c r="M382" s="702">
        <v>0</v>
      </c>
      <c r="N382" s="702">
        <v>0</v>
      </c>
      <c r="O382" s="702">
        <v>0</v>
      </c>
      <c r="P382" s="702">
        <v>0</v>
      </c>
      <c r="Q382" s="702">
        <v>0</v>
      </c>
      <c r="R382" s="702">
        <v>0</v>
      </c>
      <c r="S382" s="702">
        <v>0</v>
      </c>
      <c r="T382" s="702">
        <v>0</v>
      </c>
      <c r="U382" s="702">
        <v>0</v>
      </c>
    </row>
    <row r="383" spans="1:21" s="685" customFormat="1">
      <c r="A383" s="1166" t="s">
        <v>59</v>
      </c>
      <c r="B383" s="792"/>
      <c r="C383" s="880">
        <v>0</v>
      </c>
      <c r="D383" s="880">
        <v>0</v>
      </c>
      <c r="E383" s="880">
        <v>0</v>
      </c>
      <c r="F383" s="880">
        <v>0</v>
      </c>
      <c r="G383" s="880">
        <v>0</v>
      </c>
      <c r="H383" s="880">
        <v>0</v>
      </c>
      <c r="I383" s="880">
        <v>0</v>
      </c>
      <c r="J383" s="880">
        <v>0</v>
      </c>
      <c r="K383" s="880">
        <v>0</v>
      </c>
      <c r="L383" s="880">
        <v>0</v>
      </c>
      <c r="M383" s="880">
        <v>0</v>
      </c>
      <c r="N383" s="880">
        <v>0</v>
      </c>
      <c r="O383" s="880">
        <v>0</v>
      </c>
      <c r="P383" s="880">
        <v>0</v>
      </c>
      <c r="Q383" s="880">
        <v>0</v>
      </c>
      <c r="R383" s="880">
        <v>0</v>
      </c>
      <c r="S383" s="880">
        <v>0</v>
      </c>
      <c r="T383" s="880">
        <v>0</v>
      </c>
      <c r="U383" s="880">
        <v>0</v>
      </c>
    </row>
    <row r="384" spans="1:21" s="685" customFormat="1">
      <c r="A384" s="1166"/>
      <c r="B384" s="792"/>
      <c r="C384" s="702">
        <v>0</v>
      </c>
      <c r="D384" s="702">
        <v>0</v>
      </c>
      <c r="E384" s="702">
        <v>0</v>
      </c>
      <c r="F384" s="702">
        <v>0</v>
      </c>
      <c r="G384" s="702">
        <v>0</v>
      </c>
      <c r="H384" s="702">
        <v>0</v>
      </c>
      <c r="I384" s="702">
        <v>0</v>
      </c>
      <c r="J384" s="702">
        <v>0</v>
      </c>
      <c r="K384" s="702">
        <v>0</v>
      </c>
      <c r="L384" s="702">
        <v>0</v>
      </c>
      <c r="M384" s="702">
        <v>0</v>
      </c>
      <c r="N384" s="702">
        <v>0</v>
      </c>
      <c r="O384" s="702">
        <v>0</v>
      </c>
      <c r="P384" s="702">
        <v>0</v>
      </c>
      <c r="Q384" s="702">
        <v>0</v>
      </c>
      <c r="R384" s="702">
        <v>0</v>
      </c>
      <c r="S384" s="702">
        <v>0</v>
      </c>
      <c r="T384" s="702">
        <v>0</v>
      </c>
      <c r="U384" s="702">
        <v>0</v>
      </c>
    </row>
    <row r="385" spans="1:21" s="685" customFormat="1" ht="19.95" customHeight="1">
      <c r="A385" s="1167" t="s">
        <v>350</v>
      </c>
      <c r="B385" s="794"/>
      <c r="C385" s="882">
        <v>0</v>
      </c>
      <c r="D385" s="882">
        <v>0</v>
      </c>
      <c r="E385" s="882">
        <v>0</v>
      </c>
      <c r="F385" s="882">
        <v>0</v>
      </c>
      <c r="G385" s="882">
        <v>0</v>
      </c>
      <c r="H385" s="882">
        <v>0</v>
      </c>
      <c r="I385" s="882">
        <v>0</v>
      </c>
      <c r="J385" s="882">
        <v>0</v>
      </c>
      <c r="K385" s="882">
        <v>0</v>
      </c>
      <c r="L385" s="882">
        <v>0</v>
      </c>
      <c r="M385" s="882">
        <v>0</v>
      </c>
      <c r="N385" s="882">
        <v>0</v>
      </c>
      <c r="O385" s="882">
        <v>0</v>
      </c>
      <c r="P385" s="882">
        <v>0</v>
      </c>
      <c r="Q385" s="882">
        <v>0</v>
      </c>
      <c r="R385" s="882">
        <v>0</v>
      </c>
      <c r="S385" s="882">
        <v>0</v>
      </c>
      <c r="T385" s="882">
        <v>0</v>
      </c>
      <c r="U385" s="882">
        <v>0</v>
      </c>
    </row>
    <row r="386" spans="1:21" s="685" customFormat="1" ht="17.399999999999999" customHeight="1">
      <c r="A386" s="1167"/>
      <c r="B386" s="794"/>
      <c r="C386" s="702">
        <v>0</v>
      </c>
      <c r="D386" s="702">
        <v>0</v>
      </c>
      <c r="E386" s="702">
        <v>0</v>
      </c>
      <c r="F386" s="702">
        <v>0</v>
      </c>
      <c r="G386" s="702">
        <v>0</v>
      </c>
      <c r="H386" s="702">
        <v>0</v>
      </c>
      <c r="I386" s="702">
        <v>0</v>
      </c>
      <c r="J386" s="702">
        <v>0</v>
      </c>
      <c r="K386" s="702">
        <v>0</v>
      </c>
      <c r="L386" s="702">
        <v>0</v>
      </c>
      <c r="M386" s="702">
        <v>0</v>
      </c>
      <c r="N386" s="702">
        <v>0</v>
      </c>
      <c r="O386" s="702">
        <v>0</v>
      </c>
      <c r="P386" s="702">
        <v>0</v>
      </c>
      <c r="Q386" s="702">
        <v>0</v>
      </c>
      <c r="R386" s="702">
        <v>0</v>
      </c>
      <c r="S386" s="702">
        <v>0</v>
      </c>
      <c r="T386" s="702">
        <v>0</v>
      </c>
      <c r="U386" s="702">
        <v>0</v>
      </c>
    </row>
    <row r="387" spans="1:21" s="685" customFormat="1" ht="17.399999999999999" customHeight="1">
      <c r="A387" s="797"/>
      <c r="B387" s="748"/>
      <c r="C387" s="704"/>
      <c r="D387" s="704"/>
      <c r="E387" s="704"/>
      <c r="F387" s="704"/>
      <c r="G387" s="704"/>
      <c r="H387" s="704"/>
      <c r="I387" s="704"/>
      <c r="J387" s="704"/>
      <c r="K387" s="704"/>
      <c r="L387" s="704"/>
      <c r="M387" s="704"/>
      <c r="N387" s="704"/>
      <c r="O387" s="704"/>
      <c r="P387" s="704"/>
      <c r="Q387" s="704"/>
      <c r="R387" s="704"/>
      <c r="S387" s="704"/>
      <c r="T387" s="704"/>
      <c r="U387" s="704"/>
    </row>
    <row r="388" spans="1:21" s="685" customFormat="1">
      <c r="A388" s="1163" t="s">
        <v>845</v>
      </c>
      <c r="B388" s="788" t="s">
        <v>518</v>
      </c>
      <c r="C388" s="880">
        <v>0</v>
      </c>
      <c r="D388" s="880">
        <v>0</v>
      </c>
      <c r="E388" s="880">
        <v>0</v>
      </c>
      <c r="F388" s="880">
        <v>0</v>
      </c>
      <c r="G388" s="880">
        <v>0</v>
      </c>
      <c r="H388" s="880">
        <v>0</v>
      </c>
      <c r="I388" s="880">
        <v>0</v>
      </c>
      <c r="J388" s="880">
        <v>0</v>
      </c>
      <c r="K388" s="880">
        <v>0</v>
      </c>
      <c r="L388" s="880">
        <v>0</v>
      </c>
      <c r="M388" s="880">
        <v>0</v>
      </c>
      <c r="N388" s="880">
        <v>0</v>
      </c>
      <c r="O388" s="880">
        <v>0</v>
      </c>
      <c r="P388" s="880">
        <v>0</v>
      </c>
      <c r="Q388" s="880">
        <v>0</v>
      </c>
      <c r="R388" s="880">
        <v>0</v>
      </c>
      <c r="S388" s="880">
        <v>0</v>
      </c>
      <c r="T388" s="880">
        <v>0</v>
      </c>
      <c r="U388" s="880">
        <v>0</v>
      </c>
    </row>
    <row r="389" spans="1:21" s="685" customFormat="1">
      <c r="A389" s="1164"/>
      <c r="B389" s="788"/>
      <c r="C389" s="702">
        <v>0</v>
      </c>
      <c r="D389" s="702">
        <v>0</v>
      </c>
      <c r="E389" s="702">
        <v>0</v>
      </c>
      <c r="F389" s="702">
        <v>0</v>
      </c>
      <c r="G389" s="702">
        <v>0</v>
      </c>
      <c r="H389" s="702">
        <v>0</v>
      </c>
      <c r="I389" s="702">
        <v>0</v>
      </c>
      <c r="J389" s="702">
        <v>0</v>
      </c>
      <c r="K389" s="702">
        <v>0</v>
      </c>
      <c r="L389" s="702">
        <v>0</v>
      </c>
      <c r="M389" s="702">
        <v>0</v>
      </c>
      <c r="N389" s="702">
        <v>0</v>
      </c>
      <c r="O389" s="702">
        <v>0</v>
      </c>
      <c r="P389" s="702">
        <v>0</v>
      </c>
      <c r="Q389" s="702">
        <v>0</v>
      </c>
      <c r="R389" s="702">
        <v>0</v>
      </c>
      <c r="S389" s="702">
        <v>0</v>
      </c>
      <c r="T389" s="702">
        <v>0</v>
      </c>
      <c r="U389" s="702">
        <v>0</v>
      </c>
    </row>
    <row r="390" spans="1:21" s="685" customFormat="1">
      <c r="A390" s="1165" t="s">
        <v>100</v>
      </c>
      <c r="B390" s="790"/>
      <c r="C390" s="879"/>
      <c r="D390" s="879"/>
      <c r="E390" s="879"/>
      <c r="F390" s="879"/>
      <c r="G390" s="879"/>
      <c r="H390" s="879"/>
      <c r="I390" s="879"/>
      <c r="J390" s="879"/>
      <c r="K390" s="879"/>
      <c r="L390" s="879"/>
      <c r="M390" s="879"/>
      <c r="N390" s="879"/>
      <c r="O390" s="879"/>
      <c r="P390" s="879"/>
      <c r="Q390" s="879"/>
      <c r="R390" s="879"/>
      <c r="S390" s="879"/>
      <c r="T390" s="879"/>
      <c r="U390" s="879"/>
    </row>
    <row r="391" spans="1:21" s="685" customFormat="1">
      <c r="A391" s="1166" t="s">
        <v>337</v>
      </c>
      <c r="B391" s="792" t="s">
        <v>519</v>
      </c>
      <c r="C391" s="880">
        <v>0</v>
      </c>
      <c r="D391" s="880">
        <v>0</v>
      </c>
      <c r="E391" s="880">
        <v>0</v>
      </c>
      <c r="F391" s="880">
        <v>0</v>
      </c>
      <c r="G391" s="880">
        <v>0</v>
      </c>
      <c r="H391" s="880">
        <v>0</v>
      </c>
      <c r="I391" s="880">
        <v>0</v>
      </c>
      <c r="J391" s="880">
        <v>0</v>
      </c>
      <c r="K391" s="880">
        <v>0</v>
      </c>
      <c r="L391" s="880">
        <v>0</v>
      </c>
      <c r="M391" s="880">
        <v>0</v>
      </c>
      <c r="N391" s="880">
        <v>0</v>
      </c>
      <c r="O391" s="880">
        <v>0</v>
      </c>
      <c r="P391" s="880">
        <v>0</v>
      </c>
      <c r="Q391" s="880">
        <v>0</v>
      </c>
      <c r="R391" s="880">
        <v>0</v>
      </c>
      <c r="S391" s="880">
        <v>0</v>
      </c>
      <c r="T391" s="880">
        <v>0</v>
      </c>
      <c r="U391" s="880">
        <v>0</v>
      </c>
    </row>
    <row r="392" spans="1:21" s="685" customFormat="1">
      <c r="A392" s="1166"/>
      <c r="B392" s="792"/>
      <c r="C392" s="702">
        <v>0</v>
      </c>
      <c r="D392" s="702">
        <v>0</v>
      </c>
      <c r="E392" s="702">
        <v>0</v>
      </c>
      <c r="F392" s="702">
        <v>0</v>
      </c>
      <c r="G392" s="702">
        <v>0</v>
      </c>
      <c r="H392" s="702">
        <v>0</v>
      </c>
      <c r="I392" s="702">
        <v>0</v>
      </c>
      <c r="J392" s="702">
        <v>0</v>
      </c>
      <c r="K392" s="702">
        <v>0</v>
      </c>
      <c r="L392" s="702">
        <v>0</v>
      </c>
      <c r="M392" s="702">
        <v>0</v>
      </c>
      <c r="N392" s="702">
        <v>0</v>
      </c>
      <c r="O392" s="702">
        <v>0</v>
      </c>
      <c r="P392" s="702">
        <v>0</v>
      </c>
      <c r="Q392" s="702">
        <v>0</v>
      </c>
      <c r="R392" s="702">
        <v>0</v>
      </c>
      <c r="S392" s="702">
        <v>0</v>
      </c>
      <c r="T392" s="702">
        <v>0</v>
      </c>
      <c r="U392" s="702">
        <v>0</v>
      </c>
    </row>
    <row r="393" spans="1:21" s="685" customFormat="1">
      <c r="A393" s="1166" t="s">
        <v>353</v>
      </c>
      <c r="B393" s="792" t="s">
        <v>520</v>
      </c>
      <c r="C393" s="880">
        <v>0</v>
      </c>
      <c r="D393" s="880">
        <v>0</v>
      </c>
      <c r="E393" s="880">
        <v>0</v>
      </c>
      <c r="F393" s="880">
        <v>0</v>
      </c>
      <c r="G393" s="880">
        <v>0</v>
      </c>
      <c r="H393" s="880">
        <v>0</v>
      </c>
      <c r="I393" s="880">
        <v>0</v>
      </c>
      <c r="J393" s="880">
        <v>0</v>
      </c>
      <c r="K393" s="880">
        <v>0</v>
      </c>
      <c r="L393" s="880">
        <v>0</v>
      </c>
      <c r="M393" s="880">
        <v>0</v>
      </c>
      <c r="N393" s="880">
        <v>0</v>
      </c>
      <c r="O393" s="880">
        <v>0</v>
      </c>
      <c r="P393" s="880">
        <v>0</v>
      </c>
      <c r="Q393" s="880">
        <v>0</v>
      </c>
      <c r="R393" s="880">
        <v>0</v>
      </c>
      <c r="S393" s="880">
        <v>0</v>
      </c>
      <c r="T393" s="880">
        <v>0</v>
      </c>
      <c r="U393" s="880">
        <v>0</v>
      </c>
    </row>
    <row r="394" spans="1:21" s="685" customFormat="1">
      <c r="A394" s="1166"/>
      <c r="B394" s="792"/>
      <c r="C394" s="702">
        <v>0</v>
      </c>
      <c r="D394" s="702">
        <v>0</v>
      </c>
      <c r="E394" s="702">
        <v>0</v>
      </c>
      <c r="F394" s="702">
        <v>0</v>
      </c>
      <c r="G394" s="702">
        <v>0</v>
      </c>
      <c r="H394" s="702">
        <v>0</v>
      </c>
      <c r="I394" s="702">
        <v>0</v>
      </c>
      <c r="J394" s="702">
        <v>0</v>
      </c>
      <c r="K394" s="702">
        <v>0</v>
      </c>
      <c r="L394" s="702">
        <v>0</v>
      </c>
      <c r="M394" s="702">
        <v>0</v>
      </c>
      <c r="N394" s="702">
        <v>0</v>
      </c>
      <c r="O394" s="702">
        <v>0</v>
      </c>
      <c r="P394" s="702">
        <v>0</v>
      </c>
      <c r="Q394" s="702">
        <v>0</v>
      </c>
      <c r="R394" s="702">
        <v>0</v>
      </c>
      <c r="S394" s="702">
        <v>0</v>
      </c>
      <c r="T394" s="702">
        <v>0</v>
      </c>
      <c r="U394" s="702">
        <v>0</v>
      </c>
    </row>
    <row r="395" spans="1:21" s="685" customFormat="1">
      <c r="A395" s="1166" t="s">
        <v>245</v>
      </c>
      <c r="B395" s="792" t="s">
        <v>521</v>
      </c>
      <c r="C395" s="880">
        <v>0</v>
      </c>
      <c r="D395" s="880">
        <v>0</v>
      </c>
      <c r="E395" s="880">
        <v>0</v>
      </c>
      <c r="F395" s="880">
        <v>0</v>
      </c>
      <c r="G395" s="880">
        <v>0</v>
      </c>
      <c r="H395" s="880">
        <v>0</v>
      </c>
      <c r="I395" s="880">
        <v>0</v>
      </c>
      <c r="J395" s="880">
        <v>0</v>
      </c>
      <c r="K395" s="880">
        <v>0</v>
      </c>
      <c r="L395" s="880">
        <v>0</v>
      </c>
      <c r="M395" s="880">
        <v>0</v>
      </c>
      <c r="N395" s="880">
        <v>0</v>
      </c>
      <c r="O395" s="880">
        <v>0</v>
      </c>
      <c r="P395" s="880">
        <v>0</v>
      </c>
      <c r="Q395" s="880">
        <v>0</v>
      </c>
      <c r="R395" s="880">
        <v>0</v>
      </c>
      <c r="S395" s="880">
        <v>0</v>
      </c>
      <c r="T395" s="880">
        <v>0</v>
      </c>
      <c r="U395" s="880">
        <v>0</v>
      </c>
    </row>
    <row r="396" spans="1:21" s="685" customFormat="1">
      <c r="A396" s="1166"/>
      <c r="B396" s="792"/>
      <c r="C396" s="702">
        <v>0</v>
      </c>
      <c r="D396" s="702">
        <v>0</v>
      </c>
      <c r="E396" s="702">
        <v>0</v>
      </c>
      <c r="F396" s="702">
        <v>0</v>
      </c>
      <c r="G396" s="702">
        <v>0</v>
      </c>
      <c r="H396" s="702">
        <v>0</v>
      </c>
      <c r="I396" s="702">
        <v>0</v>
      </c>
      <c r="J396" s="702">
        <v>0</v>
      </c>
      <c r="K396" s="702">
        <v>0</v>
      </c>
      <c r="L396" s="702">
        <v>0</v>
      </c>
      <c r="M396" s="702">
        <v>0</v>
      </c>
      <c r="N396" s="702">
        <v>0</v>
      </c>
      <c r="O396" s="702">
        <v>0</v>
      </c>
      <c r="P396" s="702">
        <v>0</v>
      </c>
      <c r="Q396" s="702">
        <v>0</v>
      </c>
      <c r="R396" s="702">
        <v>0</v>
      </c>
      <c r="S396" s="702">
        <v>0</v>
      </c>
      <c r="T396" s="702">
        <v>0</v>
      </c>
      <c r="U396" s="702">
        <v>0</v>
      </c>
    </row>
    <row r="397" spans="1:21" s="685" customFormat="1">
      <c r="A397" s="1166" t="s">
        <v>349</v>
      </c>
      <c r="B397" s="792" t="s">
        <v>522</v>
      </c>
      <c r="C397" s="880">
        <v>0</v>
      </c>
      <c r="D397" s="880">
        <v>0</v>
      </c>
      <c r="E397" s="880">
        <v>0</v>
      </c>
      <c r="F397" s="880">
        <v>0</v>
      </c>
      <c r="G397" s="880">
        <v>0</v>
      </c>
      <c r="H397" s="880">
        <v>0</v>
      </c>
      <c r="I397" s="880">
        <v>0</v>
      </c>
      <c r="J397" s="880">
        <v>0</v>
      </c>
      <c r="K397" s="880">
        <v>0</v>
      </c>
      <c r="L397" s="880">
        <v>0</v>
      </c>
      <c r="M397" s="880">
        <v>0</v>
      </c>
      <c r="N397" s="880">
        <v>0</v>
      </c>
      <c r="O397" s="880">
        <v>0</v>
      </c>
      <c r="P397" s="880">
        <v>0</v>
      </c>
      <c r="Q397" s="880">
        <v>0</v>
      </c>
      <c r="R397" s="880">
        <v>0</v>
      </c>
      <c r="S397" s="880">
        <v>0</v>
      </c>
      <c r="T397" s="880">
        <v>0</v>
      </c>
      <c r="U397" s="880">
        <v>0</v>
      </c>
    </row>
    <row r="398" spans="1:21" s="685" customFormat="1">
      <c r="A398" s="1166"/>
      <c r="B398" s="792"/>
      <c r="C398" s="702">
        <v>0</v>
      </c>
      <c r="D398" s="702">
        <v>0</v>
      </c>
      <c r="E398" s="702">
        <v>0</v>
      </c>
      <c r="F398" s="702">
        <v>0</v>
      </c>
      <c r="G398" s="702">
        <v>0</v>
      </c>
      <c r="H398" s="702">
        <v>0</v>
      </c>
      <c r="I398" s="702">
        <v>0</v>
      </c>
      <c r="J398" s="702">
        <v>0</v>
      </c>
      <c r="K398" s="702">
        <v>0</v>
      </c>
      <c r="L398" s="702">
        <v>0</v>
      </c>
      <c r="M398" s="702">
        <v>0</v>
      </c>
      <c r="N398" s="702">
        <v>0</v>
      </c>
      <c r="O398" s="702">
        <v>0</v>
      </c>
      <c r="P398" s="702">
        <v>0</v>
      </c>
      <c r="Q398" s="702">
        <v>0</v>
      </c>
      <c r="R398" s="702">
        <v>0</v>
      </c>
      <c r="S398" s="702">
        <v>0</v>
      </c>
      <c r="T398" s="702">
        <v>0</v>
      </c>
      <c r="U398" s="702">
        <v>0</v>
      </c>
    </row>
    <row r="399" spans="1:21" s="685" customFormat="1">
      <c r="A399" s="1166" t="s">
        <v>247</v>
      </c>
      <c r="B399" s="792" t="s">
        <v>523</v>
      </c>
      <c r="C399" s="880">
        <v>0</v>
      </c>
      <c r="D399" s="880">
        <v>0</v>
      </c>
      <c r="E399" s="880">
        <v>0</v>
      </c>
      <c r="F399" s="880">
        <v>0</v>
      </c>
      <c r="G399" s="880">
        <v>0</v>
      </c>
      <c r="H399" s="880">
        <v>0</v>
      </c>
      <c r="I399" s="880">
        <v>0</v>
      </c>
      <c r="J399" s="880">
        <v>0</v>
      </c>
      <c r="K399" s="880">
        <v>0</v>
      </c>
      <c r="L399" s="880">
        <v>0</v>
      </c>
      <c r="M399" s="880">
        <v>0</v>
      </c>
      <c r="N399" s="880">
        <v>0</v>
      </c>
      <c r="O399" s="880">
        <v>0</v>
      </c>
      <c r="P399" s="880">
        <v>0</v>
      </c>
      <c r="Q399" s="880">
        <v>0</v>
      </c>
      <c r="R399" s="880">
        <v>0</v>
      </c>
      <c r="S399" s="880">
        <v>0</v>
      </c>
      <c r="T399" s="880">
        <v>0</v>
      </c>
      <c r="U399" s="880">
        <v>0</v>
      </c>
    </row>
    <row r="400" spans="1:21" s="685" customFormat="1">
      <c r="A400" s="1166"/>
      <c r="B400" s="792"/>
      <c r="C400" s="702">
        <v>0</v>
      </c>
      <c r="D400" s="702">
        <v>0</v>
      </c>
      <c r="E400" s="702">
        <v>0</v>
      </c>
      <c r="F400" s="702">
        <v>0</v>
      </c>
      <c r="G400" s="702">
        <v>0</v>
      </c>
      <c r="H400" s="702">
        <v>0</v>
      </c>
      <c r="I400" s="702">
        <v>0</v>
      </c>
      <c r="J400" s="702">
        <v>0</v>
      </c>
      <c r="K400" s="702">
        <v>0</v>
      </c>
      <c r="L400" s="702">
        <v>0</v>
      </c>
      <c r="M400" s="702">
        <v>0</v>
      </c>
      <c r="N400" s="702">
        <v>0</v>
      </c>
      <c r="O400" s="702">
        <v>0</v>
      </c>
      <c r="P400" s="702">
        <v>0</v>
      </c>
      <c r="Q400" s="702">
        <v>0</v>
      </c>
      <c r="R400" s="702">
        <v>0</v>
      </c>
      <c r="S400" s="702">
        <v>0</v>
      </c>
      <c r="T400" s="702">
        <v>0</v>
      </c>
      <c r="U400" s="702">
        <v>0</v>
      </c>
    </row>
    <row r="401" spans="1:21" s="685" customFormat="1">
      <c r="A401" s="1166" t="s">
        <v>187</v>
      </c>
      <c r="B401" s="792" t="s">
        <v>524</v>
      </c>
      <c r="C401" s="880">
        <v>0</v>
      </c>
      <c r="D401" s="880">
        <v>0</v>
      </c>
      <c r="E401" s="880">
        <v>0</v>
      </c>
      <c r="F401" s="880">
        <v>0</v>
      </c>
      <c r="G401" s="880">
        <v>0</v>
      </c>
      <c r="H401" s="880">
        <v>0</v>
      </c>
      <c r="I401" s="880">
        <v>0</v>
      </c>
      <c r="J401" s="880">
        <v>0</v>
      </c>
      <c r="K401" s="880">
        <v>0</v>
      </c>
      <c r="L401" s="880">
        <v>0</v>
      </c>
      <c r="M401" s="880">
        <v>0</v>
      </c>
      <c r="N401" s="880">
        <v>0</v>
      </c>
      <c r="O401" s="880">
        <v>0</v>
      </c>
      <c r="P401" s="880">
        <v>0</v>
      </c>
      <c r="Q401" s="880">
        <v>0</v>
      </c>
      <c r="R401" s="880">
        <v>0</v>
      </c>
      <c r="S401" s="880">
        <v>0</v>
      </c>
      <c r="T401" s="880">
        <v>0</v>
      </c>
      <c r="U401" s="880">
        <v>0</v>
      </c>
    </row>
    <row r="402" spans="1:21" s="685" customFormat="1">
      <c r="A402" s="1166"/>
      <c r="B402" s="792"/>
      <c r="C402" s="702">
        <v>0</v>
      </c>
      <c r="D402" s="702">
        <v>0</v>
      </c>
      <c r="E402" s="702">
        <v>0</v>
      </c>
      <c r="F402" s="702">
        <v>0</v>
      </c>
      <c r="G402" s="702">
        <v>0</v>
      </c>
      <c r="H402" s="702">
        <v>0</v>
      </c>
      <c r="I402" s="702">
        <v>0</v>
      </c>
      <c r="J402" s="702">
        <v>0</v>
      </c>
      <c r="K402" s="702">
        <v>0</v>
      </c>
      <c r="L402" s="702">
        <v>0</v>
      </c>
      <c r="M402" s="702">
        <v>0</v>
      </c>
      <c r="N402" s="702">
        <v>0</v>
      </c>
      <c r="O402" s="702">
        <v>0</v>
      </c>
      <c r="P402" s="702">
        <v>0</v>
      </c>
      <c r="Q402" s="702">
        <v>0</v>
      </c>
      <c r="R402" s="702">
        <v>0</v>
      </c>
      <c r="S402" s="702">
        <v>0</v>
      </c>
      <c r="T402" s="702">
        <v>0</v>
      </c>
      <c r="U402" s="702">
        <v>0</v>
      </c>
    </row>
    <row r="403" spans="1:21" s="685" customFormat="1">
      <c r="A403" s="1166" t="s">
        <v>246</v>
      </c>
      <c r="B403" s="792" t="s">
        <v>525</v>
      </c>
      <c r="C403" s="880">
        <v>0</v>
      </c>
      <c r="D403" s="880">
        <v>0</v>
      </c>
      <c r="E403" s="880">
        <v>0</v>
      </c>
      <c r="F403" s="880">
        <v>0</v>
      </c>
      <c r="G403" s="880">
        <v>0</v>
      </c>
      <c r="H403" s="880">
        <v>0</v>
      </c>
      <c r="I403" s="880">
        <v>0</v>
      </c>
      <c r="J403" s="880">
        <v>0</v>
      </c>
      <c r="K403" s="880">
        <v>0</v>
      </c>
      <c r="L403" s="880">
        <v>0</v>
      </c>
      <c r="M403" s="880">
        <v>0</v>
      </c>
      <c r="N403" s="880">
        <v>0</v>
      </c>
      <c r="O403" s="880">
        <v>0</v>
      </c>
      <c r="P403" s="880">
        <v>0</v>
      </c>
      <c r="Q403" s="880">
        <v>0</v>
      </c>
      <c r="R403" s="880">
        <v>0</v>
      </c>
      <c r="S403" s="880">
        <v>0</v>
      </c>
      <c r="T403" s="880">
        <v>0</v>
      </c>
      <c r="U403" s="880">
        <v>0</v>
      </c>
    </row>
    <row r="404" spans="1:21" s="685" customFormat="1">
      <c r="A404" s="1166"/>
      <c r="B404" s="792"/>
      <c r="C404" s="702">
        <v>0</v>
      </c>
      <c r="D404" s="702">
        <v>0</v>
      </c>
      <c r="E404" s="702">
        <v>0</v>
      </c>
      <c r="F404" s="702">
        <v>0</v>
      </c>
      <c r="G404" s="702">
        <v>0</v>
      </c>
      <c r="H404" s="702">
        <v>0</v>
      </c>
      <c r="I404" s="702">
        <v>0</v>
      </c>
      <c r="J404" s="702">
        <v>0</v>
      </c>
      <c r="K404" s="702">
        <v>0</v>
      </c>
      <c r="L404" s="702">
        <v>0</v>
      </c>
      <c r="M404" s="702">
        <v>0</v>
      </c>
      <c r="N404" s="702">
        <v>0</v>
      </c>
      <c r="O404" s="702">
        <v>0</v>
      </c>
      <c r="P404" s="702">
        <v>0</v>
      </c>
      <c r="Q404" s="702">
        <v>0</v>
      </c>
      <c r="R404" s="702">
        <v>0</v>
      </c>
      <c r="S404" s="702">
        <v>0</v>
      </c>
      <c r="T404" s="702">
        <v>0</v>
      </c>
      <c r="U404" s="702">
        <v>0</v>
      </c>
    </row>
    <row r="405" spans="1:21" s="685" customFormat="1">
      <c r="A405" s="1166" t="s">
        <v>334</v>
      </c>
      <c r="B405" s="792" t="s">
        <v>526</v>
      </c>
      <c r="C405" s="880">
        <v>0</v>
      </c>
      <c r="D405" s="880">
        <v>0</v>
      </c>
      <c r="E405" s="880">
        <v>0</v>
      </c>
      <c r="F405" s="880">
        <v>0</v>
      </c>
      <c r="G405" s="880">
        <v>0</v>
      </c>
      <c r="H405" s="880">
        <v>0</v>
      </c>
      <c r="I405" s="880">
        <v>0</v>
      </c>
      <c r="J405" s="880">
        <v>0</v>
      </c>
      <c r="K405" s="880">
        <v>0</v>
      </c>
      <c r="L405" s="880">
        <v>0</v>
      </c>
      <c r="M405" s="880">
        <v>0</v>
      </c>
      <c r="N405" s="880">
        <v>0</v>
      </c>
      <c r="O405" s="880">
        <v>0</v>
      </c>
      <c r="P405" s="880">
        <v>0</v>
      </c>
      <c r="Q405" s="880">
        <v>0</v>
      </c>
      <c r="R405" s="880">
        <v>0</v>
      </c>
      <c r="S405" s="880">
        <v>0</v>
      </c>
      <c r="T405" s="880">
        <v>0</v>
      </c>
      <c r="U405" s="880">
        <v>0</v>
      </c>
    </row>
    <row r="406" spans="1:21" s="685" customFormat="1">
      <c r="A406" s="1166"/>
      <c r="B406" s="792"/>
      <c r="C406" s="702">
        <v>0</v>
      </c>
      <c r="D406" s="702">
        <v>0</v>
      </c>
      <c r="E406" s="702">
        <v>0</v>
      </c>
      <c r="F406" s="702">
        <v>0</v>
      </c>
      <c r="G406" s="702">
        <v>0</v>
      </c>
      <c r="H406" s="702">
        <v>0</v>
      </c>
      <c r="I406" s="702">
        <v>0</v>
      </c>
      <c r="J406" s="702">
        <v>0</v>
      </c>
      <c r="K406" s="702">
        <v>0</v>
      </c>
      <c r="L406" s="702">
        <v>0</v>
      </c>
      <c r="M406" s="702">
        <v>0</v>
      </c>
      <c r="N406" s="702">
        <v>0</v>
      </c>
      <c r="O406" s="702">
        <v>0</v>
      </c>
      <c r="P406" s="702">
        <v>0</v>
      </c>
      <c r="Q406" s="702">
        <v>0</v>
      </c>
      <c r="R406" s="702">
        <v>0</v>
      </c>
      <c r="S406" s="702">
        <v>0</v>
      </c>
      <c r="T406" s="702">
        <v>0</v>
      </c>
      <c r="U406" s="702">
        <v>0</v>
      </c>
    </row>
    <row r="407" spans="1:21" s="685" customFormat="1">
      <c r="A407" s="1166" t="s">
        <v>27</v>
      </c>
      <c r="B407" s="792" t="s">
        <v>527</v>
      </c>
      <c r="C407" s="880">
        <v>0</v>
      </c>
      <c r="D407" s="880">
        <v>0</v>
      </c>
      <c r="E407" s="880">
        <v>0</v>
      </c>
      <c r="F407" s="880">
        <v>0</v>
      </c>
      <c r="G407" s="880">
        <v>0</v>
      </c>
      <c r="H407" s="880">
        <v>0</v>
      </c>
      <c r="I407" s="880">
        <v>0</v>
      </c>
      <c r="J407" s="880">
        <v>0</v>
      </c>
      <c r="K407" s="880">
        <v>0</v>
      </c>
      <c r="L407" s="880">
        <v>0</v>
      </c>
      <c r="M407" s="880">
        <v>0</v>
      </c>
      <c r="N407" s="880">
        <v>0</v>
      </c>
      <c r="O407" s="880">
        <v>0</v>
      </c>
      <c r="P407" s="880">
        <v>0</v>
      </c>
      <c r="Q407" s="880">
        <v>0</v>
      </c>
      <c r="R407" s="880">
        <v>0</v>
      </c>
      <c r="S407" s="880">
        <v>0</v>
      </c>
      <c r="T407" s="880">
        <v>0</v>
      </c>
      <c r="U407" s="880">
        <v>0</v>
      </c>
    </row>
    <row r="408" spans="1:21" s="685" customFormat="1">
      <c r="A408" s="1166"/>
      <c r="B408" s="792"/>
      <c r="C408" s="702">
        <v>0</v>
      </c>
      <c r="D408" s="702">
        <v>0</v>
      </c>
      <c r="E408" s="702">
        <v>0</v>
      </c>
      <c r="F408" s="702">
        <v>0</v>
      </c>
      <c r="G408" s="702">
        <v>0</v>
      </c>
      <c r="H408" s="702">
        <v>0</v>
      </c>
      <c r="I408" s="702">
        <v>0</v>
      </c>
      <c r="J408" s="702">
        <v>0</v>
      </c>
      <c r="K408" s="702">
        <v>0</v>
      </c>
      <c r="L408" s="702">
        <v>0</v>
      </c>
      <c r="M408" s="702">
        <v>0</v>
      </c>
      <c r="N408" s="702">
        <v>0</v>
      </c>
      <c r="O408" s="702">
        <v>0</v>
      </c>
      <c r="P408" s="702">
        <v>0</v>
      </c>
      <c r="Q408" s="702">
        <v>0</v>
      </c>
      <c r="R408" s="702">
        <v>0</v>
      </c>
      <c r="S408" s="702">
        <v>0</v>
      </c>
      <c r="T408" s="702">
        <v>0</v>
      </c>
      <c r="U408" s="702">
        <v>0</v>
      </c>
    </row>
    <row r="409" spans="1:21" s="685" customFormat="1">
      <c r="A409" s="1166" t="s">
        <v>180</v>
      </c>
      <c r="B409" s="792"/>
      <c r="C409" s="1021">
        <v>0</v>
      </c>
      <c r="D409" s="1021">
        <v>0</v>
      </c>
      <c r="E409" s="1021">
        <v>0</v>
      </c>
      <c r="F409" s="1021">
        <v>0</v>
      </c>
      <c r="G409" s="1021">
        <v>0</v>
      </c>
      <c r="H409" s="1021">
        <v>0</v>
      </c>
      <c r="I409" s="1021">
        <v>0</v>
      </c>
      <c r="J409" s="1021">
        <v>0</v>
      </c>
      <c r="K409" s="1021">
        <v>0</v>
      </c>
      <c r="L409" s="1021">
        <v>0</v>
      </c>
      <c r="M409" s="1021">
        <v>0</v>
      </c>
      <c r="N409" s="1021">
        <v>0</v>
      </c>
      <c r="O409" s="1021">
        <v>0</v>
      </c>
      <c r="P409" s="1021">
        <v>0</v>
      </c>
      <c r="Q409" s="1021">
        <v>0</v>
      </c>
      <c r="R409" s="1021">
        <v>0</v>
      </c>
      <c r="S409" s="1021">
        <v>0</v>
      </c>
      <c r="T409" s="1021">
        <v>0</v>
      </c>
      <c r="U409" s="1021">
        <v>0</v>
      </c>
    </row>
    <row r="410" spans="1:21" s="685" customFormat="1">
      <c r="A410" s="1166"/>
      <c r="B410" s="792"/>
      <c r="C410" s="702">
        <v>0</v>
      </c>
      <c r="D410" s="702">
        <v>0</v>
      </c>
      <c r="E410" s="702">
        <v>0</v>
      </c>
      <c r="F410" s="702">
        <v>0</v>
      </c>
      <c r="G410" s="702">
        <v>0</v>
      </c>
      <c r="H410" s="702">
        <v>0</v>
      </c>
      <c r="I410" s="702">
        <v>0</v>
      </c>
      <c r="J410" s="702">
        <v>0</v>
      </c>
      <c r="K410" s="702">
        <v>0</v>
      </c>
      <c r="L410" s="702">
        <v>0</v>
      </c>
      <c r="M410" s="702">
        <v>0</v>
      </c>
      <c r="N410" s="702">
        <v>0</v>
      </c>
      <c r="O410" s="702">
        <v>0</v>
      </c>
      <c r="P410" s="702">
        <v>0</v>
      </c>
      <c r="Q410" s="702">
        <v>0</v>
      </c>
      <c r="R410" s="702">
        <v>0</v>
      </c>
      <c r="S410" s="702">
        <v>0</v>
      </c>
      <c r="T410" s="702">
        <v>0</v>
      </c>
      <c r="U410" s="702">
        <v>0</v>
      </c>
    </row>
    <row r="411" spans="1:21" s="685" customFormat="1">
      <c r="A411" s="1166" t="s">
        <v>59</v>
      </c>
      <c r="B411" s="792"/>
      <c r="C411" s="880">
        <v>0</v>
      </c>
      <c r="D411" s="880">
        <v>0</v>
      </c>
      <c r="E411" s="880">
        <v>0</v>
      </c>
      <c r="F411" s="880">
        <v>0</v>
      </c>
      <c r="G411" s="880">
        <v>0</v>
      </c>
      <c r="H411" s="880">
        <v>0</v>
      </c>
      <c r="I411" s="880">
        <v>0</v>
      </c>
      <c r="J411" s="880">
        <v>0</v>
      </c>
      <c r="K411" s="880">
        <v>0</v>
      </c>
      <c r="L411" s="880">
        <v>0</v>
      </c>
      <c r="M411" s="880">
        <v>0</v>
      </c>
      <c r="N411" s="880">
        <v>0</v>
      </c>
      <c r="O411" s="880">
        <v>0</v>
      </c>
      <c r="P411" s="880">
        <v>0</v>
      </c>
      <c r="Q411" s="880">
        <v>0</v>
      </c>
      <c r="R411" s="880">
        <v>0</v>
      </c>
      <c r="S411" s="880">
        <v>0</v>
      </c>
      <c r="T411" s="880">
        <v>0</v>
      </c>
      <c r="U411" s="880">
        <v>0</v>
      </c>
    </row>
    <row r="412" spans="1:21" s="685" customFormat="1">
      <c r="A412" s="1166"/>
      <c r="B412" s="792"/>
      <c r="C412" s="702">
        <v>0</v>
      </c>
      <c r="D412" s="702">
        <v>0</v>
      </c>
      <c r="E412" s="702">
        <v>0</v>
      </c>
      <c r="F412" s="702">
        <v>0</v>
      </c>
      <c r="G412" s="702">
        <v>0</v>
      </c>
      <c r="H412" s="702">
        <v>0</v>
      </c>
      <c r="I412" s="702">
        <v>0</v>
      </c>
      <c r="J412" s="702">
        <v>0</v>
      </c>
      <c r="K412" s="702">
        <v>0</v>
      </c>
      <c r="L412" s="702">
        <v>0</v>
      </c>
      <c r="M412" s="702">
        <v>0</v>
      </c>
      <c r="N412" s="702">
        <v>0</v>
      </c>
      <c r="O412" s="702">
        <v>0</v>
      </c>
      <c r="P412" s="702">
        <v>0</v>
      </c>
      <c r="Q412" s="702">
        <v>0</v>
      </c>
      <c r="R412" s="702">
        <v>0</v>
      </c>
      <c r="S412" s="702">
        <v>0</v>
      </c>
      <c r="T412" s="702">
        <v>0</v>
      </c>
      <c r="U412" s="702">
        <v>0</v>
      </c>
    </row>
    <row r="413" spans="1:21" s="685" customFormat="1" ht="19.95" customHeight="1">
      <c r="A413" s="1167" t="s">
        <v>350</v>
      </c>
      <c r="B413" s="794"/>
      <c r="C413" s="882">
        <v>0</v>
      </c>
      <c r="D413" s="882">
        <v>0</v>
      </c>
      <c r="E413" s="882">
        <v>0</v>
      </c>
      <c r="F413" s="882">
        <v>0</v>
      </c>
      <c r="G413" s="882">
        <v>0</v>
      </c>
      <c r="H413" s="882">
        <v>0</v>
      </c>
      <c r="I413" s="882">
        <v>0</v>
      </c>
      <c r="J413" s="882">
        <v>0</v>
      </c>
      <c r="K413" s="882">
        <v>0</v>
      </c>
      <c r="L413" s="882">
        <v>0</v>
      </c>
      <c r="M413" s="882">
        <v>0</v>
      </c>
      <c r="N413" s="882">
        <v>0</v>
      </c>
      <c r="O413" s="882">
        <v>0</v>
      </c>
      <c r="P413" s="882">
        <v>0</v>
      </c>
      <c r="Q413" s="882">
        <v>0</v>
      </c>
      <c r="R413" s="882">
        <v>0</v>
      </c>
      <c r="S413" s="882">
        <v>0</v>
      </c>
      <c r="T413" s="882">
        <v>0</v>
      </c>
      <c r="U413" s="882">
        <v>0</v>
      </c>
    </row>
    <row r="414" spans="1:21" s="685" customFormat="1" ht="17.399999999999999" customHeight="1">
      <c r="A414" s="1167"/>
      <c r="B414" s="794"/>
      <c r="C414" s="702">
        <v>0</v>
      </c>
      <c r="D414" s="702">
        <v>0</v>
      </c>
      <c r="E414" s="702">
        <v>0</v>
      </c>
      <c r="F414" s="702">
        <v>0</v>
      </c>
      <c r="G414" s="702">
        <v>0</v>
      </c>
      <c r="H414" s="702">
        <v>0</v>
      </c>
      <c r="I414" s="702">
        <v>0</v>
      </c>
      <c r="J414" s="702">
        <v>0</v>
      </c>
      <c r="K414" s="702">
        <v>0</v>
      </c>
      <c r="L414" s="702">
        <v>0</v>
      </c>
      <c r="M414" s="702">
        <v>0</v>
      </c>
      <c r="N414" s="702">
        <v>0</v>
      </c>
      <c r="O414" s="702">
        <v>0</v>
      </c>
      <c r="P414" s="702">
        <v>0</v>
      </c>
      <c r="Q414" s="702">
        <v>0</v>
      </c>
      <c r="R414" s="702">
        <v>0</v>
      </c>
      <c r="S414" s="702">
        <v>0</v>
      </c>
      <c r="T414" s="702">
        <v>0</v>
      </c>
      <c r="U414" s="702">
        <v>0</v>
      </c>
    </row>
    <row r="415" spans="1:21" s="685" customFormat="1" ht="17.399999999999999" customHeight="1">
      <c r="A415" s="797"/>
      <c r="B415" s="748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4"/>
      <c r="P415" s="704"/>
      <c r="Q415" s="704"/>
      <c r="R415" s="704"/>
      <c r="S415" s="704"/>
      <c r="T415" s="704"/>
      <c r="U415" s="704"/>
    </row>
    <row r="416" spans="1:21" s="685" customFormat="1" ht="17.399999999999999" customHeight="1">
      <c r="A416" s="1040" t="s">
        <v>24</v>
      </c>
      <c r="B416" s="792"/>
      <c r="C416" s="1021">
        <v>10000</v>
      </c>
      <c r="D416" s="1021">
        <v>-4000</v>
      </c>
      <c r="E416" s="1021">
        <v>-5500</v>
      </c>
      <c r="F416" s="1021">
        <v>-9000</v>
      </c>
      <c r="G416" s="1021">
        <v>8500</v>
      </c>
      <c r="H416" s="1021">
        <v>4000</v>
      </c>
      <c r="I416" s="1021">
        <v>0</v>
      </c>
      <c r="J416" s="1021">
        <v>-13884</v>
      </c>
      <c r="K416" s="1021">
        <v>-2500</v>
      </c>
      <c r="L416" s="1021">
        <v>-4500</v>
      </c>
      <c r="M416" s="1021">
        <v>-7000</v>
      </c>
      <c r="N416" s="1021">
        <v>-4000</v>
      </c>
      <c r="O416" s="1021">
        <v>7000</v>
      </c>
      <c r="P416" s="1021">
        <v>0</v>
      </c>
      <c r="Q416" s="1021">
        <v>500</v>
      </c>
      <c r="R416" s="1021">
        <v>7000</v>
      </c>
      <c r="S416" s="1021">
        <v>-4500</v>
      </c>
      <c r="T416" s="1021">
        <v>8500</v>
      </c>
      <c r="U416" s="1021">
        <v>0</v>
      </c>
    </row>
    <row r="417" spans="1:21" s="685" customFormat="1" ht="17.399999999999999" customHeight="1">
      <c r="A417" s="1040"/>
      <c r="B417" s="792"/>
      <c r="C417" s="702">
        <v>-9384</v>
      </c>
      <c r="D417" s="702">
        <v>-19384</v>
      </c>
      <c r="E417" s="702">
        <v>-15384</v>
      </c>
      <c r="F417" s="702">
        <v>-9884</v>
      </c>
      <c r="G417" s="702">
        <v>-884</v>
      </c>
      <c r="H417" s="702">
        <v>-9384</v>
      </c>
      <c r="I417" s="702">
        <v>-13384</v>
      </c>
      <c r="J417" s="702">
        <v>-13384</v>
      </c>
      <c r="K417" s="702">
        <v>500</v>
      </c>
      <c r="L417" s="702">
        <v>3000</v>
      </c>
      <c r="M417" s="702">
        <v>7500</v>
      </c>
      <c r="N417" s="702">
        <v>14500</v>
      </c>
      <c r="O417" s="702">
        <v>18500</v>
      </c>
      <c r="P417" s="702">
        <v>11500</v>
      </c>
      <c r="Q417" s="702">
        <v>11500</v>
      </c>
      <c r="R417" s="702">
        <v>11000</v>
      </c>
      <c r="S417" s="702">
        <v>4000</v>
      </c>
      <c r="T417" s="702">
        <v>8500</v>
      </c>
      <c r="U417" s="702">
        <v>0</v>
      </c>
    </row>
    <row r="418" spans="1:21" s="685" customFormat="1" ht="14.4" customHeight="1">
      <c r="A418" s="797"/>
      <c r="B418" s="748"/>
      <c r="C418" s="879"/>
      <c r="D418" s="879"/>
      <c r="E418" s="879"/>
      <c r="F418" s="879"/>
      <c r="G418" s="879"/>
      <c r="H418" s="879"/>
      <c r="I418" s="879"/>
      <c r="J418" s="879"/>
      <c r="K418" s="879"/>
      <c r="L418" s="879"/>
      <c r="M418" s="879"/>
      <c r="N418" s="879"/>
      <c r="O418" s="879"/>
      <c r="P418" s="879"/>
      <c r="Q418" s="879"/>
      <c r="R418" s="879"/>
      <c r="S418" s="879"/>
      <c r="T418" s="879"/>
      <c r="U418" s="879"/>
    </row>
    <row r="419" spans="1:21" s="685" customFormat="1" ht="18">
      <c r="A419" s="787" t="s">
        <v>151</v>
      </c>
      <c r="B419" s="788"/>
      <c r="C419" s="883">
        <v>2371876</v>
      </c>
      <c r="D419" s="883">
        <v>407503</v>
      </c>
      <c r="E419" s="883">
        <v>1676229</v>
      </c>
      <c r="F419" s="883">
        <v>1377003</v>
      </c>
      <c r="G419" s="883">
        <v>2131785</v>
      </c>
      <c r="H419" s="883">
        <v>5486686</v>
      </c>
      <c r="I419" s="883">
        <v>417120</v>
      </c>
      <c r="J419" s="883">
        <v>4901229</v>
      </c>
      <c r="K419" s="883">
        <v>2511405</v>
      </c>
      <c r="L419" s="883">
        <v>2182667</v>
      </c>
      <c r="M419" s="883">
        <v>5477507</v>
      </c>
      <c r="N419" s="883">
        <v>948387</v>
      </c>
      <c r="O419" s="883">
        <v>8042224</v>
      </c>
      <c r="P419" s="883">
        <v>615548</v>
      </c>
      <c r="Q419" s="883">
        <v>1261687</v>
      </c>
      <c r="R419" s="883">
        <v>2723838</v>
      </c>
      <c r="S419" s="883">
        <v>4727955</v>
      </c>
      <c r="T419" s="883">
        <v>1684289</v>
      </c>
      <c r="U419" s="883">
        <v>0</v>
      </c>
    </row>
    <row r="420" spans="1:21" s="707" customFormat="1" ht="21.6" thickBot="1">
      <c r="A420" s="798" t="s">
        <v>48</v>
      </c>
      <c r="B420" s="799"/>
      <c r="C420" s="706">
        <v>48944938</v>
      </c>
      <c r="D420" s="706">
        <v>46573062</v>
      </c>
      <c r="E420" s="706">
        <v>46165559</v>
      </c>
      <c r="F420" s="706">
        <v>44489330</v>
      </c>
      <c r="G420" s="706">
        <v>43112327</v>
      </c>
      <c r="H420" s="706">
        <v>40980542</v>
      </c>
      <c r="I420" s="706">
        <v>35493856</v>
      </c>
      <c r="J420" s="706">
        <v>35076736</v>
      </c>
      <c r="K420" s="706">
        <v>30175507</v>
      </c>
      <c r="L420" s="706">
        <v>27664102</v>
      </c>
      <c r="M420" s="706">
        <v>25481435</v>
      </c>
      <c r="N420" s="706">
        <v>20003928</v>
      </c>
      <c r="O420" s="706">
        <v>19055541</v>
      </c>
      <c r="P420" s="706">
        <v>11013317</v>
      </c>
      <c r="Q420" s="706">
        <v>10397769</v>
      </c>
      <c r="R420" s="706">
        <v>9136082</v>
      </c>
      <c r="S420" s="706">
        <v>6412244</v>
      </c>
      <c r="T420" s="706">
        <v>1684289</v>
      </c>
      <c r="U420" s="706">
        <v>0</v>
      </c>
    </row>
    <row r="421" spans="1:21" ht="15" thickTop="1">
      <c r="A421" s="25"/>
      <c r="B421" s="735"/>
      <c r="C421" s="884"/>
      <c r="D421" s="884"/>
      <c r="E421" s="884"/>
      <c r="F421" s="884"/>
      <c r="G421" s="884"/>
      <c r="H421" s="884"/>
      <c r="I421" s="884"/>
      <c r="J421" s="884"/>
      <c r="K421" s="884"/>
      <c r="L421" s="884"/>
      <c r="M421" s="884"/>
      <c r="N421" s="884"/>
      <c r="O421" s="884"/>
      <c r="P421" s="884"/>
      <c r="Q421" s="884"/>
      <c r="R421" s="884"/>
      <c r="S421" s="884"/>
      <c r="T421" s="884"/>
      <c r="U421" s="884"/>
    </row>
    <row r="422" spans="1:21">
      <c r="A422" s="800" t="s">
        <v>351</v>
      </c>
      <c r="B422" s="801"/>
      <c r="C422" s="885">
        <v>5963000</v>
      </c>
      <c r="D422" s="885">
        <v>100000</v>
      </c>
      <c r="E422" s="885">
        <v>91000</v>
      </c>
      <c r="F422" s="885">
        <v>50000</v>
      </c>
      <c r="G422" s="885">
        <v>36750</v>
      </c>
      <c r="H422" s="885">
        <v>241000</v>
      </c>
      <c r="I422" s="885">
        <v>0</v>
      </c>
      <c r="J422" s="885">
        <v>89500</v>
      </c>
      <c r="K422" s="885">
        <v>651059</v>
      </c>
      <c r="L422" s="885">
        <v>0</v>
      </c>
      <c r="M422" s="885">
        <v>65035</v>
      </c>
      <c r="N422" s="885">
        <v>0</v>
      </c>
      <c r="O422" s="885">
        <v>378986</v>
      </c>
      <c r="P422" s="885">
        <v>100000</v>
      </c>
      <c r="Q422" s="885">
        <v>242400</v>
      </c>
      <c r="R422" s="885">
        <v>335000</v>
      </c>
      <c r="S422" s="885">
        <v>232400</v>
      </c>
      <c r="T422" s="885">
        <v>0</v>
      </c>
      <c r="U422" s="885">
        <v>0</v>
      </c>
    </row>
    <row r="423" spans="1:21">
      <c r="A423" s="800"/>
      <c r="B423" s="801"/>
      <c r="C423" s="708">
        <v>8576130</v>
      </c>
      <c r="D423" s="708">
        <v>2613130</v>
      </c>
      <c r="E423" s="708">
        <v>2513130</v>
      </c>
      <c r="F423" s="708">
        <v>2422130</v>
      </c>
      <c r="G423" s="708">
        <v>2372130</v>
      </c>
      <c r="H423" s="708">
        <v>2335380</v>
      </c>
      <c r="I423" s="708">
        <v>2094380</v>
      </c>
      <c r="J423" s="708">
        <v>2094380</v>
      </c>
      <c r="K423" s="708">
        <v>2004880</v>
      </c>
      <c r="L423" s="708">
        <v>1353821</v>
      </c>
      <c r="M423" s="708">
        <v>1353821</v>
      </c>
      <c r="N423" s="708">
        <v>1288786</v>
      </c>
      <c r="O423" s="708">
        <v>1288786</v>
      </c>
      <c r="P423" s="708">
        <v>909800</v>
      </c>
      <c r="Q423" s="708">
        <v>809800</v>
      </c>
      <c r="R423" s="708">
        <v>567400</v>
      </c>
      <c r="S423" s="708">
        <v>232400</v>
      </c>
      <c r="T423" s="708">
        <v>0</v>
      </c>
      <c r="U423" s="708">
        <v>0</v>
      </c>
    </row>
    <row r="424" spans="1:21" ht="8.4" customHeight="1">
      <c r="A424" s="25"/>
      <c r="B424" s="735"/>
      <c r="C424" s="884"/>
      <c r="D424" s="884"/>
      <c r="E424" s="884"/>
      <c r="F424" s="884"/>
      <c r="G424" s="884"/>
      <c r="H424" s="884"/>
      <c r="I424" s="884"/>
      <c r="J424" s="884"/>
      <c r="K424" s="884"/>
      <c r="L424" s="884"/>
      <c r="M424" s="884"/>
      <c r="N424" s="884"/>
      <c r="O424" s="884"/>
      <c r="P424" s="884"/>
      <c r="Q424" s="884"/>
      <c r="R424" s="884"/>
      <c r="S424" s="884"/>
      <c r="T424" s="884"/>
      <c r="U424" s="884"/>
    </row>
    <row r="425" spans="1:21" ht="25.2" customHeight="1">
      <c r="A425" s="802" t="s">
        <v>352</v>
      </c>
      <c r="B425" s="803"/>
      <c r="C425" s="886">
        <v>-3591124</v>
      </c>
      <c r="D425" s="886">
        <v>307503</v>
      </c>
      <c r="E425" s="886">
        <v>1585229</v>
      </c>
      <c r="F425" s="886">
        <v>1327003</v>
      </c>
      <c r="G425" s="886">
        <v>2095035</v>
      </c>
      <c r="H425" s="886">
        <v>5245686</v>
      </c>
      <c r="I425" s="886">
        <v>417120</v>
      </c>
      <c r="J425" s="886">
        <v>4811729</v>
      </c>
      <c r="K425" s="886">
        <v>1860346</v>
      </c>
      <c r="L425" s="886">
        <v>2182667</v>
      </c>
      <c r="M425" s="886">
        <v>5412472</v>
      </c>
      <c r="N425" s="886">
        <v>948387</v>
      </c>
      <c r="O425" s="886">
        <v>7663238</v>
      </c>
      <c r="P425" s="886">
        <v>515548</v>
      </c>
      <c r="Q425" s="886">
        <v>1019287</v>
      </c>
      <c r="R425" s="886">
        <v>2388838</v>
      </c>
      <c r="S425" s="886">
        <v>4495555</v>
      </c>
      <c r="T425" s="886">
        <v>1684289</v>
      </c>
      <c r="U425" s="886">
        <v>0</v>
      </c>
    </row>
    <row r="426" spans="1:21" ht="25.2" customHeight="1">
      <c r="A426" s="804"/>
      <c r="B426" s="803"/>
      <c r="C426" s="709">
        <v>40368808</v>
      </c>
      <c r="D426" s="709">
        <v>43959932</v>
      </c>
      <c r="E426" s="709">
        <v>43652429</v>
      </c>
      <c r="F426" s="709">
        <v>42067200</v>
      </c>
      <c r="G426" s="709">
        <v>40740197</v>
      </c>
      <c r="H426" s="709">
        <v>38645162</v>
      </c>
      <c r="I426" s="709">
        <v>33399476</v>
      </c>
      <c r="J426" s="709">
        <v>32982356</v>
      </c>
      <c r="K426" s="709">
        <v>28170627</v>
      </c>
      <c r="L426" s="709">
        <v>26310281</v>
      </c>
      <c r="M426" s="709">
        <v>24127614</v>
      </c>
      <c r="N426" s="709">
        <v>18715142</v>
      </c>
      <c r="O426" s="709">
        <v>17766755</v>
      </c>
      <c r="P426" s="709">
        <v>10103517</v>
      </c>
      <c r="Q426" s="709">
        <v>9587969</v>
      </c>
      <c r="R426" s="709">
        <v>8568682</v>
      </c>
      <c r="S426" s="709">
        <v>6179844</v>
      </c>
      <c r="T426" s="709">
        <v>1684289</v>
      </c>
      <c r="U426" s="709">
        <v>0</v>
      </c>
    </row>
    <row r="427" spans="1:21" ht="15" thickBot="1">
      <c r="A427" s="5"/>
      <c r="B427" s="16"/>
      <c r="C427" s="710"/>
      <c r="D427" s="710"/>
      <c r="E427" s="710"/>
      <c r="F427" s="710"/>
      <c r="G427" s="710"/>
      <c r="H427" s="710"/>
      <c r="I427" s="710"/>
      <c r="J427" s="710"/>
      <c r="K427" s="710"/>
      <c r="L427" s="710"/>
      <c r="M427" s="710"/>
      <c r="N427" s="710"/>
      <c r="O427" s="710"/>
      <c r="P427" s="710"/>
      <c r="Q427" s="710"/>
      <c r="R427" s="710"/>
      <c r="S427" s="710"/>
      <c r="T427" s="710"/>
      <c r="U427" s="710"/>
    </row>
    <row r="428" spans="1:21" s="685" customFormat="1">
      <c r="A428" s="805" t="s">
        <v>194</v>
      </c>
      <c r="B428" s="806" t="s">
        <v>290</v>
      </c>
      <c r="C428" s="887">
        <v>0</v>
      </c>
      <c r="D428" s="887">
        <v>0</v>
      </c>
      <c r="E428" s="887">
        <v>0</v>
      </c>
      <c r="F428" s="887">
        <v>0</v>
      </c>
      <c r="G428" s="887">
        <v>0</v>
      </c>
      <c r="H428" s="887">
        <v>0</v>
      </c>
      <c r="I428" s="887">
        <v>0</v>
      </c>
      <c r="J428" s="887">
        <v>0</v>
      </c>
      <c r="K428" s="887">
        <v>0</v>
      </c>
      <c r="L428" s="887">
        <v>0</v>
      </c>
      <c r="M428" s="887">
        <v>0</v>
      </c>
      <c r="N428" s="887">
        <v>0</v>
      </c>
      <c r="O428" s="887">
        <v>0</v>
      </c>
      <c r="P428" s="887">
        <v>0</v>
      </c>
      <c r="Q428" s="887">
        <v>0</v>
      </c>
      <c r="R428" s="887">
        <v>0</v>
      </c>
      <c r="S428" s="887">
        <v>0</v>
      </c>
      <c r="T428" s="887">
        <v>0</v>
      </c>
      <c r="U428" s="887">
        <v>0</v>
      </c>
    </row>
    <row r="429" spans="1:21" s="685" customFormat="1">
      <c r="A429" s="807" t="s">
        <v>196</v>
      </c>
      <c r="B429" s="808"/>
      <c r="C429" s="705">
        <v>0</v>
      </c>
      <c r="D429" s="705">
        <v>0</v>
      </c>
      <c r="E429" s="705">
        <v>0</v>
      </c>
      <c r="F429" s="705">
        <v>0</v>
      </c>
      <c r="G429" s="705">
        <v>0</v>
      </c>
      <c r="H429" s="705">
        <v>0</v>
      </c>
      <c r="I429" s="705">
        <v>0</v>
      </c>
      <c r="J429" s="705">
        <v>0</v>
      </c>
      <c r="K429" s="705">
        <v>0</v>
      </c>
      <c r="L429" s="705">
        <v>0</v>
      </c>
      <c r="M429" s="705">
        <v>0</v>
      </c>
      <c r="N429" s="705">
        <v>0</v>
      </c>
      <c r="O429" s="705">
        <v>0</v>
      </c>
      <c r="P429" s="705">
        <v>0</v>
      </c>
      <c r="Q429" s="705">
        <v>0</v>
      </c>
      <c r="R429" s="705">
        <v>0</v>
      </c>
      <c r="S429" s="705">
        <v>0</v>
      </c>
      <c r="T429" s="705">
        <v>0</v>
      </c>
      <c r="U429" s="705">
        <v>0</v>
      </c>
    </row>
    <row r="430" spans="1:21" s="712" customFormat="1" ht="15" thickBot="1">
      <c r="A430" s="809"/>
      <c r="B430" s="810"/>
      <c r="C430" s="711">
        <v>0</v>
      </c>
      <c r="D430" s="711">
        <v>0</v>
      </c>
      <c r="E430" s="711">
        <v>0</v>
      </c>
      <c r="F430" s="711">
        <v>0</v>
      </c>
      <c r="G430" s="711">
        <v>0</v>
      </c>
      <c r="H430" s="711">
        <v>0</v>
      </c>
      <c r="I430" s="711">
        <v>0</v>
      </c>
      <c r="J430" s="711">
        <v>0</v>
      </c>
      <c r="K430" s="711">
        <v>0</v>
      </c>
      <c r="L430" s="711">
        <v>0</v>
      </c>
      <c r="M430" s="711">
        <v>0</v>
      </c>
      <c r="N430" s="711">
        <v>0</v>
      </c>
      <c r="O430" s="711">
        <v>0</v>
      </c>
      <c r="P430" s="711">
        <v>0</v>
      </c>
      <c r="Q430" s="711">
        <v>0</v>
      </c>
      <c r="R430" s="711">
        <v>0</v>
      </c>
      <c r="S430" s="711">
        <v>0</v>
      </c>
      <c r="T430" s="711">
        <v>0</v>
      </c>
      <c r="U430" s="711">
        <v>0</v>
      </c>
    </row>
    <row r="431" spans="1:21" s="685" customFormat="1">
      <c r="A431" s="805" t="s">
        <v>195</v>
      </c>
      <c r="B431" s="806" t="s">
        <v>277</v>
      </c>
      <c r="C431" s="887">
        <v>0</v>
      </c>
      <c r="D431" s="887">
        <v>0</v>
      </c>
      <c r="E431" s="887">
        <v>0</v>
      </c>
      <c r="F431" s="887">
        <v>0</v>
      </c>
      <c r="G431" s="887">
        <v>0</v>
      </c>
      <c r="H431" s="887">
        <v>0</v>
      </c>
      <c r="I431" s="887">
        <v>0</v>
      </c>
      <c r="J431" s="887">
        <v>0</v>
      </c>
      <c r="K431" s="887">
        <v>0</v>
      </c>
      <c r="L431" s="887">
        <v>0</v>
      </c>
      <c r="M431" s="887">
        <v>0</v>
      </c>
      <c r="N431" s="887">
        <v>0</v>
      </c>
      <c r="O431" s="887">
        <v>0</v>
      </c>
      <c r="P431" s="887">
        <v>0</v>
      </c>
      <c r="Q431" s="887">
        <v>0</v>
      </c>
      <c r="R431" s="887">
        <v>0</v>
      </c>
      <c r="S431" s="887">
        <v>0</v>
      </c>
      <c r="T431" s="887">
        <v>0</v>
      </c>
      <c r="U431" s="887">
        <v>0</v>
      </c>
    </row>
    <row r="432" spans="1:21" s="685" customFormat="1">
      <c r="A432" s="807" t="s">
        <v>196</v>
      </c>
      <c r="B432" s="808"/>
      <c r="C432" s="705">
        <v>0</v>
      </c>
      <c r="D432" s="705">
        <v>0</v>
      </c>
      <c r="E432" s="705">
        <v>0</v>
      </c>
      <c r="F432" s="705">
        <v>0</v>
      </c>
      <c r="G432" s="705">
        <v>0</v>
      </c>
      <c r="H432" s="705">
        <v>0</v>
      </c>
      <c r="I432" s="705">
        <v>0</v>
      </c>
      <c r="J432" s="705">
        <v>0</v>
      </c>
      <c r="K432" s="705">
        <v>0</v>
      </c>
      <c r="L432" s="705">
        <v>0</v>
      </c>
      <c r="M432" s="705">
        <v>0</v>
      </c>
      <c r="N432" s="705">
        <v>0</v>
      </c>
      <c r="O432" s="705">
        <v>0</v>
      </c>
      <c r="P432" s="705">
        <v>0</v>
      </c>
      <c r="Q432" s="705">
        <v>0</v>
      </c>
      <c r="R432" s="705">
        <v>0</v>
      </c>
      <c r="S432" s="705">
        <v>0</v>
      </c>
      <c r="T432" s="705">
        <v>0</v>
      </c>
      <c r="U432" s="705">
        <v>0</v>
      </c>
    </row>
    <row r="433" spans="1:21" s="712" customFormat="1" ht="15" thickBot="1">
      <c r="A433" s="809"/>
      <c r="B433" s="810"/>
      <c r="C433" s="711">
        <v>0</v>
      </c>
      <c r="D433" s="711">
        <v>0</v>
      </c>
      <c r="E433" s="711">
        <v>0</v>
      </c>
      <c r="F433" s="711">
        <v>0</v>
      </c>
      <c r="G433" s="711">
        <v>0</v>
      </c>
      <c r="H433" s="711">
        <v>0</v>
      </c>
      <c r="I433" s="711">
        <v>0</v>
      </c>
      <c r="J433" s="711">
        <v>0</v>
      </c>
      <c r="K433" s="711">
        <v>0</v>
      </c>
      <c r="L433" s="711">
        <v>0</v>
      </c>
      <c r="M433" s="711">
        <v>0</v>
      </c>
      <c r="N433" s="711">
        <v>0</v>
      </c>
      <c r="O433" s="711">
        <v>0</v>
      </c>
      <c r="P433" s="711">
        <v>0</v>
      </c>
      <c r="Q433" s="711">
        <v>0</v>
      </c>
      <c r="R433" s="711">
        <v>0</v>
      </c>
      <c r="S433" s="711">
        <v>0</v>
      </c>
      <c r="T433" s="711">
        <v>0</v>
      </c>
      <c r="U433" s="711">
        <v>0</v>
      </c>
    </row>
    <row r="434" spans="1:21" s="712" customFormat="1">
      <c r="A434" s="1168"/>
      <c r="B434" s="1156"/>
      <c r="C434" s="1157"/>
      <c r="D434" s="1157"/>
      <c r="E434" s="1157"/>
      <c r="F434" s="1157"/>
      <c r="G434" s="1157"/>
      <c r="H434" s="1157"/>
      <c r="I434" s="1157"/>
      <c r="J434" s="1157"/>
      <c r="K434" s="1157"/>
      <c r="L434" s="1157"/>
      <c r="M434" s="1157"/>
      <c r="N434" s="1157"/>
      <c r="O434" s="1157"/>
      <c r="P434" s="1157"/>
      <c r="Q434" s="1157"/>
      <c r="R434" s="1157"/>
      <c r="S434" s="1157"/>
      <c r="T434" s="1157"/>
      <c r="U434" s="1157"/>
    </row>
    <row r="435" spans="1:21" s="712" customFormat="1">
      <c r="A435" s="1169"/>
      <c r="B435" s="780"/>
      <c r="C435" s="1021"/>
      <c r="D435" s="1021"/>
      <c r="E435" s="1021"/>
      <c r="F435" s="1021"/>
      <c r="G435" s="1021"/>
      <c r="H435" s="1021"/>
      <c r="I435" s="1021"/>
      <c r="J435" s="1021"/>
      <c r="K435" s="1021"/>
      <c r="L435" s="1021"/>
      <c r="M435" s="1021"/>
      <c r="N435" s="1021"/>
      <c r="O435" s="1021"/>
      <c r="P435" s="1021"/>
      <c r="Q435" s="1021"/>
      <c r="R435" s="1021"/>
      <c r="S435" s="1021"/>
      <c r="T435" s="1021"/>
      <c r="U435" s="1021"/>
    </row>
    <row r="436" spans="1:21" s="712" customFormat="1" ht="15" thickBot="1">
      <c r="A436" s="1170"/>
      <c r="B436" s="810"/>
      <c r="C436" s="711">
        <v>0</v>
      </c>
      <c r="D436" s="711">
        <v>0</v>
      </c>
      <c r="E436" s="711">
        <v>0</v>
      </c>
      <c r="F436" s="711">
        <v>0</v>
      </c>
      <c r="G436" s="711">
        <v>0</v>
      </c>
      <c r="H436" s="711">
        <v>0</v>
      </c>
      <c r="I436" s="711">
        <v>0</v>
      </c>
      <c r="J436" s="711">
        <v>0</v>
      </c>
      <c r="K436" s="711">
        <v>0</v>
      </c>
      <c r="L436" s="711">
        <v>0</v>
      </c>
      <c r="M436" s="711">
        <v>0</v>
      </c>
      <c r="N436" s="711">
        <v>0</v>
      </c>
      <c r="O436" s="711">
        <v>0</v>
      </c>
      <c r="P436" s="711">
        <v>0</v>
      </c>
      <c r="Q436" s="711">
        <v>0</v>
      </c>
      <c r="R436" s="711"/>
      <c r="S436" s="711"/>
      <c r="T436" s="711"/>
      <c r="U436" s="711"/>
    </row>
    <row r="437" spans="1:21" s="685" customFormat="1">
      <c r="A437" s="811" t="s">
        <v>341</v>
      </c>
      <c r="B437" s="806" t="s">
        <v>342</v>
      </c>
      <c r="C437" s="887">
        <v>0</v>
      </c>
      <c r="D437" s="887">
        <v>0</v>
      </c>
      <c r="E437" s="887">
        <v>0</v>
      </c>
      <c r="F437" s="887">
        <v>0</v>
      </c>
      <c r="G437" s="887">
        <v>0</v>
      </c>
      <c r="H437" s="887">
        <v>0</v>
      </c>
      <c r="I437" s="887">
        <v>0</v>
      </c>
      <c r="J437" s="887">
        <v>0</v>
      </c>
      <c r="K437" s="887">
        <v>0</v>
      </c>
      <c r="L437" s="887">
        <v>0</v>
      </c>
      <c r="M437" s="887">
        <v>0</v>
      </c>
      <c r="N437" s="887">
        <v>0</v>
      </c>
      <c r="O437" s="887">
        <v>0</v>
      </c>
      <c r="P437" s="887">
        <v>0</v>
      </c>
      <c r="Q437" s="887">
        <v>0</v>
      </c>
      <c r="R437" s="887">
        <v>0</v>
      </c>
      <c r="S437" s="887">
        <v>0</v>
      </c>
      <c r="T437" s="887">
        <v>0</v>
      </c>
      <c r="U437" s="887">
        <v>0</v>
      </c>
    </row>
    <row r="438" spans="1:21" s="685" customFormat="1">
      <c r="A438" s="807" t="s">
        <v>196</v>
      </c>
      <c r="B438" s="808"/>
      <c r="C438" s="705">
        <v>0</v>
      </c>
      <c r="D438" s="705">
        <v>0</v>
      </c>
      <c r="E438" s="705">
        <v>0</v>
      </c>
      <c r="F438" s="705">
        <v>0</v>
      </c>
      <c r="G438" s="705">
        <v>0</v>
      </c>
      <c r="H438" s="705">
        <v>0</v>
      </c>
      <c r="I438" s="705">
        <v>0</v>
      </c>
      <c r="J438" s="705">
        <v>0</v>
      </c>
      <c r="K438" s="705">
        <v>0</v>
      </c>
      <c r="L438" s="705">
        <v>0</v>
      </c>
      <c r="M438" s="705">
        <v>0</v>
      </c>
      <c r="N438" s="705">
        <v>0</v>
      </c>
      <c r="O438" s="705">
        <v>0</v>
      </c>
      <c r="P438" s="705">
        <v>0</v>
      </c>
      <c r="Q438" s="705">
        <v>0</v>
      </c>
      <c r="R438" s="705">
        <v>0</v>
      </c>
      <c r="S438" s="705">
        <v>0</v>
      </c>
      <c r="T438" s="705">
        <v>0</v>
      </c>
      <c r="U438" s="705">
        <v>0</v>
      </c>
    </row>
    <row r="439" spans="1:21" s="712" customFormat="1" ht="15" thickBot="1">
      <c r="A439" s="809"/>
      <c r="B439" s="810"/>
      <c r="C439" s="711">
        <v>0</v>
      </c>
      <c r="D439" s="711">
        <v>0</v>
      </c>
      <c r="E439" s="711">
        <v>0</v>
      </c>
      <c r="F439" s="711">
        <v>0</v>
      </c>
      <c r="G439" s="711">
        <v>0</v>
      </c>
      <c r="H439" s="711">
        <v>0</v>
      </c>
      <c r="I439" s="711">
        <v>0</v>
      </c>
      <c r="J439" s="711">
        <v>0</v>
      </c>
      <c r="K439" s="711">
        <v>0</v>
      </c>
      <c r="L439" s="711">
        <v>0</v>
      </c>
      <c r="M439" s="711">
        <v>0</v>
      </c>
      <c r="N439" s="711">
        <v>0</v>
      </c>
      <c r="O439" s="711">
        <v>0</v>
      </c>
      <c r="P439" s="711">
        <v>0</v>
      </c>
      <c r="Q439" s="711">
        <v>0</v>
      </c>
      <c r="R439" s="711">
        <v>0</v>
      </c>
      <c r="S439" s="711">
        <v>0</v>
      </c>
      <c r="T439" s="711">
        <v>0</v>
      </c>
      <c r="U439" s="711">
        <v>0</v>
      </c>
    </row>
    <row r="440" spans="1:21" s="712" customFormat="1">
      <c r="A440" s="1168"/>
      <c r="B440" s="1156"/>
      <c r="C440" s="1157"/>
      <c r="D440" s="1157"/>
      <c r="E440" s="1157"/>
      <c r="F440" s="1157"/>
      <c r="G440" s="1157"/>
      <c r="H440" s="1157"/>
      <c r="I440" s="1157"/>
      <c r="J440" s="1157"/>
      <c r="K440" s="1157"/>
      <c r="L440" s="1157"/>
      <c r="M440" s="1157"/>
      <c r="N440" s="1157"/>
      <c r="O440" s="1157"/>
      <c r="P440" s="1157"/>
      <c r="Q440" s="1157"/>
      <c r="R440" s="1157"/>
      <c r="S440" s="1157"/>
      <c r="T440" s="1157"/>
      <c r="U440" s="1157"/>
    </row>
    <row r="441" spans="1:21" s="712" customFormat="1">
      <c r="A441" s="1169"/>
      <c r="B441" s="780"/>
      <c r="C441" s="1021"/>
      <c r="D441" s="1021"/>
      <c r="E441" s="1021"/>
      <c r="F441" s="1021"/>
      <c r="G441" s="1021"/>
      <c r="H441" s="1021"/>
      <c r="I441" s="1021"/>
      <c r="J441" s="1021"/>
      <c r="K441" s="1021"/>
      <c r="L441" s="1021"/>
      <c r="M441" s="1021"/>
      <c r="N441" s="1021"/>
      <c r="O441" s="1021"/>
      <c r="P441" s="1021"/>
      <c r="Q441" s="1021"/>
      <c r="R441" s="1021"/>
      <c r="S441" s="1021"/>
      <c r="T441" s="1021"/>
      <c r="U441" s="1021"/>
    </row>
    <row r="442" spans="1:21" s="712" customFormat="1" ht="15" thickBot="1">
      <c r="A442" s="1170"/>
      <c r="B442" s="810"/>
      <c r="C442" s="711">
        <v>0</v>
      </c>
      <c r="D442" s="711">
        <v>0</v>
      </c>
      <c r="E442" s="711">
        <v>0</v>
      </c>
      <c r="F442" s="711">
        <v>0</v>
      </c>
      <c r="G442" s="711">
        <v>0</v>
      </c>
      <c r="H442" s="711">
        <v>0</v>
      </c>
      <c r="I442" s="711">
        <v>0</v>
      </c>
      <c r="J442" s="711">
        <v>0</v>
      </c>
      <c r="K442" s="711">
        <v>0</v>
      </c>
      <c r="L442" s="711">
        <v>0</v>
      </c>
      <c r="M442" s="711">
        <v>0</v>
      </c>
      <c r="N442" s="711">
        <v>0</v>
      </c>
      <c r="O442" s="711">
        <v>0</v>
      </c>
      <c r="P442" s="711">
        <v>0</v>
      </c>
      <c r="Q442" s="711">
        <v>0</v>
      </c>
      <c r="R442" s="711"/>
      <c r="S442" s="711"/>
      <c r="T442" s="711"/>
      <c r="U442" s="711"/>
    </row>
    <row r="443" spans="1:21" s="712" customFormat="1">
      <c r="A443" s="1168"/>
      <c r="B443" s="1156"/>
      <c r="C443" s="1157"/>
      <c r="D443" s="1157"/>
      <c r="E443" s="1157"/>
      <c r="F443" s="1157"/>
      <c r="G443" s="1157"/>
      <c r="H443" s="1157"/>
      <c r="I443" s="1157"/>
      <c r="J443" s="1157"/>
      <c r="K443" s="1157"/>
      <c r="L443" s="1157"/>
      <c r="M443" s="1157"/>
      <c r="N443" s="1157"/>
      <c r="O443" s="1157"/>
      <c r="P443" s="1157"/>
      <c r="Q443" s="1157"/>
      <c r="R443" s="1157"/>
      <c r="S443" s="1157"/>
      <c r="T443" s="1157"/>
      <c r="U443" s="1157"/>
    </row>
    <row r="444" spans="1:21" s="712" customFormat="1">
      <c r="A444" s="1169"/>
      <c r="B444" s="780"/>
      <c r="C444" s="1021"/>
      <c r="D444" s="1021"/>
      <c r="E444" s="1021"/>
      <c r="F444" s="1021"/>
      <c r="G444" s="1021"/>
      <c r="H444" s="1021"/>
      <c r="I444" s="1021"/>
      <c r="J444" s="1021"/>
      <c r="K444" s="1021"/>
      <c r="L444" s="1021"/>
      <c r="M444" s="1021"/>
      <c r="N444" s="1021"/>
      <c r="O444" s="1021"/>
      <c r="P444" s="1021"/>
      <c r="Q444" s="1021"/>
      <c r="R444" s="1021"/>
      <c r="S444" s="1021"/>
      <c r="T444" s="1021"/>
      <c r="U444" s="1021"/>
    </row>
    <row r="445" spans="1:21" s="712" customFormat="1" ht="15" thickBot="1">
      <c r="A445" s="1170"/>
      <c r="B445" s="810"/>
      <c r="C445" s="711">
        <v>0</v>
      </c>
      <c r="D445" s="711">
        <v>0</v>
      </c>
      <c r="E445" s="711">
        <v>0</v>
      </c>
      <c r="F445" s="711">
        <v>0</v>
      </c>
      <c r="G445" s="711">
        <v>0</v>
      </c>
      <c r="H445" s="711">
        <v>0</v>
      </c>
      <c r="I445" s="711">
        <v>0</v>
      </c>
      <c r="J445" s="711">
        <v>0</v>
      </c>
      <c r="K445" s="711">
        <v>0</v>
      </c>
      <c r="L445" s="711">
        <v>0</v>
      </c>
      <c r="M445" s="711">
        <v>0</v>
      </c>
      <c r="N445" s="711">
        <v>0</v>
      </c>
      <c r="O445" s="711">
        <v>0</v>
      </c>
      <c r="P445" s="711">
        <v>0</v>
      </c>
      <c r="Q445" s="711">
        <v>0</v>
      </c>
      <c r="R445" s="711"/>
      <c r="S445" s="711"/>
      <c r="T445" s="711"/>
      <c r="U445" s="711"/>
    </row>
    <row r="446" spans="1:21" s="713" customFormat="1" ht="22.2" customHeight="1">
      <c r="A446" s="812" t="s">
        <v>362</v>
      </c>
      <c r="B446" s="813"/>
      <c r="C446" s="958">
        <v>0</v>
      </c>
      <c r="D446" s="958">
        <v>0</v>
      </c>
      <c r="E446" s="958">
        <v>0</v>
      </c>
      <c r="F446" s="958">
        <v>0</v>
      </c>
      <c r="G446" s="958">
        <v>0</v>
      </c>
      <c r="H446" s="958">
        <v>0</v>
      </c>
      <c r="I446" s="958">
        <v>0</v>
      </c>
      <c r="J446" s="958">
        <v>0</v>
      </c>
      <c r="K446" s="958">
        <v>0</v>
      </c>
      <c r="L446" s="958">
        <v>0</v>
      </c>
      <c r="M446" s="958">
        <v>0</v>
      </c>
      <c r="N446" s="958">
        <v>0</v>
      </c>
      <c r="O446" s="958">
        <v>0</v>
      </c>
      <c r="P446" s="958">
        <v>0</v>
      </c>
      <c r="Q446" s="958">
        <v>0</v>
      </c>
      <c r="R446" s="958">
        <v>0</v>
      </c>
      <c r="S446" s="958">
        <v>0</v>
      </c>
      <c r="T446" s="958">
        <v>0</v>
      </c>
      <c r="U446" s="958">
        <v>0</v>
      </c>
    </row>
    <row r="447" spans="1:21" s="715" customFormat="1" ht="24.6" customHeight="1">
      <c r="A447" s="814" t="s">
        <v>85</v>
      </c>
      <c r="B447" s="815"/>
      <c r="C447" s="714">
        <v>0</v>
      </c>
      <c r="D447" s="714">
        <v>0</v>
      </c>
      <c r="E447" s="714">
        <v>0</v>
      </c>
      <c r="F447" s="714">
        <v>0</v>
      </c>
      <c r="G447" s="714">
        <v>0</v>
      </c>
      <c r="H447" s="714">
        <v>0</v>
      </c>
      <c r="I447" s="714">
        <v>0</v>
      </c>
      <c r="J447" s="714">
        <v>0</v>
      </c>
      <c r="K447" s="714">
        <v>0</v>
      </c>
      <c r="L447" s="714">
        <v>0</v>
      </c>
      <c r="M447" s="714">
        <v>0</v>
      </c>
      <c r="N447" s="714">
        <v>0</v>
      </c>
      <c r="O447" s="714">
        <v>0</v>
      </c>
      <c r="P447" s="714">
        <v>0</v>
      </c>
      <c r="Q447" s="714">
        <v>0</v>
      </c>
      <c r="R447" s="714">
        <v>0</v>
      </c>
      <c r="S447" s="714">
        <v>0</v>
      </c>
      <c r="T447" s="714">
        <v>0</v>
      </c>
      <c r="U447" s="714">
        <v>0</v>
      </c>
    </row>
    <row r="448" spans="1:21" s="426" customFormat="1" ht="15" thickBot="1">
      <c r="A448" s="65"/>
      <c r="B448" s="753"/>
      <c r="C448" s="971"/>
      <c r="D448" s="971"/>
      <c r="E448" s="971"/>
      <c r="F448" s="971"/>
      <c r="G448" s="971"/>
      <c r="H448" s="971"/>
      <c r="I448" s="971"/>
      <c r="J448" s="971"/>
      <c r="K448" s="971"/>
      <c r="L448" s="971"/>
      <c r="M448" s="971"/>
      <c r="N448" s="971"/>
      <c r="O448" s="971"/>
      <c r="P448" s="971"/>
      <c r="Q448" s="971"/>
      <c r="R448" s="971"/>
      <c r="S448" s="971"/>
      <c r="T448" s="971"/>
      <c r="U448" s="971"/>
    </row>
    <row r="449" spans="1:21" s="426" customFormat="1">
      <c r="A449" s="3" t="s">
        <v>576</v>
      </c>
      <c r="B449" s="734"/>
      <c r="C449" s="974"/>
      <c r="D449" s="974"/>
      <c r="E449" s="974"/>
      <c r="F449" s="974"/>
      <c r="G449" s="974"/>
      <c r="H449" s="974"/>
      <c r="I449" s="974"/>
      <c r="J449" s="974"/>
      <c r="K449" s="974"/>
      <c r="L449" s="974"/>
      <c r="M449" s="974"/>
      <c r="N449" s="974"/>
      <c r="O449" s="974"/>
      <c r="P449" s="974"/>
      <c r="Q449" s="974"/>
      <c r="R449" s="974"/>
      <c r="S449" s="974"/>
      <c r="T449" s="974"/>
      <c r="U449" s="974"/>
    </row>
    <row r="450" spans="1:21">
      <c r="A450" s="1" t="s">
        <v>573</v>
      </c>
      <c r="B450" s="736"/>
      <c r="C450" s="876">
        <v>100000</v>
      </c>
      <c r="D450" s="876">
        <v>0</v>
      </c>
      <c r="E450" s="876">
        <v>0</v>
      </c>
      <c r="F450" s="876">
        <v>0</v>
      </c>
      <c r="G450" s="876">
        <v>0</v>
      </c>
      <c r="H450" s="876">
        <v>0</v>
      </c>
      <c r="I450" s="876">
        <v>0</v>
      </c>
      <c r="J450" s="876">
        <v>0</v>
      </c>
      <c r="K450" s="876">
        <v>0</v>
      </c>
      <c r="L450" s="876">
        <v>26000</v>
      </c>
      <c r="M450" s="876">
        <v>60000</v>
      </c>
      <c r="N450" s="876">
        <v>0</v>
      </c>
      <c r="O450" s="876">
        <v>10000</v>
      </c>
      <c r="P450" s="876">
        <v>0</v>
      </c>
      <c r="Q450" s="876">
        <v>0</v>
      </c>
      <c r="R450" s="876">
        <v>0</v>
      </c>
      <c r="S450" s="876">
        <v>0</v>
      </c>
      <c r="T450" s="876">
        <v>0</v>
      </c>
      <c r="U450" s="876">
        <v>0</v>
      </c>
    </row>
    <row r="451" spans="1:21" s="426" customFormat="1">
      <c r="A451" s="969" t="s">
        <v>13</v>
      </c>
      <c r="B451" s="748"/>
      <c r="C451" s="970">
        <v>196000</v>
      </c>
      <c r="D451" s="970">
        <v>96000</v>
      </c>
      <c r="E451" s="970">
        <v>96000</v>
      </c>
      <c r="F451" s="970">
        <v>96000</v>
      </c>
      <c r="G451" s="970">
        <v>96000</v>
      </c>
      <c r="H451" s="970">
        <v>96000</v>
      </c>
      <c r="I451" s="970">
        <v>96000</v>
      </c>
      <c r="J451" s="970">
        <v>96000</v>
      </c>
      <c r="K451" s="970">
        <v>96000</v>
      </c>
      <c r="L451" s="970">
        <v>96000</v>
      </c>
      <c r="M451" s="970">
        <v>70000</v>
      </c>
      <c r="N451" s="970">
        <v>10000</v>
      </c>
      <c r="O451" s="970">
        <v>10000</v>
      </c>
      <c r="P451" s="970">
        <v>0</v>
      </c>
      <c r="Q451" s="970">
        <v>0</v>
      </c>
      <c r="R451" s="970">
        <v>0</v>
      </c>
      <c r="S451" s="970">
        <v>0</v>
      </c>
      <c r="T451" s="970">
        <v>0</v>
      </c>
      <c r="U451" s="970">
        <v>0</v>
      </c>
    </row>
    <row r="452" spans="1:21">
      <c r="A452" s="1" t="s">
        <v>574</v>
      </c>
      <c r="B452" s="736"/>
      <c r="C452" s="876">
        <v>0</v>
      </c>
      <c r="D452" s="876">
        <v>0</v>
      </c>
      <c r="E452" s="876">
        <v>0</v>
      </c>
      <c r="F452" s="876">
        <v>30000</v>
      </c>
      <c r="G452" s="876">
        <v>0</v>
      </c>
      <c r="H452" s="876">
        <v>0</v>
      </c>
      <c r="I452" s="876">
        <v>0</v>
      </c>
      <c r="J452" s="876">
        <v>0</v>
      </c>
      <c r="K452" s="876">
        <v>0</v>
      </c>
      <c r="L452" s="876">
        <v>0</v>
      </c>
      <c r="M452" s="876">
        <v>0</v>
      </c>
      <c r="N452" s="876">
        <v>0</v>
      </c>
      <c r="O452" s="876">
        <v>0</v>
      </c>
      <c r="P452" s="876">
        <v>0</v>
      </c>
      <c r="Q452" s="876">
        <v>0</v>
      </c>
      <c r="R452" s="876">
        <v>0</v>
      </c>
      <c r="S452" s="876">
        <v>0</v>
      </c>
      <c r="T452" s="876">
        <v>0</v>
      </c>
      <c r="U452" s="876">
        <v>0</v>
      </c>
    </row>
    <row r="453" spans="1:21" s="426" customFormat="1">
      <c r="A453" s="969" t="s">
        <v>13</v>
      </c>
      <c r="B453" s="748"/>
      <c r="C453" s="970">
        <v>30000</v>
      </c>
      <c r="D453" s="970">
        <v>30000</v>
      </c>
      <c r="E453" s="970">
        <v>30000</v>
      </c>
      <c r="F453" s="970">
        <v>30000</v>
      </c>
      <c r="G453" s="970">
        <v>0</v>
      </c>
      <c r="H453" s="970">
        <v>0</v>
      </c>
      <c r="I453" s="970">
        <v>0</v>
      </c>
      <c r="J453" s="970">
        <v>0</v>
      </c>
      <c r="K453" s="970">
        <v>0</v>
      </c>
      <c r="L453" s="970">
        <v>0</v>
      </c>
      <c r="M453" s="970">
        <v>0</v>
      </c>
      <c r="N453" s="970">
        <v>0</v>
      </c>
      <c r="O453" s="970">
        <v>0</v>
      </c>
      <c r="P453" s="970">
        <v>0</v>
      </c>
      <c r="Q453" s="970">
        <v>0</v>
      </c>
      <c r="R453" s="970">
        <v>0</v>
      </c>
      <c r="S453" s="970">
        <v>0</v>
      </c>
      <c r="T453" s="970">
        <v>0</v>
      </c>
      <c r="U453" s="970">
        <v>0</v>
      </c>
    </row>
    <row r="454" spans="1:21">
      <c r="A454" s="1" t="s">
        <v>575</v>
      </c>
      <c r="B454" s="736"/>
      <c r="C454" s="876">
        <v>0</v>
      </c>
      <c r="D454" s="876">
        <v>0</v>
      </c>
      <c r="E454" s="876">
        <v>0</v>
      </c>
      <c r="F454" s="876">
        <v>0</v>
      </c>
      <c r="G454" s="876">
        <v>0</v>
      </c>
      <c r="H454" s="876">
        <v>0</v>
      </c>
      <c r="I454" s="876">
        <v>0</v>
      </c>
      <c r="J454" s="876">
        <v>0</v>
      </c>
      <c r="K454" s="876">
        <v>0</v>
      </c>
      <c r="L454" s="876">
        <v>0</v>
      </c>
      <c r="M454" s="876">
        <v>0</v>
      </c>
      <c r="N454" s="876">
        <v>0</v>
      </c>
      <c r="O454" s="876">
        <v>0</v>
      </c>
      <c r="P454" s="876">
        <v>0</v>
      </c>
      <c r="Q454" s="876">
        <v>0</v>
      </c>
      <c r="R454" s="876">
        <v>0</v>
      </c>
      <c r="S454" s="876">
        <v>0</v>
      </c>
      <c r="T454" s="876">
        <v>0</v>
      </c>
      <c r="U454" s="876">
        <v>0</v>
      </c>
    </row>
    <row r="455" spans="1:21" s="426" customFormat="1">
      <c r="A455" s="969" t="s">
        <v>13</v>
      </c>
      <c r="B455" s="748"/>
      <c r="C455" s="970">
        <v>0</v>
      </c>
      <c r="D455" s="970">
        <v>0</v>
      </c>
      <c r="E455" s="970">
        <v>0</v>
      </c>
      <c r="F455" s="970">
        <v>0</v>
      </c>
      <c r="G455" s="970">
        <v>0</v>
      </c>
      <c r="H455" s="970">
        <v>0</v>
      </c>
      <c r="I455" s="970">
        <v>0</v>
      </c>
      <c r="J455" s="970">
        <v>0</v>
      </c>
      <c r="K455" s="970">
        <v>0</v>
      </c>
      <c r="L455" s="970">
        <v>0</v>
      </c>
      <c r="M455" s="970">
        <v>0</v>
      </c>
      <c r="N455" s="970">
        <v>0</v>
      </c>
      <c r="O455" s="970">
        <v>0</v>
      </c>
      <c r="P455" s="970">
        <v>0</v>
      </c>
      <c r="Q455" s="970">
        <v>0</v>
      </c>
      <c r="R455" s="970">
        <v>0</v>
      </c>
      <c r="S455" s="970">
        <v>0</v>
      </c>
      <c r="T455" s="970">
        <v>0</v>
      </c>
      <c r="U455" s="970">
        <v>0</v>
      </c>
    </row>
    <row r="456" spans="1:21">
      <c r="A456" s="965" t="s">
        <v>27</v>
      </c>
      <c r="B456" s="736"/>
      <c r="C456" s="876">
        <v>0</v>
      </c>
      <c r="D456" s="876">
        <v>0</v>
      </c>
      <c r="E456" s="876">
        <v>0</v>
      </c>
      <c r="F456" s="876">
        <v>0</v>
      </c>
      <c r="G456" s="876">
        <v>50000</v>
      </c>
      <c r="H456" s="876">
        <v>0</v>
      </c>
      <c r="I456" s="876">
        <v>0</v>
      </c>
      <c r="J456" s="876">
        <v>0</v>
      </c>
      <c r="K456" s="876">
        <v>0</v>
      </c>
      <c r="L456" s="876">
        <v>0</v>
      </c>
      <c r="M456" s="876">
        <v>0</v>
      </c>
      <c r="N456" s="876">
        <v>0</v>
      </c>
      <c r="O456" s="876">
        <v>0</v>
      </c>
      <c r="P456" s="876">
        <v>0</v>
      </c>
      <c r="Q456" s="876">
        <v>0</v>
      </c>
      <c r="R456" s="876">
        <v>0</v>
      </c>
      <c r="S456" s="876">
        <v>0</v>
      </c>
      <c r="T456" s="876">
        <v>1000000</v>
      </c>
      <c r="U456" s="876">
        <v>0</v>
      </c>
    </row>
    <row r="457" spans="1:21" s="426" customFormat="1">
      <c r="A457" s="969" t="s">
        <v>13</v>
      </c>
      <c r="B457" s="748"/>
      <c r="C457" s="970">
        <v>1050000</v>
      </c>
      <c r="D457" s="970">
        <v>1050000</v>
      </c>
      <c r="E457" s="970">
        <v>1050000</v>
      </c>
      <c r="F457" s="970">
        <v>1050000</v>
      </c>
      <c r="G457" s="970">
        <v>1050000</v>
      </c>
      <c r="H457" s="970">
        <v>1000000</v>
      </c>
      <c r="I457" s="970">
        <v>1000000</v>
      </c>
      <c r="J457" s="970">
        <v>1000000</v>
      </c>
      <c r="K457" s="970">
        <v>1000000</v>
      </c>
      <c r="L457" s="970">
        <v>1000000</v>
      </c>
      <c r="M457" s="970">
        <v>1000000</v>
      </c>
      <c r="N457" s="970">
        <v>1000000</v>
      </c>
      <c r="O457" s="970">
        <v>1000000</v>
      </c>
      <c r="P457" s="970">
        <v>1000000</v>
      </c>
      <c r="Q457" s="970">
        <v>1000000</v>
      </c>
      <c r="R457" s="970">
        <v>1000000</v>
      </c>
      <c r="S457" s="970">
        <v>1000000</v>
      </c>
      <c r="T457" s="970">
        <v>1000000</v>
      </c>
      <c r="U457" s="970">
        <v>0</v>
      </c>
    </row>
    <row r="458" spans="1:21" s="426" customFormat="1">
      <c r="A458" s="965" t="s">
        <v>180</v>
      </c>
      <c r="B458" s="748"/>
      <c r="C458" s="892">
        <v>0</v>
      </c>
      <c r="D458" s="892">
        <v>0</v>
      </c>
      <c r="E458" s="892">
        <v>0</v>
      </c>
      <c r="F458" s="892">
        <v>0</v>
      </c>
      <c r="G458" s="892">
        <v>30000</v>
      </c>
      <c r="H458" s="892">
        <v>0</v>
      </c>
      <c r="I458" s="892">
        <v>0</v>
      </c>
      <c r="J458" s="892">
        <v>0</v>
      </c>
      <c r="K458" s="892">
        <v>0</v>
      </c>
      <c r="L458" s="892">
        <v>0</v>
      </c>
      <c r="M458" s="892">
        <v>0</v>
      </c>
      <c r="N458" s="892">
        <v>0</v>
      </c>
      <c r="O458" s="892">
        <v>0</v>
      </c>
      <c r="P458" s="892">
        <v>0</v>
      </c>
      <c r="Q458" s="892">
        <v>0</v>
      </c>
      <c r="R458" s="892">
        <v>0</v>
      </c>
      <c r="S458" s="892">
        <v>0</v>
      </c>
      <c r="T458" s="892">
        <v>0</v>
      </c>
      <c r="U458" s="892">
        <v>0</v>
      </c>
    </row>
    <row r="459" spans="1:21" s="426" customFormat="1">
      <c r="A459" s="969" t="s">
        <v>13</v>
      </c>
      <c r="B459" s="748"/>
      <c r="C459" s="970">
        <v>30000</v>
      </c>
      <c r="D459" s="970">
        <v>30000</v>
      </c>
      <c r="E459" s="970">
        <v>30000</v>
      </c>
      <c r="F459" s="970">
        <v>30000</v>
      </c>
      <c r="G459" s="970">
        <v>30000</v>
      </c>
      <c r="H459" s="970">
        <v>0</v>
      </c>
      <c r="I459" s="970">
        <v>0</v>
      </c>
      <c r="J459" s="970">
        <v>0</v>
      </c>
      <c r="K459" s="970">
        <v>0</v>
      </c>
      <c r="L459" s="970">
        <v>0</v>
      </c>
      <c r="M459" s="970">
        <v>0</v>
      </c>
      <c r="N459" s="970">
        <v>0</v>
      </c>
      <c r="O459" s="970">
        <v>0</v>
      </c>
      <c r="P459" s="970">
        <v>0</v>
      </c>
      <c r="Q459" s="970">
        <v>0</v>
      </c>
      <c r="R459" s="970">
        <v>0</v>
      </c>
      <c r="S459" s="970">
        <v>0</v>
      </c>
      <c r="T459" s="970">
        <v>0</v>
      </c>
      <c r="U459" s="970">
        <v>0</v>
      </c>
    </row>
    <row r="460" spans="1:21" s="426" customFormat="1">
      <c r="A460" s="1171" t="s">
        <v>855</v>
      </c>
      <c r="B460" s="748"/>
      <c r="C460" s="1155"/>
      <c r="D460" s="1155"/>
      <c r="E460" s="1155"/>
      <c r="F460" s="1155"/>
      <c r="G460" s="1155"/>
      <c r="H460" s="1155"/>
      <c r="I460" s="1155"/>
      <c r="J460" s="1155"/>
      <c r="K460" s="1155"/>
      <c r="L460" s="1155"/>
      <c r="M460" s="1155"/>
      <c r="N460" s="1155"/>
      <c r="O460" s="1155"/>
      <c r="P460" s="1155"/>
      <c r="Q460" s="1155"/>
      <c r="R460" s="1155"/>
      <c r="S460" s="1155"/>
      <c r="T460" s="1155"/>
      <c r="U460" s="1155"/>
    </row>
    <row r="461" spans="1:21" s="426" customFormat="1">
      <c r="A461" s="1172" t="s">
        <v>13</v>
      </c>
      <c r="B461" s="748"/>
      <c r="C461" s="970">
        <v>0</v>
      </c>
      <c r="D461" s="970">
        <v>0</v>
      </c>
      <c r="E461" s="970">
        <v>0</v>
      </c>
      <c r="F461" s="970">
        <v>0</v>
      </c>
      <c r="G461" s="970">
        <v>0</v>
      </c>
      <c r="H461" s="970">
        <v>0</v>
      </c>
      <c r="I461" s="970">
        <v>0</v>
      </c>
      <c r="J461" s="970">
        <v>0</v>
      </c>
      <c r="K461" s="970">
        <v>0</v>
      </c>
      <c r="L461" s="970">
        <v>0</v>
      </c>
      <c r="M461" s="970">
        <v>0</v>
      </c>
      <c r="N461" s="970">
        <v>0</v>
      </c>
      <c r="O461" s="970">
        <v>0</v>
      </c>
      <c r="P461" s="970">
        <v>0</v>
      </c>
      <c r="Q461" s="970">
        <v>0</v>
      </c>
      <c r="R461" s="970"/>
      <c r="S461" s="970"/>
      <c r="T461" s="970"/>
      <c r="U461" s="970"/>
    </row>
    <row r="462" spans="1:21" s="426" customFormat="1">
      <c r="A462" s="29" t="s">
        <v>151</v>
      </c>
      <c r="B462" s="748"/>
      <c r="C462" s="892">
        <v>100000</v>
      </c>
      <c r="D462" s="892">
        <v>0</v>
      </c>
      <c r="E462" s="892">
        <v>0</v>
      </c>
      <c r="F462" s="892">
        <v>30000</v>
      </c>
      <c r="G462" s="892">
        <v>80000</v>
      </c>
      <c r="H462" s="892">
        <v>0</v>
      </c>
      <c r="I462" s="892">
        <v>0</v>
      </c>
      <c r="J462" s="892">
        <v>0</v>
      </c>
      <c r="K462" s="892">
        <v>0</v>
      </c>
      <c r="L462" s="892">
        <v>26000</v>
      </c>
      <c r="M462" s="892">
        <v>60000</v>
      </c>
      <c r="N462" s="892">
        <v>0</v>
      </c>
      <c r="O462" s="892">
        <v>10000</v>
      </c>
      <c r="P462" s="892">
        <v>0</v>
      </c>
      <c r="Q462" s="892">
        <v>0</v>
      </c>
      <c r="R462" s="892">
        <v>0</v>
      </c>
      <c r="S462" s="892">
        <v>0</v>
      </c>
      <c r="T462" s="892">
        <v>1000000</v>
      </c>
      <c r="U462" s="892">
        <v>0</v>
      </c>
    </row>
    <row r="463" spans="1:21" s="426" customFormat="1" ht="15" thickBot="1">
      <c r="A463" s="975" t="s">
        <v>13</v>
      </c>
      <c r="B463" s="976"/>
      <c r="C463" s="977">
        <v>1306000</v>
      </c>
      <c r="D463" s="977">
        <v>1206000</v>
      </c>
      <c r="E463" s="977">
        <v>1206000</v>
      </c>
      <c r="F463" s="977">
        <v>1206000</v>
      </c>
      <c r="G463" s="977">
        <v>1176000</v>
      </c>
      <c r="H463" s="977">
        <v>1096000</v>
      </c>
      <c r="I463" s="977">
        <v>1096000</v>
      </c>
      <c r="J463" s="977">
        <v>1096000</v>
      </c>
      <c r="K463" s="977">
        <v>1096000</v>
      </c>
      <c r="L463" s="977">
        <v>1096000</v>
      </c>
      <c r="M463" s="977">
        <v>1070000</v>
      </c>
      <c r="N463" s="977">
        <v>1010000</v>
      </c>
      <c r="O463" s="977">
        <v>1010000</v>
      </c>
      <c r="P463" s="977">
        <v>1000000</v>
      </c>
      <c r="Q463" s="977">
        <v>1000000</v>
      </c>
      <c r="R463" s="977">
        <v>1000000</v>
      </c>
      <c r="S463" s="977">
        <v>1000000</v>
      </c>
      <c r="T463" s="977">
        <v>1000000</v>
      </c>
      <c r="U463" s="977">
        <v>0</v>
      </c>
    </row>
    <row r="464" spans="1:21" s="1090" customFormat="1" ht="15" thickBot="1">
      <c r="A464" s="1087"/>
      <c r="B464" s="1088"/>
      <c r="C464" s="1089"/>
      <c r="D464" s="1089"/>
      <c r="E464" s="1089"/>
      <c r="F464" s="1089"/>
      <c r="G464" s="1089"/>
      <c r="H464" s="1089"/>
      <c r="I464" s="1089"/>
      <c r="J464" s="1089"/>
      <c r="K464" s="1089"/>
      <c r="L464" s="1089"/>
      <c r="M464" s="1089"/>
      <c r="N464" s="1089"/>
      <c r="O464" s="1089"/>
      <c r="P464" s="1089"/>
      <c r="Q464" s="1089"/>
      <c r="R464" s="1089"/>
      <c r="S464" s="1089"/>
      <c r="T464" s="1089"/>
      <c r="U464" s="1089"/>
    </row>
    <row r="465" spans="1:21" s="1090" customFormat="1">
      <c r="A465" s="1106" t="s">
        <v>788</v>
      </c>
      <c r="B465" s="1094"/>
      <c r="C465" s="1095"/>
      <c r="D465" s="1095"/>
      <c r="E465" s="1095"/>
      <c r="F465" s="1095"/>
      <c r="G465" s="1095"/>
      <c r="H465" s="1095"/>
      <c r="I465" s="1095"/>
      <c r="J465" s="1095"/>
      <c r="K465" s="1095"/>
      <c r="L465" s="1095"/>
      <c r="M465" s="1095"/>
      <c r="N465" s="1095"/>
      <c r="O465" s="1095"/>
      <c r="P465" s="1095"/>
      <c r="Q465" s="1095"/>
      <c r="R465" s="1095"/>
      <c r="S465" s="1095"/>
      <c r="T465" s="1095"/>
      <c r="U465" s="1095"/>
    </row>
    <row r="466" spans="1:21" s="1123" customFormat="1">
      <c r="A466" s="1120" t="s">
        <v>180</v>
      </c>
      <c r="B466" s="1121"/>
      <c r="C466" s="1122">
        <v>0</v>
      </c>
      <c r="D466" s="1122">
        <v>0</v>
      </c>
      <c r="E466" s="1122">
        <v>0</v>
      </c>
      <c r="F466" s="1122">
        <v>0</v>
      </c>
      <c r="G466" s="1122">
        <v>0</v>
      </c>
      <c r="H466" s="1122">
        <v>0</v>
      </c>
      <c r="I466" s="1122">
        <v>0</v>
      </c>
      <c r="J466" s="1122">
        <v>0</v>
      </c>
      <c r="K466" s="1122">
        <v>0</v>
      </c>
      <c r="L466" s="1122">
        <v>0</v>
      </c>
      <c r="M466" s="1122">
        <v>0</v>
      </c>
      <c r="N466" s="1122">
        <v>0</v>
      </c>
      <c r="O466" s="1122">
        <v>0</v>
      </c>
      <c r="P466" s="1122">
        <v>0</v>
      </c>
      <c r="Q466" s="1122">
        <v>0</v>
      </c>
      <c r="R466" s="1122">
        <v>0</v>
      </c>
      <c r="S466" s="1122">
        <v>0</v>
      </c>
      <c r="T466" s="1122">
        <v>0</v>
      </c>
      <c r="U466" s="1122">
        <v>0</v>
      </c>
    </row>
    <row r="467" spans="1:21" s="1090" customFormat="1">
      <c r="A467" s="1107" t="s">
        <v>13</v>
      </c>
      <c r="B467" s="1108"/>
      <c r="C467" s="1109">
        <v>0</v>
      </c>
      <c r="D467" s="1109">
        <v>0</v>
      </c>
      <c r="E467" s="1109">
        <v>0</v>
      </c>
      <c r="F467" s="1109">
        <v>0</v>
      </c>
      <c r="G467" s="1109">
        <v>0</v>
      </c>
      <c r="H467" s="1109">
        <v>0</v>
      </c>
      <c r="I467" s="1109">
        <v>0</v>
      </c>
      <c r="J467" s="1109">
        <v>0</v>
      </c>
      <c r="K467" s="1109">
        <v>0</v>
      </c>
      <c r="L467" s="1109">
        <v>0</v>
      </c>
      <c r="M467" s="1109">
        <v>0</v>
      </c>
      <c r="N467" s="1109">
        <v>0</v>
      </c>
      <c r="O467" s="1109">
        <v>0</v>
      </c>
      <c r="P467" s="1109">
        <v>0</v>
      </c>
      <c r="Q467" s="1109">
        <v>0</v>
      </c>
      <c r="R467" s="1109">
        <v>0</v>
      </c>
      <c r="S467" s="1109">
        <v>0</v>
      </c>
      <c r="T467" s="1109">
        <v>0</v>
      </c>
      <c r="U467" s="1109">
        <v>0</v>
      </c>
    </row>
    <row r="468" spans="1:21" s="1123" customFormat="1">
      <c r="A468" s="1124" t="s">
        <v>27</v>
      </c>
      <c r="B468" s="1125"/>
      <c r="C468" s="1126">
        <v>0</v>
      </c>
      <c r="D468" s="1126">
        <v>0</v>
      </c>
      <c r="E468" s="1126">
        <v>0</v>
      </c>
      <c r="F468" s="1126">
        <v>0</v>
      </c>
      <c r="G468" s="1126">
        <v>0</v>
      </c>
      <c r="H468" s="1126">
        <v>0</v>
      </c>
      <c r="I468" s="1126">
        <v>6500000</v>
      </c>
      <c r="J468" s="1126">
        <v>0</v>
      </c>
      <c r="K468" s="1126">
        <v>0</v>
      </c>
      <c r="L468" s="1126">
        <v>0</v>
      </c>
      <c r="M468" s="1126">
        <v>0</v>
      </c>
      <c r="N468" s="1126">
        <v>0</v>
      </c>
      <c r="O468" s="1126">
        <v>0</v>
      </c>
      <c r="P468" s="1126">
        <v>0</v>
      </c>
      <c r="Q468" s="1126">
        <v>0</v>
      </c>
      <c r="R468" s="1126">
        <v>0</v>
      </c>
      <c r="S468" s="1126">
        <v>0</v>
      </c>
      <c r="T468" s="1126">
        <v>0</v>
      </c>
      <c r="U468" s="1126">
        <v>0</v>
      </c>
    </row>
    <row r="469" spans="1:21" s="1090" customFormat="1">
      <c r="A469" s="1107" t="s">
        <v>13</v>
      </c>
      <c r="B469" s="1108"/>
      <c r="C469" s="1109">
        <v>6500000</v>
      </c>
      <c r="D469" s="1109">
        <v>6500000</v>
      </c>
      <c r="E469" s="1109">
        <v>6500000</v>
      </c>
      <c r="F469" s="1109">
        <v>6500000</v>
      </c>
      <c r="G469" s="1109">
        <v>6500000</v>
      </c>
      <c r="H469" s="1109">
        <v>6500000</v>
      </c>
      <c r="I469" s="1109">
        <v>6500000</v>
      </c>
      <c r="J469" s="1109">
        <v>0</v>
      </c>
      <c r="K469" s="1109">
        <v>0</v>
      </c>
      <c r="L469" s="1109">
        <v>0</v>
      </c>
      <c r="M469" s="1109">
        <v>0</v>
      </c>
      <c r="N469" s="1109">
        <v>0</v>
      </c>
      <c r="O469" s="1109">
        <v>0</v>
      </c>
      <c r="P469" s="1109">
        <v>0</v>
      </c>
      <c r="Q469" s="1109">
        <v>0</v>
      </c>
      <c r="R469" s="1109">
        <v>0</v>
      </c>
      <c r="S469" s="1109">
        <v>0</v>
      </c>
      <c r="T469" s="1109">
        <v>0</v>
      </c>
      <c r="U469" s="1109">
        <v>0</v>
      </c>
    </row>
    <row r="470" spans="1:21" s="1123" customFormat="1">
      <c r="A470" s="1120" t="s">
        <v>151</v>
      </c>
      <c r="B470" s="1121"/>
      <c r="C470" s="1122">
        <v>0</v>
      </c>
      <c r="D470" s="1122">
        <v>0</v>
      </c>
      <c r="E470" s="1122">
        <v>0</v>
      </c>
      <c r="F470" s="1122">
        <v>0</v>
      </c>
      <c r="G470" s="1122">
        <v>0</v>
      </c>
      <c r="H470" s="1122">
        <v>0</v>
      </c>
      <c r="I470" s="1122">
        <v>6500000</v>
      </c>
      <c r="J470" s="1122">
        <v>0</v>
      </c>
      <c r="K470" s="1122">
        <v>0</v>
      </c>
      <c r="L470" s="1122">
        <v>0</v>
      </c>
      <c r="M470" s="1122">
        <v>0</v>
      </c>
      <c r="N470" s="1122">
        <v>0</v>
      </c>
      <c r="O470" s="1122">
        <v>0</v>
      </c>
      <c r="P470" s="1122">
        <v>0</v>
      </c>
      <c r="Q470" s="1122">
        <v>0</v>
      </c>
      <c r="R470" s="1122">
        <v>0</v>
      </c>
      <c r="S470" s="1122">
        <v>0</v>
      </c>
      <c r="T470" s="1122">
        <v>0</v>
      </c>
      <c r="U470" s="1122">
        <v>0</v>
      </c>
    </row>
    <row r="471" spans="1:21" s="1090" customFormat="1" ht="15" thickBot="1">
      <c r="A471" s="1096" t="s">
        <v>13</v>
      </c>
      <c r="B471" s="1097"/>
      <c r="C471" s="977">
        <v>6500000</v>
      </c>
      <c r="D471" s="977">
        <v>6500000</v>
      </c>
      <c r="E471" s="977">
        <v>6500000</v>
      </c>
      <c r="F471" s="977">
        <v>6500000</v>
      </c>
      <c r="G471" s="977">
        <v>6500000</v>
      </c>
      <c r="H471" s="977">
        <v>6500000</v>
      </c>
      <c r="I471" s="977">
        <v>6500000</v>
      </c>
      <c r="J471" s="977">
        <v>0</v>
      </c>
      <c r="K471" s="977">
        <v>0</v>
      </c>
      <c r="L471" s="977">
        <v>0</v>
      </c>
      <c r="M471" s="977">
        <v>0</v>
      </c>
      <c r="N471" s="977">
        <v>0</v>
      </c>
      <c r="O471" s="977">
        <v>0</v>
      </c>
      <c r="P471" s="977">
        <v>0</v>
      </c>
      <c r="Q471" s="977">
        <v>0</v>
      </c>
      <c r="R471" s="977">
        <v>0</v>
      </c>
      <c r="S471" s="977">
        <v>0</v>
      </c>
      <c r="T471" s="977">
        <v>0</v>
      </c>
      <c r="U471" s="977">
        <v>0</v>
      </c>
    </row>
    <row r="472" spans="1:21" s="1090" customFormat="1">
      <c r="A472" s="1091"/>
      <c r="B472" s="1092"/>
      <c r="C472" s="1093"/>
      <c r="D472" s="1093"/>
      <c r="E472" s="1093"/>
      <c r="F472" s="1093"/>
      <c r="G472" s="1093"/>
      <c r="H472" s="1093"/>
      <c r="I472" s="1093"/>
      <c r="J472" s="1093"/>
      <c r="K472" s="1093"/>
      <c r="L472" s="1093"/>
      <c r="M472" s="1093"/>
      <c r="N472" s="1093"/>
      <c r="O472" s="1093"/>
      <c r="P472" s="1093"/>
      <c r="Q472" s="1093"/>
      <c r="R472" s="1093"/>
      <c r="S472" s="1093"/>
      <c r="T472" s="1093"/>
      <c r="U472" s="1093"/>
    </row>
    <row r="473" spans="1:21" s="685" customFormat="1">
      <c r="A473" s="73" t="s">
        <v>49</v>
      </c>
      <c r="B473" s="808" t="s">
        <v>291</v>
      </c>
      <c r="C473" s="875">
        <v>50000</v>
      </c>
      <c r="D473" s="875">
        <v>168000</v>
      </c>
      <c r="E473" s="875">
        <v>900000</v>
      </c>
      <c r="F473" s="875">
        <v>782000</v>
      </c>
      <c r="G473" s="875">
        <v>50000</v>
      </c>
      <c r="H473" s="875">
        <v>3316711</v>
      </c>
      <c r="I473" s="875">
        <v>1004500</v>
      </c>
      <c r="J473" s="875">
        <v>575000</v>
      </c>
      <c r="K473" s="875">
        <v>280000</v>
      </c>
      <c r="L473" s="875">
        <v>39000</v>
      </c>
      <c r="M473" s="875">
        <v>427000</v>
      </c>
      <c r="N473" s="875">
        <v>85000</v>
      </c>
      <c r="O473" s="875">
        <v>1850650</v>
      </c>
      <c r="P473" s="875">
        <v>366000</v>
      </c>
      <c r="Q473" s="875">
        <v>339000</v>
      </c>
      <c r="R473" s="875">
        <v>400000</v>
      </c>
      <c r="S473" s="875">
        <v>1966000</v>
      </c>
      <c r="T473" s="875">
        <v>474307</v>
      </c>
      <c r="U473" s="875">
        <v>0</v>
      </c>
    </row>
    <row r="474" spans="1:21" s="426" customFormat="1">
      <c r="A474" s="816" t="s">
        <v>109</v>
      </c>
      <c r="B474" s="746"/>
      <c r="C474" s="702">
        <v>13073168</v>
      </c>
      <c r="D474" s="702">
        <v>13023168</v>
      </c>
      <c r="E474" s="702">
        <v>12855168</v>
      </c>
      <c r="F474" s="702">
        <v>11955168</v>
      </c>
      <c r="G474" s="702">
        <v>11173168</v>
      </c>
      <c r="H474" s="702">
        <v>11123168</v>
      </c>
      <c r="I474" s="702">
        <v>7806457</v>
      </c>
      <c r="J474" s="702">
        <v>6801957</v>
      </c>
      <c r="K474" s="702">
        <v>6226957</v>
      </c>
      <c r="L474" s="702">
        <v>5946957</v>
      </c>
      <c r="M474" s="702">
        <v>5907957</v>
      </c>
      <c r="N474" s="702">
        <v>5480957</v>
      </c>
      <c r="O474" s="702">
        <v>5395957</v>
      </c>
      <c r="P474" s="702">
        <v>3545307</v>
      </c>
      <c r="Q474" s="702">
        <v>3179307</v>
      </c>
      <c r="R474" s="702">
        <v>2840307</v>
      </c>
      <c r="S474" s="702">
        <v>2440307</v>
      </c>
      <c r="T474" s="702">
        <v>474307</v>
      </c>
      <c r="U474" s="702">
        <v>0</v>
      </c>
    </row>
    <row r="475" spans="1:21" s="426" customFormat="1">
      <c r="A475" s="817"/>
      <c r="B475" s="748"/>
      <c r="C475" s="879"/>
      <c r="D475" s="879"/>
      <c r="E475" s="879"/>
      <c r="F475" s="879"/>
      <c r="G475" s="879"/>
      <c r="H475" s="879"/>
      <c r="I475" s="879"/>
      <c r="J475" s="879"/>
      <c r="K475" s="879"/>
      <c r="L475" s="879"/>
      <c r="M475" s="879"/>
      <c r="N475" s="879"/>
      <c r="O475" s="879"/>
      <c r="P475" s="879"/>
      <c r="Q475" s="879"/>
      <c r="R475" s="879"/>
      <c r="S475" s="879"/>
      <c r="T475" s="879"/>
      <c r="U475" s="879"/>
    </row>
    <row r="476" spans="1:21" s="426" customFormat="1">
      <c r="A476" s="817" t="s">
        <v>154</v>
      </c>
      <c r="B476" s="748"/>
      <c r="C476" s="879"/>
      <c r="D476" s="879"/>
      <c r="E476" s="879"/>
      <c r="F476" s="879"/>
      <c r="G476" s="879"/>
      <c r="H476" s="879"/>
      <c r="I476" s="879"/>
      <c r="J476" s="879"/>
      <c r="K476" s="879"/>
      <c r="L476" s="879"/>
      <c r="M476" s="879"/>
      <c r="N476" s="879"/>
      <c r="O476" s="879"/>
      <c r="P476" s="879"/>
      <c r="Q476" s="879"/>
      <c r="R476" s="879"/>
      <c r="S476" s="879"/>
      <c r="T476" s="879"/>
      <c r="U476" s="879"/>
    </row>
    <row r="477" spans="1:21" s="426" customFormat="1">
      <c r="A477" s="818" t="s">
        <v>138</v>
      </c>
      <c r="B477" s="746" t="s">
        <v>292</v>
      </c>
      <c r="C477" s="888">
        <v>0</v>
      </c>
      <c r="D477" s="888">
        <v>0</v>
      </c>
      <c r="E477" s="888">
        <v>0</v>
      </c>
      <c r="F477" s="888">
        <v>0</v>
      </c>
      <c r="G477" s="888">
        <v>0</v>
      </c>
      <c r="H477" s="888">
        <v>0</v>
      </c>
      <c r="I477" s="888">
        <v>0</v>
      </c>
      <c r="J477" s="888">
        <v>0</v>
      </c>
      <c r="K477" s="888">
        <v>0</v>
      </c>
      <c r="L477" s="888">
        <v>0</v>
      </c>
      <c r="M477" s="888">
        <v>0</v>
      </c>
      <c r="N477" s="888">
        <v>0</v>
      </c>
      <c r="O477" s="888">
        <v>0</v>
      </c>
      <c r="P477" s="888">
        <v>0</v>
      </c>
      <c r="Q477" s="888">
        <v>0</v>
      </c>
      <c r="R477" s="888">
        <v>0</v>
      </c>
      <c r="S477" s="888">
        <v>0</v>
      </c>
      <c r="T477" s="888">
        <v>0</v>
      </c>
      <c r="U477" s="888">
        <v>0</v>
      </c>
    </row>
    <row r="478" spans="1:21" s="426" customFormat="1">
      <c r="A478" s="819" t="s">
        <v>13</v>
      </c>
      <c r="B478" s="746"/>
      <c r="C478" s="702">
        <v>0</v>
      </c>
      <c r="D478" s="702">
        <v>0</v>
      </c>
      <c r="E478" s="702">
        <v>0</v>
      </c>
      <c r="F478" s="702">
        <v>0</v>
      </c>
      <c r="G478" s="702">
        <v>0</v>
      </c>
      <c r="H478" s="702">
        <v>0</v>
      </c>
      <c r="I478" s="702">
        <v>0</v>
      </c>
      <c r="J478" s="702">
        <v>0</v>
      </c>
      <c r="K478" s="702">
        <v>0</v>
      </c>
      <c r="L478" s="702">
        <v>0</v>
      </c>
      <c r="M478" s="702">
        <v>0</v>
      </c>
      <c r="N478" s="702">
        <v>0</v>
      </c>
      <c r="O478" s="702">
        <v>0</v>
      </c>
      <c r="P478" s="702">
        <v>0</v>
      </c>
      <c r="Q478" s="702">
        <v>0</v>
      </c>
      <c r="R478" s="702">
        <v>0</v>
      </c>
      <c r="S478" s="702">
        <v>0</v>
      </c>
      <c r="T478" s="702">
        <v>0</v>
      </c>
      <c r="U478" s="702">
        <v>0</v>
      </c>
    </row>
    <row r="479" spans="1:21" s="426" customFormat="1">
      <c r="A479" s="818" t="s">
        <v>139</v>
      </c>
      <c r="B479" s="746" t="s">
        <v>293</v>
      </c>
      <c r="C479" s="889">
        <v>0</v>
      </c>
      <c r="D479" s="889">
        <v>0</v>
      </c>
      <c r="E479" s="889">
        <v>0</v>
      </c>
      <c r="F479" s="889">
        <v>0</v>
      </c>
      <c r="G479" s="889">
        <v>0</v>
      </c>
      <c r="H479" s="889">
        <v>0</v>
      </c>
      <c r="I479" s="889">
        <v>0</v>
      </c>
      <c r="J479" s="889">
        <v>0</v>
      </c>
      <c r="K479" s="889">
        <v>0</v>
      </c>
      <c r="L479" s="889">
        <v>0</v>
      </c>
      <c r="M479" s="889">
        <v>0</v>
      </c>
      <c r="N479" s="889">
        <v>0</v>
      </c>
      <c r="O479" s="889">
        <v>0</v>
      </c>
      <c r="P479" s="889">
        <v>0</v>
      </c>
      <c r="Q479" s="889">
        <v>0</v>
      </c>
      <c r="R479" s="889">
        <v>0</v>
      </c>
      <c r="S479" s="889">
        <v>0</v>
      </c>
      <c r="T479" s="889">
        <v>0</v>
      </c>
      <c r="U479" s="889">
        <v>0</v>
      </c>
    </row>
    <row r="480" spans="1:21" s="426" customFormat="1">
      <c r="A480" s="819" t="s">
        <v>13</v>
      </c>
      <c r="B480" s="746"/>
      <c r="C480" s="702">
        <v>0</v>
      </c>
      <c r="D480" s="702">
        <v>0</v>
      </c>
      <c r="E480" s="702">
        <v>0</v>
      </c>
      <c r="F480" s="702">
        <v>0</v>
      </c>
      <c r="G480" s="702">
        <v>0</v>
      </c>
      <c r="H480" s="702">
        <v>0</v>
      </c>
      <c r="I480" s="702">
        <v>0</v>
      </c>
      <c r="J480" s="702">
        <v>0</v>
      </c>
      <c r="K480" s="702">
        <v>0</v>
      </c>
      <c r="L480" s="702">
        <v>0</v>
      </c>
      <c r="M480" s="702">
        <v>0</v>
      </c>
      <c r="N480" s="702">
        <v>0</v>
      </c>
      <c r="O480" s="702">
        <v>0</v>
      </c>
      <c r="P480" s="702">
        <v>0</v>
      </c>
      <c r="Q480" s="702">
        <v>0</v>
      </c>
      <c r="R480" s="702">
        <v>0</v>
      </c>
      <c r="S480" s="702">
        <v>0</v>
      </c>
      <c r="T480" s="702">
        <v>0</v>
      </c>
      <c r="U480" s="702">
        <v>0</v>
      </c>
    </row>
    <row r="481" spans="1:21" s="426" customFormat="1">
      <c r="A481" s="818" t="s">
        <v>27</v>
      </c>
      <c r="B481" s="746" t="s">
        <v>294</v>
      </c>
      <c r="C481" s="889">
        <v>0</v>
      </c>
      <c r="D481" s="889">
        <v>0</v>
      </c>
      <c r="E481" s="889">
        <v>0</v>
      </c>
      <c r="F481" s="889">
        <v>0</v>
      </c>
      <c r="G481" s="889">
        <v>0</v>
      </c>
      <c r="H481" s="889">
        <v>0</v>
      </c>
      <c r="I481" s="889">
        <v>0</v>
      </c>
      <c r="J481" s="889">
        <v>0</v>
      </c>
      <c r="K481" s="889">
        <v>0</v>
      </c>
      <c r="L481" s="889">
        <v>0</v>
      </c>
      <c r="M481" s="889">
        <v>0</v>
      </c>
      <c r="N481" s="889">
        <v>0</v>
      </c>
      <c r="O481" s="889">
        <v>0</v>
      </c>
      <c r="P481" s="889">
        <v>0</v>
      </c>
      <c r="Q481" s="889">
        <v>0</v>
      </c>
      <c r="R481" s="889">
        <v>0</v>
      </c>
      <c r="S481" s="889">
        <v>0</v>
      </c>
      <c r="T481" s="889">
        <v>0</v>
      </c>
      <c r="U481" s="889">
        <v>0</v>
      </c>
    </row>
    <row r="482" spans="1:21" s="426" customFormat="1">
      <c r="A482" s="819" t="s">
        <v>13</v>
      </c>
      <c r="B482" s="746"/>
      <c r="C482" s="702">
        <v>0</v>
      </c>
      <c r="D482" s="702">
        <v>0</v>
      </c>
      <c r="E482" s="702">
        <v>0</v>
      </c>
      <c r="F482" s="702">
        <v>0</v>
      </c>
      <c r="G482" s="702">
        <v>0</v>
      </c>
      <c r="H482" s="702">
        <v>0</v>
      </c>
      <c r="I482" s="702">
        <v>0</v>
      </c>
      <c r="J482" s="702">
        <v>0</v>
      </c>
      <c r="K482" s="702">
        <v>0</v>
      </c>
      <c r="L482" s="702">
        <v>0</v>
      </c>
      <c r="M482" s="702">
        <v>0</v>
      </c>
      <c r="N482" s="702">
        <v>0</v>
      </c>
      <c r="O482" s="702">
        <v>0</v>
      </c>
      <c r="P482" s="702">
        <v>0</v>
      </c>
      <c r="Q482" s="702">
        <v>0</v>
      </c>
      <c r="R482" s="702">
        <v>0</v>
      </c>
      <c r="S482" s="702">
        <v>0</v>
      </c>
      <c r="T482" s="702">
        <v>0</v>
      </c>
      <c r="U482" s="702">
        <v>0</v>
      </c>
    </row>
    <row r="483" spans="1:21" s="426" customFormat="1">
      <c r="A483" s="820" t="s">
        <v>151</v>
      </c>
      <c r="B483" s="746"/>
      <c r="C483" s="889">
        <v>0</v>
      </c>
      <c r="D483" s="889">
        <v>0</v>
      </c>
      <c r="E483" s="889">
        <v>0</v>
      </c>
      <c r="F483" s="889">
        <v>0</v>
      </c>
      <c r="G483" s="889">
        <v>0</v>
      </c>
      <c r="H483" s="889">
        <v>0</v>
      </c>
      <c r="I483" s="889">
        <v>0</v>
      </c>
      <c r="J483" s="889">
        <v>0</v>
      </c>
      <c r="K483" s="889">
        <v>0</v>
      </c>
      <c r="L483" s="889">
        <v>0</v>
      </c>
      <c r="M483" s="889">
        <v>0</v>
      </c>
      <c r="N483" s="889">
        <v>0</v>
      </c>
      <c r="O483" s="889">
        <v>0</v>
      </c>
      <c r="P483" s="889">
        <v>0</v>
      </c>
      <c r="Q483" s="889">
        <v>0</v>
      </c>
      <c r="R483" s="889">
        <v>0</v>
      </c>
      <c r="S483" s="889">
        <v>0</v>
      </c>
      <c r="T483" s="889">
        <v>0</v>
      </c>
      <c r="U483" s="889">
        <v>0</v>
      </c>
    </row>
    <row r="484" spans="1:21" s="426" customFormat="1">
      <c r="A484" s="821" t="s">
        <v>13</v>
      </c>
      <c r="B484" s="792"/>
      <c r="C484" s="702">
        <v>0</v>
      </c>
      <c r="D484" s="702">
        <v>0</v>
      </c>
      <c r="E484" s="702">
        <v>0</v>
      </c>
      <c r="F484" s="702">
        <v>0</v>
      </c>
      <c r="G484" s="702">
        <v>0</v>
      </c>
      <c r="H484" s="702">
        <v>0</v>
      </c>
      <c r="I484" s="702">
        <v>0</v>
      </c>
      <c r="J484" s="702">
        <v>0</v>
      </c>
      <c r="K484" s="702">
        <v>0</v>
      </c>
      <c r="L484" s="702">
        <v>0</v>
      </c>
      <c r="M484" s="702">
        <v>0</v>
      </c>
      <c r="N484" s="702">
        <v>0</v>
      </c>
      <c r="O484" s="702">
        <v>0</v>
      </c>
      <c r="P484" s="702">
        <v>0</v>
      </c>
      <c r="Q484" s="702">
        <v>0</v>
      </c>
      <c r="R484" s="702">
        <v>0</v>
      </c>
      <c r="S484" s="702">
        <v>0</v>
      </c>
      <c r="T484" s="702">
        <v>0</v>
      </c>
      <c r="U484" s="702">
        <v>0</v>
      </c>
    </row>
    <row r="485" spans="1:21">
      <c r="A485" s="1"/>
      <c r="B485" s="748"/>
      <c r="C485" s="890"/>
      <c r="D485" s="890"/>
      <c r="E485" s="890"/>
      <c r="F485" s="890"/>
      <c r="G485" s="890"/>
      <c r="H485" s="890"/>
      <c r="I485" s="890"/>
      <c r="J485" s="890"/>
      <c r="K485" s="890"/>
      <c r="L485" s="890"/>
      <c r="M485" s="890"/>
      <c r="N485" s="890"/>
      <c r="O485" s="890"/>
      <c r="P485" s="890"/>
      <c r="Q485" s="890"/>
      <c r="R485" s="890"/>
      <c r="S485" s="890"/>
      <c r="T485" s="890"/>
      <c r="U485" s="890"/>
    </row>
    <row r="486" spans="1:21">
      <c r="A486" s="822" t="s">
        <v>61</v>
      </c>
      <c r="B486" s="748"/>
      <c r="C486" s="890"/>
      <c r="D486" s="890"/>
      <c r="E486" s="890"/>
      <c r="F486" s="890"/>
      <c r="G486" s="890"/>
      <c r="H486" s="890"/>
      <c r="I486" s="890"/>
      <c r="J486" s="890"/>
      <c r="K486" s="890"/>
      <c r="L486" s="890"/>
      <c r="M486" s="890"/>
      <c r="N486" s="890"/>
      <c r="O486" s="890"/>
      <c r="P486" s="890"/>
      <c r="Q486" s="890"/>
      <c r="R486" s="890"/>
      <c r="S486" s="890"/>
      <c r="T486" s="890"/>
      <c r="U486" s="890"/>
    </row>
    <row r="487" spans="1:21">
      <c r="A487" s="28" t="s">
        <v>135</v>
      </c>
      <c r="B487" s="746" t="s">
        <v>295</v>
      </c>
      <c r="C487" s="875">
        <v>0</v>
      </c>
      <c r="D487" s="875">
        <v>0</v>
      </c>
      <c r="E487" s="875">
        <v>0</v>
      </c>
      <c r="F487" s="875">
        <v>0</v>
      </c>
      <c r="G487" s="875">
        <v>20000</v>
      </c>
      <c r="H487" s="875">
        <v>41998</v>
      </c>
      <c r="I487" s="875">
        <v>0</v>
      </c>
      <c r="J487" s="875">
        <v>0</v>
      </c>
      <c r="K487" s="875">
        <v>0</v>
      </c>
      <c r="L487" s="875">
        <v>20000</v>
      </c>
      <c r="M487" s="875">
        <v>88000</v>
      </c>
      <c r="N487" s="875">
        <v>0</v>
      </c>
      <c r="O487" s="875">
        <v>0</v>
      </c>
      <c r="P487" s="875">
        <v>0</v>
      </c>
      <c r="Q487" s="875">
        <v>0</v>
      </c>
      <c r="R487" s="875">
        <v>0</v>
      </c>
      <c r="S487" s="875">
        <v>5999</v>
      </c>
      <c r="T487" s="875">
        <v>0</v>
      </c>
      <c r="U487" s="875">
        <v>0</v>
      </c>
    </row>
    <row r="488" spans="1:21" s="717" customFormat="1" ht="15.6">
      <c r="A488" s="823" t="s">
        <v>13</v>
      </c>
      <c r="B488" s="824"/>
      <c r="C488" s="716">
        <v>175997</v>
      </c>
      <c r="D488" s="716">
        <v>175997</v>
      </c>
      <c r="E488" s="716">
        <v>175997</v>
      </c>
      <c r="F488" s="716">
        <v>175997</v>
      </c>
      <c r="G488" s="716">
        <v>175997</v>
      </c>
      <c r="H488" s="716">
        <v>155997</v>
      </c>
      <c r="I488" s="716">
        <v>113999</v>
      </c>
      <c r="J488" s="716">
        <v>113999</v>
      </c>
      <c r="K488" s="716">
        <v>113999</v>
      </c>
      <c r="L488" s="716">
        <v>113999</v>
      </c>
      <c r="M488" s="716">
        <v>93999</v>
      </c>
      <c r="N488" s="716">
        <v>5999</v>
      </c>
      <c r="O488" s="716">
        <v>5999</v>
      </c>
      <c r="P488" s="716">
        <v>5999</v>
      </c>
      <c r="Q488" s="716">
        <v>5999</v>
      </c>
      <c r="R488" s="716">
        <v>5999</v>
      </c>
      <c r="S488" s="716">
        <v>5999</v>
      </c>
      <c r="T488" s="716">
        <v>0</v>
      </c>
      <c r="U488" s="716">
        <v>0</v>
      </c>
    </row>
    <row r="489" spans="1:21">
      <c r="A489" s="28" t="s">
        <v>4</v>
      </c>
      <c r="B489" s="746" t="s">
        <v>296</v>
      </c>
      <c r="C489" s="875">
        <v>0</v>
      </c>
      <c r="D489" s="875">
        <v>0</v>
      </c>
      <c r="E489" s="875">
        <v>0</v>
      </c>
      <c r="F489" s="875">
        <v>119000</v>
      </c>
      <c r="G489" s="875">
        <v>0</v>
      </c>
      <c r="H489" s="875">
        <v>0</v>
      </c>
      <c r="I489" s="875">
        <v>0</v>
      </c>
      <c r="J489" s="875">
        <v>0</v>
      </c>
      <c r="K489" s="875">
        <v>0</v>
      </c>
      <c r="L489" s="875">
        <v>0</v>
      </c>
      <c r="M489" s="875">
        <v>0</v>
      </c>
      <c r="N489" s="875">
        <v>19498</v>
      </c>
      <c r="O489" s="875">
        <v>0</v>
      </c>
      <c r="P489" s="875">
        <v>0</v>
      </c>
      <c r="Q489" s="875">
        <v>0</v>
      </c>
      <c r="R489" s="875">
        <v>0</v>
      </c>
      <c r="S489" s="875">
        <v>94999</v>
      </c>
      <c r="T489" s="875">
        <v>0</v>
      </c>
      <c r="U489" s="875">
        <v>0</v>
      </c>
    </row>
    <row r="490" spans="1:21" s="717" customFormat="1" ht="15.6">
      <c r="A490" s="823" t="s">
        <v>13</v>
      </c>
      <c r="B490" s="824"/>
      <c r="C490" s="716">
        <v>233497</v>
      </c>
      <c r="D490" s="716">
        <v>233497</v>
      </c>
      <c r="E490" s="716">
        <v>233497</v>
      </c>
      <c r="F490" s="716">
        <v>233497</v>
      </c>
      <c r="G490" s="716">
        <v>114497</v>
      </c>
      <c r="H490" s="716">
        <v>114497</v>
      </c>
      <c r="I490" s="716">
        <v>114497</v>
      </c>
      <c r="J490" s="716">
        <v>114497</v>
      </c>
      <c r="K490" s="716">
        <v>114497</v>
      </c>
      <c r="L490" s="716">
        <v>114497</v>
      </c>
      <c r="M490" s="716">
        <v>114497</v>
      </c>
      <c r="N490" s="716">
        <v>114497</v>
      </c>
      <c r="O490" s="716">
        <v>94999</v>
      </c>
      <c r="P490" s="716">
        <v>94999</v>
      </c>
      <c r="Q490" s="716">
        <v>94999</v>
      </c>
      <c r="R490" s="716">
        <v>94999</v>
      </c>
      <c r="S490" s="716">
        <v>94999</v>
      </c>
      <c r="T490" s="716">
        <v>0</v>
      </c>
      <c r="U490" s="716">
        <v>0</v>
      </c>
    </row>
    <row r="491" spans="1:21">
      <c r="A491" s="28" t="s">
        <v>136</v>
      </c>
      <c r="B491" s="746" t="s">
        <v>297</v>
      </c>
      <c r="C491" s="875">
        <v>0</v>
      </c>
      <c r="D491" s="875">
        <v>0</v>
      </c>
      <c r="E491" s="875">
        <v>0</v>
      </c>
      <c r="F491" s="875">
        <v>0</v>
      </c>
      <c r="G491" s="875">
        <v>0</v>
      </c>
      <c r="H491" s="875">
        <v>0</v>
      </c>
      <c r="I491" s="875">
        <v>0</v>
      </c>
      <c r="J491" s="875">
        <v>0</v>
      </c>
      <c r="K491" s="875">
        <v>0</v>
      </c>
      <c r="L491" s="875">
        <v>0</v>
      </c>
      <c r="M491" s="875">
        <v>0</v>
      </c>
      <c r="N491" s="875">
        <v>0</v>
      </c>
      <c r="O491" s="875">
        <v>0</v>
      </c>
      <c r="P491" s="875">
        <v>0</v>
      </c>
      <c r="Q491" s="875">
        <v>0</v>
      </c>
      <c r="R491" s="875">
        <v>0</v>
      </c>
      <c r="S491" s="875">
        <v>0</v>
      </c>
      <c r="T491" s="875">
        <v>0</v>
      </c>
      <c r="U491" s="875">
        <v>0</v>
      </c>
    </row>
    <row r="492" spans="1:21" s="717" customFormat="1" ht="15.6">
      <c r="A492" s="823" t="s">
        <v>13</v>
      </c>
      <c r="B492" s="824"/>
      <c r="C492" s="716">
        <v>0</v>
      </c>
      <c r="D492" s="716">
        <v>0</v>
      </c>
      <c r="E492" s="716">
        <v>0</v>
      </c>
      <c r="F492" s="716">
        <v>0</v>
      </c>
      <c r="G492" s="716">
        <v>0</v>
      </c>
      <c r="H492" s="716">
        <v>0</v>
      </c>
      <c r="I492" s="716">
        <v>0</v>
      </c>
      <c r="J492" s="716">
        <v>0</v>
      </c>
      <c r="K492" s="716">
        <v>0</v>
      </c>
      <c r="L492" s="716">
        <v>0</v>
      </c>
      <c r="M492" s="716">
        <v>0</v>
      </c>
      <c r="N492" s="716">
        <v>0</v>
      </c>
      <c r="O492" s="716">
        <v>0</v>
      </c>
      <c r="P492" s="716">
        <v>0</v>
      </c>
      <c r="Q492" s="716">
        <v>0</v>
      </c>
      <c r="R492" s="716">
        <v>0</v>
      </c>
      <c r="S492" s="716">
        <v>0</v>
      </c>
      <c r="T492" s="716">
        <v>0</v>
      </c>
      <c r="U492" s="716">
        <v>0</v>
      </c>
    </row>
    <row r="493" spans="1:21">
      <c r="A493" s="28" t="s">
        <v>137</v>
      </c>
      <c r="B493" s="746" t="s">
        <v>298</v>
      </c>
      <c r="C493" s="875">
        <v>0</v>
      </c>
      <c r="D493" s="875">
        <v>0</v>
      </c>
      <c r="E493" s="875">
        <v>0</v>
      </c>
      <c r="F493" s="875">
        <v>0</v>
      </c>
      <c r="G493" s="875">
        <v>0</v>
      </c>
      <c r="H493" s="875">
        <v>0</v>
      </c>
      <c r="I493" s="875">
        <v>0</v>
      </c>
      <c r="J493" s="875">
        <v>0</v>
      </c>
      <c r="K493" s="875">
        <v>0</v>
      </c>
      <c r="L493" s="875">
        <v>0</v>
      </c>
      <c r="M493" s="875">
        <v>0</v>
      </c>
      <c r="N493" s="875">
        <v>0</v>
      </c>
      <c r="O493" s="875">
        <v>0</v>
      </c>
      <c r="P493" s="875">
        <v>0</v>
      </c>
      <c r="Q493" s="875">
        <v>0</v>
      </c>
      <c r="R493" s="875">
        <v>0</v>
      </c>
      <c r="S493" s="875">
        <v>0</v>
      </c>
      <c r="T493" s="875">
        <v>0</v>
      </c>
      <c r="U493" s="875">
        <v>0</v>
      </c>
    </row>
    <row r="494" spans="1:21" s="717" customFormat="1" ht="15.6">
      <c r="A494" s="823" t="s">
        <v>13</v>
      </c>
      <c r="B494" s="824"/>
      <c r="C494" s="716">
        <v>0</v>
      </c>
      <c r="D494" s="716">
        <v>0</v>
      </c>
      <c r="E494" s="716">
        <v>0</v>
      </c>
      <c r="F494" s="716">
        <v>0</v>
      </c>
      <c r="G494" s="716">
        <v>0</v>
      </c>
      <c r="H494" s="716">
        <v>0</v>
      </c>
      <c r="I494" s="716">
        <v>0</v>
      </c>
      <c r="J494" s="716">
        <v>0</v>
      </c>
      <c r="K494" s="716">
        <v>0</v>
      </c>
      <c r="L494" s="716">
        <v>0</v>
      </c>
      <c r="M494" s="716">
        <v>0</v>
      </c>
      <c r="N494" s="716">
        <v>0</v>
      </c>
      <c r="O494" s="716">
        <v>0</v>
      </c>
      <c r="P494" s="716">
        <v>0</v>
      </c>
      <c r="Q494" s="716">
        <v>0</v>
      </c>
      <c r="R494" s="716">
        <v>0</v>
      </c>
      <c r="S494" s="716">
        <v>0</v>
      </c>
      <c r="T494" s="716">
        <v>0</v>
      </c>
      <c r="U494" s="716">
        <v>0</v>
      </c>
    </row>
    <row r="495" spans="1:21">
      <c r="A495" s="28" t="s">
        <v>27</v>
      </c>
      <c r="B495" s="746" t="s">
        <v>299</v>
      </c>
      <c r="C495" s="875">
        <v>0</v>
      </c>
      <c r="D495" s="875">
        <v>0</v>
      </c>
      <c r="E495" s="875">
        <v>0</v>
      </c>
      <c r="F495" s="875">
        <v>0</v>
      </c>
      <c r="G495" s="875">
        <v>0</v>
      </c>
      <c r="H495" s="875">
        <v>0</v>
      </c>
      <c r="I495" s="875">
        <v>0</v>
      </c>
      <c r="J495" s="875">
        <v>0</v>
      </c>
      <c r="K495" s="875">
        <v>0</v>
      </c>
      <c r="L495" s="875">
        <v>0</v>
      </c>
      <c r="M495" s="875">
        <v>0</v>
      </c>
      <c r="N495" s="875">
        <v>0</v>
      </c>
      <c r="O495" s="875">
        <v>0</v>
      </c>
      <c r="P495" s="875">
        <v>0</v>
      </c>
      <c r="Q495" s="875">
        <v>0</v>
      </c>
      <c r="R495" s="875">
        <v>0</v>
      </c>
      <c r="S495" s="875">
        <v>0</v>
      </c>
      <c r="T495" s="875">
        <v>0</v>
      </c>
      <c r="U495" s="875">
        <v>0</v>
      </c>
    </row>
    <row r="496" spans="1:21" s="717" customFormat="1" ht="15.6">
      <c r="A496" s="823" t="s">
        <v>13</v>
      </c>
      <c r="B496" s="824"/>
      <c r="C496" s="716">
        <v>0</v>
      </c>
      <c r="D496" s="716">
        <v>0</v>
      </c>
      <c r="E496" s="716">
        <v>0</v>
      </c>
      <c r="F496" s="716">
        <v>0</v>
      </c>
      <c r="G496" s="716">
        <v>0</v>
      </c>
      <c r="H496" s="716">
        <v>0</v>
      </c>
      <c r="I496" s="716">
        <v>0</v>
      </c>
      <c r="J496" s="716">
        <v>0</v>
      </c>
      <c r="K496" s="716">
        <v>0</v>
      </c>
      <c r="L496" s="716">
        <v>0</v>
      </c>
      <c r="M496" s="716">
        <v>0</v>
      </c>
      <c r="N496" s="716">
        <v>0</v>
      </c>
      <c r="O496" s="716">
        <v>0</v>
      </c>
      <c r="P496" s="716">
        <v>0</v>
      </c>
      <c r="Q496" s="716">
        <v>0</v>
      </c>
      <c r="R496" s="716">
        <v>0</v>
      </c>
      <c r="S496" s="716">
        <v>0</v>
      </c>
      <c r="T496" s="716">
        <v>0</v>
      </c>
      <c r="U496" s="716">
        <v>0</v>
      </c>
    </row>
    <row r="497" spans="1:21">
      <c r="A497" s="825" t="s">
        <v>151</v>
      </c>
      <c r="B497" s="746"/>
      <c r="C497" s="875">
        <v>0</v>
      </c>
      <c r="D497" s="875">
        <v>0</v>
      </c>
      <c r="E497" s="875">
        <v>0</v>
      </c>
      <c r="F497" s="875">
        <v>119000</v>
      </c>
      <c r="G497" s="875">
        <v>20000</v>
      </c>
      <c r="H497" s="875">
        <v>41998</v>
      </c>
      <c r="I497" s="875">
        <v>0</v>
      </c>
      <c r="J497" s="875">
        <v>0</v>
      </c>
      <c r="K497" s="875">
        <v>0</v>
      </c>
      <c r="L497" s="875">
        <v>20000</v>
      </c>
      <c r="M497" s="875">
        <v>88000</v>
      </c>
      <c r="N497" s="875">
        <v>19498</v>
      </c>
      <c r="O497" s="875">
        <v>0</v>
      </c>
      <c r="P497" s="875">
        <v>0</v>
      </c>
      <c r="Q497" s="875">
        <v>0</v>
      </c>
      <c r="R497" s="875">
        <v>0</v>
      </c>
      <c r="S497" s="875">
        <v>100998</v>
      </c>
      <c r="T497" s="875">
        <v>0</v>
      </c>
      <c r="U497" s="875">
        <v>0</v>
      </c>
    </row>
    <row r="498" spans="1:21" s="718" customFormat="1" ht="15.6">
      <c r="A498" s="826" t="s">
        <v>13</v>
      </c>
      <c r="B498" s="827"/>
      <c r="C498" s="716">
        <v>409494</v>
      </c>
      <c r="D498" s="716">
        <v>409494</v>
      </c>
      <c r="E498" s="716">
        <v>409494</v>
      </c>
      <c r="F498" s="716">
        <v>409494</v>
      </c>
      <c r="G498" s="716">
        <v>290494</v>
      </c>
      <c r="H498" s="716">
        <v>270494</v>
      </c>
      <c r="I498" s="716">
        <v>228496</v>
      </c>
      <c r="J498" s="716">
        <v>228496</v>
      </c>
      <c r="K498" s="716">
        <v>228496</v>
      </c>
      <c r="L498" s="716">
        <v>228496</v>
      </c>
      <c r="M498" s="716">
        <v>208496</v>
      </c>
      <c r="N498" s="716">
        <v>120496</v>
      </c>
      <c r="O498" s="716">
        <v>100998</v>
      </c>
      <c r="P498" s="716">
        <v>100998</v>
      </c>
      <c r="Q498" s="716">
        <v>100998</v>
      </c>
      <c r="R498" s="716">
        <v>100998</v>
      </c>
      <c r="S498" s="716">
        <v>100998</v>
      </c>
      <c r="T498" s="716">
        <v>0</v>
      </c>
      <c r="U498" s="716">
        <v>0</v>
      </c>
    </row>
    <row r="499" spans="1:21" s="426" customFormat="1">
      <c r="A499" s="29"/>
      <c r="B499" s="748"/>
      <c r="C499" s="719"/>
      <c r="D499" s="719"/>
      <c r="E499" s="719"/>
      <c r="F499" s="719"/>
      <c r="G499" s="719"/>
      <c r="H499" s="719"/>
      <c r="I499" s="719"/>
      <c r="J499" s="719"/>
      <c r="K499" s="719"/>
      <c r="L499" s="719"/>
      <c r="M499" s="719"/>
      <c r="N499" s="719"/>
      <c r="O499" s="719"/>
      <c r="P499" s="719"/>
      <c r="Q499" s="719"/>
      <c r="R499" s="719"/>
      <c r="S499" s="719"/>
      <c r="T499" s="719"/>
      <c r="U499" s="719"/>
    </row>
    <row r="500" spans="1:21">
      <c r="A500" s="28" t="s">
        <v>107</v>
      </c>
      <c r="B500" s="746" t="s">
        <v>300</v>
      </c>
      <c r="C500" s="875">
        <v>0</v>
      </c>
      <c r="D500" s="875">
        <v>0</v>
      </c>
      <c r="E500" s="875">
        <v>0</v>
      </c>
      <c r="F500" s="875">
        <v>0</v>
      </c>
      <c r="G500" s="875">
        <v>0</v>
      </c>
      <c r="H500" s="875">
        <v>250000</v>
      </c>
      <c r="I500" s="875">
        <v>0</v>
      </c>
      <c r="J500" s="875">
        <v>0</v>
      </c>
      <c r="K500" s="875">
        <v>0</v>
      </c>
      <c r="L500" s="875">
        <v>0</v>
      </c>
      <c r="M500" s="875">
        <v>0</v>
      </c>
      <c r="N500" s="875">
        <v>0</v>
      </c>
      <c r="O500" s="875">
        <v>0</v>
      </c>
      <c r="P500" s="875">
        <v>0</v>
      </c>
      <c r="Q500" s="875">
        <v>0</v>
      </c>
      <c r="R500" s="875">
        <v>250000</v>
      </c>
      <c r="S500" s="875">
        <v>0</v>
      </c>
      <c r="T500" s="875">
        <v>0</v>
      </c>
      <c r="U500" s="875">
        <v>0</v>
      </c>
    </row>
    <row r="501" spans="1:21" s="426" customFormat="1">
      <c r="A501" s="828" t="s">
        <v>108</v>
      </c>
      <c r="B501" s="792"/>
      <c r="C501" s="702">
        <v>500000</v>
      </c>
      <c r="D501" s="702">
        <v>500000</v>
      </c>
      <c r="E501" s="702">
        <v>500000</v>
      </c>
      <c r="F501" s="702">
        <v>500000</v>
      </c>
      <c r="G501" s="702">
        <v>500000</v>
      </c>
      <c r="H501" s="702">
        <v>500000</v>
      </c>
      <c r="I501" s="702">
        <v>250000</v>
      </c>
      <c r="J501" s="702">
        <v>250000</v>
      </c>
      <c r="K501" s="702">
        <v>250000</v>
      </c>
      <c r="L501" s="702">
        <v>250000</v>
      </c>
      <c r="M501" s="702">
        <v>250000</v>
      </c>
      <c r="N501" s="702">
        <v>250000</v>
      </c>
      <c r="O501" s="702">
        <v>250000</v>
      </c>
      <c r="P501" s="702">
        <v>250000</v>
      </c>
      <c r="Q501" s="702">
        <v>250000</v>
      </c>
      <c r="R501" s="702">
        <v>250000</v>
      </c>
      <c r="S501" s="702">
        <v>0</v>
      </c>
      <c r="T501" s="702">
        <v>0</v>
      </c>
      <c r="U501" s="702">
        <v>0</v>
      </c>
    </row>
    <row r="502" spans="1:21" s="426" customFormat="1">
      <c r="A502" s="29"/>
      <c r="B502" s="748"/>
      <c r="C502" s="891"/>
      <c r="D502" s="891"/>
      <c r="E502" s="891"/>
      <c r="F502" s="891"/>
      <c r="G502" s="891"/>
      <c r="H502" s="891"/>
      <c r="I502" s="891"/>
      <c r="J502" s="891"/>
      <c r="K502" s="891"/>
      <c r="L502" s="891"/>
      <c r="M502" s="891"/>
      <c r="N502" s="891"/>
      <c r="O502" s="891"/>
      <c r="P502" s="891"/>
      <c r="Q502" s="891"/>
      <c r="R502" s="891"/>
      <c r="S502" s="891"/>
      <c r="T502" s="891"/>
      <c r="U502" s="891"/>
    </row>
    <row r="503" spans="1:21" s="426" customFormat="1">
      <c r="A503" s="29" t="s">
        <v>97</v>
      </c>
      <c r="B503" s="748"/>
      <c r="C503" s="891"/>
      <c r="D503" s="891"/>
      <c r="E503" s="891"/>
      <c r="F503" s="891"/>
      <c r="G503" s="891"/>
      <c r="H503" s="891"/>
      <c r="I503" s="891"/>
      <c r="J503" s="891"/>
      <c r="K503" s="891"/>
      <c r="L503" s="891"/>
      <c r="M503" s="891"/>
      <c r="N503" s="891"/>
      <c r="O503" s="891"/>
      <c r="P503" s="891"/>
      <c r="Q503" s="891"/>
      <c r="R503" s="891"/>
      <c r="S503" s="891"/>
      <c r="T503" s="891"/>
      <c r="U503" s="891"/>
    </row>
    <row r="504" spans="1:21">
      <c r="A504" s="28" t="s">
        <v>24</v>
      </c>
      <c r="B504" s="746" t="s">
        <v>301</v>
      </c>
      <c r="C504" s="875">
        <v>0</v>
      </c>
      <c r="D504" s="875">
        <v>0</v>
      </c>
      <c r="E504" s="875">
        <v>0</v>
      </c>
      <c r="F504" s="875">
        <v>0</v>
      </c>
      <c r="G504" s="875">
        <v>0</v>
      </c>
      <c r="H504" s="875">
        <v>0</v>
      </c>
      <c r="I504" s="875">
        <v>0</v>
      </c>
      <c r="J504" s="875">
        <v>0</v>
      </c>
      <c r="K504" s="875">
        <v>0</v>
      </c>
      <c r="L504" s="875">
        <v>0</v>
      </c>
      <c r="M504" s="875">
        <v>0</v>
      </c>
      <c r="N504" s="875">
        <v>0</v>
      </c>
      <c r="O504" s="875">
        <v>0</v>
      </c>
      <c r="P504" s="875">
        <v>0</v>
      </c>
      <c r="Q504" s="875">
        <v>0</v>
      </c>
      <c r="R504" s="875">
        <v>0</v>
      </c>
      <c r="S504" s="875">
        <v>0</v>
      </c>
      <c r="T504" s="875">
        <v>0</v>
      </c>
      <c r="U504" s="875">
        <v>0</v>
      </c>
    </row>
    <row r="505" spans="1:21" s="712" customFormat="1">
      <c r="A505" s="819" t="s">
        <v>13</v>
      </c>
      <c r="B505" s="780"/>
      <c r="C505" s="702">
        <v>0</v>
      </c>
      <c r="D505" s="702">
        <v>0</v>
      </c>
      <c r="E505" s="702">
        <v>0</v>
      </c>
      <c r="F505" s="702">
        <v>0</v>
      </c>
      <c r="G505" s="702">
        <v>0</v>
      </c>
      <c r="H505" s="702">
        <v>0</v>
      </c>
      <c r="I505" s="702">
        <v>0</v>
      </c>
      <c r="J505" s="702">
        <v>0</v>
      </c>
      <c r="K505" s="702">
        <v>0</v>
      </c>
      <c r="L505" s="702">
        <v>0</v>
      </c>
      <c r="M505" s="702">
        <v>0</v>
      </c>
      <c r="N505" s="702">
        <v>0</v>
      </c>
      <c r="O505" s="702">
        <v>0</v>
      </c>
      <c r="P505" s="702">
        <v>0</v>
      </c>
      <c r="Q505" s="702">
        <v>0</v>
      </c>
      <c r="R505" s="702">
        <v>0</v>
      </c>
      <c r="S505" s="702">
        <v>0</v>
      </c>
      <c r="T505" s="702">
        <v>0</v>
      </c>
      <c r="U505" s="702">
        <v>0</v>
      </c>
    </row>
    <row r="506" spans="1:21">
      <c r="A506" s="28" t="s">
        <v>138</v>
      </c>
      <c r="B506" s="746" t="s">
        <v>302</v>
      </c>
      <c r="C506" s="875">
        <v>0</v>
      </c>
      <c r="D506" s="875">
        <v>0</v>
      </c>
      <c r="E506" s="875">
        <v>102400</v>
      </c>
      <c r="F506" s="875">
        <v>0</v>
      </c>
      <c r="G506" s="875">
        <v>0</v>
      </c>
      <c r="H506" s="875">
        <v>0</v>
      </c>
      <c r="I506" s="875">
        <v>0</v>
      </c>
      <c r="J506" s="875">
        <v>103000</v>
      </c>
      <c r="K506" s="875">
        <v>0</v>
      </c>
      <c r="L506" s="875">
        <v>0</v>
      </c>
      <c r="M506" s="875">
        <v>0</v>
      </c>
      <c r="N506" s="875">
        <v>52400</v>
      </c>
      <c r="O506" s="875">
        <v>0</v>
      </c>
      <c r="P506" s="875">
        <v>0</v>
      </c>
      <c r="Q506" s="875">
        <v>103000</v>
      </c>
      <c r="R506" s="875">
        <v>0</v>
      </c>
      <c r="S506" s="875">
        <v>53000</v>
      </c>
      <c r="T506" s="875">
        <v>0</v>
      </c>
      <c r="U506" s="875">
        <v>0</v>
      </c>
    </row>
    <row r="507" spans="1:21" s="712" customFormat="1">
      <c r="A507" s="819" t="s">
        <v>13</v>
      </c>
      <c r="B507" s="780"/>
      <c r="C507" s="702">
        <v>413800</v>
      </c>
      <c r="D507" s="702">
        <v>413800</v>
      </c>
      <c r="E507" s="702">
        <v>413800</v>
      </c>
      <c r="F507" s="702">
        <v>311400</v>
      </c>
      <c r="G507" s="702">
        <v>311400</v>
      </c>
      <c r="H507" s="702">
        <v>311400</v>
      </c>
      <c r="I507" s="702">
        <v>311400</v>
      </c>
      <c r="J507" s="702">
        <v>311400</v>
      </c>
      <c r="K507" s="702">
        <v>208400</v>
      </c>
      <c r="L507" s="702">
        <v>208400</v>
      </c>
      <c r="M507" s="702">
        <v>208400</v>
      </c>
      <c r="N507" s="702">
        <v>208400</v>
      </c>
      <c r="O507" s="702">
        <v>156000</v>
      </c>
      <c r="P507" s="702">
        <v>156000</v>
      </c>
      <c r="Q507" s="702">
        <v>156000</v>
      </c>
      <c r="R507" s="702">
        <v>53000</v>
      </c>
      <c r="S507" s="702">
        <v>53000</v>
      </c>
      <c r="T507" s="702">
        <v>0</v>
      </c>
      <c r="U507" s="702">
        <v>0</v>
      </c>
    </row>
    <row r="508" spans="1:21" s="712" customFormat="1">
      <c r="A508" s="1173"/>
      <c r="B508" s="780"/>
      <c r="C508" s="1154"/>
      <c r="D508" s="1154"/>
      <c r="E508" s="1154"/>
      <c r="F508" s="1154"/>
      <c r="G508" s="1154"/>
      <c r="H508" s="1154"/>
      <c r="I508" s="1154"/>
      <c r="J508" s="1154"/>
      <c r="K508" s="1154"/>
      <c r="L508" s="1154"/>
      <c r="M508" s="1154"/>
      <c r="N508" s="1154"/>
      <c r="O508" s="1154"/>
      <c r="P508" s="1154"/>
      <c r="Q508" s="1154"/>
      <c r="R508" s="1154"/>
      <c r="S508" s="1154"/>
      <c r="T508" s="1154"/>
      <c r="U508" s="1154"/>
    </row>
    <row r="509" spans="1:21" s="712" customFormat="1">
      <c r="A509" s="1173"/>
      <c r="B509" s="780"/>
      <c r="C509" s="702">
        <v>0</v>
      </c>
      <c r="D509" s="702">
        <v>0</v>
      </c>
      <c r="E509" s="702">
        <v>0</v>
      </c>
      <c r="F509" s="702">
        <v>0</v>
      </c>
      <c r="G509" s="702">
        <v>0</v>
      </c>
      <c r="H509" s="702">
        <v>0</v>
      </c>
      <c r="I509" s="702">
        <v>0</v>
      </c>
      <c r="J509" s="702">
        <v>0</v>
      </c>
      <c r="K509" s="702">
        <v>0</v>
      </c>
      <c r="L509" s="702">
        <v>0</v>
      </c>
      <c r="M509" s="702">
        <v>0</v>
      </c>
      <c r="N509" s="702">
        <v>0</v>
      </c>
      <c r="O509" s="702">
        <v>0</v>
      </c>
      <c r="P509" s="702">
        <v>0</v>
      </c>
      <c r="Q509" s="702">
        <v>0</v>
      </c>
      <c r="R509" s="702"/>
      <c r="S509" s="702"/>
      <c r="T509" s="702"/>
      <c r="U509" s="702"/>
    </row>
    <row r="510" spans="1:21">
      <c r="A510" s="28" t="s">
        <v>139</v>
      </c>
      <c r="B510" s="746" t="s">
        <v>303</v>
      </c>
      <c r="C510" s="875">
        <v>0</v>
      </c>
      <c r="D510" s="875">
        <v>0</v>
      </c>
      <c r="E510" s="875">
        <v>0</v>
      </c>
      <c r="F510" s="875">
        <v>0</v>
      </c>
      <c r="G510" s="875">
        <v>0</v>
      </c>
      <c r="H510" s="875">
        <v>0</v>
      </c>
      <c r="I510" s="875">
        <v>0</v>
      </c>
      <c r="J510" s="875">
        <v>0</v>
      </c>
      <c r="K510" s="875">
        <v>0</v>
      </c>
      <c r="L510" s="875">
        <v>0</v>
      </c>
      <c r="M510" s="875">
        <v>0</v>
      </c>
      <c r="N510" s="875">
        <v>0</v>
      </c>
      <c r="O510" s="875">
        <v>0</v>
      </c>
      <c r="P510" s="875">
        <v>0</v>
      </c>
      <c r="Q510" s="875">
        <v>0</v>
      </c>
      <c r="R510" s="875">
        <v>0</v>
      </c>
      <c r="S510" s="875">
        <v>0</v>
      </c>
      <c r="T510" s="875">
        <v>0</v>
      </c>
      <c r="U510" s="875">
        <v>0</v>
      </c>
    </row>
    <row r="511" spans="1:21" s="712" customFormat="1">
      <c r="A511" s="819" t="s">
        <v>13</v>
      </c>
      <c r="B511" s="780"/>
      <c r="C511" s="702">
        <v>0</v>
      </c>
      <c r="D511" s="702">
        <v>0</v>
      </c>
      <c r="E511" s="702">
        <v>0</v>
      </c>
      <c r="F511" s="702">
        <v>0</v>
      </c>
      <c r="G511" s="702">
        <v>0</v>
      </c>
      <c r="H511" s="702">
        <v>0</v>
      </c>
      <c r="I511" s="702">
        <v>0</v>
      </c>
      <c r="J511" s="702">
        <v>0</v>
      </c>
      <c r="K511" s="702">
        <v>0</v>
      </c>
      <c r="L511" s="702">
        <v>0</v>
      </c>
      <c r="M511" s="702">
        <v>0</v>
      </c>
      <c r="N511" s="702">
        <v>0</v>
      </c>
      <c r="O511" s="702">
        <v>0</v>
      </c>
      <c r="P511" s="702">
        <v>0</v>
      </c>
      <c r="Q511" s="702">
        <v>0</v>
      </c>
      <c r="R511" s="702">
        <v>0</v>
      </c>
      <c r="S511" s="702">
        <v>0</v>
      </c>
      <c r="T511" s="702">
        <v>0</v>
      </c>
      <c r="U511" s="702">
        <v>0</v>
      </c>
    </row>
    <row r="512" spans="1:21" s="712" customFormat="1">
      <c r="A512" s="820" t="s">
        <v>172</v>
      </c>
      <c r="B512" s="780" t="s">
        <v>304</v>
      </c>
      <c r="C512" s="889">
        <v>0</v>
      </c>
      <c r="D512" s="889">
        <v>0</v>
      </c>
      <c r="E512" s="889">
        <v>0</v>
      </c>
      <c r="F512" s="889">
        <v>0</v>
      </c>
      <c r="G512" s="889">
        <v>0</v>
      </c>
      <c r="H512" s="889">
        <v>0</v>
      </c>
      <c r="I512" s="889">
        <v>0</v>
      </c>
      <c r="J512" s="889">
        <v>0</v>
      </c>
      <c r="K512" s="889">
        <v>0</v>
      </c>
      <c r="L512" s="889">
        <v>0</v>
      </c>
      <c r="M512" s="889">
        <v>0</v>
      </c>
      <c r="N512" s="889">
        <v>0</v>
      </c>
      <c r="O512" s="889">
        <v>0</v>
      </c>
      <c r="P512" s="889">
        <v>0</v>
      </c>
      <c r="Q512" s="889">
        <v>0</v>
      </c>
      <c r="R512" s="889">
        <v>0</v>
      </c>
      <c r="S512" s="889">
        <v>0</v>
      </c>
      <c r="T512" s="889">
        <v>0</v>
      </c>
      <c r="U512" s="889">
        <v>0</v>
      </c>
    </row>
    <row r="513" spans="1:21" s="712" customFormat="1">
      <c r="A513" s="819" t="s">
        <v>13</v>
      </c>
      <c r="B513" s="780"/>
      <c r="C513" s="702">
        <v>0</v>
      </c>
      <c r="D513" s="702">
        <v>0</v>
      </c>
      <c r="E513" s="702">
        <v>0</v>
      </c>
      <c r="F513" s="702">
        <v>0</v>
      </c>
      <c r="G513" s="702">
        <v>0</v>
      </c>
      <c r="H513" s="702">
        <v>0</v>
      </c>
      <c r="I513" s="702">
        <v>0</v>
      </c>
      <c r="J513" s="702">
        <v>0</v>
      </c>
      <c r="K513" s="702">
        <v>0</v>
      </c>
      <c r="L513" s="702">
        <v>0</v>
      </c>
      <c r="M513" s="702">
        <v>0</v>
      </c>
      <c r="N513" s="702">
        <v>0</v>
      </c>
      <c r="O513" s="702">
        <v>0</v>
      </c>
      <c r="P513" s="702">
        <v>0</v>
      </c>
      <c r="Q513" s="702">
        <v>0</v>
      </c>
      <c r="R513" s="702">
        <v>0</v>
      </c>
      <c r="S513" s="702">
        <v>0</v>
      </c>
      <c r="T513" s="702">
        <v>0</v>
      </c>
      <c r="U513" s="702">
        <v>0</v>
      </c>
    </row>
    <row r="514" spans="1:21" s="712" customFormat="1">
      <c r="A514" s="820" t="s">
        <v>193</v>
      </c>
      <c r="B514" s="780" t="s">
        <v>305</v>
      </c>
      <c r="C514" s="889">
        <v>0</v>
      </c>
      <c r="D514" s="889">
        <v>0</v>
      </c>
      <c r="E514" s="889">
        <v>0</v>
      </c>
      <c r="F514" s="889">
        <v>0</v>
      </c>
      <c r="G514" s="889">
        <v>0</v>
      </c>
      <c r="H514" s="889">
        <v>0</v>
      </c>
      <c r="I514" s="889">
        <v>0</v>
      </c>
      <c r="J514" s="889">
        <v>0</v>
      </c>
      <c r="K514" s="889">
        <v>0</v>
      </c>
      <c r="L514" s="889">
        <v>0</v>
      </c>
      <c r="M514" s="889">
        <v>0</v>
      </c>
      <c r="N514" s="889">
        <v>0</v>
      </c>
      <c r="O514" s="889">
        <v>0</v>
      </c>
      <c r="P514" s="889">
        <v>0</v>
      </c>
      <c r="Q514" s="889">
        <v>0</v>
      </c>
      <c r="R514" s="889">
        <v>0</v>
      </c>
      <c r="S514" s="889">
        <v>0</v>
      </c>
      <c r="T514" s="889">
        <v>0</v>
      </c>
      <c r="U514" s="889">
        <v>0</v>
      </c>
    </row>
    <row r="515" spans="1:21" s="712" customFormat="1">
      <c r="A515" s="819" t="s">
        <v>13</v>
      </c>
      <c r="B515" s="780"/>
      <c r="C515" s="702">
        <v>0</v>
      </c>
      <c r="D515" s="702">
        <v>0</v>
      </c>
      <c r="E515" s="702">
        <v>0</v>
      </c>
      <c r="F515" s="702">
        <v>0</v>
      </c>
      <c r="G515" s="702">
        <v>0</v>
      </c>
      <c r="H515" s="702">
        <v>0</v>
      </c>
      <c r="I515" s="702">
        <v>0</v>
      </c>
      <c r="J515" s="702">
        <v>0</v>
      </c>
      <c r="K515" s="702">
        <v>0</v>
      </c>
      <c r="L515" s="702">
        <v>0</v>
      </c>
      <c r="M515" s="702">
        <v>0</v>
      </c>
      <c r="N515" s="702">
        <v>0</v>
      </c>
      <c r="O515" s="702">
        <v>0</v>
      </c>
      <c r="P515" s="702">
        <v>0</v>
      </c>
      <c r="Q515" s="702">
        <v>0</v>
      </c>
      <c r="R515" s="702">
        <v>0</v>
      </c>
      <c r="S515" s="702">
        <v>0</v>
      </c>
      <c r="T515" s="702">
        <v>0</v>
      </c>
      <c r="U515" s="702">
        <v>0</v>
      </c>
    </row>
    <row r="516" spans="1:21" s="712" customFormat="1">
      <c r="A516" s="1173"/>
      <c r="B516" s="780"/>
      <c r="C516" s="1154"/>
      <c r="D516" s="1154"/>
      <c r="E516" s="1154"/>
      <c r="F516" s="1154"/>
      <c r="G516" s="1154"/>
      <c r="H516" s="1154"/>
      <c r="I516" s="1154"/>
      <c r="J516" s="1154"/>
      <c r="K516" s="1154"/>
      <c r="L516" s="1154"/>
      <c r="M516" s="1154"/>
      <c r="N516" s="1154"/>
      <c r="O516" s="1154"/>
      <c r="P516" s="1154"/>
      <c r="Q516" s="1154"/>
      <c r="R516" s="1154"/>
      <c r="S516" s="1154"/>
      <c r="T516" s="1154"/>
      <c r="U516" s="1154"/>
    </row>
    <row r="517" spans="1:21" s="712" customFormat="1">
      <c r="A517" s="1173"/>
      <c r="B517" s="780"/>
      <c r="C517" s="702">
        <v>0</v>
      </c>
      <c r="D517" s="702">
        <v>0</v>
      </c>
      <c r="E517" s="702">
        <v>0</v>
      </c>
      <c r="F517" s="702">
        <v>0</v>
      </c>
      <c r="G517" s="702">
        <v>0</v>
      </c>
      <c r="H517" s="702">
        <v>0</v>
      </c>
      <c r="I517" s="702">
        <v>0</v>
      </c>
      <c r="J517" s="702">
        <v>0</v>
      </c>
      <c r="K517" s="702">
        <v>0</v>
      </c>
      <c r="L517" s="702">
        <v>0</v>
      </c>
      <c r="M517" s="702">
        <v>0</v>
      </c>
      <c r="N517" s="702">
        <v>0</v>
      </c>
      <c r="O517" s="702">
        <v>0</v>
      </c>
      <c r="P517" s="702">
        <v>0</v>
      </c>
      <c r="Q517" s="702">
        <v>0</v>
      </c>
      <c r="R517" s="702"/>
      <c r="S517" s="702"/>
      <c r="T517" s="702"/>
      <c r="U517" s="702"/>
    </row>
    <row r="518" spans="1:21" s="712" customFormat="1">
      <c r="A518" s="1173"/>
      <c r="B518" s="780"/>
      <c r="C518" s="1154"/>
      <c r="D518" s="1154"/>
      <c r="E518" s="1154"/>
      <c r="F518" s="1154"/>
      <c r="G518" s="1154"/>
      <c r="H518" s="1154"/>
      <c r="I518" s="1154"/>
      <c r="J518" s="1154"/>
      <c r="K518" s="1154"/>
      <c r="L518" s="1154"/>
      <c r="M518" s="1154"/>
      <c r="N518" s="1154"/>
      <c r="O518" s="1154"/>
      <c r="P518" s="1154"/>
      <c r="Q518" s="1154"/>
      <c r="R518" s="1154"/>
      <c r="S518" s="1154"/>
      <c r="T518" s="1154"/>
      <c r="U518" s="1154"/>
    </row>
    <row r="519" spans="1:21" s="712" customFormat="1">
      <c r="A519" s="1173"/>
      <c r="B519" s="780"/>
      <c r="C519" s="702">
        <v>0</v>
      </c>
      <c r="D519" s="702">
        <v>0</v>
      </c>
      <c r="E519" s="702">
        <v>0</v>
      </c>
      <c r="F519" s="702">
        <v>0</v>
      </c>
      <c r="G519" s="702">
        <v>0</v>
      </c>
      <c r="H519" s="702">
        <v>0</v>
      </c>
      <c r="I519" s="702">
        <v>0</v>
      </c>
      <c r="J519" s="702">
        <v>0</v>
      </c>
      <c r="K519" s="702">
        <v>0</v>
      </c>
      <c r="L519" s="702">
        <v>0</v>
      </c>
      <c r="M519" s="702">
        <v>0</v>
      </c>
      <c r="N519" s="702">
        <v>0</v>
      </c>
      <c r="O519" s="702">
        <v>0</v>
      </c>
      <c r="P519" s="702">
        <v>0</v>
      </c>
      <c r="Q519" s="702">
        <v>0</v>
      </c>
      <c r="R519" s="702"/>
      <c r="S519" s="702"/>
      <c r="T519" s="702"/>
      <c r="U519" s="702"/>
    </row>
    <row r="520" spans="1:21" s="712" customFormat="1">
      <c r="A520" s="1173"/>
      <c r="B520" s="780"/>
      <c r="C520" s="1154"/>
      <c r="D520" s="1154"/>
      <c r="E520" s="1154"/>
      <c r="F520" s="1154"/>
      <c r="G520" s="1154"/>
      <c r="H520" s="1154"/>
      <c r="I520" s="1154"/>
      <c r="J520" s="1154"/>
      <c r="K520" s="1154"/>
      <c r="L520" s="1154"/>
      <c r="M520" s="1154"/>
      <c r="N520" s="1154"/>
      <c r="O520" s="1154"/>
      <c r="P520" s="1154"/>
      <c r="Q520" s="1154"/>
      <c r="R520" s="1154"/>
      <c r="S520" s="1154"/>
      <c r="T520" s="1154"/>
      <c r="U520" s="1154"/>
    </row>
    <row r="521" spans="1:21" s="712" customFormat="1">
      <c r="A521" s="1173"/>
      <c r="B521" s="780"/>
      <c r="C521" s="702">
        <v>0</v>
      </c>
      <c r="D521" s="702">
        <v>0</v>
      </c>
      <c r="E521" s="702">
        <v>0</v>
      </c>
      <c r="F521" s="702">
        <v>0</v>
      </c>
      <c r="G521" s="702">
        <v>0</v>
      </c>
      <c r="H521" s="702">
        <v>0</v>
      </c>
      <c r="I521" s="702">
        <v>0</v>
      </c>
      <c r="J521" s="702">
        <v>0</v>
      </c>
      <c r="K521" s="702">
        <v>0</v>
      </c>
      <c r="L521" s="702">
        <v>0</v>
      </c>
      <c r="M521" s="702">
        <v>0</v>
      </c>
      <c r="N521" s="702">
        <v>0</v>
      </c>
      <c r="O521" s="702">
        <v>0</v>
      </c>
      <c r="P521" s="702">
        <v>0</v>
      </c>
      <c r="Q521" s="702">
        <v>0</v>
      </c>
      <c r="R521" s="702"/>
      <c r="S521" s="702"/>
      <c r="T521" s="702"/>
      <c r="U521" s="702"/>
    </row>
    <row r="522" spans="1:21">
      <c r="A522" s="825" t="s">
        <v>151</v>
      </c>
      <c r="B522" s="746"/>
      <c r="C522" s="875">
        <v>0</v>
      </c>
      <c r="D522" s="875">
        <v>0</v>
      </c>
      <c r="E522" s="875">
        <v>102400</v>
      </c>
      <c r="F522" s="875">
        <v>0</v>
      </c>
      <c r="G522" s="875">
        <v>0</v>
      </c>
      <c r="H522" s="875">
        <v>0</v>
      </c>
      <c r="I522" s="875">
        <v>0</v>
      </c>
      <c r="J522" s="875">
        <v>103000</v>
      </c>
      <c r="K522" s="875">
        <v>0</v>
      </c>
      <c r="L522" s="875">
        <v>0</v>
      </c>
      <c r="M522" s="875">
        <v>0</v>
      </c>
      <c r="N522" s="875">
        <v>52400</v>
      </c>
      <c r="O522" s="875">
        <v>0</v>
      </c>
      <c r="P522" s="875">
        <v>0</v>
      </c>
      <c r="Q522" s="875">
        <v>103000</v>
      </c>
      <c r="R522" s="875">
        <v>0</v>
      </c>
      <c r="S522" s="875">
        <v>53000</v>
      </c>
      <c r="T522" s="875">
        <v>0</v>
      </c>
      <c r="U522" s="875">
        <v>0</v>
      </c>
    </row>
    <row r="523" spans="1:21" s="426" customFormat="1">
      <c r="A523" s="821" t="s">
        <v>13</v>
      </c>
      <c r="B523" s="792"/>
      <c r="C523" s="702">
        <v>413800</v>
      </c>
      <c r="D523" s="702">
        <v>413800</v>
      </c>
      <c r="E523" s="702">
        <v>413800</v>
      </c>
      <c r="F523" s="702">
        <v>311400</v>
      </c>
      <c r="G523" s="702">
        <v>311400</v>
      </c>
      <c r="H523" s="702">
        <v>311400</v>
      </c>
      <c r="I523" s="702">
        <v>311400</v>
      </c>
      <c r="J523" s="702">
        <v>311400</v>
      </c>
      <c r="K523" s="702">
        <v>208400</v>
      </c>
      <c r="L523" s="702">
        <v>208400</v>
      </c>
      <c r="M523" s="702">
        <v>208400</v>
      </c>
      <c r="N523" s="702">
        <v>208400</v>
      </c>
      <c r="O523" s="702">
        <v>156000</v>
      </c>
      <c r="P523" s="702">
        <v>156000</v>
      </c>
      <c r="Q523" s="702">
        <v>156000</v>
      </c>
      <c r="R523" s="702">
        <v>53000</v>
      </c>
      <c r="S523" s="702">
        <v>53000</v>
      </c>
      <c r="T523" s="702">
        <v>0</v>
      </c>
      <c r="U523" s="702">
        <v>0</v>
      </c>
    </row>
    <row r="524" spans="1:21" s="426" customFormat="1">
      <c r="A524" s="817"/>
      <c r="B524" s="748"/>
      <c r="C524" s="879"/>
      <c r="D524" s="879"/>
      <c r="E524" s="879"/>
      <c r="F524" s="879"/>
      <c r="G524" s="879"/>
      <c r="H524" s="879"/>
      <c r="I524" s="879"/>
      <c r="J524" s="879"/>
      <c r="K524" s="879"/>
      <c r="L524" s="879"/>
      <c r="M524" s="879"/>
      <c r="N524" s="879"/>
      <c r="O524" s="879"/>
      <c r="P524" s="879"/>
      <c r="Q524" s="879"/>
      <c r="R524" s="879"/>
      <c r="S524" s="879"/>
      <c r="T524" s="879"/>
      <c r="U524" s="879"/>
    </row>
    <row r="525" spans="1:21" s="426" customFormat="1">
      <c r="A525" s="817" t="s">
        <v>140</v>
      </c>
      <c r="B525" s="748"/>
      <c r="C525" s="879"/>
      <c r="D525" s="879"/>
      <c r="E525" s="879"/>
      <c r="F525" s="879"/>
      <c r="G525" s="879"/>
      <c r="H525" s="879"/>
      <c r="I525" s="879"/>
      <c r="J525" s="879"/>
      <c r="K525" s="879"/>
      <c r="L525" s="879"/>
      <c r="M525" s="879"/>
      <c r="N525" s="879"/>
      <c r="O525" s="879"/>
      <c r="P525" s="879"/>
      <c r="Q525" s="879"/>
      <c r="R525" s="879"/>
      <c r="S525" s="879"/>
      <c r="T525" s="879"/>
      <c r="U525" s="879"/>
    </row>
    <row r="526" spans="1:21" s="426" customFormat="1">
      <c r="A526" s="818" t="s">
        <v>141</v>
      </c>
      <c r="B526" s="746" t="s">
        <v>306</v>
      </c>
      <c r="C526" s="888">
        <v>0</v>
      </c>
      <c r="D526" s="888">
        <v>0</v>
      </c>
      <c r="E526" s="888">
        <v>0</v>
      </c>
      <c r="F526" s="888">
        <v>0</v>
      </c>
      <c r="G526" s="888">
        <v>0</v>
      </c>
      <c r="H526" s="888">
        <v>0</v>
      </c>
      <c r="I526" s="888">
        <v>0</v>
      </c>
      <c r="J526" s="888">
        <v>0</v>
      </c>
      <c r="K526" s="888">
        <v>0</v>
      </c>
      <c r="L526" s="888">
        <v>0</v>
      </c>
      <c r="M526" s="888">
        <v>0</v>
      </c>
      <c r="N526" s="888">
        <v>0</v>
      </c>
      <c r="O526" s="888">
        <v>0</v>
      </c>
      <c r="P526" s="888">
        <v>0</v>
      </c>
      <c r="Q526" s="888">
        <v>0</v>
      </c>
      <c r="R526" s="888">
        <v>0</v>
      </c>
      <c r="S526" s="888">
        <v>0</v>
      </c>
      <c r="T526" s="888">
        <v>0</v>
      </c>
      <c r="U526" s="888">
        <v>0</v>
      </c>
    </row>
    <row r="527" spans="1:21" s="426" customFormat="1">
      <c r="A527" s="829" t="s">
        <v>13</v>
      </c>
      <c r="B527" s="746"/>
      <c r="C527" s="702">
        <v>0</v>
      </c>
      <c r="D527" s="702">
        <v>0</v>
      </c>
      <c r="E527" s="702">
        <v>0</v>
      </c>
      <c r="F527" s="702">
        <v>0</v>
      </c>
      <c r="G527" s="702">
        <v>0</v>
      </c>
      <c r="H527" s="702">
        <v>0</v>
      </c>
      <c r="I527" s="702">
        <v>0</v>
      </c>
      <c r="J527" s="702">
        <v>0</v>
      </c>
      <c r="K527" s="702">
        <v>0</v>
      </c>
      <c r="L527" s="702">
        <v>0</v>
      </c>
      <c r="M527" s="702">
        <v>0</v>
      </c>
      <c r="N527" s="702">
        <v>0</v>
      </c>
      <c r="O527" s="702">
        <v>0</v>
      </c>
      <c r="P527" s="702">
        <v>0</v>
      </c>
      <c r="Q527" s="702">
        <v>0</v>
      </c>
      <c r="R527" s="702">
        <v>0</v>
      </c>
      <c r="S527" s="702">
        <v>0</v>
      </c>
      <c r="T527" s="702">
        <v>0</v>
      </c>
      <c r="U527" s="702">
        <v>0</v>
      </c>
    </row>
    <row r="528" spans="1:21" s="426" customFormat="1">
      <c r="A528" s="818" t="s">
        <v>142</v>
      </c>
      <c r="B528" s="746" t="s">
        <v>307</v>
      </c>
      <c r="C528" s="888">
        <v>0</v>
      </c>
      <c r="D528" s="888">
        <v>0</v>
      </c>
      <c r="E528" s="888">
        <v>0</v>
      </c>
      <c r="F528" s="888">
        <v>0</v>
      </c>
      <c r="G528" s="888">
        <v>0</v>
      </c>
      <c r="H528" s="888">
        <v>0</v>
      </c>
      <c r="I528" s="888">
        <v>0</v>
      </c>
      <c r="J528" s="888">
        <v>0</v>
      </c>
      <c r="K528" s="888">
        <v>0</v>
      </c>
      <c r="L528" s="888">
        <v>0</v>
      </c>
      <c r="M528" s="888">
        <v>0</v>
      </c>
      <c r="N528" s="888">
        <v>0</v>
      </c>
      <c r="O528" s="888">
        <v>0</v>
      </c>
      <c r="P528" s="888">
        <v>0</v>
      </c>
      <c r="Q528" s="888">
        <v>0</v>
      </c>
      <c r="R528" s="888">
        <v>0</v>
      </c>
      <c r="S528" s="888">
        <v>0</v>
      </c>
      <c r="T528" s="888">
        <v>0</v>
      </c>
      <c r="U528" s="888">
        <v>0</v>
      </c>
    </row>
    <row r="529" spans="1:21" s="426" customFormat="1">
      <c r="A529" s="829" t="s">
        <v>13</v>
      </c>
      <c r="B529" s="746"/>
      <c r="C529" s="702">
        <v>0</v>
      </c>
      <c r="D529" s="702">
        <v>0</v>
      </c>
      <c r="E529" s="702">
        <v>0</v>
      </c>
      <c r="F529" s="702">
        <v>0</v>
      </c>
      <c r="G529" s="702">
        <v>0</v>
      </c>
      <c r="H529" s="702">
        <v>0</v>
      </c>
      <c r="I529" s="702">
        <v>0</v>
      </c>
      <c r="J529" s="702">
        <v>0</v>
      </c>
      <c r="K529" s="702">
        <v>0</v>
      </c>
      <c r="L529" s="702">
        <v>0</v>
      </c>
      <c r="M529" s="702">
        <v>0</v>
      </c>
      <c r="N529" s="702">
        <v>0</v>
      </c>
      <c r="O529" s="702">
        <v>0</v>
      </c>
      <c r="P529" s="702">
        <v>0</v>
      </c>
      <c r="Q529" s="702">
        <v>0</v>
      </c>
      <c r="R529" s="702">
        <v>0</v>
      </c>
      <c r="S529" s="702">
        <v>0</v>
      </c>
      <c r="T529" s="702">
        <v>0</v>
      </c>
      <c r="U529" s="702">
        <v>0</v>
      </c>
    </row>
    <row r="530" spans="1:21" s="426" customFormat="1">
      <c r="A530" s="818" t="s">
        <v>143</v>
      </c>
      <c r="B530" s="746" t="s">
        <v>308</v>
      </c>
      <c r="C530" s="888">
        <v>0</v>
      </c>
      <c r="D530" s="888">
        <v>0</v>
      </c>
      <c r="E530" s="888">
        <v>0</v>
      </c>
      <c r="F530" s="888">
        <v>0</v>
      </c>
      <c r="G530" s="888">
        <v>0</v>
      </c>
      <c r="H530" s="888">
        <v>0</v>
      </c>
      <c r="I530" s="888">
        <v>0</v>
      </c>
      <c r="J530" s="888">
        <v>0</v>
      </c>
      <c r="K530" s="888">
        <v>0</v>
      </c>
      <c r="L530" s="888">
        <v>0</v>
      </c>
      <c r="M530" s="888">
        <v>0</v>
      </c>
      <c r="N530" s="888">
        <v>0</v>
      </c>
      <c r="O530" s="888">
        <v>0</v>
      </c>
      <c r="P530" s="888">
        <v>0</v>
      </c>
      <c r="Q530" s="888">
        <v>0</v>
      </c>
      <c r="R530" s="888">
        <v>0</v>
      </c>
      <c r="S530" s="888">
        <v>0</v>
      </c>
      <c r="T530" s="888">
        <v>0</v>
      </c>
      <c r="U530" s="888">
        <v>0</v>
      </c>
    </row>
    <row r="531" spans="1:21" s="426" customFormat="1">
      <c r="A531" s="829" t="s">
        <v>13</v>
      </c>
      <c r="B531" s="746"/>
      <c r="C531" s="702">
        <v>0</v>
      </c>
      <c r="D531" s="702">
        <v>0</v>
      </c>
      <c r="E531" s="702">
        <v>0</v>
      </c>
      <c r="F531" s="702">
        <v>0</v>
      </c>
      <c r="G531" s="702">
        <v>0</v>
      </c>
      <c r="H531" s="702">
        <v>0</v>
      </c>
      <c r="I531" s="702">
        <v>0</v>
      </c>
      <c r="J531" s="702">
        <v>0</v>
      </c>
      <c r="K531" s="702">
        <v>0</v>
      </c>
      <c r="L531" s="702">
        <v>0</v>
      </c>
      <c r="M531" s="702">
        <v>0</v>
      </c>
      <c r="N531" s="702">
        <v>0</v>
      </c>
      <c r="O531" s="702">
        <v>0</v>
      </c>
      <c r="P531" s="702">
        <v>0</v>
      </c>
      <c r="Q531" s="702">
        <v>0</v>
      </c>
      <c r="R531" s="702">
        <v>0</v>
      </c>
      <c r="S531" s="702">
        <v>0</v>
      </c>
      <c r="T531" s="702">
        <v>0</v>
      </c>
      <c r="U531" s="702">
        <v>0</v>
      </c>
    </row>
    <row r="532" spans="1:21" s="426" customFormat="1">
      <c r="A532" s="1174"/>
      <c r="B532" s="746"/>
      <c r="C532" s="1154"/>
      <c r="D532" s="1154"/>
      <c r="E532" s="1154"/>
      <c r="F532" s="1154"/>
      <c r="G532" s="1154"/>
      <c r="H532" s="1154"/>
      <c r="I532" s="1154"/>
      <c r="J532" s="1154"/>
      <c r="K532" s="1154"/>
      <c r="L532" s="1154"/>
      <c r="M532" s="1154"/>
      <c r="N532" s="1154"/>
      <c r="O532" s="1154"/>
      <c r="P532" s="1154"/>
      <c r="Q532" s="1154"/>
      <c r="R532" s="1154"/>
      <c r="S532" s="1154"/>
      <c r="T532" s="1154"/>
      <c r="U532" s="1154"/>
    </row>
    <row r="533" spans="1:21" s="426" customFormat="1">
      <c r="A533" s="1174"/>
      <c r="B533" s="746"/>
      <c r="C533" s="702">
        <v>0</v>
      </c>
      <c r="D533" s="702">
        <v>0</v>
      </c>
      <c r="E533" s="702">
        <v>0</v>
      </c>
      <c r="F533" s="702">
        <v>0</v>
      </c>
      <c r="G533" s="702">
        <v>0</v>
      </c>
      <c r="H533" s="702">
        <v>0</v>
      </c>
      <c r="I533" s="702">
        <v>0</v>
      </c>
      <c r="J533" s="702">
        <v>0</v>
      </c>
      <c r="K533" s="702">
        <v>0</v>
      </c>
      <c r="L533" s="702">
        <v>0</v>
      </c>
      <c r="M533" s="702">
        <v>0</v>
      </c>
      <c r="N533" s="702">
        <v>0</v>
      </c>
      <c r="O533" s="702">
        <v>0</v>
      </c>
      <c r="P533" s="702">
        <v>0</v>
      </c>
      <c r="Q533" s="702">
        <v>0</v>
      </c>
      <c r="R533" s="702"/>
      <c r="S533" s="702"/>
      <c r="T533" s="702"/>
      <c r="U533" s="702"/>
    </row>
    <row r="534" spans="1:21" s="426" customFormat="1">
      <c r="A534" s="1174"/>
      <c r="B534" s="746"/>
      <c r="C534" s="1154"/>
      <c r="D534" s="1154"/>
      <c r="E534" s="1154"/>
      <c r="F534" s="1154"/>
      <c r="G534" s="1154"/>
      <c r="H534" s="1154"/>
      <c r="I534" s="1154"/>
      <c r="J534" s="1154"/>
      <c r="K534" s="1154"/>
      <c r="L534" s="1154"/>
      <c r="M534" s="1154"/>
      <c r="N534" s="1154"/>
      <c r="O534" s="1154"/>
      <c r="P534" s="1154"/>
      <c r="Q534" s="1154"/>
      <c r="R534" s="1154"/>
      <c r="S534" s="1154"/>
      <c r="T534" s="1154"/>
      <c r="U534" s="1154"/>
    </row>
    <row r="535" spans="1:21" s="426" customFormat="1">
      <c r="A535" s="1174"/>
      <c r="B535" s="746"/>
      <c r="C535" s="702">
        <v>0</v>
      </c>
      <c r="D535" s="702">
        <v>0</v>
      </c>
      <c r="E535" s="702">
        <v>0</v>
      </c>
      <c r="F535" s="702">
        <v>0</v>
      </c>
      <c r="G535" s="702">
        <v>0</v>
      </c>
      <c r="H535" s="702">
        <v>0</v>
      </c>
      <c r="I535" s="702">
        <v>0</v>
      </c>
      <c r="J535" s="702">
        <v>0</v>
      </c>
      <c r="K535" s="702">
        <v>0</v>
      </c>
      <c r="L535" s="702">
        <v>0</v>
      </c>
      <c r="M535" s="702">
        <v>0</v>
      </c>
      <c r="N535" s="702">
        <v>0</v>
      </c>
      <c r="O535" s="702">
        <v>0</v>
      </c>
      <c r="P535" s="702">
        <v>0</v>
      </c>
      <c r="Q535" s="702">
        <v>0</v>
      </c>
      <c r="R535" s="702"/>
      <c r="S535" s="702"/>
      <c r="T535" s="702"/>
      <c r="U535" s="702"/>
    </row>
    <row r="536" spans="1:21" s="426" customFormat="1">
      <c r="A536" s="1174"/>
      <c r="B536" s="746"/>
      <c r="C536" s="1154"/>
      <c r="D536" s="1154"/>
      <c r="E536" s="1154"/>
      <c r="F536" s="1154"/>
      <c r="G536" s="1154"/>
      <c r="H536" s="1154"/>
      <c r="I536" s="1154"/>
      <c r="J536" s="1154"/>
      <c r="K536" s="1154"/>
      <c r="L536" s="1154"/>
      <c r="M536" s="1154"/>
      <c r="N536" s="1154"/>
      <c r="O536" s="1154"/>
      <c r="P536" s="1154"/>
      <c r="Q536" s="1154"/>
      <c r="R536" s="1154"/>
      <c r="S536" s="1154"/>
      <c r="T536" s="1154"/>
      <c r="U536" s="1154"/>
    </row>
    <row r="537" spans="1:21" s="426" customFormat="1">
      <c r="A537" s="1174"/>
      <c r="B537" s="746"/>
      <c r="C537" s="702">
        <v>0</v>
      </c>
      <c r="D537" s="702">
        <v>0</v>
      </c>
      <c r="E537" s="702">
        <v>0</v>
      </c>
      <c r="F537" s="702">
        <v>0</v>
      </c>
      <c r="G537" s="702">
        <v>0</v>
      </c>
      <c r="H537" s="702">
        <v>0</v>
      </c>
      <c r="I537" s="702">
        <v>0</v>
      </c>
      <c r="J537" s="702">
        <v>0</v>
      </c>
      <c r="K537" s="702">
        <v>0</v>
      </c>
      <c r="L537" s="702">
        <v>0</v>
      </c>
      <c r="M537" s="702">
        <v>0</v>
      </c>
      <c r="N537" s="702">
        <v>0</v>
      </c>
      <c r="O537" s="702">
        <v>0</v>
      </c>
      <c r="P537" s="702">
        <v>0</v>
      </c>
      <c r="Q537" s="702">
        <v>0</v>
      </c>
      <c r="R537" s="702"/>
      <c r="S537" s="702"/>
      <c r="T537" s="702"/>
      <c r="U537" s="702"/>
    </row>
    <row r="538" spans="1:21" s="426" customFormat="1">
      <c r="A538" s="820" t="s">
        <v>242</v>
      </c>
      <c r="B538" s="746" t="s">
        <v>309</v>
      </c>
      <c r="C538" s="889">
        <v>0</v>
      </c>
      <c r="D538" s="889">
        <v>0</v>
      </c>
      <c r="E538" s="889">
        <v>0</v>
      </c>
      <c r="F538" s="889">
        <v>0</v>
      </c>
      <c r="G538" s="889">
        <v>0</v>
      </c>
      <c r="H538" s="889">
        <v>0</v>
      </c>
      <c r="I538" s="889">
        <v>0</v>
      </c>
      <c r="J538" s="889">
        <v>0</v>
      </c>
      <c r="K538" s="889">
        <v>0</v>
      </c>
      <c r="L538" s="889">
        <v>0</v>
      </c>
      <c r="M538" s="889">
        <v>0</v>
      </c>
      <c r="N538" s="889">
        <v>0</v>
      </c>
      <c r="O538" s="889">
        <v>0</v>
      </c>
      <c r="P538" s="889">
        <v>0</v>
      </c>
      <c r="Q538" s="889">
        <v>0</v>
      </c>
      <c r="R538" s="889">
        <v>0</v>
      </c>
      <c r="S538" s="889">
        <v>0</v>
      </c>
      <c r="T538" s="889">
        <v>0</v>
      </c>
      <c r="U538" s="889">
        <v>0</v>
      </c>
    </row>
    <row r="539" spans="1:21" s="426" customFormat="1">
      <c r="A539" s="829" t="s">
        <v>13</v>
      </c>
      <c r="B539" s="746"/>
      <c r="C539" s="702">
        <v>0</v>
      </c>
      <c r="D539" s="702">
        <v>0</v>
      </c>
      <c r="E539" s="702">
        <v>0</v>
      </c>
      <c r="F539" s="702">
        <v>0</v>
      </c>
      <c r="G539" s="702">
        <v>0</v>
      </c>
      <c r="H539" s="702">
        <v>0</v>
      </c>
      <c r="I539" s="702">
        <v>0</v>
      </c>
      <c r="J539" s="702">
        <v>0</v>
      </c>
      <c r="K539" s="702">
        <v>0</v>
      </c>
      <c r="L539" s="702">
        <v>0</v>
      </c>
      <c r="M539" s="702">
        <v>0</v>
      </c>
      <c r="N539" s="702">
        <v>0</v>
      </c>
      <c r="O539" s="702">
        <v>0</v>
      </c>
      <c r="P539" s="702">
        <v>0</v>
      </c>
      <c r="Q539" s="702">
        <v>0</v>
      </c>
      <c r="R539" s="702">
        <v>0</v>
      </c>
      <c r="S539" s="702">
        <v>0</v>
      </c>
      <c r="T539" s="702">
        <v>0</v>
      </c>
      <c r="U539" s="702">
        <v>0</v>
      </c>
    </row>
    <row r="540" spans="1:21" s="426" customFormat="1">
      <c r="A540" s="820" t="s">
        <v>241</v>
      </c>
      <c r="B540" s="746" t="s">
        <v>310</v>
      </c>
      <c r="C540" s="889">
        <v>0</v>
      </c>
      <c r="D540" s="889">
        <v>0</v>
      </c>
      <c r="E540" s="889">
        <v>0</v>
      </c>
      <c r="F540" s="889">
        <v>0</v>
      </c>
      <c r="G540" s="889">
        <v>0</v>
      </c>
      <c r="H540" s="889">
        <v>0</v>
      </c>
      <c r="I540" s="889">
        <v>0</v>
      </c>
      <c r="J540" s="889">
        <v>0</v>
      </c>
      <c r="K540" s="889">
        <v>0</v>
      </c>
      <c r="L540" s="889">
        <v>0</v>
      </c>
      <c r="M540" s="889">
        <v>0</v>
      </c>
      <c r="N540" s="889">
        <v>0</v>
      </c>
      <c r="O540" s="889">
        <v>0</v>
      </c>
      <c r="P540" s="889">
        <v>0</v>
      </c>
      <c r="Q540" s="889">
        <v>0</v>
      </c>
      <c r="R540" s="889">
        <v>0</v>
      </c>
      <c r="S540" s="889">
        <v>0</v>
      </c>
      <c r="T540" s="889">
        <v>0</v>
      </c>
      <c r="U540" s="889">
        <v>0</v>
      </c>
    </row>
    <row r="541" spans="1:21" s="426" customFormat="1">
      <c r="A541" s="829" t="s">
        <v>13</v>
      </c>
      <c r="B541" s="746"/>
      <c r="C541" s="702">
        <v>0</v>
      </c>
      <c r="D541" s="702">
        <v>0</v>
      </c>
      <c r="E541" s="702">
        <v>0</v>
      </c>
      <c r="F541" s="702">
        <v>0</v>
      </c>
      <c r="G541" s="702">
        <v>0</v>
      </c>
      <c r="H541" s="702">
        <v>0</v>
      </c>
      <c r="I541" s="702">
        <v>0</v>
      </c>
      <c r="J541" s="702">
        <v>0</v>
      </c>
      <c r="K541" s="702">
        <v>0</v>
      </c>
      <c r="L541" s="702">
        <v>0</v>
      </c>
      <c r="M541" s="702">
        <v>0</v>
      </c>
      <c r="N541" s="702">
        <v>0</v>
      </c>
      <c r="O541" s="702">
        <v>0</v>
      </c>
      <c r="P541" s="702">
        <v>0</v>
      </c>
      <c r="Q541" s="702">
        <v>0</v>
      </c>
      <c r="R541" s="702">
        <v>0</v>
      </c>
      <c r="S541" s="702">
        <v>0</v>
      </c>
      <c r="T541" s="702">
        <v>0</v>
      </c>
      <c r="U541" s="702">
        <v>0</v>
      </c>
    </row>
    <row r="542" spans="1:21" s="426" customFormat="1">
      <c r="A542" s="818" t="s">
        <v>144</v>
      </c>
      <c r="B542" s="746" t="s">
        <v>311</v>
      </c>
      <c r="C542" s="875">
        <v>0</v>
      </c>
      <c r="D542" s="875">
        <v>0</v>
      </c>
      <c r="E542" s="875">
        <v>0</v>
      </c>
      <c r="F542" s="875">
        <v>0</v>
      </c>
      <c r="G542" s="875">
        <v>0</v>
      </c>
      <c r="H542" s="875">
        <v>0</v>
      </c>
      <c r="I542" s="875">
        <v>0</v>
      </c>
      <c r="J542" s="875">
        <v>0</v>
      </c>
      <c r="K542" s="875">
        <v>0</v>
      </c>
      <c r="L542" s="875">
        <v>0</v>
      </c>
      <c r="M542" s="875">
        <v>0</v>
      </c>
      <c r="N542" s="875">
        <v>0</v>
      </c>
      <c r="O542" s="875">
        <v>0</v>
      </c>
      <c r="P542" s="875">
        <v>0</v>
      </c>
      <c r="Q542" s="875">
        <v>0</v>
      </c>
      <c r="R542" s="875">
        <v>0</v>
      </c>
      <c r="S542" s="875">
        <v>0</v>
      </c>
      <c r="T542" s="875">
        <v>0</v>
      </c>
      <c r="U542" s="875">
        <v>0</v>
      </c>
    </row>
    <row r="543" spans="1:21" s="426" customFormat="1">
      <c r="A543" s="829" t="s">
        <v>13</v>
      </c>
      <c r="B543" s="746"/>
      <c r="C543" s="702">
        <v>0</v>
      </c>
      <c r="D543" s="702">
        <v>0</v>
      </c>
      <c r="E543" s="702">
        <v>0</v>
      </c>
      <c r="F543" s="702">
        <v>0</v>
      </c>
      <c r="G543" s="702">
        <v>0</v>
      </c>
      <c r="H543" s="702">
        <v>0</v>
      </c>
      <c r="I543" s="702">
        <v>0</v>
      </c>
      <c r="J543" s="702">
        <v>0</v>
      </c>
      <c r="K543" s="702">
        <v>0</v>
      </c>
      <c r="L543" s="702">
        <v>0</v>
      </c>
      <c r="M543" s="702">
        <v>0</v>
      </c>
      <c r="N543" s="702">
        <v>0</v>
      </c>
      <c r="O543" s="702">
        <v>0</v>
      </c>
      <c r="P543" s="702">
        <v>0</v>
      </c>
      <c r="Q543" s="702">
        <v>0</v>
      </c>
      <c r="R543" s="702">
        <v>0</v>
      </c>
      <c r="S543" s="702">
        <v>0</v>
      </c>
      <c r="T543" s="702">
        <v>0</v>
      </c>
      <c r="U543" s="702">
        <v>0</v>
      </c>
    </row>
    <row r="544" spans="1:21" s="426" customFormat="1">
      <c r="A544" s="818" t="s">
        <v>145</v>
      </c>
      <c r="B544" s="746" t="s">
        <v>312</v>
      </c>
      <c r="C544" s="875">
        <v>0</v>
      </c>
      <c r="D544" s="875">
        <v>0</v>
      </c>
      <c r="E544" s="875">
        <v>0</v>
      </c>
      <c r="F544" s="875">
        <v>0</v>
      </c>
      <c r="G544" s="875">
        <v>0</v>
      </c>
      <c r="H544" s="875">
        <v>0</v>
      </c>
      <c r="I544" s="875">
        <v>0</v>
      </c>
      <c r="J544" s="875">
        <v>0</v>
      </c>
      <c r="K544" s="875">
        <v>0</v>
      </c>
      <c r="L544" s="875">
        <v>0</v>
      </c>
      <c r="M544" s="875">
        <v>0</v>
      </c>
      <c r="N544" s="875">
        <v>0</v>
      </c>
      <c r="O544" s="875">
        <v>0</v>
      </c>
      <c r="P544" s="875">
        <v>0</v>
      </c>
      <c r="Q544" s="875">
        <v>0</v>
      </c>
      <c r="R544" s="875">
        <v>0</v>
      </c>
      <c r="S544" s="875">
        <v>0</v>
      </c>
      <c r="T544" s="875">
        <v>0</v>
      </c>
      <c r="U544" s="875">
        <v>0</v>
      </c>
    </row>
    <row r="545" spans="1:21" s="426" customFormat="1">
      <c r="A545" s="829" t="s">
        <v>13</v>
      </c>
      <c r="B545" s="746"/>
      <c r="C545" s="702">
        <v>0</v>
      </c>
      <c r="D545" s="702">
        <v>0</v>
      </c>
      <c r="E545" s="702">
        <v>0</v>
      </c>
      <c r="F545" s="702">
        <v>0</v>
      </c>
      <c r="G545" s="702">
        <v>0</v>
      </c>
      <c r="H545" s="702">
        <v>0</v>
      </c>
      <c r="I545" s="702">
        <v>0</v>
      </c>
      <c r="J545" s="702">
        <v>0</v>
      </c>
      <c r="K545" s="702">
        <v>0</v>
      </c>
      <c r="L545" s="702">
        <v>0</v>
      </c>
      <c r="M545" s="702">
        <v>0</v>
      </c>
      <c r="N545" s="702">
        <v>0</v>
      </c>
      <c r="O545" s="702">
        <v>0</v>
      </c>
      <c r="P545" s="702">
        <v>0</v>
      </c>
      <c r="Q545" s="702">
        <v>0</v>
      </c>
      <c r="R545" s="702">
        <v>0</v>
      </c>
      <c r="S545" s="702">
        <v>0</v>
      </c>
      <c r="T545" s="702">
        <v>0</v>
      </c>
      <c r="U545" s="702">
        <v>0</v>
      </c>
    </row>
    <row r="546" spans="1:21" s="426" customFormat="1">
      <c r="A546" s="820" t="s">
        <v>346</v>
      </c>
      <c r="B546" s="746" t="s">
        <v>528</v>
      </c>
      <c r="C546" s="875">
        <v>0</v>
      </c>
      <c r="D546" s="875">
        <v>0</v>
      </c>
      <c r="E546" s="875">
        <v>0</v>
      </c>
      <c r="F546" s="875">
        <v>0</v>
      </c>
      <c r="G546" s="875">
        <v>0</v>
      </c>
      <c r="H546" s="875">
        <v>0</v>
      </c>
      <c r="I546" s="875">
        <v>0</v>
      </c>
      <c r="J546" s="875">
        <v>0</v>
      </c>
      <c r="K546" s="875">
        <v>0</v>
      </c>
      <c r="L546" s="875">
        <v>0</v>
      </c>
      <c r="M546" s="875">
        <v>0</v>
      </c>
      <c r="N546" s="875">
        <v>0</v>
      </c>
      <c r="O546" s="875">
        <v>0</v>
      </c>
      <c r="P546" s="875">
        <v>0</v>
      </c>
      <c r="Q546" s="875">
        <v>0</v>
      </c>
      <c r="R546" s="875">
        <v>0</v>
      </c>
      <c r="S546" s="875">
        <v>0</v>
      </c>
      <c r="T546" s="875">
        <v>0</v>
      </c>
      <c r="U546" s="875">
        <v>0</v>
      </c>
    </row>
    <row r="547" spans="1:21" s="426" customFormat="1">
      <c r="A547" s="829" t="s">
        <v>13</v>
      </c>
      <c r="B547" s="746"/>
      <c r="C547" s="702">
        <v>0</v>
      </c>
      <c r="D547" s="702">
        <v>0</v>
      </c>
      <c r="E547" s="702">
        <v>0</v>
      </c>
      <c r="F547" s="702">
        <v>0</v>
      </c>
      <c r="G547" s="702">
        <v>0</v>
      </c>
      <c r="H547" s="702">
        <v>0</v>
      </c>
      <c r="I547" s="702">
        <v>0</v>
      </c>
      <c r="J547" s="702">
        <v>0</v>
      </c>
      <c r="K547" s="702">
        <v>0</v>
      </c>
      <c r="L547" s="702">
        <v>0</v>
      </c>
      <c r="M547" s="702">
        <v>0</v>
      </c>
      <c r="N547" s="702">
        <v>0</v>
      </c>
      <c r="O547" s="702">
        <v>0</v>
      </c>
      <c r="P547" s="702">
        <v>0</v>
      </c>
      <c r="Q547" s="702">
        <v>0</v>
      </c>
      <c r="R547" s="702">
        <v>0</v>
      </c>
      <c r="S547" s="702">
        <v>0</v>
      </c>
      <c r="T547" s="702">
        <v>0</v>
      </c>
      <c r="U547" s="702">
        <v>0</v>
      </c>
    </row>
    <row r="548" spans="1:21" s="426" customFormat="1">
      <c r="A548" s="1174"/>
      <c r="B548" s="746"/>
      <c r="C548" s="1154"/>
      <c r="D548" s="1154"/>
      <c r="E548" s="1154"/>
      <c r="F548" s="1154"/>
      <c r="G548" s="1154"/>
      <c r="H548" s="1154"/>
      <c r="I548" s="1154"/>
      <c r="J548" s="1154"/>
      <c r="K548" s="1154"/>
      <c r="L548" s="1154"/>
      <c r="M548" s="1154"/>
      <c r="N548" s="1154"/>
      <c r="O548" s="1154"/>
      <c r="P548" s="1154"/>
      <c r="Q548" s="1154"/>
      <c r="R548" s="1154"/>
      <c r="S548" s="1154"/>
      <c r="T548" s="1154"/>
      <c r="U548" s="1154"/>
    </row>
    <row r="549" spans="1:21" s="426" customFormat="1">
      <c r="A549" s="1174"/>
      <c r="B549" s="746"/>
      <c r="C549" s="702">
        <v>0</v>
      </c>
      <c r="D549" s="702">
        <v>0</v>
      </c>
      <c r="E549" s="702">
        <v>0</v>
      </c>
      <c r="F549" s="702">
        <v>0</v>
      </c>
      <c r="G549" s="702">
        <v>0</v>
      </c>
      <c r="H549" s="702">
        <v>0</v>
      </c>
      <c r="I549" s="702">
        <v>0</v>
      </c>
      <c r="J549" s="702">
        <v>0</v>
      </c>
      <c r="K549" s="702">
        <v>0</v>
      </c>
      <c r="L549" s="702">
        <v>0</v>
      </c>
      <c r="M549" s="702">
        <v>0</v>
      </c>
      <c r="N549" s="702">
        <v>0</v>
      </c>
      <c r="O549" s="702">
        <v>0</v>
      </c>
      <c r="P549" s="702">
        <v>0</v>
      </c>
      <c r="Q549" s="702">
        <v>0</v>
      </c>
      <c r="R549" s="702"/>
      <c r="S549" s="702"/>
      <c r="T549" s="702"/>
      <c r="U549" s="702"/>
    </row>
    <row r="550" spans="1:21" s="426" customFormat="1">
      <c r="A550" s="1174"/>
      <c r="B550" s="746"/>
      <c r="C550" s="1154"/>
      <c r="D550" s="1154"/>
      <c r="E550" s="1154"/>
      <c r="F550" s="1154"/>
      <c r="G550" s="1154"/>
      <c r="H550" s="1154"/>
      <c r="I550" s="1154"/>
      <c r="J550" s="1154"/>
      <c r="K550" s="1154"/>
      <c r="L550" s="1154"/>
      <c r="M550" s="1154"/>
      <c r="N550" s="1154"/>
      <c r="O550" s="1154"/>
      <c r="P550" s="1154"/>
      <c r="Q550" s="1154"/>
      <c r="R550" s="1154"/>
      <c r="S550" s="1154"/>
      <c r="T550" s="1154"/>
      <c r="U550" s="1154"/>
    </row>
    <row r="551" spans="1:21" s="426" customFormat="1">
      <c r="A551" s="1174"/>
      <c r="B551" s="746"/>
      <c r="C551" s="702">
        <v>0</v>
      </c>
      <c r="D551" s="702">
        <v>0</v>
      </c>
      <c r="E551" s="702">
        <v>0</v>
      </c>
      <c r="F551" s="702">
        <v>0</v>
      </c>
      <c r="G551" s="702">
        <v>0</v>
      </c>
      <c r="H551" s="702">
        <v>0</v>
      </c>
      <c r="I551" s="702">
        <v>0</v>
      </c>
      <c r="J551" s="702">
        <v>0</v>
      </c>
      <c r="K551" s="702">
        <v>0</v>
      </c>
      <c r="L551" s="702">
        <v>0</v>
      </c>
      <c r="M551" s="702">
        <v>0</v>
      </c>
      <c r="N551" s="702">
        <v>0</v>
      </c>
      <c r="O551" s="702">
        <v>0</v>
      </c>
      <c r="P551" s="702">
        <v>0</v>
      </c>
      <c r="Q551" s="702">
        <v>0</v>
      </c>
      <c r="R551" s="702"/>
      <c r="S551" s="702"/>
      <c r="T551" s="702"/>
      <c r="U551" s="702"/>
    </row>
    <row r="552" spans="1:21" s="426" customFormat="1">
      <c r="A552" s="1174"/>
      <c r="B552" s="746"/>
      <c r="C552" s="1154"/>
      <c r="D552" s="1154"/>
      <c r="E552" s="1154"/>
      <c r="F552" s="1154"/>
      <c r="G552" s="1154"/>
      <c r="H552" s="1154"/>
      <c r="I552" s="1154"/>
      <c r="J552" s="1154"/>
      <c r="K552" s="1154"/>
      <c r="L552" s="1154"/>
      <c r="M552" s="1154"/>
      <c r="N552" s="1154"/>
      <c r="O552" s="1154"/>
      <c r="P552" s="1154"/>
      <c r="Q552" s="1154"/>
      <c r="R552" s="1154"/>
      <c r="S552" s="1154"/>
      <c r="T552" s="1154"/>
      <c r="U552" s="1154"/>
    </row>
    <row r="553" spans="1:21" s="426" customFormat="1">
      <c r="A553" s="1174"/>
      <c r="B553" s="746"/>
      <c r="C553" s="702">
        <v>0</v>
      </c>
      <c r="D553" s="702">
        <v>0</v>
      </c>
      <c r="E553" s="702">
        <v>0</v>
      </c>
      <c r="F553" s="702">
        <v>0</v>
      </c>
      <c r="G553" s="702">
        <v>0</v>
      </c>
      <c r="H553" s="702">
        <v>0</v>
      </c>
      <c r="I553" s="702">
        <v>0</v>
      </c>
      <c r="J553" s="702">
        <v>0</v>
      </c>
      <c r="K553" s="702">
        <v>0</v>
      </c>
      <c r="L553" s="702">
        <v>0</v>
      </c>
      <c r="M553" s="702">
        <v>0</v>
      </c>
      <c r="N553" s="702">
        <v>0</v>
      </c>
      <c r="O553" s="702">
        <v>0</v>
      </c>
      <c r="P553" s="702">
        <v>0</v>
      </c>
      <c r="Q553" s="702">
        <v>0</v>
      </c>
      <c r="R553" s="702"/>
      <c r="S553" s="702"/>
      <c r="T553" s="702"/>
      <c r="U553" s="702"/>
    </row>
    <row r="554" spans="1:21" s="426" customFormat="1">
      <c r="A554" s="818" t="s">
        <v>146</v>
      </c>
      <c r="B554" s="746" t="s">
        <v>313</v>
      </c>
      <c r="C554" s="875">
        <v>0</v>
      </c>
      <c r="D554" s="875">
        <v>0</v>
      </c>
      <c r="E554" s="875">
        <v>0</v>
      </c>
      <c r="F554" s="875">
        <v>0</v>
      </c>
      <c r="G554" s="875">
        <v>0</v>
      </c>
      <c r="H554" s="875">
        <v>0</v>
      </c>
      <c r="I554" s="875">
        <v>0</v>
      </c>
      <c r="J554" s="875">
        <v>0</v>
      </c>
      <c r="K554" s="875">
        <v>0</v>
      </c>
      <c r="L554" s="875">
        <v>0</v>
      </c>
      <c r="M554" s="875">
        <v>0</v>
      </c>
      <c r="N554" s="875">
        <v>0</v>
      </c>
      <c r="O554" s="875">
        <v>0</v>
      </c>
      <c r="P554" s="875">
        <v>0</v>
      </c>
      <c r="Q554" s="875">
        <v>0</v>
      </c>
      <c r="R554" s="875">
        <v>0</v>
      </c>
      <c r="S554" s="875">
        <v>20000</v>
      </c>
      <c r="T554" s="875">
        <v>0</v>
      </c>
      <c r="U554" s="875">
        <v>0</v>
      </c>
    </row>
    <row r="555" spans="1:21" s="426" customFormat="1">
      <c r="A555" s="830" t="s">
        <v>13</v>
      </c>
      <c r="B555" s="746"/>
      <c r="C555" s="720">
        <v>20000</v>
      </c>
      <c r="D555" s="720">
        <v>20000</v>
      </c>
      <c r="E555" s="720">
        <v>20000</v>
      </c>
      <c r="F555" s="720">
        <v>20000</v>
      </c>
      <c r="G555" s="720">
        <v>20000</v>
      </c>
      <c r="H555" s="720">
        <v>20000</v>
      </c>
      <c r="I555" s="720">
        <v>20000</v>
      </c>
      <c r="J555" s="720">
        <v>20000</v>
      </c>
      <c r="K555" s="720">
        <v>20000</v>
      </c>
      <c r="L555" s="720">
        <v>20000</v>
      </c>
      <c r="M555" s="720">
        <v>20000</v>
      </c>
      <c r="N555" s="720">
        <v>20000</v>
      </c>
      <c r="O555" s="720">
        <v>20000</v>
      </c>
      <c r="P555" s="720">
        <v>20000</v>
      </c>
      <c r="Q555" s="720">
        <v>20000</v>
      </c>
      <c r="R555" s="720">
        <v>20000</v>
      </c>
      <c r="S555" s="720">
        <v>20000</v>
      </c>
      <c r="T555" s="720">
        <v>0</v>
      </c>
      <c r="U555" s="720">
        <v>0</v>
      </c>
    </row>
    <row r="556" spans="1:21">
      <c r="A556" s="28" t="s">
        <v>147</v>
      </c>
      <c r="B556" s="746" t="s">
        <v>314</v>
      </c>
      <c r="C556" s="875">
        <v>0</v>
      </c>
      <c r="D556" s="875">
        <v>0</v>
      </c>
      <c r="E556" s="875">
        <v>0</v>
      </c>
      <c r="F556" s="875">
        <v>0</v>
      </c>
      <c r="G556" s="875">
        <v>0</v>
      </c>
      <c r="H556" s="875">
        <v>0</v>
      </c>
      <c r="I556" s="875">
        <v>0</v>
      </c>
      <c r="J556" s="875">
        <v>0</v>
      </c>
      <c r="K556" s="875">
        <v>0</v>
      </c>
      <c r="L556" s="875">
        <v>0</v>
      </c>
      <c r="M556" s="875">
        <v>0</v>
      </c>
      <c r="N556" s="875">
        <v>0</v>
      </c>
      <c r="O556" s="875">
        <v>0</v>
      </c>
      <c r="P556" s="875">
        <v>0</v>
      </c>
      <c r="Q556" s="875">
        <v>0</v>
      </c>
      <c r="R556" s="875">
        <v>0</v>
      </c>
      <c r="S556" s="875">
        <v>0</v>
      </c>
      <c r="T556" s="875">
        <v>0</v>
      </c>
      <c r="U556" s="875">
        <v>0</v>
      </c>
    </row>
    <row r="557" spans="1:21" s="426" customFormat="1">
      <c r="A557" s="830" t="s">
        <v>13</v>
      </c>
      <c r="B557" s="746"/>
      <c r="C557" s="702">
        <v>0</v>
      </c>
      <c r="D557" s="702">
        <v>0</v>
      </c>
      <c r="E557" s="702">
        <v>0</v>
      </c>
      <c r="F557" s="702">
        <v>0</v>
      </c>
      <c r="G557" s="702">
        <v>0</v>
      </c>
      <c r="H557" s="702">
        <v>0</v>
      </c>
      <c r="I557" s="702">
        <v>0</v>
      </c>
      <c r="J557" s="702">
        <v>0</v>
      </c>
      <c r="K557" s="702">
        <v>0</v>
      </c>
      <c r="L557" s="702">
        <v>0</v>
      </c>
      <c r="M557" s="702">
        <v>0</v>
      </c>
      <c r="N557" s="702">
        <v>0</v>
      </c>
      <c r="O557" s="702">
        <v>0</v>
      </c>
      <c r="P557" s="702">
        <v>0</v>
      </c>
      <c r="Q557" s="702">
        <v>0</v>
      </c>
      <c r="R557" s="702">
        <v>0</v>
      </c>
      <c r="S557" s="702">
        <v>0</v>
      </c>
      <c r="T557" s="702">
        <v>0</v>
      </c>
      <c r="U557" s="702">
        <v>0</v>
      </c>
    </row>
    <row r="558" spans="1:21" s="426" customFormat="1">
      <c r="A558" s="825" t="s">
        <v>230</v>
      </c>
      <c r="B558" s="746" t="s">
        <v>315</v>
      </c>
      <c r="C558" s="875">
        <v>0</v>
      </c>
      <c r="D558" s="875">
        <v>0</v>
      </c>
      <c r="E558" s="875">
        <v>0</v>
      </c>
      <c r="F558" s="875">
        <v>0</v>
      </c>
      <c r="G558" s="875">
        <v>0</v>
      </c>
      <c r="H558" s="875">
        <v>0</v>
      </c>
      <c r="I558" s="875">
        <v>0</v>
      </c>
      <c r="J558" s="875">
        <v>0</v>
      </c>
      <c r="K558" s="875">
        <v>0</v>
      </c>
      <c r="L558" s="875">
        <v>0</v>
      </c>
      <c r="M558" s="875">
        <v>0</v>
      </c>
      <c r="N558" s="875">
        <v>0</v>
      </c>
      <c r="O558" s="875">
        <v>0</v>
      </c>
      <c r="P558" s="875">
        <v>0</v>
      </c>
      <c r="Q558" s="875">
        <v>0</v>
      </c>
      <c r="R558" s="875">
        <v>0</v>
      </c>
      <c r="S558" s="875">
        <v>11000</v>
      </c>
      <c r="T558" s="875">
        <v>0</v>
      </c>
      <c r="U558" s="875">
        <v>0</v>
      </c>
    </row>
    <row r="559" spans="1:21" s="426" customFormat="1">
      <c r="A559" s="830" t="s">
        <v>13</v>
      </c>
      <c r="B559" s="746"/>
      <c r="C559" s="702">
        <v>11000</v>
      </c>
      <c r="D559" s="702">
        <v>11000</v>
      </c>
      <c r="E559" s="702">
        <v>11000</v>
      </c>
      <c r="F559" s="702">
        <v>11000</v>
      </c>
      <c r="G559" s="702">
        <v>11000</v>
      </c>
      <c r="H559" s="702">
        <v>11000</v>
      </c>
      <c r="I559" s="702">
        <v>11000</v>
      </c>
      <c r="J559" s="702">
        <v>11000</v>
      </c>
      <c r="K559" s="702">
        <v>11000</v>
      </c>
      <c r="L559" s="702">
        <v>11000</v>
      </c>
      <c r="M559" s="702">
        <v>11000</v>
      </c>
      <c r="N559" s="702">
        <v>11000</v>
      </c>
      <c r="O559" s="702">
        <v>11000</v>
      </c>
      <c r="P559" s="702">
        <v>11000</v>
      </c>
      <c r="Q559" s="702">
        <v>11000</v>
      </c>
      <c r="R559" s="702">
        <v>11000</v>
      </c>
      <c r="S559" s="702">
        <v>11000</v>
      </c>
      <c r="T559" s="702">
        <v>0</v>
      </c>
      <c r="U559" s="702">
        <v>0</v>
      </c>
    </row>
    <row r="560" spans="1:21" s="426" customFormat="1">
      <c r="A560" s="825" t="s">
        <v>231</v>
      </c>
      <c r="B560" s="746" t="s">
        <v>316</v>
      </c>
      <c r="C560" s="875">
        <v>0</v>
      </c>
      <c r="D560" s="875">
        <v>0</v>
      </c>
      <c r="E560" s="875">
        <v>0</v>
      </c>
      <c r="F560" s="875">
        <v>0</v>
      </c>
      <c r="G560" s="875">
        <v>0</v>
      </c>
      <c r="H560" s="875">
        <v>0</v>
      </c>
      <c r="I560" s="875">
        <v>0</v>
      </c>
      <c r="J560" s="875">
        <v>0</v>
      </c>
      <c r="K560" s="875">
        <v>0</v>
      </c>
      <c r="L560" s="875">
        <v>0</v>
      </c>
      <c r="M560" s="875">
        <v>0</v>
      </c>
      <c r="N560" s="875">
        <v>0</v>
      </c>
      <c r="O560" s="875">
        <v>0</v>
      </c>
      <c r="P560" s="875">
        <v>0</v>
      </c>
      <c r="Q560" s="875">
        <v>0</v>
      </c>
      <c r="R560" s="875">
        <v>0</v>
      </c>
      <c r="S560" s="875">
        <v>0</v>
      </c>
      <c r="T560" s="875">
        <v>0</v>
      </c>
      <c r="U560" s="875">
        <v>0</v>
      </c>
    </row>
    <row r="561" spans="1:21" s="426" customFormat="1">
      <c r="A561" s="830" t="s">
        <v>13</v>
      </c>
      <c r="B561" s="746"/>
      <c r="C561" s="702">
        <v>0</v>
      </c>
      <c r="D561" s="702">
        <v>0</v>
      </c>
      <c r="E561" s="702">
        <v>0</v>
      </c>
      <c r="F561" s="702">
        <v>0</v>
      </c>
      <c r="G561" s="702">
        <v>0</v>
      </c>
      <c r="H561" s="702">
        <v>0</v>
      </c>
      <c r="I561" s="702">
        <v>0</v>
      </c>
      <c r="J561" s="702">
        <v>0</v>
      </c>
      <c r="K561" s="702">
        <v>0</v>
      </c>
      <c r="L561" s="702">
        <v>0</v>
      </c>
      <c r="M561" s="702">
        <v>0</v>
      </c>
      <c r="N561" s="702">
        <v>0</v>
      </c>
      <c r="O561" s="702">
        <v>0</v>
      </c>
      <c r="P561" s="702">
        <v>0</v>
      </c>
      <c r="Q561" s="702">
        <v>0</v>
      </c>
      <c r="R561" s="702">
        <v>0</v>
      </c>
      <c r="S561" s="702">
        <v>0</v>
      </c>
      <c r="T561" s="702">
        <v>0</v>
      </c>
      <c r="U561" s="702">
        <v>0</v>
      </c>
    </row>
    <row r="562" spans="1:21" s="426" customFormat="1">
      <c r="A562" s="825" t="s">
        <v>232</v>
      </c>
      <c r="B562" s="746" t="s">
        <v>317</v>
      </c>
      <c r="C562" s="875">
        <v>0</v>
      </c>
      <c r="D562" s="875">
        <v>0</v>
      </c>
      <c r="E562" s="875">
        <v>0</v>
      </c>
      <c r="F562" s="875">
        <v>0</v>
      </c>
      <c r="G562" s="875">
        <v>0</v>
      </c>
      <c r="H562" s="875">
        <v>0</v>
      </c>
      <c r="I562" s="875">
        <v>0</v>
      </c>
      <c r="J562" s="875">
        <v>0</v>
      </c>
      <c r="K562" s="875">
        <v>0</v>
      </c>
      <c r="L562" s="875">
        <v>0</v>
      </c>
      <c r="M562" s="875">
        <v>0</v>
      </c>
      <c r="N562" s="875">
        <v>0</v>
      </c>
      <c r="O562" s="875">
        <v>0</v>
      </c>
      <c r="P562" s="875">
        <v>0</v>
      </c>
      <c r="Q562" s="875">
        <v>0</v>
      </c>
      <c r="R562" s="875">
        <v>0</v>
      </c>
      <c r="S562" s="875">
        <v>6000</v>
      </c>
      <c r="T562" s="875">
        <v>0</v>
      </c>
      <c r="U562" s="875">
        <v>0</v>
      </c>
    </row>
    <row r="563" spans="1:21" s="426" customFormat="1">
      <c r="A563" s="830" t="s">
        <v>13</v>
      </c>
      <c r="B563" s="746"/>
      <c r="C563" s="702">
        <v>6000</v>
      </c>
      <c r="D563" s="702">
        <v>6000</v>
      </c>
      <c r="E563" s="702">
        <v>6000</v>
      </c>
      <c r="F563" s="702">
        <v>6000</v>
      </c>
      <c r="G563" s="702">
        <v>6000</v>
      </c>
      <c r="H563" s="702">
        <v>6000</v>
      </c>
      <c r="I563" s="702">
        <v>6000</v>
      </c>
      <c r="J563" s="702">
        <v>6000</v>
      </c>
      <c r="K563" s="702">
        <v>6000</v>
      </c>
      <c r="L563" s="702">
        <v>6000</v>
      </c>
      <c r="M563" s="702">
        <v>6000</v>
      </c>
      <c r="N563" s="702">
        <v>6000</v>
      </c>
      <c r="O563" s="702">
        <v>6000</v>
      </c>
      <c r="P563" s="702">
        <v>6000</v>
      </c>
      <c r="Q563" s="702">
        <v>6000</v>
      </c>
      <c r="R563" s="702">
        <v>6000</v>
      </c>
      <c r="S563" s="702">
        <v>6000</v>
      </c>
      <c r="T563" s="702">
        <v>0</v>
      </c>
      <c r="U563" s="702">
        <v>0</v>
      </c>
    </row>
    <row r="564" spans="1:21" s="426" customFormat="1">
      <c r="A564" s="825" t="s">
        <v>233</v>
      </c>
      <c r="B564" s="746" t="s">
        <v>318</v>
      </c>
      <c r="C564" s="875">
        <v>0</v>
      </c>
      <c r="D564" s="875">
        <v>0</v>
      </c>
      <c r="E564" s="875">
        <v>0</v>
      </c>
      <c r="F564" s="875">
        <v>0</v>
      </c>
      <c r="G564" s="875">
        <v>0</v>
      </c>
      <c r="H564" s="875">
        <v>0</v>
      </c>
      <c r="I564" s="875">
        <v>0</v>
      </c>
      <c r="J564" s="875">
        <v>0</v>
      </c>
      <c r="K564" s="875">
        <v>0</v>
      </c>
      <c r="L564" s="875">
        <v>0</v>
      </c>
      <c r="M564" s="875">
        <v>0</v>
      </c>
      <c r="N564" s="875">
        <v>0</v>
      </c>
      <c r="O564" s="875">
        <v>0</v>
      </c>
      <c r="P564" s="875">
        <v>0</v>
      </c>
      <c r="Q564" s="875">
        <v>0</v>
      </c>
      <c r="R564" s="875">
        <v>0</v>
      </c>
      <c r="S564" s="875">
        <v>0</v>
      </c>
      <c r="T564" s="875">
        <v>0</v>
      </c>
      <c r="U564" s="875">
        <v>0</v>
      </c>
    </row>
    <row r="565" spans="1:21" s="426" customFormat="1">
      <c r="A565" s="830" t="s">
        <v>13</v>
      </c>
      <c r="B565" s="746"/>
      <c r="C565" s="702">
        <v>0</v>
      </c>
      <c r="D565" s="702">
        <v>0</v>
      </c>
      <c r="E565" s="702">
        <v>0</v>
      </c>
      <c r="F565" s="702">
        <v>0</v>
      </c>
      <c r="G565" s="702">
        <v>0</v>
      </c>
      <c r="H565" s="702">
        <v>0</v>
      </c>
      <c r="I565" s="702">
        <v>0</v>
      </c>
      <c r="J565" s="702">
        <v>0</v>
      </c>
      <c r="K565" s="702">
        <v>0</v>
      </c>
      <c r="L565" s="702">
        <v>0</v>
      </c>
      <c r="M565" s="702">
        <v>0</v>
      </c>
      <c r="N565" s="702">
        <v>0</v>
      </c>
      <c r="O565" s="702">
        <v>0</v>
      </c>
      <c r="P565" s="702">
        <v>0</v>
      </c>
      <c r="Q565" s="702">
        <v>0</v>
      </c>
      <c r="R565" s="702">
        <v>0</v>
      </c>
      <c r="S565" s="702">
        <v>0</v>
      </c>
      <c r="T565" s="702">
        <v>0</v>
      </c>
      <c r="U565" s="702">
        <v>0</v>
      </c>
    </row>
    <row r="566" spans="1:21" s="426" customFormat="1">
      <c r="A566" s="825" t="s">
        <v>234</v>
      </c>
      <c r="B566" s="746" t="s">
        <v>319</v>
      </c>
      <c r="C566" s="875">
        <v>0</v>
      </c>
      <c r="D566" s="875">
        <v>0</v>
      </c>
      <c r="E566" s="875">
        <v>0</v>
      </c>
      <c r="F566" s="875">
        <v>0</v>
      </c>
      <c r="G566" s="875">
        <v>0</v>
      </c>
      <c r="H566" s="875">
        <v>0</v>
      </c>
      <c r="I566" s="875">
        <v>0</v>
      </c>
      <c r="J566" s="875">
        <v>0</v>
      </c>
      <c r="K566" s="875">
        <v>0</v>
      </c>
      <c r="L566" s="875">
        <v>0</v>
      </c>
      <c r="M566" s="875">
        <v>0</v>
      </c>
      <c r="N566" s="875">
        <v>0</v>
      </c>
      <c r="O566" s="875">
        <v>0</v>
      </c>
      <c r="P566" s="875">
        <v>0</v>
      </c>
      <c r="Q566" s="875">
        <v>0</v>
      </c>
      <c r="R566" s="875">
        <v>0</v>
      </c>
      <c r="S566" s="875">
        <v>0</v>
      </c>
      <c r="T566" s="875">
        <v>0</v>
      </c>
      <c r="U566" s="875">
        <v>0</v>
      </c>
    </row>
    <row r="567" spans="1:21" s="426" customFormat="1">
      <c r="A567" s="830" t="s">
        <v>13</v>
      </c>
      <c r="B567" s="746"/>
      <c r="C567" s="702">
        <v>0</v>
      </c>
      <c r="D567" s="702">
        <v>0</v>
      </c>
      <c r="E567" s="702">
        <v>0</v>
      </c>
      <c r="F567" s="702">
        <v>0</v>
      </c>
      <c r="G567" s="702">
        <v>0</v>
      </c>
      <c r="H567" s="702">
        <v>0</v>
      </c>
      <c r="I567" s="702">
        <v>0</v>
      </c>
      <c r="J567" s="702">
        <v>0</v>
      </c>
      <c r="K567" s="702">
        <v>0</v>
      </c>
      <c r="L567" s="702">
        <v>0</v>
      </c>
      <c r="M567" s="702">
        <v>0</v>
      </c>
      <c r="N567" s="702">
        <v>0</v>
      </c>
      <c r="O567" s="702">
        <v>0</v>
      </c>
      <c r="P567" s="702">
        <v>0</v>
      </c>
      <c r="Q567" s="702">
        <v>0</v>
      </c>
      <c r="R567" s="702">
        <v>0</v>
      </c>
      <c r="S567" s="702">
        <v>0</v>
      </c>
      <c r="T567" s="702">
        <v>0</v>
      </c>
      <c r="U567" s="702">
        <v>0</v>
      </c>
    </row>
    <row r="568" spans="1:21" s="426" customFormat="1">
      <c r="A568" s="825" t="s">
        <v>235</v>
      </c>
      <c r="B568" s="746" t="s">
        <v>320</v>
      </c>
      <c r="C568" s="875">
        <v>0</v>
      </c>
      <c r="D568" s="875">
        <v>0</v>
      </c>
      <c r="E568" s="875">
        <v>0</v>
      </c>
      <c r="F568" s="875">
        <v>0</v>
      </c>
      <c r="G568" s="875">
        <v>0</v>
      </c>
      <c r="H568" s="875">
        <v>0</v>
      </c>
      <c r="I568" s="875">
        <v>0</v>
      </c>
      <c r="J568" s="875">
        <v>0</v>
      </c>
      <c r="K568" s="875">
        <v>0</v>
      </c>
      <c r="L568" s="875">
        <v>0</v>
      </c>
      <c r="M568" s="875">
        <v>0</v>
      </c>
      <c r="N568" s="875">
        <v>0</v>
      </c>
      <c r="O568" s="875">
        <v>0</v>
      </c>
      <c r="P568" s="875">
        <v>0</v>
      </c>
      <c r="Q568" s="875">
        <v>0</v>
      </c>
      <c r="R568" s="875">
        <v>0</v>
      </c>
      <c r="S568" s="875">
        <v>0</v>
      </c>
      <c r="T568" s="875">
        <v>0</v>
      </c>
      <c r="U568" s="875">
        <v>0</v>
      </c>
    </row>
    <row r="569" spans="1:21" s="426" customFormat="1">
      <c r="A569" s="830" t="s">
        <v>13</v>
      </c>
      <c r="B569" s="746"/>
      <c r="C569" s="702">
        <v>0</v>
      </c>
      <c r="D569" s="702">
        <v>0</v>
      </c>
      <c r="E569" s="702">
        <v>0</v>
      </c>
      <c r="F569" s="702">
        <v>0</v>
      </c>
      <c r="G569" s="702">
        <v>0</v>
      </c>
      <c r="H569" s="702">
        <v>0</v>
      </c>
      <c r="I569" s="702">
        <v>0</v>
      </c>
      <c r="J569" s="702">
        <v>0</v>
      </c>
      <c r="K569" s="702">
        <v>0</v>
      </c>
      <c r="L569" s="702">
        <v>0</v>
      </c>
      <c r="M569" s="702">
        <v>0</v>
      </c>
      <c r="N569" s="702">
        <v>0</v>
      </c>
      <c r="O569" s="702">
        <v>0</v>
      </c>
      <c r="P569" s="702">
        <v>0</v>
      </c>
      <c r="Q569" s="702">
        <v>0</v>
      </c>
      <c r="R569" s="702">
        <v>0</v>
      </c>
      <c r="S569" s="702">
        <v>0</v>
      </c>
      <c r="T569" s="702">
        <v>0</v>
      </c>
      <c r="U569" s="702">
        <v>0</v>
      </c>
    </row>
    <row r="570" spans="1:21" s="426" customFormat="1">
      <c r="A570" s="825" t="s">
        <v>236</v>
      </c>
      <c r="B570" s="746" t="s">
        <v>321</v>
      </c>
      <c r="C570" s="875">
        <v>0</v>
      </c>
      <c r="D570" s="875">
        <v>0</v>
      </c>
      <c r="E570" s="875">
        <v>0</v>
      </c>
      <c r="F570" s="875">
        <v>0</v>
      </c>
      <c r="G570" s="875">
        <v>0</v>
      </c>
      <c r="H570" s="875">
        <v>0</v>
      </c>
      <c r="I570" s="875">
        <v>0</v>
      </c>
      <c r="J570" s="875">
        <v>0</v>
      </c>
      <c r="K570" s="875">
        <v>0</v>
      </c>
      <c r="L570" s="875">
        <v>0</v>
      </c>
      <c r="M570" s="875">
        <v>0</v>
      </c>
      <c r="N570" s="875">
        <v>0</v>
      </c>
      <c r="O570" s="875">
        <v>0</v>
      </c>
      <c r="P570" s="875">
        <v>0</v>
      </c>
      <c r="Q570" s="875">
        <v>0</v>
      </c>
      <c r="R570" s="875">
        <v>0</v>
      </c>
      <c r="S570" s="875">
        <v>0</v>
      </c>
      <c r="T570" s="875">
        <v>0</v>
      </c>
      <c r="U570" s="875">
        <v>0</v>
      </c>
    </row>
    <row r="571" spans="1:21" s="426" customFormat="1">
      <c r="A571" s="830" t="s">
        <v>13</v>
      </c>
      <c r="B571" s="746"/>
      <c r="C571" s="702">
        <v>0</v>
      </c>
      <c r="D571" s="702">
        <v>0</v>
      </c>
      <c r="E571" s="702">
        <v>0</v>
      </c>
      <c r="F571" s="702">
        <v>0</v>
      </c>
      <c r="G571" s="702">
        <v>0</v>
      </c>
      <c r="H571" s="702">
        <v>0</v>
      </c>
      <c r="I571" s="702">
        <v>0</v>
      </c>
      <c r="J571" s="702">
        <v>0</v>
      </c>
      <c r="K571" s="702">
        <v>0</v>
      </c>
      <c r="L571" s="702">
        <v>0</v>
      </c>
      <c r="M571" s="702">
        <v>0</v>
      </c>
      <c r="N571" s="702">
        <v>0</v>
      </c>
      <c r="O571" s="702">
        <v>0</v>
      </c>
      <c r="P571" s="702">
        <v>0</v>
      </c>
      <c r="Q571" s="702">
        <v>0</v>
      </c>
      <c r="R571" s="702">
        <v>0</v>
      </c>
      <c r="S571" s="702">
        <v>0</v>
      </c>
      <c r="T571" s="702">
        <v>0</v>
      </c>
      <c r="U571" s="702">
        <v>0</v>
      </c>
    </row>
    <row r="572" spans="1:21" s="426" customFormat="1">
      <c r="A572" s="1175"/>
      <c r="B572" s="746"/>
      <c r="C572" s="1154"/>
      <c r="D572" s="1154"/>
      <c r="E572" s="1154"/>
      <c r="F572" s="1154"/>
      <c r="G572" s="1154"/>
      <c r="H572" s="1154"/>
      <c r="I572" s="1154"/>
      <c r="J572" s="1154"/>
      <c r="K572" s="1154"/>
      <c r="L572" s="1154"/>
      <c r="M572" s="1154"/>
      <c r="N572" s="1154"/>
      <c r="O572" s="1154"/>
      <c r="P572" s="1154"/>
      <c r="Q572" s="1154"/>
      <c r="R572" s="1154"/>
      <c r="S572" s="1154"/>
      <c r="T572" s="1154"/>
      <c r="U572" s="1154"/>
    </row>
    <row r="573" spans="1:21" s="426" customFormat="1">
      <c r="A573" s="1175"/>
      <c r="B573" s="746"/>
      <c r="C573" s="702">
        <v>0</v>
      </c>
      <c r="D573" s="702">
        <v>0</v>
      </c>
      <c r="E573" s="702">
        <v>0</v>
      </c>
      <c r="F573" s="702">
        <v>0</v>
      </c>
      <c r="G573" s="702">
        <v>0</v>
      </c>
      <c r="H573" s="702">
        <v>0</v>
      </c>
      <c r="I573" s="702">
        <v>0</v>
      </c>
      <c r="J573" s="702">
        <v>0</v>
      </c>
      <c r="K573" s="702">
        <v>0</v>
      </c>
      <c r="L573" s="702">
        <v>0</v>
      </c>
      <c r="M573" s="702">
        <v>0</v>
      </c>
      <c r="N573" s="702">
        <v>0</v>
      </c>
      <c r="O573" s="702">
        <v>0</v>
      </c>
      <c r="P573" s="702">
        <v>0</v>
      </c>
      <c r="Q573" s="702">
        <v>0</v>
      </c>
      <c r="R573" s="702"/>
      <c r="S573" s="702"/>
      <c r="T573" s="702"/>
      <c r="U573" s="702"/>
    </row>
    <row r="574" spans="1:21" s="426" customFormat="1">
      <c r="A574" s="1175"/>
      <c r="B574" s="746"/>
      <c r="C574" s="1154"/>
      <c r="D574" s="1154"/>
      <c r="E574" s="1154"/>
      <c r="F574" s="1154"/>
      <c r="G574" s="1154"/>
      <c r="H574" s="1154"/>
      <c r="I574" s="1154"/>
      <c r="J574" s="1154"/>
      <c r="K574" s="1154"/>
      <c r="L574" s="1154"/>
      <c r="M574" s="1154"/>
      <c r="N574" s="1154"/>
      <c r="O574" s="1154"/>
      <c r="P574" s="1154"/>
      <c r="Q574" s="1154"/>
      <c r="R574" s="1154"/>
      <c r="S574" s="1154"/>
      <c r="T574" s="1154"/>
      <c r="U574" s="1154"/>
    </row>
    <row r="575" spans="1:21" s="426" customFormat="1">
      <c r="A575" s="1175"/>
      <c r="B575" s="746"/>
      <c r="C575" s="702">
        <v>0</v>
      </c>
      <c r="D575" s="702">
        <v>0</v>
      </c>
      <c r="E575" s="702">
        <v>0</v>
      </c>
      <c r="F575" s="702">
        <v>0</v>
      </c>
      <c r="G575" s="702">
        <v>0</v>
      </c>
      <c r="H575" s="702">
        <v>0</v>
      </c>
      <c r="I575" s="702">
        <v>0</v>
      </c>
      <c r="J575" s="702">
        <v>0</v>
      </c>
      <c r="K575" s="702">
        <v>0</v>
      </c>
      <c r="L575" s="702">
        <v>0</v>
      </c>
      <c r="M575" s="702">
        <v>0</v>
      </c>
      <c r="N575" s="702">
        <v>0</v>
      </c>
      <c r="O575" s="702">
        <v>0</v>
      </c>
      <c r="P575" s="702">
        <v>0</v>
      </c>
      <c r="Q575" s="702">
        <v>0</v>
      </c>
      <c r="R575" s="702"/>
      <c r="S575" s="702"/>
      <c r="T575" s="702"/>
      <c r="U575" s="702"/>
    </row>
    <row r="576" spans="1:21" s="426" customFormat="1">
      <c r="A576" s="1175"/>
      <c r="B576" s="746"/>
      <c r="C576" s="1154"/>
      <c r="D576" s="1154"/>
      <c r="E576" s="1154"/>
      <c r="F576" s="1154"/>
      <c r="G576" s="1154"/>
      <c r="H576" s="1154"/>
      <c r="I576" s="1154"/>
      <c r="J576" s="1154"/>
      <c r="K576" s="1154"/>
      <c r="L576" s="1154"/>
      <c r="M576" s="1154"/>
      <c r="N576" s="1154"/>
      <c r="O576" s="1154"/>
      <c r="P576" s="1154"/>
      <c r="Q576" s="1154"/>
      <c r="R576" s="1154"/>
      <c r="S576" s="1154"/>
      <c r="T576" s="1154"/>
      <c r="U576" s="1154"/>
    </row>
    <row r="577" spans="1:21" s="426" customFormat="1">
      <c r="A577" s="1175"/>
      <c r="B577" s="746"/>
      <c r="C577" s="702">
        <v>0</v>
      </c>
      <c r="D577" s="702">
        <v>0</v>
      </c>
      <c r="E577" s="702">
        <v>0</v>
      </c>
      <c r="F577" s="702">
        <v>0</v>
      </c>
      <c r="G577" s="702">
        <v>0</v>
      </c>
      <c r="H577" s="702">
        <v>0</v>
      </c>
      <c r="I577" s="702">
        <v>0</v>
      </c>
      <c r="J577" s="702">
        <v>0</v>
      </c>
      <c r="K577" s="702">
        <v>0</v>
      </c>
      <c r="L577" s="702">
        <v>0</v>
      </c>
      <c r="M577" s="702">
        <v>0</v>
      </c>
      <c r="N577" s="702">
        <v>0</v>
      </c>
      <c r="O577" s="702">
        <v>0</v>
      </c>
      <c r="P577" s="702">
        <v>0</v>
      </c>
      <c r="Q577" s="702">
        <v>0</v>
      </c>
      <c r="R577" s="702"/>
      <c r="S577" s="702"/>
      <c r="T577" s="702"/>
      <c r="U577" s="702"/>
    </row>
    <row r="578" spans="1:21" s="426" customFormat="1">
      <c r="A578" s="1175"/>
      <c r="B578" s="746"/>
      <c r="C578" s="1154"/>
      <c r="D578" s="1154"/>
      <c r="E578" s="1154"/>
      <c r="F578" s="1154"/>
      <c r="G578" s="1154"/>
      <c r="H578" s="1154"/>
      <c r="I578" s="1154"/>
      <c r="J578" s="1154"/>
      <c r="K578" s="1154"/>
      <c r="L578" s="1154"/>
      <c r="M578" s="1154"/>
      <c r="N578" s="1154"/>
      <c r="O578" s="1154"/>
      <c r="P578" s="1154"/>
      <c r="Q578" s="1154"/>
      <c r="R578" s="1154"/>
      <c r="S578" s="1154"/>
      <c r="T578" s="1154"/>
      <c r="U578" s="1154"/>
    </row>
    <row r="579" spans="1:21" s="426" customFormat="1">
      <c r="A579" s="1175"/>
      <c r="B579" s="746"/>
      <c r="C579" s="702">
        <v>0</v>
      </c>
      <c r="D579" s="702">
        <v>0</v>
      </c>
      <c r="E579" s="702">
        <v>0</v>
      </c>
      <c r="F579" s="702">
        <v>0</v>
      </c>
      <c r="G579" s="702">
        <v>0</v>
      </c>
      <c r="H579" s="702">
        <v>0</v>
      </c>
      <c r="I579" s="702">
        <v>0</v>
      </c>
      <c r="J579" s="702">
        <v>0</v>
      </c>
      <c r="K579" s="702">
        <v>0</v>
      </c>
      <c r="L579" s="702">
        <v>0</v>
      </c>
      <c r="M579" s="702">
        <v>0</v>
      </c>
      <c r="N579" s="702">
        <v>0</v>
      </c>
      <c r="O579" s="702">
        <v>0</v>
      </c>
      <c r="P579" s="702">
        <v>0</v>
      </c>
      <c r="Q579" s="702">
        <v>0</v>
      </c>
      <c r="R579" s="702"/>
      <c r="S579" s="702"/>
      <c r="T579" s="702"/>
      <c r="U579" s="702"/>
    </row>
    <row r="580" spans="1:21">
      <c r="A580" s="825" t="s">
        <v>151</v>
      </c>
      <c r="B580" s="746"/>
      <c r="C580" s="875">
        <v>0</v>
      </c>
      <c r="D580" s="875">
        <v>0</v>
      </c>
      <c r="E580" s="875">
        <v>0</v>
      </c>
      <c r="F580" s="875">
        <v>0</v>
      </c>
      <c r="G580" s="875">
        <v>0</v>
      </c>
      <c r="H580" s="875">
        <v>0</v>
      </c>
      <c r="I580" s="875">
        <v>0</v>
      </c>
      <c r="J580" s="875">
        <v>0</v>
      </c>
      <c r="K580" s="875">
        <v>0</v>
      </c>
      <c r="L580" s="875">
        <v>0</v>
      </c>
      <c r="M580" s="875">
        <v>0</v>
      </c>
      <c r="N580" s="875">
        <v>0</v>
      </c>
      <c r="O580" s="875">
        <v>0</v>
      </c>
      <c r="P580" s="875">
        <v>0</v>
      </c>
      <c r="Q580" s="875">
        <v>0</v>
      </c>
      <c r="R580" s="875">
        <v>0</v>
      </c>
      <c r="S580" s="875">
        <v>37000</v>
      </c>
      <c r="T580" s="875">
        <v>0</v>
      </c>
      <c r="U580" s="875">
        <v>0</v>
      </c>
    </row>
    <row r="581" spans="1:21" s="426" customFormat="1">
      <c r="A581" s="831" t="s">
        <v>13</v>
      </c>
      <c r="B581" s="792"/>
      <c r="C581" s="702">
        <v>37000</v>
      </c>
      <c r="D581" s="702">
        <v>37000</v>
      </c>
      <c r="E581" s="702">
        <v>37000</v>
      </c>
      <c r="F581" s="702">
        <v>37000</v>
      </c>
      <c r="G581" s="702">
        <v>37000</v>
      </c>
      <c r="H581" s="702">
        <v>37000</v>
      </c>
      <c r="I581" s="702">
        <v>37000</v>
      </c>
      <c r="J581" s="702">
        <v>37000</v>
      </c>
      <c r="K581" s="702">
        <v>37000</v>
      </c>
      <c r="L581" s="702">
        <v>37000</v>
      </c>
      <c r="M581" s="702">
        <v>37000</v>
      </c>
      <c r="N581" s="702">
        <v>37000</v>
      </c>
      <c r="O581" s="702">
        <v>37000</v>
      </c>
      <c r="P581" s="702">
        <v>37000</v>
      </c>
      <c r="Q581" s="702">
        <v>37000</v>
      </c>
      <c r="R581" s="702">
        <v>37000</v>
      </c>
      <c r="S581" s="702">
        <v>37000</v>
      </c>
      <c r="T581" s="702">
        <v>0</v>
      </c>
      <c r="U581" s="702">
        <v>0</v>
      </c>
    </row>
    <row r="582" spans="1:21">
      <c r="A582" s="1"/>
      <c r="B582" s="748"/>
      <c r="C582" s="890"/>
      <c r="D582" s="890"/>
      <c r="E582" s="890"/>
      <c r="F582" s="890"/>
      <c r="G582" s="890"/>
      <c r="H582" s="890"/>
      <c r="I582" s="890"/>
      <c r="J582" s="890"/>
      <c r="K582" s="890"/>
      <c r="L582" s="890"/>
      <c r="M582" s="890"/>
      <c r="N582" s="890"/>
      <c r="O582" s="890"/>
      <c r="P582" s="890"/>
      <c r="Q582" s="890"/>
      <c r="R582" s="890"/>
      <c r="S582" s="890"/>
      <c r="T582" s="890"/>
      <c r="U582" s="890"/>
    </row>
    <row r="583" spans="1:21" s="426" customFormat="1">
      <c r="A583" s="29" t="s">
        <v>156</v>
      </c>
      <c r="B583" s="748"/>
      <c r="C583" s="891"/>
      <c r="D583" s="891"/>
      <c r="E583" s="891"/>
      <c r="F583" s="891"/>
      <c r="G583" s="891"/>
      <c r="H583" s="891"/>
      <c r="I583" s="891"/>
      <c r="J583" s="891"/>
      <c r="K583" s="891"/>
      <c r="L583" s="891"/>
      <c r="M583" s="891"/>
      <c r="N583" s="891"/>
      <c r="O583" s="891"/>
      <c r="P583" s="891"/>
      <c r="Q583" s="891"/>
      <c r="R583" s="891"/>
      <c r="S583" s="891"/>
      <c r="T583" s="891"/>
      <c r="U583" s="891"/>
    </row>
    <row r="584" spans="1:21">
      <c r="A584" s="28" t="s">
        <v>157</v>
      </c>
      <c r="B584" s="746"/>
      <c r="C584" s="875"/>
      <c r="D584" s="875"/>
      <c r="E584" s="875"/>
      <c r="F584" s="875"/>
      <c r="G584" s="875"/>
      <c r="H584" s="875"/>
      <c r="I584" s="875"/>
      <c r="J584" s="875"/>
      <c r="K584" s="875"/>
      <c r="L584" s="875"/>
      <c r="M584" s="875"/>
      <c r="N584" s="875"/>
      <c r="O584" s="875"/>
      <c r="P584" s="875"/>
      <c r="Q584" s="875"/>
      <c r="R584" s="875"/>
      <c r="S584" s="875"/>
      <c r="T584" s="875"/>
      <c r="U584" s="875"/>
    </row>
    <row r="585" spans="1:21">
      <c r="A585" s="28" t="s">
        <v>158</v>
      </c>
      <c r="B585" s="746" t="s">
        <v>322</v>
      </c>
      <c r="C585" s="875">
        <v>0</v>
      </c>
      <c r="D585" s="875">
        <v>0</v>
      </c>
      <c r="E585" s="875">
        <v>0</v>
      </c>
      <c r="F585" s="875">
        <v>0</v>
      </c>
      <c r="G585" s="875">
        <v>0</v>
      </c>
      <c r="H585" s="875">
        <v>0</v>
      </c>
      <c r="I585" s="875">
        <v>0</v>
      </c>
      <c r="J585" s="875">
        <v>0</v>
      </c>
      <c r="K585" s="875">
        <v>0</v>
      </c>
      <c r="L585" s="875">
        <v>0</v>
      </c>
      <c r="M585" s="875">
        <v>0</v>
      </c>
      <c r="N585" s="875">
        <v>3894000</v>
      </c>
      <c r="O585" s="875">
        <v>0</v>
      </c>
      <c r="P585" s="875">
        <v>0</v>
      </c>
      <c r="Q585" s="875">
        <v>0</v>
      </c>
      <c r="R585" s="875">
        <v>0</v>
      </c>
      <c r="S585" s="875">
        <v>0</v>
      </c>
      <c r="T585" s="875">
        <v>0</v>
      </c>
      <c r="U585" s="875">
        <v>0</v>
      </c>
    </row>
    <row r="586" spans="1:21" s="712" customFormat="1">
      <c r="A586" s="829" t="s">
        <v>13</v>
      </c>
      <c r="B586" s="780"/>
      <c r="C586" s="702">
        <v>3894000</v>
      </c>
      <c r="D586" s="702">
        <v>3894000</v>
      </c>
      <c r="E586" s="702">
        <v>3894000</v>
      </c>
      <c r="F586" s="702">
        <v>3894000</v>
      </c>
      <c r="G586" s="702">
        <v>3894000</v>
      </c>
      <c r="H586" s="702">
        <v>3894000</v>
      </c>
      <c r="I586" s="702">
        <v>3894000</v>
      </c>
      <c r="J586" s="702">
        <v>3894000</v>
      </c>
      <c r="K586" s="702">
        <v>3894000</v>
      </c>
      <c r="L586" s="702">
        <v>3894000</v>
      </c>
      <c r="M586" s="702">
        <v>3894000</v>
      </c>
      <c r="N586" s="702">
        <v>3894000</v>
      </c>
      <c r="O586" s="702">
        <v>0</v>
      </c>
      <c r="P586" s="702">
        <v>0</v>
      </c>
      <c r="Q586" s="702">
        <v>0</v>
      </c>
      <c r="R586" s="702">
        <v>0</v>
      </c>
      <c r="S586" s="702">
        <v>0</v>
      </c>
      <c r="T586" s="702">
        <v>0</v>
      </c>
      <c r="U586" s="702">
        <v>0</v>
      </c>
    </row>
    <row r="587" spans="1:21">
      <c r="A587" s="28" t="s">
        <v>159</v>
      </c>
      <c r="B587" s="746" t="s">
        <v>323</v>
      </c>
      <c r="C587" s="875">
        <v>0</v>
      </c>
      <c r="D587" s="875">
        <v>0</v>
      </c>
      <c r="E587" s="875">
        <v>0</v>
      </c>
      <c r="F587" s="875">
        <v>0</v>
      </c>
      <c r="G587" s="875">
        <v>0</v>
      </c>
      <c r="H587" s="875">
        <v>0</v>
      </c>
      <c r="I587" s="875">
        <v>0</v>
      </c>
      <c r="J587" s="875">
        <v>0</v>
      </c>
      <c r="K587" s="875">
        <v>0</v>
      </c>
      <c r="L587" s="875">
        <v>0</v>
      </c>
      <c r="M587" s="875">
        <v>0</v>
      </c>
      <c r="N587" s="875">
        <v>0</v>
      </c>
      <c r="O587" s="875">
        <v>0</v>
      </c>
      <c r="P587" s="875">
        <v>0</v>
      </c>
      <c r="Q587" s="875">
        <v>0</v>
      </c>
      <c r="R587" s="875">
        <v>0</v>
      </c>
      <c r="S587" s="875">
        <v>0</v>
      </c>
      <c r="T587" s="875">
        <v>0</v>
      </c>
      <c r="U587" s="875">
        <v>0</v>
      </c>
    </row>
    <row r="588" spans="1:21" s="712" customFormat="1">
      <c r="A588" s="829" t="s">
        <v>13</v>
      </c>
      <c r="B588" s="780"/>
      <c r="C588" s="702">
        <v>0</v>
      </c>
      <c r="D588" s="702">
        <v>0</v>
      </c>
      <c r="E588" s="702">
        <v>0</v>
      </c>
      <c r="F588" s="702">
        <v>0</v>
      </c>
      <c r="G588" s="702">
        <v>0</v>
      </c>
      <c r="H588" s="702">
        <v>0</v>
      </c>
      <c r="I588" s="702">
        <v>0</v>
      </c>
      <c r="J588" s="702">
        <v>0</v>
      </c>
      <c r="K588" s="702">
        <v>0</v>
      </c>
      <c r="L588" s="702">
        <v>0</v>
      </c>
      <c r="M588" s="702">
        <v>0</v>
      </c>
      <c r="N588" s="702">
        <v>0</v>
      </c>
      <c r="O588" s="702">
        <v>0</v>
      </c>
      <c r="P588" s="702">
        <v>0</v>
      </c>
      <c r="Q588" s="702">
        <v>0</v>
      </c>
      <c r="R588" s="702">
        <v>0</v>
      </c>
      <c r="S588" s="702">
        <v>0</v>
      </c>
      <c r="T588" s="702">
        <v>0</v>
      </c>
      <c r="U588" s="702">
        <v>0</v>
      </c>
    </row>
    <row r="589" spans="1:21" s="265" customFormat="1">
      <c r="A589" s="820" t="s">
        <v>151</v>
      </c>
      <c r="B589" s="832"/>
      <c r="C589" s="875">
        <v>0</v>
      </c>
      <c r="D589" s="875">
        <v>0</v>
      </c>
      <c r="E589" s="875">
        <v>0</v>
      </c>
      <c r="F589" s="875">
        <v>0</v>
      </c>
      <c r="G589" s="875">
        <v>0</v>
      </c>
      <c r="H589" s="875">
        <v>0</v>
      </c>
      <c r="I589" s="875">
        <v>0</v>
      </c>
      <c r="J589" s="875">
        <v>0</v>
      </c>
      <c r="K589" s="875">
        <v>0</v>
      </c>
      <c r="L589" s="875">
        <v>0</v>
      </c>
      <c r="M589" s="875">
        <v>0</v>
      </c>
      <c r="N589" s="875">
        <v>3894000</v>
      </c>
      <c r="O589" s="875">
        <v>0</v>
      </c>
      <c r="P589" s="875">
        <v>0</v>
      </c>
      <c r="Q589" s="875">
        <v>0</v>
      </c>
      <c r="R589" s="875">
        <v>0</v>
      </c>
      <c r="S589" s="875">
        <v>0</v>
      </c>
      <c r="T589" s="875">
        <v>0</v>
      </c>
      <c r="U589" s="875">
        <v>0</v>
      </c>
    </row>
    <row r="590" spans="1:21">
      <c r="A590" s="830" t="s">
        <v>13</v>
      </c>
      <c r="B590" s="746"/>
      <c r="C590" s="720">
        <v>3894000</v>
      </c>
      <c r="D590" s="720">
        <v>3894000</v>
      </c>
      <c r="E590" s="720">
        <v>3894000</v>
      </c>
      <c r="F590" s="720">
        <v>3894000</v>
      </c>
      <c r="G590" s="720">
        <v>3894000</v>
      </c>
      <c r="H590" s="720">
        <v>3894000</v>
      </c>
      <c r="I590" s="720">
        <v>3894000</v>
      </c>
      <c r="J590" s="720">
        <v>3894000</v>
      </c>
      <c r="K590" s="720">
        <v>3894000</v>
      </c>
      <c r="L590" s="720">
        <v>3894000</v>
      </c>
      <c r="M590" s="720">
        <v>3894000</v>
      </c>
      <c r="N590" s="720">
        <v>3894000</v>
      </c>
      <c r="O590" s="720">
        <v>0</v>
      </c>
      <c r="P590" s="720">
        <v>0</v>
      </c>
      <c r="Q590" s="720">
        <v>0</v>
      </c>
      <c r="R590" s="720">
        <v>0</v>
      </c>
      <c r="S590" s="720">
        <v>0</v>
      </c>
      <c r="T590" s="720">
        <v>0</v>
      </c>
      <c r="U590" s="720">
        <v>0</v>
      </c>
    </row>
    <row r="591" spans="1:21">
      <c r="A591" s="833" t="s">
        <v>167</v>
      </c>
      <c r="B591" s="746"/>
      <c r="C591" s="720">
        <v>-3894000</v>
      </c>
      <c r="D591" s="720">
        <v>-3894000</v>
      </c>
      <c r="E591" s="720">
        <v>-3894000</v>
      </c>
      <c r="F591" s="720">
        <v>-3894000</v>
      </c>
      <c r="G591" s="720">
        <v>-3894000</v>
      </c>
      <c r="H591" s="720">
        <v>-3894000</v>
      </c>
      <c r="I591" s="720">
        <v>-3894000</v>
      </c>
      <c r="J591" s="720">
        <v>-3894000</v>
      </c>
      <c r="K591" s="720">
        <v>-3894000</v>
      </c>
      <c r="L591" s="720">
        <v>-3894000</v>
      </c>
      <c r="M591" s="720">
        <v>-3894000</v>
      </c>
      <c r="N591" s="720">
        <v>-3894000</v>
      </c>
      <c r="O591" s="720">
        <v>0</v>
      </c>
      <c r="P591" s="720">
        <v>0</v>
      </c>
      <c r="Q591" s="720">
        <v>0</v>
      </c>
      <c r="R591" s="720">
        <v>0</v>
      </c>
      <c r="S591" s="720">
        <v>0</v>
      </c>
      <c r="T591" s="720">
        <v>0</v>
      </c>
      <c r="U591" s="720">
        <v>0</v>
      </c>
    </row>
    <row r="592" spans="1:21">
      <c r="A592" s="834"/>
      <c r="B592" s="748"/>
      <c r="C592" s="892"/>
      <c r="D592" s="892"/>
      <c r="E592" s="892"/>
      <c r="F592" s="892"/>
      <c r="G592" s="892"/>
      <c r="H592" s="892"/>
      <c r="I592" s="892"/>
      <c r="J592" s="892"/>
      <c r="K592" s="892"/>
      <c r="L592" s="892"/>
      <c r="M592" s="892"/>
      <c r="N592" s="892"/>
      <c r="O592" s="892"/>
      <c r="P592" s="892"/>
      <c r="Q592" s="892"/>
      <c r="R592" s="892"/>
      <c r="S592" s="892"/>
      <c r="T592" s="892"/>
      <c r="U592" s="892"/>
    </row>
    <row r="593" spans="1:21">
      <c r="A593" s="1176" t="s">
        <v>843</v>
      </c>
      <c r="B593" s="748"/>
      <c r="C593" s="1153"/>
      <c r="D593" s="1153"/>
      <c r="E593" s="1153"/>
      <c r="F593" s="1153"/>
      <c r="G593" s="1153"/>
      <c r="H593" s="1153"/>
      <c r="I593" s="1153"/>
      <c r="J593" s="1153"/>
      <c r="K593" s="1153"/>
      <c r="L593" s="1153"/>
      <c r="M593" s="1153"/>
      <c r="N593" s="1153"/>
      <c r="O593" s="1153"/>
      <c r="P593" s="1153"/>
      <c r="Q593" s="1153"/>
      <c r="R593" s="1153"/>
      <c r="S593" s="1153"/>
      <c r="T593" s="1153"/>
      <c r="U593" s="1153"/>
    </row>
    <row r="594" spans="1:21">
      <c r="A594" s="1176" t="s">
        <v>13</v>
      </c>
      <c r="B594" s="748"/>
      <c r="C594" s="970">
        <v>0</v>
      </c>
      <c r="D594" s="970">
        <v>0</v>
      </c>
      <c r="E594" s="970">
        <v>0</v>
      </c>
      <c r="F594" s="970">
        <v>0</v>
      </c>
      <c r="G594" s="970">
        <v>0</v>
      </c>
      <c r="H594" s="970">
        <v>0</v>
      </c>
      <c r="I594" s="970">
        <v>0</v>
      </c>
      <c r="J594" s="970">
        <v>0</v>
      </c>
      <c r="K594" s="970">
        <v>0</v>
      </c>
      <c r="L594" s="970">
        <v>0</v>
      </c>
      <c r="M594" s="970">
        <v>0</v>
      </c>
      <c r="N594" s="970">
        <v>0</v>
      </c>
      <c r="O594" s="970">
        <v>0</v>
      </c>
      <c r="P594" s="970">
        <v>0</v>
      </c>
      <c r="Q594" s="970">
        <v>0</v>
      </c>
      <c r="R594" s="970">
        <v>0</v>
      </c>
      <c r="S594" s="970"/>
      <c r="T594" s="970"/>
      <c r="U594" s="970"/>
    </row>
    <row r="595" spans="1:21">
      <c r="A595" s="1176" t="s">
        <v>844</v>
      </c>
      <c r="B595" s="748"/>
      <c r="C595" s="1153">
        <v>0</v>
      </c>
      <c r="D595" s="1153">
        <v>0</v>
      </c>
      <c r="E595" s="1153">
        <v>0</v>
      </c>
      <c r="F595" s="1153">
        <v>0</v>
      </c>
      <c r="G595" s="1153">
        <v>0</v>
      </c>
      <c r="H595" s="1153">
        <v>0</v>
      </c>
      <c r="I595" s="1153">
        <v>0</v>
      </c>
      <c r="J595" s="1153">
        <v>0</v>
      </c>
      <c r="K595" s="1153">
        <v>0</v>
      </c>
      <c r="L595" s="1153">
        <v>0</v>
      </c>
      <c r="M595" s="1153">
        <v>0</v>
      </c>
      <c r="N595" s="1153">
        <v>0</v>
      </c>
      <c r="O595" s="1153">
        <v>0</v>
      </c>
      <c r="P595" s="1153">
        <v>0</v>
      </c>
      <c r="Q595" s="1153">
        <v>0</v>
      </c>
      <c r="R595" s="1153">
        <v>0</v>
      </c>
      <c r="S595" s="1153"/>
      <c r="T595" s="1153"/>
      <c r="U595" s="1153"/>
    </row>
    <row r="596" spans="1:21">
      <c r="A596" s="834"/>
      <c r="B596" s="748"/>
      <c r="C596" s="892"/>
      <c r="D596" s="892"/>
      <c r="E596" s="892"/>
      <c r="F596" s="892"/>
      <c r="G596" s="892"/>
      <c r="H596" s="892"/>
      <c r="I596" s="892"/>
      <c r="J596" s="892"/>
      <c r="K596" s="892"/>
      <c r="L596" s="892"/>
      <c r="M596" s="892"/>
      <c r="N596" s="892"/>
      <c r="O596" s="892"/>
      <c r="P596" s="892"/>
      <c r="Q596" s="892"/>
      <c r="R596" s="892"/>
      <c r="S596" s="892"/>
      <c r="T596" s="892"/>
      <c r="U596" s="892"/>
    </row>
    <row r="597" spans="1:21">
      <c r="A597" s="834" t="s">
        <v>364</v>
      </c>
      <c r="B597" s="748"/>
      <c r="C597" s="892">
        <v>0</v>
      </c>
      <c r="D597" s="892">
        <v>0</v>
      </c>
      <c r="E597" s="892">
        <v>0</v>
      </c>
      <c r="F597" s="892">
        <v>0</v>
      </c>
      <c r="G597" s="892">
        <v>0</v>
      </c>
      <c r="H597" s="892">
        <v>0</v>
      </c>
      <c r="I597" s="892">
        <v>0</v>
      </c>
      <c r="J597" s="892">
        <v>0</v>
      </c>
      <c r="K597" s="892">
        <v>100000</v>
      </c>
      <c r="L597" s="892">
        <v>0</v>
      </c>
      <c r="M597" s="892">
        <v>0</v>
      </c>
      <c r="N597" s="892">
        <v>0</v>
      </c>
      <c r="O597" s="892">
        <v>0</v>
      </c>
      <c r="P597" s="892">
        <v>0</v>
      </c>
      <c r="Q597" s="892">
        <v>0</v>
      </c>
      <c r="R597" s="892">
        <v>0</v>
      </c>
      <c r="S597" s="892">
        <v>0</v>
      </c>
      <c r="T597" s="892">
        <v>0</v>
      </c>
      <c r="U597" s="892">
        <v>0</v>
      </c>
    </row>
    <row r="598" spans="1:21">
      <c r="A598" s="835" t="s">
        <v>13</v>
      </c>
      <c r="B598" s="748"/>
      <c r="C598" s="720">
        <v>100000</v>
      </c>
      <c r="D598" s="720">
        <v>100000</v>
      </c>
      <c r="E598" s="720">
        <v>100000</v>
      </c>
      <c r="F598" s="720">
        <v>100000</v>
      </c>
      <c r="G598" s="720">
        <v>100000</v>
      </c>
      <c r="H598" s="720">
        <v>100000</v>
      </c>
      <c r="I598" s="720">
        <v>100000</v>
      </c>
      <c r="J598" s="720">
        <v>100000</v>
      </c>
      <c r="K598" s="720">
        <v>100000</v>
      </c>
      <c r="L598" s="720">
        <v>0</v>
      </c>
      <c r="M598" s="720">
        <v>0</v>
      </c>
      <c r="N598" s="720">
        <v>0</v>
      </c>
      <c r="O598" s="720">
        <v>0</v>
      </c>
      <c r="P598" s="720">
        <v>0</v>
      </c>
      <c r="Q598" s="720">
        <v>0</v>
      </c>
      <c r="R598" s="720">
        <v>0</v>
      </c>
      <c r="S598" s="720">
        <v>0</v>
      </c>
      <c r="T598" s="720">
        <v>0</v>
      </c>
      <c r="U598" s="720">
        <v>0</v>
      </c>
    </row>
    <row r="599" spans="1:21">
      <c r="A599" s="836" t="s">
        <v>365</v>
      </c>
      <c r="B599" s="748" t="s">
        <v>529</v>
      </c>
      <c r="C599" s="892">
        <v>0</v>
      </c>
      <c r="D599" s="892">
        <v>0</v>
      </c>
      <c r="E599" s="892">
        <v>0</v>
      </c>
      <c r="F599" s="892">
        <v>0</v>
      </c>
      <c r="G599" s="892">
        <v>0</v>
      </c>
      <c r="H599" s="892">
        <v>0</v>
      </c>
      <c r="I599" s="892">
        <v>0</v>
      </c>
      <c r="J599" s="892">
        <v>0</v>
      </c>
      <c r="K599" s="892">
        <v>0</v>
      </c>
      <c r="L599" s="892">
        <v>0</v>
      </c>
      <c r="M599" s="892">
        <v>0</v>
      </c>
      <c r="N599" s="892">
        <v>0</v>
      </c>
      <c r="O599" s="892">
        <v>0</v>
      </c>
      <c r="P599" s="892">
        <v>0</v>
      </c>
      <c r="Q599" s="892">
        <v>0</v>
      </c>
      <c r="R599" s="892">
        <v>0</v>
      </c>
      <c r="S599" s="892">
        <v>0</v>
      </c>
      <c r="T599" s="892">
        <v>0</v>
      </c>
      <c r="U599" s="892">
        <v>0</v>
      </c>
    </row>
    <row r="600" spans="1:21">
      <c r="A600" s="835" t="s">
        <v>13</v>
      </c>
      <c r="B600" s="748"/>
      <c r="C600" s="720">
        <v>0</v>
      </c>
      <c r="D600" s="720">
        <v>0</v>
      </c>
      <c r="E600" s="720">
        <v>0</v>
      </c>
      <c r="F600" s="720">
        <v>0</v>
      </c>
      <c r="G600" s="720">
        <v>0</v>
      </c>
      <c r="H600" s="720">
        <v>0</v>
      </c>
      <c r="I600" s="720">
        <v>0</v>
      </c>
      <c r="J600" s="720">
        <v>0</v>
      </c>
      <c r="K600" s="720">
        <v>0</v>
      </c>
      <c r="L600" s="720">
        <v>0</v>
      </c>
      <c r="M600" s="720">
        <v>0</v>
      </c>
      <c r="N600" s="720">
        <v>0</v>
      </c>
      <c r="O600" s="720">
        <v>0</v>
      </c>
      <c r="P600" s="720">
        <v>0</v>
      </c>
      <c r="Q600" s="720">
        <v>0</v>
      </c>
      <c r="R600" s="720">
        <v>0</v>
      </c>
      <c r="S600" s="720">
        <v>0</v>
      </c>
      <c r="T600" s="720">
        <v>0</v>
      </c>
      <c r="U600" s="720">
        <v>0</v>
      </c>
    </row>
    <row r="601" spans="1:21">
      <c r="A601" s="836" t="s">
        <v>366</v>
      </c>
      <c r="B601" s="748" t="s">
        <v>530</v>
      </c>
      <c r="C601" s="892">
        <v>0</v>
      </c>
      <c r="D601" s="892">
        <v>0</v>
      </c>
      <c r="E601" s="892">
        <v>0</v>
      </c>
      <c r="F601" s="892">
        <v>0</v>
      </c>
      <c r="G601" s="892">
        <v>0</v>
      </c>
      <c r="H601" s="892">
        <v>0</v>
      </c>
      <c r="I601" s="892">
        <v>0</v>
      </c>
      <c r="J601" s="892">
        <v>0</v>
      </c>
      <c r="K601" s="892">
        <v>100000</v>
      </c>
      <c r="L601" s="892">
        <v>0</v>
      </c>
      <c r="M601" s="892">
        <v>0</v>
      </c>
      <c r="N601" s="892">
        <v>0</v>
      </c>
      <c r="O601" s="892">
        <v>0</v>
      </c>
      <c r="P601" s="892">
        <v>0</v>
      </c>
      <c r="Q601" s="892">
        <v>0</v>
      </c>
      <c r="R601" s="892">
        <v>0</v>
      </c>
      <c r="S601" s="892">
        <v>0</v>
      </c>
      <c r="T601" s="892">
        <v>0</v>
      </c>
      <c r="U601" s="892">
        <v>0</v>
      </c>
    </row>
    <row r="602" spans="1:21">
      <c r="A602" s="835" t="s">
        <v>13</v>
      </c>
      <c r="B602" s="748"/>
      <c r="C602" s="720">
        <v>100000</v>
      </c>
      <c r="D602" s="720">
        <v>100000</v>
      </c>
      <c r="E602" s="720">
        <v>100000</v>
      </c>
      <c r="F602" s="720">
        <v>100000</v>
      </c>
      <c r="G602" s="720">
        <v>100000</v>
      </c>
      <c r="H602" s="720">
        <v>100000</v>
      </c>
      <c r="I602" s="720">
        <v>100000</v>
      </c>
      <c r="J602" s="720">
        <v>100000</v>
      </c>
      <c r="K602" s="720">
        <v>100000</v>
      </c>
      <c r="L602" s="720">
        <v>0</v>
      </c>
      <c r="M602" s="720">
        <v>0</v>
      </c>
      <c r="N602" s="720">
        <v>0</v>
      </c>
      <c r="O602" s="720">
        <v>0</v>
      </c>
      <c r="P602" s="720">
        <v>0</v>
      </c>
      <c r="Q602" s="720">
        <v>0</v>
      </c>
      <c r="R602" s="720">
        <v>0</v>
      </c>
      <c r="S602" s="720">
        <v>0</v>
      </c>
      <c r="T602" s="720">
        <v>0</v>
      </c>
      <c r="U602" s="720">
        <v>0</v>
      </c>
    </row>
    <row r="603" spans="1:21" s="1178" customFormat="1">
      <c r="A603" s="1175"/>
      <c r="B603" s="1177"/>
      <c r="C603" s="1142"/>
      <c r="D603" s="1142"/>
      <c r="E603" s="1142"/>
      <c r="F603" s="1142"/>
      <c r="G603" s="1142"/>
      <c r="H603" s="1142"/>
      <c r="I603" s="1142"/>
      <c r="J603" s="1142"/>
      <c r="K603" s="1142"/>
      <c r="L603" s="1142"/>
      <c r="M603" s="1142"/>
      <c r="N603" s="1142"/>
      <c r="O603" s="1142"/>
      <c r="P603" s="1142"/>
      <c r="Q603" s="1142"/>
      <c r="R603" s="1142"/>
      <c r="S603" s="1142"/>
      <c r="T603" s="1142"/>
      <c r="U603" s="1142"/>
    </row>
    <row r="604" spans="1:21">
      <c r="A604" s="1175"/>
      <c r="B604" s="748"/>
      <c r="C604" s="720">
        <v>0</v>
      </c>
      <c r="D604" s="720">
        <v>0</v>
      </c>
      <c r="E604" s="720">
        <v>0</v>
      </c>
      <c r="F604" s="720">
        <v>0</v>
      </c>
      <c r="G604" s="720">
        <v>0</v>
      </c>
      <c r="H604" s="720">
        <v>0</v>
      </c>
      <c r="I604" s="720">
        <v>0</v>
      </c>
      <c r="J604" s="720">
        <v>0</v>
      </c>
      <c r="K604" s="720">
        <v>0</v>
      </c>
      <c r="L604" s="720">
        <v>0</v>
      </c>
      <c r="M604" s="720">
        <v>0</v>
      </c>
      <c r="N604" s="720">
        <v>0</v>
      </c>
      <c r="O604" s="720">
        <v>0</v>
      </c>
      <c r="P604" s="720"/>
      <c r="Q604" s="720"/>
      <c r="R604" s="720"/>
      <c r="S604" s="720"/>
      <c r="T604" s="720"/>
      <c r="U604" s="720"/>
    </row>
    <row r="605" spans="1:21" s="1178" customFormat="1">
      <c r="A605" s="1175"/>
      <c r="B605" s="1177"/>
      <c r="C605" s="1142"/>
      <c r="D605" s="1142"/>
      <c r="E605" s="1142"/>
      <c r="F605" s="1142"/>
      <c r="G605" s="1142"/>
      <c r="H605" s="1142"/>
      <c r="I605" s="1142"/>
      <c r="J605" s="1142"/>
      <c r="K605" s="1142"/>
      <c r="L605" s="1142"/>
      <c r="M605" s="1142"/>
      <c r="N605" s="1142"/>
      <c r="O605" s="1142"/>
      <c r="P605" s="1142"/>
      <c r="Q605" s="1142"/>
      <c r="R605" s="1142"/>
      <c r="S605" s="1142"/>
      <c r="T605" s="1142"/>
      <c r="U605" s="1142"/>
    </row>
    <row r="606" spans="1:21">
      <c r="A606" s="1175"/>
      <c r="B606" s="748"/>
      <c r="C606" s="720">
        <v>0</v>
      </c>
      <c r="D606" s="720">
        <v>0</v>
      </c>
      <c r="E606" s="720">
        <v>0</v>
      </c>
      <c r="F606" s="720">
        <v>0</v>
      </c>
      <c r="G606" s="720">
        <v>0</v>
      </c>
      <c r="H606" s="720">
        <v>0</v>
      </c>
      <c r="I606" s="720">
        <v>0</v>
      </c>
      <c r="J606" s="720">
        <v>0</v>
      </c>
      <c r="K606" s="720">
        <v>0</v>
      </c>
      <c r="L606" s="720">
        <v>0</v>
      </c>
      <c r="M606" s="720">
        <v>0</v>
      </c>
      <c r="N606" s="720">
        <v>0</v>
      </c>
      <c r="O606" s="720">
        <v>0</v>
      </c>
      <c r="P606" s="720"/>
      <c r="Q606" s="720"/>
      <c r="R606" s="720"/>
      <c r="S606" s="720"/>
      <c r="T606" s="720"/>
      <c r="U606" s="720"/>
    </row>
    <row r="607" spans="1:21" s="1178" customFormat="1">
      <c r="A607" s="1175"/>
      <c r="B607" s="1177"/>
      <c r="C607" s="1142"/>
      <c r="D607" s="1142"/>
      <c r="E607" s="1142"/>
      <c r="F607" s="1142"/>
      <c r="G607" s="1142"/>
      <c r="H607" s="1142"/>
      <c r="I607" s="1142"/>
      <c r="J607" s="1142"/>
      <c r="K607" s="1142"/>
      <c r="L607" s="1142"/>
      <c r="M607" s="1142"/>
      <c r="N607" s="1142"/>
      <c r="O607" s="1142"/>
      <c r="P607" s="1142"/>
      <c r="Q607" s="1142"/>
      <c r="R607" s="1142"/>
      <c r="S607" s="1142"/>
      <c r="T607" s="1142"/>
      <c r="U607" s="1142"/>
    </row>
    <row r="608" spans="1:21">
      <c r="A608" s="1175"/>
      <c r="B608" s="748"/>
      <c r="C608" s="720">
        <v>0</v>
      </c>
      <c r="D608" s="720">
        <v>0</v>
      </c>
      <c r="E608" s="720">
        <v>0</v>
      </c>
      <c r="F608" s="720">
        <v>0</v>
      </c>
      <c r="G608" s="720">
        <v>0</v>
      </c>
      <c r="H608" s="720">
        <v>0</v>
      </c>
      <c r="I608" s="720">
        <v>0</v>
      </c>
      <c r="J608" s="720">
        <v>0</v>
      </c>
      <c r="K608" s="720">
        <v>0</v>
      </c>
      <c r="L608" s="720">
        <v>0</v>
      </c>
      <c r="M608" s="720">
        <v>0</v>
      </c>
      <c r="N608" s="720">
        <v>0</v>
      </c>
      <c r="O608" s="720">
        <v>0</v>
      </c>
      <c r="P608" s="720"/>
      <c r="Q608" s="720"/>
      <c r="R608" s="720"/>
      <c r="S608" s="720"/>
      <c r="T608" s="720"/>
      <c r="U608" s="720"/>
    </row>
    <row r="609" spans="1:21">
      <c r="A609" s="834"/>
      <c r="B609" s="748"/>
      <c r="C609" s="892"/>
      <c r="D609" s="892"/>
      <c r="E609" s="892"/>
      <c r="F609" s="892"/>
      <c r="G609" s="892"/>
      <c r="H609" s="892"/>
      <c r="I609" s="892"/>
      <c r="J609" s="892"/>
      <c r="K609" s="892"/>
      <c r="L609" s="892"/>
      <c r="M609" s="892"/>
      <c r="N609" s="892"/>
      <c r="O609" s="892"/>
      <c r="P609" s="892"/>
      <c r="Q609" s="892"/>
      <c r="R609" s="892"/>
      <c r="S609" s="892"/>
      <c r="T609" s="892"/>
      <c r="U609" s="892"/>
    </row>
    <row r="610" spans="1:21">
      <c r="A610" s="834" t="s">
        <v>187</v>
      </c>
      <c r="B610" s="748" t="s">
        <v>531</v>
      </c>
      <c r="C610" s="892">
        <v>5963000</v>
      </c>
      <c r="D610" s="892">
        <v>100000</v>
      </c>
      <c r="E610" s="892">
        <v>0</v>
      </c>
      <c r="F610" s="892">
        <v>0</v>
      </c>
      <c r="G610" s="892">
        <v>0</v>
      </c>
      <c r="H610" s="892">
        <v>100000</v>
      </c>
      <c r="I610" s="892">
        <v>0</v>
      </c>
      <c r="J610" s="892">
        <v>0</v>
      </c>
      <c r="K610" s="892">
        <v>500000</v>
      </c>
      <c r="L610" s="892">
        <v>0</v>
      </c>
      <c r="M610" s="892">
        <v>0</v>
      </c>
      <c r="N610" s="892">
        <v>0</v>
      </c>
      <c r="O610" s="892">
        <v>0</v>
      </c>
      <c r="P610" s="892">
        <v>100000</v>
      </c>
      <c r="Q610" s="892">
        <v>0</v>
      </c>
      <c r="R610" s="892">
        <v>0</v>
      </c>
      <c r="S610" s="892">
        <v>100000</v>
      </c>
      <c r="T610" s="892">
        <v>0</v>
      </c>
      <c r="U610" s="892">
        <v>0</v>
      </c>
    </row>
    <row r="611" spans="1:21">
      <c r="A611" s="834" t="s">
        <v>13</v>
      </c>
      <c r="B611" s="748"/>
      <c r="C611" s="720">
        <v>6863000</v>
      </c>
      <c r="D611" s="720">
        <v>900000</v>
      </c>
      <c r="E611" s="720">
        <v>800000</v>
      </c>
      <c r="F611" s="720">
        <v>800000</v>
      </c>
      <c r="G611" s="720">
        <v>800000</v>
      </c>
      <c r="H611" s="720">
        <v>800000</v>
      </c>
      <c r="I611" s="720">
        <v>700000</v>
      </c>
      <c r="J611" s="720">
        <v>700000</v>
      </c>
      <c r="K611" s="720">
        <v>700000</v>
      </c>
      <c r="L611" s="720">
        <v>200000</v>
      </c>
      <c r="M611" s="720">
        <v>200000</v>
      </c>
      <c r="N611" s="720">
        <v>200000</v>
      </c>
      <c r="O611" s="720">
        <v>200000</v>
      </c>
      <c r="P611" s="720">
        <v>200000</v>
      </c>
      <c r="Q611" s="720">
        <v>100000</v>
      </c>
      <c r="R611" s="720">
        <v>100000</v>
      </c>
      <c r="S611" s="720">
        <v>100000</v>
      </c>
      <c r="T611" s="720">
        <v>0</v>
      </c>
      <c r="U611" s="720">
        <v>0</v>
      </c>
    </row>
    <row r="612" spans="1:21">
      <c r="A612" s="1"/>
      <c r="B612" s="748"/>
      <c r="C612" s="890"/>
      <c r="D612" s="890"/>
      <c r="E612" s="890"/>
      <c r="F612" s="890"/>
      <c r="G612" s="890"/>
      <c r="H612" s="890"/>
      <c r="I612" s="890"/>
      <c r="J612" s="890"/>
      <c r="K612" s="890"/>
      <c r="L612" s="890"/>
      <c r="M612" s="890"/>
      <c r="N612" s="890"/>
      <c r="O612" s="890"/>
      <c r="P612" s="890"/>
      <c r="Q612" s="890"/>
      <c r="R612" s="890"/>
      <c r="S612" s="890"/>
      <c r="T612" s="890"/>
      <c r="U612" s="890"/>
    </row>
    <row r="613" spans="1:21">
      <c r="A613" s="11" t="s">
        <v>100</v>
      </c>
      <c r="B613" s="792"/>
      <c r="C613" s="880">
        <v>6163000</v>
      </c>
      <c r="D613" s="880">
        <v>318000</v>
      </c>
      <c r="E613" s="880">
        <v>1168400</v>
      </c>
      <c r="F613" s="880">
        <v>1081000</v>
      </c>
      <c r="G613" s="880">
        <v>436750</v>
      </c>
      <c r="H613" s="880">
        <v>3849709</v>
      </c>
      <c r="I613" s="880">
        <v>7604500</v>
      </c>
      <c r="J613" s="880">
        <v>867500</v>
      </c>
      <c r="K613" s="880">
        <v>1081059</v>
      </c>
      <c r="L613" s="880">
        <v>135000</v>
      </c>
      <c r="M613" s="880">
        <v>740035</v>
      </c>
      <c r="N613" s="880">
        <v>4150898</v>
      </c>
      <c r="O613" s="880">
        <v>2739636</v>
      </c>
      <c r="P613" s="880">
        <v>516000</v>
      </c>
      <c r="Q613" s="880">
        <v>784400</v>
      </c>
      <c r="R613" s="880">
        <v>1235000</v>
      </c>
      <c r="S613" s="880">
        <v>2389398</v>
      </c>
      <c r="T613" s="880">
        <v>1474307</v>
      </c>
      <c r="U613" s="880">
        <v>0</v>
      </c>
    </row>
    <row r="614" spans="1:21" s="426" customFormat="1">
      <c r="A614" s="828" t="s">
        <v>59</v>
      </c>
      <c r="B614" s="792"/>
      <c r="C614" s="720">
        <v>36734592</v>
      </c>
      <c r="D614" s="720">
        <v>30571592</v>
      </c>
      <c r="E614" s="720">
        <v>30253592</v>
      </c>
      <c r="F614" s="720">
        <v>29085192</v>
      </c>
      <c r="G614" s="720">
        <v>28004192</v>
      </c>
      <c r="H614" s="720">
        <v>27567442</v>
      </c>
      <c r="I614" s="720">
        <v>23717733</v>
      </c>
      <c r="J614" s="720">
        <v>16113233</v>
      </c>
      <c r="K614" s="720">
        <v>15245733</v>
      </c>
      <c r="L614" s="720">
        <v>14164674</v>
      </c>
      <c r="M614" s="720">
        <v>14029674</v>
      </c>
      <c r="N614" s="720">
        <v>13289639</v>
      </c>
      <c r="O614" s="720">
        <v>9138741</v>
      </c>
      <c r="P614" s="720">
        <v>6399105</v>
      </c>
      <c r="Q614" s="720">
        <v>5883105</v>
      </c>
      <c r="R614" s="720">
        <v>5098705</v>
      </c>
      <c r="S614" s="720">
        <v>3863705</v>
      </c>
      <c r="T614" s="720">
        <v>1474307</v>
      </c>
      <c r="U614" s="720">
        <v>0</v>
      </c>
    </row>
    <row r="615" spans="1:21">
      <c r="A615" s="11"/>
      <c r="B615" s="837"/>
      <c r="C615" s="893"/>
      <c r="D615" s="893"/>
      <c r="E615" s="893"/>
      <c r="F615" s="893"/>
      <c r="G615" s="893"/>
      <c r="H615" s="893"/>
      <c r="I615" s="893"/>
      <c r="J615" s="893"/>
      <c r="K615" s="893"/>
      <c r="L615" s="893"/>
      <c r="M615" s="893"/>
      <c r="N615" s="893"/>
      <c r="O615" s="893"/>
      <c r="P615" s="893"/>
      <c r="Q615" s="893"/>
      <c r="R615" s="893"/>
      <c r="S615" s="893"/>
      <c r="T615" s="893"/>
      <c r="U615" s="893"/>
    </row>
    <row r="616" spans="1:21" s="722" customFormat="1" ht="21">
      <c r="A616" s="838" t="s">
        <v>60</v>
      </c>
      <c r="B616" s="839"/>
      <c r="C616" s="894">
        <v>12210346</v>
      </c>
      <c r="D616" s="894">
        <v>16001470</v>
      </c>
      <c r="E616" s="894">
        <v>15911967</v>
      </c>
      <c r="F616" s="894">
        <v>15404138</v>
      </c>
      <c r="G616" s="894">
        <v>15108135</v>
      </c>
      <c r="H616" s="894">
        <v>13413100</v>
      </c>
      <c r="I616" s="894">
        <v>11776123</v>
      </c>
      <c r="J616" s="894">
        <v>18963503</v>
      </c>
      <c r="K616" s="894">
        <v>14929774</v>
      </c>
      <c r="L616" s="894">
        <v>13499428</v>
      </c>
      <c r="M616" s="894">
        <v>11451761</v>
      </c>
      <c r="N616" s="894">
        <v>6714289</v>
      </c>
      <c r="O616" s="894">
        <v>9916800</v>
      </c>
      <c r="P616" s="894">
        <v>4614212</v>
      </c>
      <c r="Q616" s="894">
        <v>4514664</v>
      </c>
      <c r="R616" s="894">
        <v>4037377</v>
      </c>
      <c r="S616" s="894">
        <v>2548539</v>
      </c>
      <c r="T616" s="894">
        <v>209982</v>
      </c>
      <c r="U616" s="894">
        <v>0</v>
      </c>
    </row>
    <row r="617" spans="1:21">
      <c r="A617" s="1"/>
      <c r="B617" s="736"/>
      <c r="C617" s="736"/>
      <c r="D617" s="736"/>
      <c r="E617" s="736"/>
      <c r="F617" s="736"/>
      <c r="G617" s="736"/>
      <c r="H617" s="736"/>
      <c r="I617" s="736"/>
      <c r="J617" s="736"/>
      <c r="K617" s="736"/>
      <c r="L617" s="736"/>
      <c r="M617" s="736"/>
      <c r="N617" s="736"/>
      <c r="O617" s="736"/>
      <c r="P617" s="736"/>
      <c r="Q617" s="736"/>
      <c r="R617" s="736"/>
      <c r="S617" s="736"/>
      <c r="T617" s="736"/>
      <c r="U617" s="736"/>
    </row>
    <row r="618" spans="1:21">
      <c r="A618" s="1"/>
      <c r="B618" s="736"/>
      <c r="C618" s="736"/>
      <c r="D618" s="736"/>
      <c r="E618" s="736"/>
      <c r="F618" s="736"/>
      <c r="G618" s="736"/>
      <c r="H618" s="736"/>
      <c r="I618" s="736"/>
      <c r="J618" s="736"/>
      <c r="K618" s="736"/>
      <c r="L618" s="736"/>
      <c r="M618" s="736"/>
      <c r="N618" s="736"/>
      <c r="O618" s="736"/>
      <c r="P618" s="736"/>
      <c r="Q618" s="736"/>
      <c r="R618" s="736"/>
      <c r="S618" s="736"/>
      <c r="T618" s="736"/>
      <c r="U618" s="736"/>
    </row>
    <row r="619" spans="1:21" s="723" customFormat="1" ht="21">
      <c r="A619" s="840" t="s">
        <v>117</v>
      </c>
      <c r="B619" s="841" t="s">
        <v>532</v>
      </c>
      <c r="C619" s="895">
        <v>267179827</v>
      </c>
      <c r="D619" s="895">
        <v>279806451</v>
      </c>
      <c r="E619" s="895">
        <v>279366948</v>
      </c>
      <c r="F619" s="895">
        <v>276668119</v>
      </c>
      <c r="G619" s="895">
        <v>277107116</v>
      </c>
      <c r="H619" s="895">
        <v>276429081</v>
      </c>
      <c r="I619" s="895">
        <v>276576104</v>
      </c>
      <c r="J619" s="895">
        <v>282526484</v>
      </c>
      <c r="K619" s="895">
        <v>276656755</v>
      </c>
      <c r="L619" s="895">
        <v>274159849</v>
      </c>
      <c r="M619" s="895">
        <v>276522182</v>
      </c>
      <c r="N619" s="895">
        <v>272091710</v>
      </c>
      <c r="O619" s="895">
        <v>275101222</v>
      </c>
      <c r="P619" s="895">
        <v>299915134</v>
      </c>
      <c r="Q619" s="895">
        <v>299070586</v>
      </c>
      <c r="R619" s="895">
        <v>302851799</v>
      </c>
      <c r="S619" s="895">
        <v>332599961</v>
      </c>
      <c r="T619" s="895">
        <v>331980598</v>
      </c>
      <c r="U619" s="895">
        <v>332274422</v>
      </c>
    </row>
    <row r="620" spans="1:21" s="724" customFormat="1" ht="18">
      <c r="A620" s="842" t="s">
        <v>21</v>
      </c>
      <c r="B620" s="843" t="s">
        <v>533</v>
      </c>
      <c r="C620" s="896">
        <v>10445333</v>
      </c>
      <c r="D620" s="896">
        <v>11085333</v>
      </c>
      <c r="E620" s="896">
        <v>11085333</v>
      </c>
      <c r="F620" s="896">
        <v>11675333</v>
      </c>
      <c r="G620" s="896">
        <v>11425333</v>
      </c>
      <c r="H620" s="896">
        <v>11425333</v>
      </c>
      <c r="I620" s="896">
        <v>11425333</v>
      </c>
      <c r="J620" s="896">
        <v>11425333</v>
      </c>
      <c r="K620" s="896">
        <v>12235333</v>
      </c>
      <c r="L620" s="896">
        <v>14235333</v>
      </c>
      <c r="M620" s="896">
        <v>11985333</v>
      </c>
      <c r="N620" s="896">
        <v>11985333</v>
      </c>
      <c r="O620" s="896">
        <v>11785333</v>
      </c>
      <c r="P620" s="896">
        <v>11580333</v>
      </c>
      <c r="Q620" s="896">
        <v>12100333</v>
      </c>
      <c r="R620" s="896">
        <v>11100333</v>
      </c>
      <c r="S620" s="896">
        <v>9100333</v>
      </c>
      <c r="T620" s="896">
        <v>9100333</v>
      </c>
      <c r="U620" s="896">
        <v>9100333</v>
      </c>
    </row>
    <row r="621" spans="1:21" s="724" customFormat="1" ht="18">
      <c r="A621" s="842" t="s">
        <v>11</v>
      </c>
      <c r="B621" s="843" t="s">
        <v>534</v>
      </c>
      <c r="C621" s="896">
        <v>64050000</v>
      </c>
      <c r="D621" s="896">
        <v>73900000</v>
      </c>
      <c r="E621" s="896">
        <v>73900000</v>
      </c>
      <c r="F621" s="896">
        <v>72875000</v>
      </c>
      <c r="G621" s="896">
        <v>72875000</v>
      </c>
      <c r="H621" s="896">
        <v>73125000</v>
      </c>
      <c r="I621" s="896">
        <v>74425000</v>
      </c>
      <c r="J621" s="896">
        <v>73875000</v>
      </c>
      <c r="K621" s="896">
        <v>72875000</v>
      </c>
      <c r="L621" s="896">
        <v>73875000</v>
      </c>
      <c r="M621" s="896">
        <v>73875000</v>
      </c>
      <c r="N621" s="896">
        <v>73875000</v>
      </c>
      <c r="O621" s="896">
        <v>73875000</v>
      </c>
      <c r="P621" s="896">
        <v>104025000</v>
      </c>
      <c r="Q621" s="896">
        <v>103875000</v>
      </c>
      <c r="R621" s="896">
        <v>104875000</v>
      </c>
      <c r="S621" s="896">
        <v>134875000</v>
      </c>
      <c r="T621" s="896">
        <v>136375000</v>
      </c>
      <c r="U621" s="896">
        <v>76375000</v>
      </c>
    </row>
    <row r="622" spans="1:21" s="725" customFormat="1" ht="23.4">
      <c r="A622" s="844" t="s">
        <v>162</v>
      </c>
      <c r="B622" s="845"/>
      <c r="C622" s="897">
        <v>213575160</v>
      </c>
      <c r="D622" s="897">
        <v>216991784</v>
      </c>
      <c r="E622" s="897">
        <v>216552281</v>
      </c>
      <c r="F622" s="897">
        <v>215468452</v>
      </c>
      <c r="G622" s="897">
        <v>215657449</v>
      </c>
      <c r="H622" s="897">
        <v>214729414</v>
      </c>
      <c r="I622" s="897">
        <v>213576437</v>
      </c>
      <c r="J622" s="897">
        <v>220076817</v>
      </c>
      <c r="K622" s="897">
        <v>216017088</v>
      </c>
      <c r="L622" s="897">
        <v>214520182</v>
      </c>
      <c r="M622" s="897">
        <v>214632515</v>
      </c>
      <c r="N622" s="897">
        <v>210202043</v>
      </c>
      <c r="O622" s="897">
        <v>213011555</v>
      </c>
      <c r="P622" s="897">
        <v>207470467</v>
      </c>
      <c r="Q622" s="897">
        <v>207295919</v>
      </c>
      <c r="R622" s="897">
        <v>209077132</v>
      </c>
      <c r="S622" s="897">
        <v>206825294</v>
      </c>
      <c r="T622" s="897">
        <v>204705931</v>
      </c>
      <c r="U622" s="897">
        <v>264999755</v>
      </c>
    </row>
    <row r="623" spans="1:21">
      <c r="A623" s="1"/>
      <c r="B623" s="736"/>
      <c r="C623" s="736"/>
      <c r="D623" s="736"/>
      <c r="E623" s="736"/>
      <c r="F623" s="736"/>
      <c r="G623" s="736"/>
      <c r="H623" s="736"/>
      <c r="I623" s="736"/>
      <c r="J623" s="736"/>
      <c r="K623" s="736"/>
      <c r="L623" s="736"/>
      <c r="M623" s="736"/>
      <c r="N623" s="736"/>
      <c r="O623" s="736"/>
      <c r="P623" s="736"/>
      <c r="Q623" s="736"/>
      <c r="R623" s="736"/>
      <c r="S623" s="736"/>
      <c r="T623" s="736"/>
      <c r="U623" s="736"/>
    </row>
    <row r="624" spans="1:21" s="724" customFormat="1" ht="18">
      <c r="A624" s="842" t="s">
        <v>24</v>
      </c>
      <c r="B624" s="843" t="s">
        <v>210</v>
      </c>
      <c r="C624" s="896">
        <v>-2325941</v>
      </c>
      <c r="D624" s="896">
        <v>-2700441</v>
      </c>
      <c r="E624" s="896">
        <v>-3050441</v>
      </c>
      <c r="F624" s="896">
        <v>-3626441</v>
      </c>
      <c r="G624" s="896">
        <v>-3141441</v>
      </c>
      <c r="H624" s="896">
        <v>-2374441</v>
      </c>
      <c r="I624" s="896">
        <v>-1879441</v>
      </c>
      <c r="J624" s="896">
        <v>-2566441</v>
      </c>
      <c r="K624" s="896">
        <v>-3592441</v>
      </c>
      <c r="L624" s="896">
        <v>-3659001</v>
      </c>
      <c r="M624" s="896">
        <v>-1499001</v>
      </c>
      <c r="N624" s="896">
        <v>-1192001</v>
      </c>
      <c r="O624" s="896">
        <v>-1585000</v>
      </c>
      <c r="P624" s="896">
        <v>-823500</v>
      </c>
      <c r="Q624" s="896">
        <v>-1418500</v>
      </c>
      <c r="R624" s="896">
        <v>840000</v>
      </c>
      <c r="S624" s="896">
        <v>77000</v>
      </c>
      <c r="T624" s="896">
        <v>296194</v>
      </c>
      <c r="U624" s="896">
        <v>-1898445</v>
      </c>
    </row>
    <row r="625" spans="1:21" s="724" customFormat="1" ht="18">
      <c r="A625" s="846" t="s">
        <v>46</v>
      </c>
      <c r="B625" s="847"/>
      <c r="C625" s="898">
        <v>215901101</v>
      </c>
      <c r="D625" s="898">
        <v>219692225</v>
      </c>
      <c r="E625" s="898">
        <v>219602722</v>
      </c>
      <c r="F625" s="898">
        <v>219094893</v>
      </c>
      <c r="G625" s="898">
        <v>218798890</v>
      </c>
      <c r="H625" s="898">
        <v>217103855</v>
      </c>
      <c r="I625" s="898">
        <v>215455878</v>
      </c>
      <c r="J625" s="898">
        <v>222643258</v>
      </c>
      <c r="K625" s="898">
        <v>219609529</v>
      </c>
      <c r="L625" s="898">
        <v>218179183</v>
      </c>
      <c r="M625" s="898">
        <v>216131516</v>
      </c>
      <c r="N625" s="898">
        <v>211394044</v>
      </c>
      <c r="O625" s="898">
        <v>214596555</v>
      </c>
      <c r="P625" s="898">
        <v>208293967</v>
      </c>
      <c r="Q625" s="898">
        <v>208714419</v>
      </c>
      <c r="R625" s="898">
        <v>208237132</v>
      </c>
      <c r="S625" s="898">
        <v>206748294</v>
      </c>
      <c r="T625" s="898">
        <v>204409737</v>
      </c>
      <c r="U625" s="898">
        <v>266898200</v>
      </c>
    </row>
    <row r="626" spans="1:21">
      <c r="A626" s="5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thickBot="1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 spans="1:21" ht="15" thickBot="1">
      <c r="A628" s="5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>
      <c r="A629" s="606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</row>
  </sheetData>
  <mergeCells count="9">
    <mergeCell ref="A129:B129"/>
    <mergeCell ref="A228:B228"/>
    <mergeCell ref="A229:B229"/>
    <mergeCell ref="A33:B33"/>
    <mergeCell ref="A48:B48"/>
    <mergeCell ref="A60:B60"/>
    <mergeCell ref="A73:B73"/>
    <mergeCell ref="A86:B86"/>
    <mergeCell ref="A125:B1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83"/>
  <sheetViews>
    <sheetView zoomScale="90" zoomScaleNormal="90" workbookViewId="0">
      <selection activeCell="F208" sqref="F208"/>
    </sheetView>
  </sheetViews>
  <sheetFormatPr defaultRowHeight="14.4"/>
  <cols>
    <col min="1" max="1" width="57.33203125" customWidth="1"/>
    <col min="2" max="4" width="27.109375" customWidth="1"/>
    <col min="5" max="5" width="12.5546875" customWidth="1"/>
  </cols>
  <sheetData>
    <row r="1" spans="1:4" ht="15" thickBot="1"/>
    <row r="2" spans="1:4" s="2" customFormat="1" ht="18">
      <c r="A2" s="42"/>
      <c r="B2" s="43">
        <v>2026</v>
      </c>
      <c r="C2" s="43">
        <v>2025</v>
      </c>
      <c r="D2" s="43">
        <v>2024</v>
      </c>
    </row>
    <row r="3" spans="1:4" ht="3.6" customHeight="1" thickBot="1">
      <c r="A3" s="9"/>
      <c r="B3" s="10"/>
      <c r="C3" s="10"/>
      <c r="D3" s="10"/>
    </row>
    <row r="4" spans="1:4" ht="4.95" customHeight="1">
      <c r="A4" s="5"/>
    </row>
    <row r="5" spans="1:4" ht="15" customHeight="1">
      <c r="A5" s="20" t="s">
        <v>24</v>
      </c>
      <c r="B5" s="45">
        <f>'2026'!B6</f>
        <v>-21353504</v>
      </c>
      <c r="C5" s="45">
        <v>28139174</v>
      </c>
      <c r="D5" s="45">
        <v>25912265</v>
      </c>
    </row>
    <row r="6" spans="1:4" s="2" customFormat="1" ht="19.95" customHeight="1">
      <c r="A6" s="36" t="s">
        <v>47</v>
      </c>
      <c r="B6" s="37">
        <f>C6+B5</f>
        <v>32697935</v>
      </c>
      <c r="C6" s="37">
        <v>54051439</v>
      </c>
      <c r="D6" s="37">
        <v>25912265</v>
      </c>
    </row>
    <row r="7" spans="1:4" ht="8.25" customHeight="1">
      <c r="A7" s="1"/>
      <c r="B7" s="46"/>
      <c r="C7" s="46"/>
      <c r="D7" s="46"/>
    </row>
    <row r="8" spans="1:4" ht="19.5" customHeight="1">
      <c r="A8" s="20" t="s">
        <v>19</v>
      </c>
      <c r="B8" s="45">
        <f>'2026'!B9</f>
        <v>167616000</v>
      </c>
      <c r="C8" s="45">
        <v>268764000</v>
      </c>
      <c r="D8" s="45"/>
    </row>
    <row r="9" spans="1:4" s="2" customFormat="1" ht="19.5" customHeight="1">
      <c r="A9" s="174" t="s">
        <v>13</v>
      </c>
      <c r="B9" s="175">
        <f>C9+B8</f>
        <v>436380000</v>
      </c>
      <c r="C9" s="175">
        <v>268764000</v>
      </c>
      <c r="D9" s="175"/>
    </row>
    <row r="10" spans="1:4" ht="9.75" customHeight="1">
      <c r="A10" s="1"/>
      <c r="B10" s="46"/>
      <c r="C10" s="46"/>
      <c r="D10" s="46"/>
    </row>
    <row r="11" spans="1:4" ht="19.5" customHeight="1">
      <c r="A11" s="20" t="s">
        <v>180</v>
      </c>
      <c r="B11" s="45">
        <f>'2026'!B12</f>
        <v>17357500</v>
      </c>
      <c r="C11" s="45">
        <v>18516000</v>
      </c>
      <c r="D11" s="45"/>
    </row>
    <row r="12" spans="1:4" s="2" customFormat="1" ht="17.25" customHeight="1">
      <c r="A12" s="174" t="s">
        <v>13</v>
      </c>
      <c r="B12" s="175">
        <f>C12+B11</f>
        <v>35873500</v>
      </c>
      <c r="C12" s="175">
        <v>18516000</v>
      </c>
      <c r="D12" s="175"/>
    </row>
    <row r="13" spans="1:4" ht="8.25" customHeight="1" thickBot="1">
      <c r="A13" s="4"/>
      <c r="B13" s="210"/>
      <c r="C13" s="210"/>
      <c r="D13" s="210"/>
    </row>
    <row r="14" spans="1:4" ht="12.6" customHeight="1">
      <c r="A14" s="227" t="s">
        <v>173</v>
      </c>
      <c r="B14" s="213">
        <f>'2026'!B15</f>
        <v>107457917</v>
      </c>
      <c r="C14" s="213">
        <v>245890560</v>
      </c>
      <c r="D14" s="213"/>
    </row>
    <row r="15" spans="1:4" ht="12.6" customHeight="1">
      <c r="A15" s="11"/>
      <c r="B15" s="235">
        <f>C15+B14</f>
        <v>353348477</v>
      </c>
      <c r="C15" s="235">
        <v>245890560</v>
      </c>
      <c r="D15" s="235"/>
    </row>
    <row r="16" spans="1:4" ht="12.6" customHeight="1">
      <c r="A16" s="228" t="s">
        <v>100</v>
      </c>
      <c r="B16" s="46"/>
      <c r="C16" s="46"/>
      <c r="D16" s="46"/>
    </row>
    <row r="17" spans="1:4" ht="12.6" customHeight="1">
      <c r="A17" s="229" t="s">
        <v>337</v>
      </c>
      <c r="B17" s="232">
        <f>'2026'!B18</f>
        <v>0</v>
      </c>
      <c r="C17" s="232">
        <v>45000</v>
      </c>
      <c r="D17" s="232"/>
    </row>
    <row r="18" spans="1:4" ht="12.6" customHeight="1">
      <c r="A18" s="229"/>
      <c r="B18" s="117">
        <f>C18+B17</f>
        <v>45000</v>
      </c>
      <c r="C18" s="117">
        <v>45000</v>
      </c>
      <c r="D18" s="117"/>
    </row>
    <row r="19" spans="1:4" ht="12.6" customHeight="1">
      <c r="A19" s="229" t="s">
        <v>353</v>
      </c>
      <c r="B19" s="233">
        <f>'2026'!B20</f>
        <v>349147</v>
      </c>
      <c r="C19" s="233">
        <v>59500</v>
      </c>
      <c r="D19" s="233"/>
    </row>
    <row r="20" spans="1:4" ht="12.6" customHeight="1">
      <c r="A20" s="229"/>
      <c r="B20" s="117">
        <f>C20+B19</f>
        <v>408647</v>
      </c>
      <c r="C20" s="117">
        <v>59500</v>
      </c>
      <c r="D20" s="117"/>
    </row>
    <row r="21" spans="1:4" ht="12.6" customHeight="1">
      <c r="A21" s="229" t="s">
        <v>245</v>
      </c>
      <c r="B21" s="233">
        <f>'2026'!B22</f>
        <v>2124402</v>
      </c>
      <c r="C21" s="233">
        <v>1516291</v>
      </c>
      <c r="D21" s="233"/>
    </row>
    <row r="22" spans="1:4" ht="12.6" customHeight="1">
      <c r="A22" s="229"/>
      <c r="B22" s="117">
        <f>C22+B21</f>
        <v>3640693</v>
      </c>
      <c r="C22" s="117">
        <v>1516291</v>
      </c>
      <c r="D22" s="117"/>
    </row>
    <row r="23" spans="1:4" ht="12.6" customHeight="1">
      <c r="A23" s="229" t="s">
        <v>349</v>
      </c>
      <c r="B23" s="232">
        <f>'2026'!B24</f>
        <v>0</v>
      </c>
      <c r="C23" s="232">
        <v>10000</v>
      </c>
      <c r="D23" s="232"/>
    </row>
    <row r="24" spans="1:4" ht="12.6" customHeight="1">
      <c r="A24" s="229"/>
      <c r="B24" s="117">
        <f>C24+B23</f>
        <v>10000</v>
      </c>
      <c r="C24" s="117">
        <v>10000</v>
      </c>
      <c r="D24" s="117"/>
    </row>
    <row r="25" spans="1:4" ht="12.6" customHeight="1">
      <c r="A25" s="229" t="s">
        <v>247</v>
      </c>
      <c r="B25" s="232">
        <f>'2026'!B26</f>
        <v>1023400</v>
      </c>
      <c r="C25" s="232">
        <v>507000</v>
      </c>
      <c r="D25" s="232"/>
    </row>
    <row r="26" spans="1:4" ht="12.6" customHeight="1">
      <c r="A26" s="229"/>
      <c r="B26" s="117">
        <f>C26+B25</f>
        <v>1530400</v>
      </c>
      <c r="C26" s="117">
        <v>507000</v>
      </c>
      <c r="D26" s="117"/>
    </row>
    <row r="27" spans="1:4" ht="12.6" customHeight="1">
      <c r="A27" s="229" t="s">
        <v>187</v>
      </c>
      <c r="B27" s="232">
        <f>'2026'!B28</f>
        <v>15576834</v>
      </c>
      <c r="C27" s="232">
        <v>10068500</v>
      </c>
      <c r="D27" s="232"/>
    </row>
    <row r="28" spans="1:4" ht="12.6" customHeight="1">
      <c r="A28" s="229"/>
      <c r="B28" s="117">
        <f>C28+B27</f>
        <v>25645334</v>
      </c>
      <c r="C28" s="117">
        <v>10068500</v>
      </c>
      <c r="D28" s="117"/>
    </row>
    <row r="29" spans="1:4" ht="12.6" customHeight="1">
      <c r="A29" s="229" t="s">
        <v>246</v>
      </c>
      <c r="B29" s="232">
        <f>'2026'!B30</f>
        <v>844625</v>
      </c>
      <c r="C29" s="232">
        <v>420000</v>
      </c>
      <c r="D29" s="232"/>
    </row>
    <row r="30" spans="1:4" ht="12.6" customHeight="1">
      <c r="A30" s="229"/>
      <c r="B30" s="117">
        <f>C30+B29</f>
        <v>1264625</v>
      </c>
      <c r="C30" s="117">
        <v>420000</v>
      </c>
      <c r="D30" s="117"/>
    </row>
    <row r="31" spans="1:4" ht="14.4" customHeight="1">
      <c r="A31" s="229" t="s">
        <v>334</v>
      </c>
      <c r="B31" s="232">
        <f>'2026'!B32</f>
        <v>0</v>
      </c>
      <c r="C31" s="232">
        <v>0</v>
      </c>
      <c r="D31" s="232"/>
    </row>
    <row r="32" spans="1:4" ht="12.6" customHeight="1">
      <c r="A32" s="229"/>
      <c r="B32" s="117">
        <f>C32+B31</f>
        <v>0</v>
      </c>
      <c r="C32" s="117">
        <v>0</v>
      </c>
      <c r="D32" s="117"/>
    </row>
    <row r="33" spans="1:4" ht="12.6" customHeight="1">
      <c r="A33" s="229" t="s">
        <v>180</v>
      </c>
      <c r="B33" s="1028">
        <f>'2026'!B34</f>
        <v>66000</v>
      </c>
      <c r="C33" s="1028"/>
      <c r="D33" s="1028"/>
    </row>
    <row r="34" spans="1:4" ht="12.6" customHeight="1">
      <c r="A34" s="229"/>
      <c r="B34" s="117">
        <f>C34+B33</f>
        <v>66000</v>
      </c>
      <c r="C34" s="117"/>
      <c r="D34" s="117"/>
    </row>
    <row r="35" spans="1:4" ht="12.6" customHeight="1">
      <c r="A35" s="229" t="s">
        <v>27</v>
      </c>
      <c r="B35" s="232">
        <f>'2026'!B36</f>
        <v>5121933</v>
      </c>
      <c r="C35" s="232">
        <v>3356588</v>
      </c>
      <c r="D35" s="232"/>
    </row>
    <row r="36" spans="1:4" ht="12.6" customHeight="1">
      <c r="A36" s="229"/>
      <c r="B36" s="117">
        <f>C36+B35</f>
        <v>8478521</v>
      </c>
      <c r="C36" s="117">
        <v>3356588</v>
      </c>
      <c r="D36" s="117"/>
    </row>
    <row r="37" spans="1:4" ht="12.6" customHeight="1">
      <c r="A37" s="229" t="s">
        <v>59</v>
      </c>
      <c r="B37" s="232">
        <f>B17+B19+B21+B23+B25+B27+B29+B31+B33+B35</f>
        <v>25106341</v>
      </c>
      <c r="C37" s="232">
        <v>15982879</v>
      </c>
      <c r="D37" s="232"/>
    </row>
    <row r="38" spans="1:4" ht="12.6" customHeight="1">
      <c r="A38" s="11"/>
      <c r="B38" s="117">
        <f>C38+B37</f>
        <v>41089220</v>
      </c>
      <c r="C38" s="117">
        <v>15982879</v>
      </c>
      <c r="D38" s="117"/>
    </row>
    <row r="39" spans="1:4" ht="12.6" customHeight="1">
      <c r="A39" s="230" t="s">
        <v>350</v>
      </c>
      <c r="B39" s="231">
        <f>B14-B37</f>
        <v>82351576</v>
      </c>
      <c r="C39" s="231">
        <v>229907681</v>
      </c>
      <c r="D39" s="231"/>
    </row>
    <row r="40" spans="1:4" ht="14.4" customHeight="1">
      <c r="A40" s="230"/>
      <c r="B40" s="235">
        <f>C40+B39</f>
        <v>312259257</v>
      </c>
      <c r="C40" s="235">
        <v>229907681</v>
      </c>
      <c r="D40" s="235"/>
    </row>
    <row r="41" spans="1:4" ht="14.4" customHeight="1" thickBot="1">
      <c r="A41" s="1"/>
      <c r="B41" s="46"/>
      <c r="C41" s="46"/>
      <c r="D41" s="46"/>
    </row>
    <row r="42" spans="1:4" ht="12.6" customHeight="1">
      <c r="A42" s="227" t="s">
        <v>332</v>
      </c>
      <c r="B42" s="213">
        <f>'2026'!B43</f>
        <v>86627308</v>
      </c>
      <c r="C42" s="213">
        <v>90275110</v>
      </c>
      <c r="D42" s="213"/>
    </row>
    <row r="43" spans="1:4" ht="12.6" customHeight="1">
      <c r="A43" s="11"/>
      <c r="B43" s="235">
        <f>C43+B42</f>
        <v>176902418</v>
      </c>
      <c r="C43" s="235">
        <v>90275110</v>
      </c>
      <c r="D43" s="235"/>
    </row>
    <row r="44" spans="1:4" ht="12.6" customHeight="1">
      <c r="A44" s="228" t="s">
        <v>100</v>
      </c>
      <c r="B44" s="46"/>
      <c r="C44" s="46"/>
      <c r="D44" s="46"/>
    </row>
    <row r="45" spans="1:4" ht="12.6" customHeight="1">
      <c r="A45" s="229" t="s">
        <v>337</v>
      </c>
      <c r="B45" s="232">
        <f>'2026'!B46</f>
        <v>0</v>
      </c>
      <c r="C45" s="232">
        <v>222000</v>
      </c>
      <c r="D45" s="232"/>
    </row>
    <row r="46" spans="1:4" ht="12.6" customHeight="1">
      <c r="A46" s="229"/>
      <c r="B46" s="117">
        <f>C46+B45</f>
        <v>222000</v>
      </c>
      <c r="C46" s="117">
        <v>222000</v>
      </c>
      <c r="D46" s="117"/>
    </row>
    <row r="47" spans="1:4" ht="12.6" customHeight="1">
      <c r="A47" s="229" t="s">
        <v>353</v>
      </c>
      <c r="B47" s="233">
        <f>'2026'!B48</f>
        <v>38000</v>
      </c>
      <c r="C47" s="233">
        <v>262884</v>
      </c>
      <c r="D47" s="233"/>
    </row>
    <row r="48" spans="1:4" ht="12.6" customHeight="1">
      <c r="A48" s="229"/>
      <c r="B48" s="117">
        <f>C48+B47</f>
        <v>300884</v>
      </c>
      <c r="C48" s="117">
        <v>262884</v>
      </c>
      <c r="D48" s="117"/>
    </row>
    <row r="49" spans="1:4" ht="12.6" customHeight="1">
      <c r="A49" s="229" t="s">
        <v>245</v>
      </c>
      <c r="B49" s="233">
        <f>'2026'!B50</f>
        <v>875497</v>
      </c>
      <c r="C49" s="233">
        <v>1567686</v>
      </c>
      <c r="D49" s="233"/>
    </row>
    <row r="50" spans="1:4" ht="12.6" customHeight="1">
      <c r="A50" s="229"/>
      <c r="B50" s="117">
        <f>C50+B49</f>
        <v>2443183</v>
      </c>
      <c r="C50" s="117">
        <v>1567686</v>
      </c>
      <c r="D50" s="117"/>
    </row>
    <row r="51" spans="1:4" ht="12.6" customHeight="1">
      <c r="A51" s="229" t="s">
        <v>349</v>
      </c>
      <c r="B51" s="232">
        <f>'2026'!B52</f>
        <v>30000</v>
      </c>
      <c r="C51" s="232">
        <v>100000</v>
      </c>
      <c r="D51" s="232"/>
    </row>
    <row r="52" spans="1:4" ht="12.6" customHeight="1">
      <c r="A52" s="229"/>
      <c r="B52" s="117">
        <f>C52+B51</f>
        <v>130000</v>
      </c>
      <c r="C52" s="117">
        <v>100000</v>
      </c>
      <c r="D52" s="117"/>
    </row>
    <row r="53" spans="1:4" ht="12.6" customHeight="1">
      <c r="A53" s="229" t="s">
        <v>247</v>
      </c>
      <c r="B53" s="232">
        <f>'2026'!B54</f>
        <v>918600</v>
      </c>
      <c r="C53" s="232">
        <v>657000</v>
      </c>
      <c r="D53" s="232"/>
    </row>
    <row r="54" spans="1:4" ht="12.6" customHeight="1">
      <c r="A54" s="229"/>
      <c r="B54" s="117">
        <f>C54+B53</f>
        <v>1575600</v>
      </c>
      <c r="C54" s="117">
        <v>657000</v>
      </c>
      <c r="D54" s="117"/>
    </row>
    <row r="55" spans="1:4" ht="12.6" customHeight="1">
      <c r="A55" s="229" t="s">
        <v>187</v>
      </c>
      <c r="B55" s="232">
        <f>'2026'!B56</f>
        <v>12173834</v>
      </c>
      <c r="C55" s="232">
        <v>18072500</v>
      </c>
      <c r="D55" s="232"/>
    </row>
    <row r="56" spans="1:4" ht="12.6" customHeight="1">
      <c r="A56" s="229"/>
      <c r="B56" s="117">
        <f>C56+B55</f>
        <v>30246334</v>
      </c>
      <c r="C56" s="117">
        <v>18072500</v>
      </c>
      <c r="D56" s="117"/>
    </row>
    <row r="57" spans="1:4" ht="12.6" customHeight="1">
      <c r="A57" s="229" t="s">
        <v>246</v>
      </c>
      <c r="B57" s="232">
        <f>'2026'!B58</f>
        <v>844625</v>
      </c>
      <c r="C57" s="232">
        <v>770000</v>
      </c>
      <c r="D57" s="232"/>
    </row>
    <row r="58" spans="1:4" ht="12.6" customHeight="1">
      <c r="A58" s="229"/>
      <c r="B58" s="117">
        <f>C58+B57</f>
        <v>1614625</v>
      </c>
      <c r="C58" s="117">
        <v>770000</v>
      </c>
      <c r="D58" s="117"/>
    </row>
    <row r="59" spans="1:4" ht="14.4" customHeight="1">
      <c r="A59" s="229" t="s">
        <v>334</v>
      </c>
      <c r="B59" s="232">
        <f>'2026'!B60</f>
        <v>2500000</v>
      </c>
      <c r="C59" s="232">
        <v>1500000</v>
      </c>
      <c r="D59" s="232"/>
    </row>
    <row r="60" spans="1:4" ht="12.6" customHeight="1">
      <c r="A60" s="229"/>
      <c r="B60" s="117">
        <f>C60+B59</f>
        <v>4000000</v>
      </c>
      <c r="C60" s="117">
        <v>1500000</v>
      </c>
      <c r="D60" s="117"/>
    </row>
    <row r="61" spans="1:4" ht="12.6" customHeight="1">
      <c r="A61" s="229" t="s">
        <v>180</v>
      </c>
      <c r="B61" s="1028">
        <f>'2026'!B62</f>
        <v>217000</v>
      </c>
      <c r="C61" s="1028"/>
      <c r="D61" s="1028"/>
    </row>
    <row r="62" spans="1:4" ht="12.6" customHeight="1">
      <c r="A62" s="229"/>
      <c r="B62" s="117">
        <f>C62+B61</f>
        <v>217000</v>
      </c>
      <c r="C62" s="117"/>
      <c r="D62" s="117"/>
    </row>
    <row r="63" spans="1:4" ht="12.6" customHeight="1">
      <c r="A63" s="229" t="s">
        <v>27</v>
      </c>
      <c r="B63" s="232">
        <f>'2026'!B64</f>
        <v>2582934</v>
      </c>
      <c r="C63" s="232">
        <v>7996050</v>
      </c>
      <c r="D63" s="232"/>
    </row>
    <row r="64" spans="1:4" ht="12.6" customHeight="1">
      <c r="A64" s="229"/>
      <c r="B64" s="117">
        <f>C64+B63</f>
        <v>10578984</v>
      </c>
      <c r="C64" s="117">
        <v>7996050</v>
      </c>
      <c r="D64" s="117"/>
    </row>
    <row r="65" spans="1:4" ht="12.6" customHeight="1">
      <c r="A65" s="229" t="s">
        <v>59</v>
      </c>
      <c r="B65" s="232">
        <f>B45+B47+B49+B51+B53+B55+B57+B59+B61+B63</f>
        <v>20180490</v>
      </c>
      <c r="C65" s="232">
        <v>31148120</v>
      </c>
      <c r="D65" s="232"/>
    </row>
    <row r="66" spans="1:4" ht="12.6" customHeight="1">
      <c r="A66" s="11"/>
      <c r="B66" s="117">
        <f>C66+B65</f>
        <v>51328610</v>
      </c>
      <c r="C66" s="117">
        <v>31148120</v>
      </c>
      <c r="D66" s="117"/>
    </row>
    <row r="67" spans="1:4" ht="12.6" customHeight="1">
      <c r="A67" s="230" t="s">
        <v>350</v>
      </c>
      <c r="B67" s="231">
        <f>B42-B65</f>
        <v>66446818</v>
      </c>
      <c r="C67" s="231">
        <v>59126990</v>
      </c>
      <c r="D67" s="231"/>
    </row>
    <row r="68" spans="1:4" ht="14.4" customHeight="1">
      <c r="A68" s="230"/>
      <c r="B68" s="235">
        <f>C68+B67</f>
        <v>125573808</v>
      </c>
      <c r="C68" s="235">
        <v>59126990</v>
      </c>
      <c r="D68" s="235"/>
    </row>
    <row r="69" spans="1:4" ht="14.4" customHeight="1" thickBot="1">
      <c r="A69" s="25"/>
      <c r="B69" s="77"/>
      <c r="C69" s="77"/>
      <c r="D69" s="77"/>
    </row>
    <row r="70" spans="1:4" ht="12.6" customHeight="1">
      <c r="A70" s="227" t="s">
        <v>333</v>
      </c>
      <c r="B70" s="213">
        <f>'2026'!B71</f>
        <v>84297962</v>
      </c>
      <c r="C70" s="213">
        <v>75739284</v>
      </c>
      <c r="D70" s="213"/>
    </row>
    <row r="71" spans="1:4" ht="12.6" customHeight="1">
      <c r="A71" s="11"/>
      <c r="B71" s="235">
        <f>C71+B70</f>
        <v>160037246</v>
      </c>
      <c r="C71" s="235">
        <v>75739284</v>
      </c>
      <c r="D71" s="235"/>
    </row>
    <row r="72" spans="1:4" ht="12.6" customHeight="1">
      <c r="A72" s="228" t="s">
        <v>100</v>
      </c>
      <c r="B72" s="46"/>
      <c r="C72" s="46"/>
      <c r="D72" s="46"/>
    </row>
    <row r="73" spans="1:4" ht="12.6" customHeight="1">
      <c r="A73" s="229" t="s">
        <v>337</v>
      </c>
      <c r="B73" s="232">
        <f>'2026'!B74</f>
        <v>0</v>
      </c>
      <c r="C73" s="232">
        <v>376000</v>
      </c>
      <c r="D73" s="232"/>
    </row>
    <row r="74" spans="1:4" ht="12.6" customHeight="1">
      <c r="A74" s="229"/>
      <c r="B74" s="117">
        <f>C74+B73</f>
        <v>376000</v>
      </c>
      <c r="C74" s="117">
        <v>376000</v>
      </c>
      <c r="D74" s="117"/>
    </row>
    <row r="75" spans="1:4" ht="12.6" customHeight="1">
      <c r="A75" s="229" t="s">
        <v>353</v>
      </c>
      <c r="B75" s="233">
        <f>'2026'!B76</f>
        <v>134535</v>
      </c>
      <c r="C75" s="233">
        <v>351692</v>
      </c>
      <c r="D75" s="233"/>
    </row>
    <row r="76" spans="1:4" ht="12.6" customHeight="1">
      <c r="A76" s="229"/>
      <c r="B76" s="117">
        <f>C76+B75</f>
        <v>486227</v>
      </c>
      <c r="C76" s="117">
        <v>351692</v>
      </c>
      <c r="D76" s="117"/>
    </row>
    <row r="77" spans="1:4" ht="12.6" customHeight="1">
      <c r="A77" s="229" t="s">
        <v>245</v>
      </c>
      <c r="B77" s="233">
        <f>'2026'!B78</f>
        <v>873440</v>
      </c>
      <c r="C77" s="233">
        <v>1261484</v>
      </c>
      <c r="D77" s="233"/>
    </row>
    <row r="78" spans="1:4" ht="12.6" customHeight="1">
      <c r="A78" s="229"/>
      <c r="B78" s="117">
        <f>C78+B77</f>
        <v>2134924</v>
      </c>
      <c r="C78" s="117">
        <v>1261484</v>
      </c>
      <c r="D78" s="117"/>
    </row>
    <row r="79" spans="1:4" ht="12.6" customHeight="1">
      <c r="A79" s="229" t="s">
        <v>349</v>
      </c>
      <c r="B79" s="232">
        <f>'2026'!B80</f>
        <v>0</v>
      </c>
      <c r="C79" s="232">
        <v>0</v>
      </c>
      <c r="D79" s="232"/>
    </row>
    <row r="80" spans="1:4" ht="12.6" customHeight="1">
      <c r="A80" s="229"/>
      <c r="B80" s="117">
        <f>C80+B79</f>
        <v>0</v>
      </c>
      <c r="C80" s="117">
        <v>0</v>
      </c>
      <c r="D80" s="117"/>
    </row>
    <row r="81" spans="1:4" ht="12.6" customHeight="1">
      <c r="A81" s="229" t="s">
        <v>247</v>
      </c>
      <c r="B81" s="232">
        <f>'2026'!B82</f>
        <v>1669600</v>
      </c>
      <c r="C81" s="232">
        <v>1412800</v>
      </c>
      <c r="D81" s="232"/>
    </row>
    <row r="82" spans="1:4" ht="12.6" customHeight="1">
      <c r="A82" s="229"/>
      <c r="B82" s="117">
        <f>C82+B81</f>
        <v>3082400</v>
      </c>
      <c r="C82" s="117">
        <v>1412800</v>
      </c>
      <c r="D82" s="117"/>
    </row>
    <row r="83" spans="1:4" ht="12.6" customHeight="1">
      <c r="A83" s="229" t="s">
        <v>187</v>
      </c>
      <c r="B83" s="232">
        <f>'2026'!B84</f>
        <v>14768500</v>
      </c>
      <c r="C83" s="232">
        <v>14337000</v>
      </c>
      <c r="D83" s="232"/>
    </row>
    <row r="84" spans="1:4" ht="12.6" customHeight="1">
      <c r="A84" s="229"/>
      <c r="B84" s="117">
        <f>C84+B83</f>
        <v>29105500</v>
      </c>
      <c r="C84" s="117">
        <v>14337000</v>
      </c>
      <c r="D84" s="117"/>
    </row>
    <row r="85" spans="1:4" ht="12.6" customHeight="1">
      <c r="A85" s="229" t="s">
        <v>246</v>
      </c>
      <c r="B85" s="232">
        <f>'2026'!B86</f>
        <v>844625</v>
      </c>
      <c r="C85" s="232">
        <v>560000</v>
      </c>
      <c r="D85" s="232"/>
    </row>
    <row r="86" spans="1:4" ht="12.6" customHeight="1">
      <c r="A86" s="229"/>
      <c r="B86" s="117">
        <f>C86+B85</f>
        <v>1404625</v>
      </c>
      <c r="C86" s="117">
        <v>560000</v>
      </c>
      <c r="D86" s="117"/>
    </row>
    <row r="87" spans="1:4" ht="14.4" customHeight="1">
      <c r="A87" s="229" t="s">
        <v>334</v>
      </c>
      <c r="B87" s="232">
        <f>'2026'!B88</f>
        <v>8000000</v>
      </c>
      <c r="C87" s="232">
        <v>8000000</v>
      </c>
      <c r="D87" s="232"/>
    </row>
    <row r="88" spans="1:4" ht="12.6" customHeight="1">
      <c r="A88" s="229"/>
      <c r="B88" s="117">
        <f>C88+B87</f>
        <v>16000000</v>
      </c>
      <c r="C88" s="117">
        <v>8000000</v>
      </c>
      <c r="D88" s="117"/>
    </row>
    <row r="89" spans="1:4" ht="12.6" customHeight="1">
      <c r="A89" s="229" t="s">
        <v>180</v>
      </c>
      <c r="B89" s="1028">
        <f>'2026'!B90</f>
        <v>200000</v>
      </c>
      <c r="C89" s="1028"/>
      <c r="D89" s="1028"/>
    </row>
    <row r="90" spans="1:4" ht="12.6" customHeight="1">
      <c r="A90" s="229"/>
      <c r="B90" s="117">
        <f>C90+B89</f>
        <v>200000</v>
      </c>
      <c r="C90" s="117"/>
      <c r="D90" s="117"/>
    </row>
    <row r="91" spans="1:4" ht="12.6" customHeight="1">
      <c r="A91" s="229" t="s">
        <v>27</v>
      </c>
      <c r="B91" s="232">
        <f>'2026'!B92</f>
        <v>4369250</v>
      </c>
      <c r="C91" s="232">
        <v>36079768</v>
      </c>
      <c r="D91" s="232"/>
    </row>
    <row r="92" spans="1:4" ht="12.6" customHeight="1">
      <c r="A92" s="229"/>
      <c r="B92" s="117">
        <f>C92+B91</f>
        <v>40449018</v>
      </c>
      <c r="C92" s="117">
        <v>36079768</v>
      </c>
      <c r="D92" s="117"/>
    </row>
    <row r="93" spans="1:4" ht="12.6" customHeight="1">
      <c r="A93" s="229" t="s">
        <v>59</v>
      </c>
      <c r="B93" s="232">
        <f>B73+B75+B77+B79+B81+B83+B85+B87+B91+B89</f>
        <v>30859950</v>
      </c>
      <c r="C93" s="232">
        <v>62378744</v>
      </c>
      <c r="D93" s="232"/>
    </row>
    <row r="94" spans="1:4" ht="12.6" customHeight="1">
      <c r="A94" s="11"/>
      <c r="B94" s="117">
        <f>C94+B93</f>
        <v>93238694</v>
      </c>
      <c r="C94" s="117">
        <v>62378744</v>
      </c>
      <c r="D94" s="117"/>
    </row>
    <row r="95" spans="1:4" ht="12.6" customHeight="1">
      <c r="A95" s="230" t="s">
        <v>350</v>
      </c>
      <c r="B95" s="231">
        <f>B70-B93</f>
        <v>53438012</v>
      </c>
      <c r="C95" s="231">
        <v>13360540</v>
      </c>
      <c r="D95" s="231"/>
    </row>
    <row r="96" spans="1:4" ht="14.4" customHeight="1">
      <c r="A96" s="230"/>
      <c r="B96" s="235">
        <f>C96+B95</f>
        <v>66798552</v>
      </c>
      <c r="C96" s="235">
        <v>13360540</v>
      </c>
      <c r="D96" s="235"/>
    </row>
    <row r="97" spans="1:4" ht="14.4" customHeight="1" thickBot="1">
      <c r="A97" s="1"/>
      <c r="B97" s="46"/>
      <c r="C97" s="46"/>
      <c r="D97" s="46"/>
    </row>
    <row r="98" spans="1:4" ht="12.6" customHeight="1">
      <c r="A98" s="227" t="s">
        <v>345</v>
      </c>
      <c r="B98" s="213">
        <f>'2026'!B99</f>
        <v>88186368</v>
      </c>
      <c r="C98" s="213">
        <v>40687041</v>
      </c>
      <c r="D98" s="213"/>
    </row>
    <row r="99" spans="1:4" ht="12.6" customHeight="1">
      <c r="A99" s="11"/>
      <c r="B99" s="235">
        <f>C99+B98</f>
        <v>128873409</v>
      </c>
      <c r="C99" s="235">
        <v>40687041</v>
      </c>
      <c r="D99" s="235"/>
    </row>
    <row r="100" spans="1:4" ht="12.6" customHeight="1">
      <c r="A100" s="228" t="s">
        <v>100</v>
      </c>
      <c r="B100" s="46"/>
      <c r="C100" s="46"/>
      <c r="D100" s="46"/>
    </row>
    <row r="101" spans="1:4" ht="12.6" customHeight="1">
      <c r="A101" s="229" t="s">
        <v>337</v>
      </c>
      <c r="B101" s="232">
        <f>'2026'!B102</f>
        <v>0</v>
      </c>
      <c r="C101" s="232">
        <v>7000</v>
      </c>
      <c r="D101" s="232"/>
    </row>
    <row r="102" spans="1:4" ht="12.6" customHeight="1">
      <c r="A102" s="229"/>
      <c r="B102" s="117">
        <f>C102+B101</f>
        <v>7000</v>
      </c>
      <c r="C102" s="117">
        <v>7000</v>
      </c>
      <c r="D102" s="117"/>
    </row>
    <row r="103" spans="1:4" ht="12.6" customHeight="1">
      <c r="A103" s="229" t="s">
        <v>353</v>
      </c>
      <c r="B103" s="233">
        <f>'2026'!B104</f>
        <v>71886</v>
      </c>
      <c r="C103" s="233">
        <v>31000</v>
      </c>
      <c r="D103" s="233"/>
    </row>
    <row r="104" spans="1:4" ht="12.6" customHeight="1">
      <c r="A104" s="229"/>
      <c r="B104" s="117">
        <f>C104+B103</f>
        <v>102886</v>
      </c>
      <c r="C104" s="117">
        <v>31000</v>
      </c>
      <c r="D104" s="117"/>
    </row>
    <row r="105" spans="1:4" ht="12.6" customHeight="1">
      <c r="A105" s="229" t="s">
        <v>245</v>
      </c>
      <c r="B105" s="233">
        <f>'2026'!B106</f>
        <v>1216495</v>
      </c>
      <c r="C105" s="233">
        <v>793897</v>
      </c>
      <c r="D105" s="233"/>
    </row>
    <row r="106" spans="1:4" ht="12.6" customHeight="1">
      <c r="A106" s="229"/>
      <c r="B106" s="117">
        <f>C106+B105</f>
        <v>2010392</v>
      </c>
      <c r="C106" s="117">
        <v>793897</v>
      </c>
      <c r="D106" s="117"/>
    </row>
    <row r="107" spans="1:4" ht="12.6" customHeight="1">
      <c r="A107" s="229" t="s">
        <v>349</v>
      </c>
      <c r="B107" s="232">
        <f>'2026'!B108</f>
        <v>265000</v>
      </c>
      <c r="C107" s="232">
        <v>25000</v>
      </c>
      <c r="D107" s="232"/>
    </row>
    <row r="108" spans="1:4" ht="12.6" customHeight="1">
      <c r="A108" s="229"/>
      <c r="B108" s="117">
        <f>C108+B107</f>
        <v>290000</v>
      </c>
      <c r="C108" s="117">
        <v>25000</v>
      </c>
      <c r="D108" s="117"/>
    </row>
    <row r="109" spans="1:4" ht="12.6" customHeight="1">
      <c r="A109" s="229" t="s">
        <v>247</v>
      </c>
      <c r="B109" s="232">
        <f>'2026'!B110</f>
        <v>701600</v>
      </c>
      <c r="C109" s="232">
        <v>202800</v>
      </c>
      <c r="D109" s="232"/>
    </row>
    <row r="110" spans="1:4" ht="12.6" customHeight="1">
      <c r="A110" s="229"/>
      <c r="B110" s="117">
        <f>C110+B109</f>
        <v>904400</v>
      </c>
      <c r="C110" s="117">
        <v>202800</v>
      </c>
      <c r="D110" s="117"/>
    </row>
    <row r="111" spans="1:4" ht="12.6" customHeight="1">
      <c r="A111" s="229" t="s">
        <v>187</v>
      </c>
      <c r="B111" s="232">
        <f>'2026'!B112</f>
        <v>12200834</v>
      </c>
      <c r="C111" s="232">
        <v>8119500</v>
      </c>
      <c r="D111" s="232"/>
    </row>
    <row r="112" spans="1:4" ht="12.6" customHeight="1">
      <c r="A112" s="229"/>
      <c r="B112" s="117">
        <f>C112+B111</f>
        <v>20320334</v>
      </c>
      <c r="C112" s="117">
        <v>8119500</v>
      </c>
      <c r="D112" s="117"/>
    </row>
    <row r="113" spans="1:4" ht="12.6" customHeight="1">
      <c r="A113" s="229" t="s">
        <v>246</v>
      </c>
      <c r="B113" s="232">
        <f>'2026'!B114</f>
        <v>844625</v>
      </c>
      <c r="C113" s="232">
        <v>379700</v>
      </c>
      <c r="D113" s="232"/>
    </row>
    <row r="114" spans="1:4" ht="12.6" customHeight="1">
      <c r="A114" s="229"/>
      <c r="B114" s="117">
        <f>C114+B113</f>
        <v>1224325</v>
      </c>
      <c r="C114" s="117">
        <v>379700</v>
      </c>
      <c r="D114" s="117"/>
    </row>
    <row r="115" spans="1:4" ht="14.4" customHeight="1">
      <c r="A115" s="229" t="s">
        <v>334</v>
      </c>
      <c r="B115" s="232">
        <f>'2026'!B116</f>
        <v>0</v>
      </c>
      <c r="C115" s="232">
        <v>3000000</v>
      </c>
      <c r="D115" s="232"/>
    </row>
    <row r="116" spans="1:4" ht="12.6" customHeight="1">
      <c r="A116" s="229"/>
      <c r="B116" s="117">
        <f>C116+B115</f>
        <v>3000000</v>
      </c>
      <c r="C116" s="117">
        <v>3000000</v>
      </c>
      <c r="D116" s="117"/>
    </row>
    <row r="117" spans="1:4" ht="12.6" customHeight="1">
      <c r="A117" s="229" t="s">
        <v>180</v>
      </c>
      <c r="B117" s="1028">
        <f>'2026'!B118</f>
        <v>179000</v>
      </c>
      <c r="C117" s="1028"/>
      <c r="D117" s="1028"/>
    </row>
    <row r="118" spans="1:4" ht="12.6" customHeight="1">
      <c r="A118" s="229"/>
      <c r="B118" s="117">
        <f>C118+B117</f>
        <v>179000</v>
      </c>
      <c r="C118" s="117"/>
      <c r="D118" s="117"/>
    </row>
    <row r="119" spans="1:4" ht="12.6" customHeight="1">
      <c r="A119" s="229" t="s">
        <v>27</v>
      </c>
      <c r="B119" s="232">
        <f>'2026'!B120</f>
        <v>2282177</v>
      </c>
      <c r="C119" s="232">
        <v>13075933</v>
      </c>
      <c r="D119" s="232"/>
    </row>
    <row r="120" spans="1:4" ht="12.6" customHeight="1">
      <c r="A120" s="229"/>
      <c r="B120" s="117">
        <f>C120+B119</f>
        <v>15358110</v>
      </c>
      <c r="C120" s="117">
        <v>13075933</v>
      </c>
      <c r="D120" s="117"/>
    </row>
    <row r="121" spans="1:4" ht="12.6" customHeight="1">
      <c r="A121" s="229" t="s">
        <v>59</v>
      </c>
      <c r="B121" s="232">
        <f>B101+B103+B105+B107+B109+B111+B113+B115+B119+B117</f>
        <v>17761617</v>
      </c>
      <c r="C121" s="232">
        <v>25634830</v>
      </c>
      <c r="D121" s="232"/>
    </row>
    <row r="122" spans="1:4" ht="12.6" customHeight="1">
      <c r="A122" s="11"/>
      <c r="B122" s="117">
        <f>C122+B121</f>
        <v>43396447</v>
      </c>
      <c r="C122" s="117">
        <v>25634830</v>
      </c>
      <c r="D122" s="117"/>
    </row>
    <row r="123" spans="1:4" ht="12.6" customHeight="1">
      <c r="A123" s="230" t="s">
        <v>350</v>
      </c>
      <c r="B123" s="231">
        <f>B98-B121</f>
        <v>70424751</v>
      </c>
      <c r="C123" s="231">
        <v>15052211</v>
      </c>
      <c r="D123" s="231"/>
    </row>
    <row r="124" spans="1:4" ht="14.4" customHeight="1">
      <c r="A124" s="230"/>
      <c r="B124" s="235">
        <f>C124+B123</f>
        <v>85476962</v>
      </c>
      <c r="C124" s="235">
        <v>15052211</v>
      </c>
      <c r="D124" s="235"/>
    </row>
    <row r="125" spans="1:4" ht="14.4" customHeight="1" thickBot="1">
      <c r="A125" s="1"/>
      <c r="B125" s="46"/>
      <c r="C125" s="46"/>
      <c r="D125" s="46"/>
    </row>
    <row r="126" spans="1:4" ht="12.6" customHeight="1">
      <c r="A126" s="227" t="s">
        <v>845</v>
      </c>
      <c r="B126" s="213">
        <f>'2026'!B127</f>
        <v>0</v>
      </c>
      <c r="C126" s="213">
        <v>0</v>
      </c>
      <c r="D126" s="213"/>
    </row>
    <row r="127" spans="1:4" ht="12.6" customHeight="1">
      <c r="A127" s="11"/>
      <c r="B127" s="235">
        <f>C127+B126</f>
        <v>0</v>
      </c>
      <c r="C127" s="235">
        <v>0</v>
      </c>
      <c r="D127" s="235"/>
    </row>
    <row r="128" spans="1:4" ht="12.6" customHeight="1">
      <c r="A128" s="228" t="s">
        <v>100</v>
      </c>
      <c r="B128" s="46"/>
      <c r="C128" s="46"/>
      <c r="D128" s="46"/>
    </row>
    <row r="129" spans="1:4" ht="12.6" customHeight="1">
      <c r="A129" s="229" t="s">
        <v>337</v>
      </c>
      <c r="B129" s="232">
        <f>'2026'!B130</f>
        <v>0</v>
      </c>
      <c r="C129" s="232">
        <v>0</v>
      </c>
      <c r="D129" s="232"/>
    </row>
    <row r="130" spans="1:4" ht="12.6" customHeight="1">
      <c r="A130" s="229"/>
      <c r="B130" s="117">
        <f>C130+B129</f>
        <v>0</v>
      </c>
      <c r="C130" s="117">
        <v>0</v>
      </c>
      <c r="D130" s="117"/>
    </row>
    <row r="131" spans="1:4" ht="12.6" customHeight="1">
      <c r="A131" s="229" t="s">
        <v>353</v>
      </c>
      <c r="B131" s="233">
        <f>'2026'!B132</f>
        <v>0</v>
      </c>
      <c r="C131" s="233">
        <v>0</v>
      </c>
      <c r="D131" s="233"/>
    </row>
    <row r="132" spans="1:4" ht="12.6" customHeight="1">
      <c r="A132" s="229"/>
      <c r="B132" s="117">
        <f>C132+B131</f>
        <v>0</v>
      </c>
      <c r="C132" s="117">
        <v>0</v>
      </c>
      <c r="D132" s="117"/>
    </row>
    <row r="133" spans="1:4" ht="12.6" customHeight="1">
      <c r="A133" s="229" t="s">
        <v>245</v>
      </c>
      <c r="B133" s="233">
        <f>'2026'!B134</f>
        <v>0</v>
      </c>
      <c r="C133" s="233">
        <v>0</v>
      </c>
      <c r="D133" s="233"/>
    </row>
    <row r="134" spans="1:4" ht="12.6" customHeight="1">
      <c r="A134" s="229"/>
      <c r="B134" s="117">
        <f>C134+B133</f>
        <v>0</v>
      </c>
      <c r="C134" s="117">
        <v>0</v>
      </c>
      <c r="D134" s="117"/>
    </row>
    <row r="135" spans="1:4" ht="12.6" customHeight="1">
      <c r="A135" s="229" t="s">
        <v>349</v>
      </c>
      <c r="B135" s="232">
        <f>'2026'!B136</f>
        <v>0</v>
      </c>
      <c r="C135" s="232">
        <v>0</v>
      </c>
      <c r="D135" s="232"/>
    </row>
    <row r="136" spans="1:4" ht="12.6" customHeight="1">
      <c r="A136" s="229"/>
      <c r="B136" s="117">
        <f>C136+B135</f>
        <v>0</v>
      </c>
      <c r="C136" s="117">
        <v>0</v>
      </c>
      <c r="D136" s="117"/>
    </row>
    <row r="137" spans="1:4" ht="12.6" customHeight="1">
      <c r="A137" s="229" t="s">
        <v>247</v>
      </c>
      <c r="B137" s="232">
        <f>'2026'!B138</f>
        <v>0</v>
      </c>
      <c r="C137" s="232">
        <v>0</v>
      </c>
      <c r="D137" s="232"/>
    </row>
    <row r="138" spans="1:4" ht="12.6" customHeight="1">
      <c r="A138" s="229"/>
      <c r="B138" s="117">
        <f>C138+B137</f>
        <v>0</v>
      </c>
      <c r="C138" s="117">
        <v>0</v>
      </c>
      <c r="D138" s="117"/>
    </row>
    <row r="139" spans="1:4" ht="12.6" customHeight="1">
      <c r="A139" s="229" t="s">
        <v>187</v>
      </c>
      <c r="B139" s="232">
        <f>'2026'!B140</f>
        <v>0</v>
      </c>
      <c r="C139" s="232">
        <v>0</v>
      </c>
      <c r="D139" s="232"/>
    </row>
    <row r="140" spans="1:4" ht="12.6" customHeight="1">
      <c r="A140" s="229"/>
      <c r="B140" s="117">
        <f>C140+B139</f>
        <v>0</v>
      </c>
      <c r="C140" s="117">
        <v>0</v>
      </c>
      <c r="D140" s="117"/>
    </row>
    <row r="141" spans="1:4" ht="12.6" customHeight="1">
      <c r="A141" s="229" t="s">
        <v>246</v>
      </c>
      <c r="B141" s="232">
        <f>'2026'!B142</f>
        <v>0</v>
      </c>
      <c r="C141" s="232">
        <v>0</v>
      </c>
      <c r="D141" s="232"/>
    </row>
    <row r="142" spans="1:4" ht="12.6" customHeight="1">
      <c r="A142" s="229"/>
      <c r="B142" s="117">
        <f>C142+B141</f>
        <v>0</v>
      </c>
      <c r="C142" s="117">
        <v>0</v>
      </c>
      <c r="D142" s="117"/>
    </row>
    <row r="143" spans="1:4" ht="14.4" customHeight="1">
      <c r="A143" s="229" t="s">
        <v>334</v>
      </c>
      <c r="B143" s="232">
        <f>'2026'!B144</f>
        <v>0</v>
      </c>
      <c r="C143" s="232">
        <v>0</v>
      </c>
      <c r="D143" s="232"/>
    </row>
    <row r="144" spans="1:4" ht="12.6" customHeight="1">
      <c r="A144" s="229"/>
      <c r="B144" s="117">
        <f>C144+B143</f>
        <v>0</v>
      </c>
      <c r="C144" s="117">
        <v>0</v>
      </c>
      <c r="D144" s="117"/>
    </row>
    <row r="145" spans="1:4" ht="12.6" customHeight="1">
      <c r="A145" s="229" t="s">
        <v>180</v>
      </c>
      <c r="B145" s="1028">
        <f>'2026'!B146</f>
        <v>0</v>
      </c>
      <c r="C145" s="1028">
        <v>0</v>
      </c>
      <c r="D145" s="1028"/>
    </row>
    <row r="146" spans="1:4" ht="12.6" customHeight="1">
      <c r="A146" s="229"/>
      <c r="B146" s="117">
        <f>C146+B145</f>
        <v>0</v>
      </c>
      <c r="C146" s="117">
        <v>0</v>
      </c>
      <c r="D146" s="117"/>
    </row>
    <row r="147" spans="1:4" ht="12.6" customHeight="1">
      <c r="A147" s="229" t="s">
        <v>27</v>
      </c>
      <c r="B147" s="232">
        <f>'2026'!B148</f>
        <v>0</v>
      </c>
      <c r="C147" s="232">
        <v>0</v>
      </c>
      <c r="D147" s="232"/>
    </row>
    <row r="148" spans="1:4" ht="12.6" customHeight="1">
      <c r="A148" s="229"/>
      <c r="B148" s="117">
        <f>C148+B147</f>
        <v>0</v>
      </c>
      <c r="C148" s="117">
        <v>0</v>
      </c>
      <c r="D148" s="117"/>
    </row>
    <row r="149" spans="1:4" ht="12.6" customHeight="1">
      <c r="A149" s="229" t="s">
        <v>59</v>
      </c>
      <c r="B149" s="232">
        <f>B129+B131+B133+B135+B137+B139+B141+B143+B147+B145</f>
        <v>0</v>
      </c>
      <c r="C149" s="232">
        <v>0</v>
      </c>
      <c r="D149" s="232"/>
    </row>
    <row r="150" spans="1:4" ht="12.6" customHeight="1">
      <c r="A150" s="11"/>
      <c r="B150" s="117">
        <f>C150+B149</f>
        <v>0</v>
      </c>
      <c r="C150" s="117">
        <v>0</v>
      </c>
      <c r="D150" s="117"/>
    </row>
    <row r="151" spans="1:4" ht="12.6" customHeight="1">
      <c r="A151" s="230" t="s">
        <v>350</v>
      </c>
      <c r="B151" s="231">
        <f>B126-B149</f>
        <v>0</v>
      </c>
      <c r="C151" s="231">
        <v>0</v>
      </c>
      <c r="D151" s="231"/>
    </row>
    <row r="152" spans="1:4" ht="14.4" customHeight="1">
      <c r="A152" s="230"/>
      <c r="B152" s="235">
        <f>C152+B151</f>
        <v>0</v>
      </c>
      <c r="C152" s="235">
        <v>0</v>
      </c>
      <c r="D152" s="235"/>
    </row>
    <row r="153" spans="1:4" ht="14.4" customHeight="1" thickBot="1">
      <c r="A153" s="1"/>
      <c r="B153" s="46"/>
      <c r="C153" s="46"/>
      <c r="D153" s="46"/>
    </row>
    <row r="154" spans="1:4" ht="12.6" customHeight="1">
      <c r="A154" s="227" t="s">
        <v>845</v>
      </c>
      <c r="B154" s="213">
        <f>'2026'!B155</f>
        <v>0</v>
      </c>
      <c r="C154" s="213">
        <v>0</v>
      </c>
      <c r="D154" s="213"/>
    </row>
    <row r="155" spans="1:4" ht="12.6" customHeight="1">
      <c r="A155" s="11"/>
      <c r="B155" s="235">
        <f>C155+B154</f>
        <v>0</v>
      </c>
      <c r="C155" s="235">
        <v>0</v>
      </c>
      <c r="D155" s="235"/>
    </row>
    <row r="156" spans="1:4" ht="12.6" customHeight="1">
      <c r="A156" s="228" t="s">
        <v>100</v>
      </c>
      <c r="B156" s="46"/>
      <c r="C156" s="46"/>
      <c r="D156" s="46"/>
    </row>
    <row r="157" spans="1:4" ht="12.6" customHeight="1">
      <c r="A157" s="229" t="s">
        <v>337</v>
      </c>
      <c r="B157" s="232">
        <f>'2026'!B158</f>
        <v>0</v>
      </c>
      <c r="C157" s="232">
        <v>0</v>
      </c>
      <c r="D157" s="232"/>
    </row>
    <row r="158" spans="1:4" ht="12.6" customHeight="1">
      <c r="A158" s="229"/>
      <c r="B158" s="117">
        <f>C158+B157</f>
        <v>0</v>
      </c>
      <c r="C158" s="117">
        <v>0</v>
      </c>
      <c r="D158" s="117"/>
    </row>
    <row r="159" spans="1:4" ht="12.6" customHeight="1">
      <c r="A159" s="229" t="s">
        <v>353</v>
      </c>
      <c r="B159" s="233">
        <f>'2026'!B160</f>
        <v>0</v>
      </c>
      <c r="C159" s="233">
        <v>0</v>
      </c>
      <c r="D159" s="233"/>
    </row>
    <row r="160" spans="1:4" ht="12.6" customHeight="1">
      <c r="A160" s="229"/>
      <c r="B160" s="117">
        <f>C160+B159</f>
        <v>0</v>
      </c>
      <c r="C160" s="117">
        <v>0</v>
      </c>
      <c r="D160" s="117"/>
    </row>
    <row r="161" spans="1:4" ht="12.6" customHeight="1">
      <c r="A161" s="229" t="s">
        <v>245</v>
      </c>
      <c r="B161" s="233">
        <f>'2026'!B162</f>
        <v>0</v>
      </c>
      <c r="C161" s="233">
        <v>0</v>
      </c>
      <c r="D161" s="233"/>
    </row>
    <row r="162" spans="1:4" ht="12.6" customHeight="1">
      <c r="A162" s="229"/>
      <c r="B162" s="117">
        <f>C162+B161</f>
        <v>0</v>
      </c>
      <c r="C162" s="117">
        <v>0</v>
      </c>
      <c r="D162" s="117"/>
    </row>
    <row r="163" spans="1:4" ht="12.6" customHeight="1">
      <c r="A163" s="229" t="s">
        <v>349</v>
      </c>
      <c r="B163" s="232">
        <f>'2026'!B164</f>
        <v>0</v>
      </c>
      <c r="C163" s="232">
        <v>0</v>
      </c>
      <c r="D163" s="232"/>
    </row>
    <row r="164" spans="1:4" ht="12.6" customHeight="1">
      <c r="A164" s="229"/>
      <c r="B164" s="117">
        <f>C164+B163</f>
        <v>0</v>
      </c>
      <c r="C164" s="117">
        <v>0</v>
      </c>
      <c r="D164" s="117"/>
    </row>
    <row r="165" spans="1:4" ht="12.6" customHeight="1">
      <c r="A165" s="229" t="s">
        <v>247</v>
      </c>
      <c r="B165" s="232">
        <f>'2026'!B166</f>
        <v>0</v>
      </c>
      <c r="C165" s="232">
        <v>0</v>
      </c>
      <c r="D165" s="232"/>
    </row>
    <row r="166" spans="1:4" ht="12.6" customHeight="1">
      <c r="A166" s="229"/>
      <c r="B166" s="117">
        <f>C166+B165</f>
        <v>0</v>
      </c>
      <c r="C166" s="117">
        <v>0</v>
      </c>
      <c r="D166" s="117"/>
    </row>
    <row r="167" spans="1:4" ht="12.6" customHeight="1">
      <c r="A167" s="229" t="s">
        <v>187</v>
      </c>
      <c r="B167" s="232">
        <f>'2026'!B168</f>
        <v>0</v>
      </c>
      <c r="C167" s="232">
        <v>0</v>
      </c>
      <c r="D167" s="232"/>
    </row>
    <row r="168" spans="1:4" ht="12.6" customHeight="1">
      <c r="A168" s="229"/>
      <c r="B168" s="117">
        <f>C168+B167</f>
        <v>0</v>
      </c>
      <c r="C168" s="117">
        <v>0</v>
      </c>
      <c r="D168" s="117"/>
    </row>
    <row r="169" spans="1:4" ht="12.6" customHeight="1">
      <c r="A169" s="229" t="s">
        <v>246</v>
      </c>
      <c r="B169" s="232">
        <f>'2026'!B170</f>
        <v>0</v>
      </c>
      <c r="C169" s="232">
        <v>0</v>
      </c>
      <c r="D169" s="232"/>
    </row>
    <row r="170" spans="1:4" ht="12.6" customHeight="1">
      <c r="A170" s="229"/>
      <c r="B170" s="117">
        <f>C170+B169</f>
        <v>0</v>
      </c>
      <c r="C170" s="117">
        <v>0</v>
      </c>
      <c r="D170" s="117"/>
    </row>
    <row r="171" spans="1:4" ht="14.4" customHeight="1">
      <c r="A171" s="229" t="s">
        <v>334</v>
      </c>
      <c r="B171" s="232">
        <f>'2026'!B172</f>
        <v>0</v>
      </c>
      <c r="C171" s="232">
        <v>0</v>
      </c>
      <c r="D171" s="232"/>
    </row>
    <row r="172" spans="1:4" ht="12.6" customHeight="1">
      <c r="A172" s="229"/>
      <c r="B172" s="117">
        <f>C172+B171</f>
        <v>0</v>
      </c>
      <c r="C172" s="117">
        <v>0</v>
      </c>
      <c r="D172" s="117"/>
    </row>
    <row r="173" spans="1:4" ht="12.6" customHeight="1">
      <c r="A173" s="229" t="s">
        <v>180</v>
      </c>
      <c r="B173" s="1028">
        <f>'2026'!B174</f>
        <v>0</v>
      </c>
      <c r="C173" s="1028">
        <v>0</v>
      </c>
      <c r="D173" s="1028"/>
    </row>
    <row r="174" spans="1:4" ht="12.6" customHeight="1">
      <c r="A174" s="229"/>
      <c r="B174" s="117">
        <f>C174+B173</f>
        <v>0</v>
      </c>
      <c r="C174" s="117">
        <v>0</v>
      </c>
      <c r="D174" s="117"/>
    </row>
    <row r="175" spans="1:4" ht="12.6" customHeight="1">
      <c r="A175" s="229" t="s">
        <v>27</v>
      </c>
      <c r="B175" s="232">
        <f>'2026'!B176</f>
        <v>0</v>
      </c>
      <c r="C175" s="232">
        <v>0</v>
      </c>
      <c r="D175" s="232"/>
    </row>
    <row r="176" spans="1:4" ht="12.6" customHeight="1">
      <c r="A176" s="229"/>
      <c r="B176" s="117">
        <f>C176+B175</f>
        <v>0</v>
      </c>
      <c r="C176" s="117">
        <v>0</v>
      </c>
      <c r="D176" s="117"/>
    </row>
    <row r="177" spans="1:4" ht="12.6" customHeight="1">
      <c r="A177" s="229" t="s">
        <v>59</v>
      </c>
      <c r="B177" s="232">
        <f>B157+B159+B161+B163+B165+B167+B169+B171+B175+B173</f>
        <v>0</v>
      </c>
      <c r="C177" s="232">
        <v>0</v>
      </c>
      <c r="D177" s="232"/>
    </row>
    <row r="178" spans="1:4" ht="12.6" customHeight="1">
      <c r="A178" s="11"/>
      <c r="B178" s="117">
        <f>C178+B177</f>
        <v>0</v>
      </c>
      <c r="C178" s="117">
        <v>0</v>
      </c>
      <c r="D178" s="117"/>
    </row>
    <row r="179" spans="1:4" ht="12.6" customHeight="1">
      <c r="A179" s="230" t="s">
        <v>350</v>
      </c>
      <c r="B179" s="231">
        <f>B154-B177</f>
        <v>0</v>
      </c>
      <c r="C179" s="231">
        <v>0</v>
      </c>
      <c r="D179" s="231"/>
    </row>
    <row r="180" spans="1:4" ht="14.4" customHeight="1">
      <c r="A180" s="230"/>
      <c r="B180" s="235">
        <f>C180+B179</f>
        <v>0</v>
      </c>
      <c r="C180" s="235">
        <v>0</v>
      </c>
      <c r="D180" s="235"/>
    </row>
    <row r="181" spans="1:4" ht="14.4" customHeight="1">
      <c r="A181" s="1"/>
      <c r="B181" s="46"/>
      <c r="C181" s="46"/>
      <c r="D181" s="46"/>
    </row>
    <row r="182" spans="1:4" ht="14.4" customHeight="1">
      <c r="A182" s="11" t="s">
        <v>24</v>
      </c>
      <c r="B182" s="47">
        <f>'2026'!B184</f>
        <v>-160724</v>
      </c>
      <c r="C182" s="47"/>
      <c r="D182" s="47"/>
    </row>
    <row r="183" spans="1:4" ht="14.4" customHeight="1">
      <c r="A183" s="11"/>
      <c r="B183" s="235">
        <f>C183+B182</f>
        <v>-160724</v>
      </c>
      <c r="C183" s="235"/>
      <c r="D183" s="235"/>
    </row>
    <row r="184" spans="1:4" ht="14.4" customHeight="1">
      <c r="A184" s="1"/>
      <c r="B184" s="46"/>
      <c r="C184" s="46"/>
      <c r="D184" s="46"/>
    </row>
    <row r="185" spans="1:4" ht="15" customHeight="1">
      <c r="A185" s="11" t="s">
        <v>46</v>
      </c>
      <c r="B185" s="47">
        <f>B14+B42+B70+B98+B126+B154+B182</f>
        <v>366408831</v>
      </c>
      <c r="C185" s="47">
        <v>452591995</v>
      </c>
      <c r="D185" s="47">
        <v>214348674</v>
      </c>
    </row>
    <row r="186" spans="1:4" s="2" customFormat="1" ht="19.95" customHeight="1">
      <c r="A186" s="34" t="s">
        <v>48</v>
      </c>
      <c r="B186" s="35">
        <f>C186+B185</f>
        <v>1033349500</v>
      </c>
      <c r="C186" s="35">
        <v>666940669</v>
      </c>
      <c r="D186" s="35">
        <v>214348674</v>
      </c>
    </row>
    <row r="187" spans="1:4" ht="18" customHeight="1">
      <c r="A187" s="1"/>
      <c r="B187" s="46"/>
      <c r="C187" s="46"/>
      <c r="D187" s="46"/>
    </row>
    <row r="188" spans="1:4" ht="15" customHeight="1">
      <c r="A188" s="234" t="s">
        <v>355</v>
      </c>
      <c r="B188" s="225">
        <f>B37+B65+B93+B121+B149+B177</f>
        <v>93908398</v>
      </c>
      <c r="C188" s="225">
        <v>135144573</v>
      </c>
      <c r="D188" s="225"/>
    </row>
    <row r="189" spans="1:4" ht="15" customHeight="1">
      <c r="A189" s="234"/>
      <c r="B189" s="235">
        <f>C189+B188</f>
        <v>229052971</v>
      </c>
      <c r="C189" s="235">
        <v>135144573</v>
      </c>
      <c r="D189" s="235"/>
    </row>
    <row r="190" spans="1:4" ht="15" customHeight="1">
      <c r="A190" s="1"/>
      <c r="B190" s="46"/>
      <c r="C190" s="46"/>
      <c r="D190" s="46"/>
    </row>
    <row r="191" spans="1:4" s="2" customFormat="1" ht="15" customHeight="1">
      <c r="A191" s="236" t="s">
        <v>356</v>
      </c>
      <c r="B191" s="237">
        <f>B185-B188</f>
        <v>272500433</v>
      </c>
      <c r="C191" s="237">
        <v>317447422</v>
      </c>
      <c r="D191" s="237"/>
    </row>
    <row r="192" spans="1:4" s="2" customFormat="1" ht="19.2" customHeight="1">
      <c r="A192" s="236"/>
      <c r="B192" s="241">
        <f>C192+B191</f>
        <v>589947855</v>
      </c>
      <c r="C192" s="241">
        <v>317447422</v>
      </c>
      <c r="D192" s="241"/>
    </row>
    <row r="193" spans="1:4" ht="15" customHeight="1">
      <c r="A193" s="1"/>
      <c r="B193" s="46"/>
      <c r="C193" s="46"/>
      <c r="D193" s="46"/>
    </row>
    <row r="194" spans="1:4" ht="15" customHeight="1">
      <c r="A194" s="11" t="s">
        <v>84</v>
      </c>
      <c r="B194" s="47">
        <f>'2026'!B196</f>
        <v>261000</v>
      </c>
      <c r="C194" s="47">
        <v>21765101</v>
      </c>
      <c r="D194" s="47">
        <v>14119968</v>
      </c>
    </row>
    <row r="195" spans="1:4" s="2" customFormat="1" ht="19.95" customHeight="1" thickBot="1">
      <c r="A195" s="211" t="s">
        <v>85</v>
      </c>
      <c r="B195" s="212">
        <f>C195+B194</f>
        <v>36146069</v>
      </c>
      <c r="C195" s="212">
        <v>35885069</v>
      </c>
      <c r="D195" s="212">
        <v>14119968</v>
      </c>
    </row>
    <row r="196" spans="1:4" ht="4.2" customHeight="1" thickBot="1">
      <c r="A196" s="5"/>
      <c r="B196" s="67"/>
      <c r="C196" s="67"/>
      <c r="D196" s="67"/>
    </row>
    <row r="197" spans="1:4" ht="16.95" customHeight="1">
      <c r="A197" s="3" t="s">
        <v>576</v>
      </c>
      <c r="B197" s="157"/>
      <c r="C197" s="157"/>
      <c r="D197" s="157"/>
    </row>
    <row r="198" spans="1:4" ht="16.95" customHeight="1">
      <c r="A198" s="25" t="s">
        <v>573</v>
      </c>
      <c r="B198" s="77">
        <f>'2026'!B200</f>
        <v>48881737</v>
      </c>
      <c r="C198" s="77">
        <v>37410500</v>
      </c>
      <c r="D198" s="77"/>
    </row>
    <row r="199" spans="1:4" ht="16.95" customHeight="1">
      <c r="A199" s="985" t="s">
        <v>13</v>
      </c>
      <c r="B199" s="986">
        <f>C199+B198</f>
        <v>86292237</v>
      </c>
      <c r="C199" s="986">
        <v>37410500</v>
      </c>
      <c r="D199" s="986"/>
    </row>
    <row r="200" spans="1:4" ht="16.95" customHeight="1">
      <c r="A200" s="25" t="s">
        <v>574</v>
      </c>
      <c r="B200" s="77">
        <f>'2026'!B202</f>
        <v>1270000</v>
      </c>
      <c r="C200" s="77">
        <v>2010000</v>
      </c>
      <c r="D200" s="77"/>
    </row>
    <row r="201" spans="1:4" ht="16.95" customHeight="1">
      <c r="A201" s="985" t="s">
        <v>13</v>
      </c>
      <c r="B201" s="986">
        <f>C201+B200</f>
        <v>3280000</v>
      </c>
      <c r="C201" s="986">
        <v>2010000</v>
      </c>
      <c r="D201" s="986"/>
    </row>
    <row r="202" spans="1:4" ht="16.95" customHeight="1">
      <c r="A202" s="25" t="s">
        <v>575</v>
      </c>
      <c r="B202" s="77">
        <f>'2026'!B204</f>
        <v>330000</v>
      </c>
      <c r="C202" s="77">
        <v>294000</v>
      </c>
      <c r="D202" s="77"/>
    </row>
    <row r="203" spans="1:4" ht="16.95" customHeight="1">
      <c r="A203" s="985" t="s">
        <v>13</v>
      </c>
      <c r="B203" s="986">
        <f>C203+B202</f>
        <v>624000</v>
      </c>
      <c r="C203" s="986">
        <v>294000</v>
      </c>
      <c r="D203" s="986"/>
    </row>
    <row r="204" spans="1:4" ht="16.95" customHeight="1">
      <c r="A204" s="1033" t="s">
        <v>180</v>
      </c>
      <c r="B204" s="77">
        <f>'2026'!B206</f>
        <v>2404500</v>
      </c>
      <c r="C204" s="77">
        <v>0</v>
      </c>
      <c r="D204" s="77"/>
    </row>
    <row r="205" spans="1:4" ht="16.95" customHeight="1">
      <c r="A205" s="985" t="s">
        <v>13</v>
      </c>
      <c r="B205" s="986">
        <f>C205+B204</f>
        <v>2404500</v>
      </c>
      <c r="C205" s="986">
        <v>0</v>
      </c>
      <c r="D205" s="986"/>
    </row>
    <row r="206" spans="1:4" ht="16.95" customHeight="1">
      <c r="A206" s="25" t="s">
        <v>27</v>
      </c>
      <c r="B206" s="77">
        <f>'2026'!B208</f>
        <v>41056935</v>
      </c>
      <c r="C206" s="77">
        <v>22051000</v>
      </c>
      <c r="D206" s="77"/>
    </row>
    <row r="207" spans="1:4" ht="16.95" customHeight="1">
      <c r="A207" s="985" t="s">
        <v>13</v>
      </c>
      <c r="B207" s="986">
        <f>C207+B206</f>
        <v>63107935</v>
      </c>
      <c r="C207" s="986">
        <v>22051000</v>
      </c>
      <c r="D207" s="986"/>
    </row>
    <row r="208" spans="1:4" s="16" customFormat="1" ht="16.95" customHeight="1">
      <c r="A208" s="972" t="s">
        <v>150</v>
      </c>
      <c r="B208" s="216">
        <f>B198+B200+B202+B204+B206</f>
        <v>93943172</v>
      </c>
      <c r="C208" s="216">
        <v>61765500</v>
      </c>
      <c r="D208" s="216"/>
    </row>
    <row r="209" spans="1:5" s="16" customFormat="1" ht="15.6" customHeight="1" thickBot="1">
      <c r="A209" s="987" t="s">
        <v>13</v>
      </c>
      <c r="B209" s="988">
        <f>C209+B208</f>
        <v>155708672</v>
      </c>
      <c r="C209" s="988">
        <v>61765500</v>
      </c>
      <c r="D209" s="988"/>
    </row>
    <row r="210" spans="1:5" ht="8.4" customHeight="1" thickBot="1">
      <c r="A210" s="5"/>
      <c r="B210" s="67"/>
      <c r="C210" s="67"/>
      <c r="D210" s="67"/>
    </row>
    <row r="211" spans="1:5" ht="14.4" customHeight="1">
      <c r="A211" s="1104" t="s">
        <v>797</v>
      </c>
      <c r="B211" s="978"/>
      <c r="C211" s="978"/>
      <c r="D211" s="157"/>
    </row>
    <row r="212" spans="1:5" ht="14.4" customHeight="1">
      <c r="A212" s="1133" t="s">
        <v>180</v>
      </c>
      <c r="B212" s="17">
        <f>'2026'!B214</f>
        <v>1762000</v>
      </c>
      <c r="C212" s="17"/>
      <c r="D212" s="46"/>
    </row>
    <row r="213" spans="1:5" s="16" customFormat="1" ht="14.4" customHeight="1">
      <c r="A213" s="1134" t="s">
        <v>13</v>
      </c>
      <c r="B213" s="1135">
        <f>C213+B212</f>
        <v>1762000</v>
      </c>
      <c r="C213" s="1135"/>
      <c r="D213" s="117"/>
    </row>
    <row r="214" spans="1:5" ht="14.4" customHeight="1">
      <c r="A214" s="1133" t="s">
        <v>27</v>
      </c>
      <c r="B214" s="17">
        <f>SEPT!C469</f>
        <v>0</v>
      </c>
      <c r="C214" s="17"/>
      <c r="D214" s="46"/>
    </row>
    <row r="215" spans="1:5" s="16" customFormat="1" ht="14.4" customHeight="1">
      <c r="A215" s="1134" t="s">
        <v>13</v>
      </c>
      <c r="B215" s="1135">
        <f>C215+B214</f>
        <v>0</v>
      </c>
      <c r="C215" s="1135"/>
      <c r="D215" s="117"/>
    </row>
    <row r="216" spans="1:5" ht="15.6" customHeight="1">
      <c r="A216" s="1133" t="s">
        <v>150</v>
      </c>
      <c r="B216" s="17">
        <f>'2026'!B218</f>
        <v>13919811</v>
      </c>
      <c r="C216" s="17"/>
      <c r="D216" s="17"/>
    </row>
    <row r="217" spans="1:5" s="16" customFormat="1" ht="14.4" customHeight="1" thickBot="1">
      <c r="A217" s="1105" t="s">
        <v>13</v>
      </c>
      <c r="B217" s="1136">
        <f>C217+B216</f>
        <v>13919811</v>
      </c>
      <c r="C217" s="1136"/>
      <c r="D217" s="1136"/>
    </row>
    <row r="218" spans="1:5" ht="6.6" customHeight="1">
      <c r="A218" s="25"/>
      <c r="B218" s="77"/>
      <c r="C218" s="77"/>
      <c r="D218" s="77"/>
    </row>
    <row r="219" spans="1:5" ht="15" customHeight="1">
      <c r="A219" s="73" t="s">
        <v>123</v>
      </c>
      <c r="B219" s="72">
        <f>'2026'!B221</f>
        <v>81885678</v>
      </c>
      <c r="C219" s="72">
        <v>217651709</v>
      </c>
      <c r="D219" s="72">
        <v>147483657</v>
      </c>
      <c r="E219" s="8"/>
    </row>
    <row r="220" spans="1:5" s="2" customFormat="1" ht="19.95" customHeight="1">
      <c r="A220" s="74" t="s">
        <v>124</v>
      </c>
      <c r="B220" s="242">
        <f>C220+B219</f>
        <v>447021044</v>
      </c>
      <c r="C220" s="242">
        <v>365135366</v>
      </c>
      <c r="D220" s="242">
        <v>147483657</v>
      </c>
    </row>
    <row r="221" spans="1:5" s="2" customFormat="1" ht="6" customHeight="1">
      <c r="A221" s="75"/>
      <c r="B221" s="51"/>
      <c r="C221" s="51"/>
      <c r="D221" s="51"/>
    </row>
    <row r="222" spans="1:5" s="2" customFormat="1" ht="19.95" customHeight="1">
      <c r="A222" s="74" t="s">
        <v>154</v>
      </c>
      <c r="B222" s="33"/>
      <c r="C222" s="33"/>
      <c r="D222" s="33"/>
    </row>
    <row r="223" spans="1:5" s="16" customFormat="1" ht="15" customHeight="1">
      <c r="A223" s="132" t="s">
        <v>138</v>
      </c>
      <c r="B223" s="23">
        <f>'2026'!B225</f>
        <v>6035000</v>
      </c>
      <c r="C223" s="23">
        <v>11572000</v>
      </c>
      <c r="D223" s="23"/>
    </row>
    <row r="224" spans="1:5" s="135" customFormat="1" ht="18" customHeight="1">
      <c r="A224" s="136" t="s">
        <v>124</v>
      </c>
      <c r="B224" s="243">
        <f>C224+B223</f>
        <v>17607000</v>
      </c>
      <c r="C224" s="243">
        <v>11572000</v>
      </c>
      <c r="D224" s="243"/>
    </row>
    <row r="225" spans="1:4" s="16" customFormat="1" ht="15" customHeight="1">
      <c r="A225" s="132" t="s">
        <v>139</v>
      </c>
      <c r="B225" s="23">
        <f>'2026'!B227</f>
        <v>3500000</v>
      </c>
      <c r="C225" s="23">
        <v>12860000</v>
      </c>
      <c r="D225" s="23"/>
    </row>
    <row r="226" spans="1:4" s="135" customFormat="1" ht="16.2" customHeight="1">
      <c r="A226" s="136" t="s">
        <v>124</v>
      </c>
      <c r="B226" s="243">
        <f>C226+B225</f>
        <v>16360000</v>
      </c>
      <c r="C226" s="243">
        <v>12860000</v>
      </c>
      <c r="D226" s="243"/>
    </row>
    <row r="227" spans="1:4" s="16" customFormat="1" ht="15" customHeight="1">
      <c r="A227" s="132" t="s">
        <v>885</v>
      </c>
      <c r="B227" s="23">
        <f>'2026'!B229</f>
        <v>0</v>
      </c>
      <c r="C227" s="23">
        <v>0</v>
      </c>
      <c r="D227" s="23"/>
    </row>
    <row r="228" spans="1:4" s="135" customFormat="1" ht="16.2" customHeight="1">
      <c r="A228" s="136" t="s">
        <v>124</v>
      </c>
      <c r="B228" s="243">
        <f>C228+B227</f>
        <v>0</v>
      </c>
      <c r="C228" s="243">
        <v>0</v>
      </c>
      <c r="D228" s="243"/>
    </row>
    <row r="229" spans="1:4" s="16" customFormat="1" ht="15" customHeight="1">
      <c r="A229" s="132" t="s">
        <v>27</v>
      </c>
      <c r="B229" s="137">
        <f>'2026'!B231</f>
        <v>1250000</v>
      </c>
      <c r="C229" s="137">
        <v>900000</v>
      </c>
      <c r="D229" s="137"/>
    </row>
    <row r="230" spans="1:4" s="135" customFormat="1" ht="16.2" customHeight="1">
      <c r="A230" s="136" t="s">
        <v>124</v>
      </c>
      <c r="B230" s="243">
        <f>C230+B229</f>
        <v>2150000</v>
      </c>
      <c r="C230" s="243">
        <v>900000</v>
      </c>
      <c r="D230" s="243"/>
    </row>
    <row r="231" spans="1:4" s="135" customFormat="1" ht="15" customHeight="1">
      <c r="A231" s="133" t="s">
        <v>150</v>
      </c>
      <c r="B231" s="134">
        <f>B223+B225+B227+B229</f>
        <v>10785000</v>
      </c>
      <c r="C231" s="134">
        <v>25332000</v>
      </c>
      <c r="D231" s="134"/>
    </row>
    <row r="232" spans="1:4" s="2" customFormat="1" ht="19.95" customHeight="1">
      <c r="A232" s="79" t="s">
        <v>124</v>
      </c>
      <c r="B232" s="242">
        <f>C232+B231</f>
        <v>36117000</v>
      </c>
      <c r="C232" s="242">
        <v>25332000</v>
      </c>
      <c r="D232" s="242"/>
    </row>
    <row r="233" spans="1:4" s="2" customFormat="1" ht="7.2" customHeight="1">
      <c r="A233" s="75"/>
      <c r="B233" s="51"/>
      <c r="C233" s="51"/>
      <c r="D233" s="51"/>
    </row>
    <row r="234" spans="1:4" s="54" customFormat="1" ht="19.95" customHeight="1">
      <c r="A234" s="74" t="s">
        <v>61</v>
      </c>
      <c r="B234" s="138"/>
      <c r="C234" s="138"/>
      <c r="D234" s="138"/>
    </row>
    <row r="235" spans="1:4" ht="15" customHeight="1">
      <c r="A235" s="73" t="s">
        <v>135</v>
      </c>
      <c r="B235" s="72">
        <f>'2026'!B237</f>
        <v>1199285</v>
      </c>
      <c r="C235" s="72">
        <v>1392712</v>
      </c>
      <c r="D235" s="72">
        <v>2397741</v>
      </c>
    </row>
    <row r="236" spans="1:4" s="140" customFormat="1" ht="18" customHeight="1">
      <c r="A236" s="136" t="s">
        <v>124</v>
      </c>
      <c r="B236" s="139">
        <f>C236+B235</f>
        <v>2591997</v>
      </c>
      <c r="C236" s="139">
        <v>1392712</v>
      </c>
      <c r="D236" s="139"/>
    </row>
    <row r="237" spans="1:4" ht="15" customHeight="1">
      <c r="A237" s="73" t="s">
        <v>4</v>
      </c>
      <c r="B237" s="72">
        <f>'2026'!B239</f>
        <v>2066807</v>
      </c>
      <c r="C237" s="72">
        <v>2356177</v>
      </c>
      <c r="D237" s="72"/>
    </row>
    <row r="238" spans="1:4" s="140" customFormat="1" ht="18" customHeight="1">
      <c r="A238" s="136" t="s">
        <v>124</v>
      </c>
      <c r="B238" s="139">
        <f>C238+B237</f>
        <v>4422984</v>
      </c>
      <c r="C238" s="139">
        <v>2356177</v>
      </c>
      <c r="D238" s="139"/>
    </row>
    <row r="239" spans="1:4" ht="15" customHeight="1">
      <c r="A239" s="73" t="s">
        <v>136</v>
      </c>
      <c r="B239" s="72">
        <f>'2026'!B241</f>
        <v>130599</v>
      </c>
      <c r="C239" s="72">
        <v>23000</v>
      </c>
      <c r="D239" s="72"/>
    </row>
    <row r="240" spans="1:4" s="140" customFormat="1" ht="18" customHeight="1">
      <c r="A240" s="136" t="s">
        <v>124</v>
      </c>
      <c r="B240" s="139">
        <f>C240+B239</f>
        <v>153599</v>
      </c>
      <c r="C240" s="139">
        <v>23000</v>
      </c>
      <c r="D240" s="139"/>
    </row>
    <row r="241" spans="1:4" ht="15" customHeight="1">
      <c r="A241" s="73" t="s">
        <v>148</v>
      </c>
      <c r="B241" s="72">
        <f>'2026'!B243</f>
        <v>0</v>
      </c>
      <c r="C241" s="72">
        <v>42498</v>
      </c>
      <c r="D241" s="72"/>
    </row>
    <row r="242" spans="1:4" s="140" customFormat="1" ht="18" customHeight="1">
      <c r="A242" s="136" t="s">
        <v>124</v>
      </c>
      <c r="B242" s="139">
        <f>C242+B241</f>
        <v>42498</v>
      </c>
      <c r="C242" s="139">
        <v>42498</v>
      </c>
      <c r="D242" s="139"/>
    </row>
    <row r="243" spans="1:4" ht="15" customHeight="1">
      <c r="A243" s="73" t="s">
        <v>138</v>
      </c>
      <c r="B243" s="72">
        <f>'2026'!B245</f>
        <v>0</v>
      </c>
      <c r="C243" s="72">
        <v>0</v>
      </c>
      <c r="D243" s="72"/>
    </row>
    <row r="244" spans="1:4" s="140" customFormat="1" ht="18" customHeight="1">
      <c r="A244" s="136" t="s">
        <v>124</v>
      </c>
      <c r="B244" s="139">
        <f>C244+B243</f>
        <v>0</v>
      </c>
      <c r="C244" s="139">
        <v>0</v>
      </c>
      <c r="D244" s="139"/>
    </row>
    <row r="245" spans="1:4" ht="15" customHeight="1">
      <c r="A245" s="73" t="s">
        <v>139</v>
      </c>
      <c r="B245" s="72">
        <f>'2026'!B247</f>
        <v>0</v>
      </c>
      <c r="C245" s="72">
        <v>0</v>
      </c>
      <c r="D245" s="72"/>
    </row>
    <row r="246" spans="1:4" s="140" customFormat="1" ht="18" customHeight="1">
      <c r="A246" s="136" t="s">
        <v>124</v>
      </c>
      <c r="B246" s="139">
        <f>C246+B245</f>
        <v>0</v>
      </c>
      <c r="C246" s="139">
        <v>0</v>
      </c>
      <c r="D246" s="139"/>
    </row>
    <row r="247" spans="1:4" ht="15" customHeight="1">
      <c r="A247" s="73" t="s">
        <v>27</v>
      </c>
      <c r="B247" s="72">
        <f>'2026'!B249</f>
        <v>345493</v>
      </c>
      <c r="C247" s="72">
        <v>1826657</v>
      </c>
      <c r="D247" s="72"/>
    </row>
    <row r="248" spans="1:4" s="140" customFormat="1" ht="18" customHeight="1">
      <c r="A248" s="136" t="s">
        <v>124</v>
      </c>
      <c r="B248" s="139">
        <f>C248+B247</f>
        <v>2172150</v>
      </c>
      <c r="C248" s="139">
        <v>1826657</v>
      </c>
      <c r="D248" s="139"/>
    </row>
    <row r="249" spans="1:4" s="140" customFormat="1" ht="18" customHeight="1">
      <c r="A249" s="133" t="s">
        <v>150</v>
      </c>
      <c r="B249" s="141">
        <f>B235+B237+B239+B241+B243+B245+B247</f>
        <v>3742184</v>
      </c>
      <c r="C249" s="141">
        <v>5641044</v>
      </c>
      <c r="D249" s="141"/>
    </row>
    <row r="250" spans="1:4" s="2" customFormat="1" ht="19.95" customHeight="1">
      <c r="A250" s="79" t="s">
        <v>124</v>
      </c>
      <c r="B250" s="131">
        <f>C250+B249</f>
        <v>11780969</v>
      </c>
      <c r="C250" s="131">
        <v>8038785</v>
      </c>
      <c r="D250" s="131">
        <v>2397741</v>
      </c>
    </row>
    <row r="251" spans="1:4" s="2" customFormat="1" ht="7.2" customHeight="1">
      <c r="A251" s="75"/>
      <c r="B251" s="51"/>
      <c r="C251" s="51"/>
      <c r="D251" s="51"/>
    </row>
    <row r="252" spans="1:4" s="54" customFormat="1" ht="15" customHeight="1">
      <c r="A252" s="74" t="s">
        <v>107</v>
      </c>
      <c r="B252" s="72">
        <f>'2026'!B254</f>
        <v>3065000</v>
      </c>
      <c r="C252" s="72">
        <v>2090000</v>
      </c>
      <c r="D252" s="72">
        <v>1145000</v>
      </c>
    </row>
    <row r="253" spans="1:4" s="2" customFormat="1" ht="19.95" customHeight="1">
      <c r="A253" s="74" t="s">
        <v>124</v>
      </c>
      <c r="B253" s="131">
        <f>C253+B252</f>
        <v>6300000</v>
      </c>
      <c r="C253" s="131">
        <v>3235000</v>
      </c>
      <c r="D253" s="131">
        <v>1145000</v>
      </c>
    </row>
    <row r="254" spans="1:4" s="16" customFormat="1" ht="6" customHeight="1">
      <c r="A254" s="76"/>
      <c r="B254" s="49"/>
      <c r="C254" s="49"/>
      <c r="D254" s="49"/>
    </row>
    <row r="255" spans="1:4" s="54" customFormat="1" ht="19.95" customHeight="1">
      <c r="A255" s="74" t="s">
        <v>97</v>
      </c>
      <c r="B255" s="142"/>
      <c r="C255" s="142"/>
      <c r="D255" s="142">
        <v>2426406</v>
      </c>
    </row>
    <row r="256" spans="1:4" ht="15" customHeight="1">
      <c r="A256" s="73" t="s">
        <v>904</v>
      </c>
      <c r="B256" s="72">
        <f>'2026'!B258</f>
        <v>102400</v>
      </c>
      <c r="C256" s="72">
        <v>0</v>
      </c>
      <c r="D256" s="72"/>
    </row>
    <row r="257" spans="1:4" s="140" customFormat="1" ht="18" customHeight="1">
      <c r="A257" s="136" t="s">
        <v>124</v>
      </c>
      <c r="B257" s="139">
        <f>C257+B256</f>
        <v>102400</v>
      </c>
      <c r="C257" s="139">
        <v>0</v>
      </c>
      <c r="D257" s="139"/>
    </row>
    <row r="258" spans="1:4" ht="15" customHeight="1">
      <c r="A258" s="73" t="s">
        <v>905</v>
      </c>
      <c r="B258" s="72">
        <f>'2026'!B260</f>
        <v>2728100</v>
      </c>
      <c r="C258" s="72">
        <v>1899100</v>
      </c>
      <c r="D258" s="72"/>
    </row>
    <row r="259" spans="1:4" s="140" customFormat="1" ht="18" customHeight="1">
      <c r="A259" s="136" t="s">
        <v>124</v>
      </c>
      <c r="B259" s="139">
        <f>C259+B258</f>
        <v>4627200</v>
      </c>
      <c r="C259" s="139">
        <v>1899100</v>
      </c>
      <c r="D259" s="139"/>
    </row>
    <row r="260" spans="1:4" ht="15" customHeight="1">
      <c r="A260" s="73" t="s">
        <v>139</v>
      </c>
      <c r="B260" s="72">
        <f>'2026'!B262</f>
        <v>103800</v>
      </c>
      <c r="C260" s="72">
        <v>813000</v>
      </c>
      <c r="D260" s="72"/>
    </row>
    <row r="261" spans="1:4" s="140" customFormat="1" ht="18" customHeight="1">
      <c r="A261" s="136" t="s">
        <v>124</v>
      </c>
      <c r="B261" s="139">
        <f>C261+B260</f>
        <v>916800</v>
      </c>
      <c r="C261" s="139">
        <v>813000</v>
      </c>
      <c r="D261" s="139"/>
    </row>
    <row r="262" spans="1:4" s="140" customFormat="1" ht="18" customHeight="1">
      <c r="A262" s="177" t="s">
        <v>173</v>
      </c>
      <c r="B262" s="141">
        <f>'2026'!B266</f>
        <v>0</v>
      </c>
      <c r="C262" s="141">
        <v>620600</v>
      </c>
      <c r="D262" s="178"/>
    </row>
    <row r="263" spans="1:4" s="140" customFormat="1" ht="18" customHeight="1">
      <c r="A263" s="136" t="s">
        <v>124</v>
      </c>
      <c r="B263" s="139">
        <f>C263+B262</f>
        <v>620600</v>
      </c>
      <c r="C263" s="139">
        <v>620600</v>
      </c>
      <c r="D263" s="139"/>
    </row>
    <row r="264" spans="1:4" s="140" customFormat="1" ht="18" customHeight="1">
      <c r="A264" s="177" t="s">
        <v>174</v>
      </c>
      <c r="B264" s="141">
        <f>'2026'!B268</f>
        <v>0</v>
      </c>
      <c r="C264" s="141">
        <v>101400</v>
      </c>
      <c r="D264" s="178"/>
    </row>
    <row r="265" spans="1:4" s="140" customFormat="1" ht="18" customHeight="1">
      <c r="A265" s="136" t="s">
        <v>124</v>
      </c>
      <c r="B265" s="139">
        <f>C265+B264</f>
        <v>101400</v>
      </c>
      <c r="C265" s="139">
        <v>101400</v>
      </c>
      <c r="D265" s="139"/>
    </row>
    <row r="266" spans="1:4" s="140" customFormat="1" ht="18" customHeight="1">
      <c r="A266" s="177" t="s">
        <v>333</v>
      </c>
      <c r="B266" s="141">
        <f>'2026'!B270</f>
        <v>0</v>
      </c>
      <c r="C266" s="141">
        <v>110000</v>
      </c>
      <c r="D266" s="178"/>
    </row>
    <row r="267" spans="1:4" s="140" customFormat="1" ht="18" customHeight="1">
      <c r="A267" s="136" t="s">
        <v>124</v>
      </c>
      <c r="B267" s="139">
        <f>C267+B266</f>
        <v>110000</v>
      </c>
      <c r="C267" s="139">
        <v>110000</v>
      </c>
      <c r="D267" s="139"/>
    </row>
    <row r="268" spans="1:4" s="140" customFormat="1" ht="18" customHeight="1">
      <c r="A268" s="177" t="s">
        <v>345</v>
      </c>
      <c r="B268" s="141">
        <f>'2026'!B272</f>
        <v>0</v>
      </c>
      <c r="C268" s="141">
        <v>0</v>
      </c>
      <c r="D268" s="178"/>
    </row>
    <row r="269" spans="1:4" s="140" customFormat="1" ht="18" customHeight="1">
      <c r="A269" s="136" t="s">
        <v>124</v>
      </c>
      <c r="B269" s="139">
        <f>C269+B268</f>
        <v>0</v>
      </c>
      <c r="C269" s="139">
        <v>0</v>
      </c>
      <c r="D269" s="139"/>
    </row>
    <row r="270" spans="1:4" s="140" customFormat="1" ht="18" customHeight="1">
      <c r="A270" s="177" t="s">
        <v>845</v>
      </c>
      <c r="B270" s="141">
        <f>'2026'!B274</f>
        <v>0</v>
      </c>
      <c r="C270" s="141">
        <v>0</v>
      </c>
      <c r="D270" s="178"/>
    </row>
    <row r="271" spans="1:4" s="140" customFormat="1" ht="18" customHeight="1">
      <c r="A271" s="136" t="s">
        <v>124</v>
      </c>
      <c r="B271" s="139">
        <f>C271+B270</f>
        <v>0</v>
      </c>
      <c r="C271" s="139">
        <v>0</v>
      </c>
      <c r="D271" s="139"/>
    </row>
    <row r="272" spans="1:4" s="140" customFormat="1" ht="18" customHeight="1">
      <c r="A272" s="177" t="s">
        <v>845</v>
      </c>
      <c r="B272" s="141">
        <v>0</v>
      </c>
      <c r="C272" s="141">
        <v>0</v>
      </c>
      <c r="D272" s="178"/>
    </row>
    <row r="273" spans="1:4" s="140" customFormat="1" ht="18" customHeight="1">
      <c r="A273" s="136" t="s">
        <v>124</v>
      </c>
      <c r="B273" s="139">
        <f>C273+B272</f>
        <v>0</v>
      </c>
      <c r="C273" s="139">
        <v>0</v>
      </c>
      <c r="D273" s="139"/>
    </row>
    <row r="274" spans="1:4" s="140" customFormat="1" ht="18" customHeight="1">
      <c r="A274" s="133" t="s">
        <v>150</v>
      </c>
      <c r="B274" s="141">
        <f>B256+B258+B260+B262+B264+B266+B268+B270+B272</f>
        <v>2934300</v>
      </c>
      <c r="C274" s="141">
        <v>3544100</v>
      </c>
      <c r="D274" s="141"/>
    </row>
    <row r="275" spans="1:4" s="2" customFormat="1" ht="19.95" customHeight="1">
      <c r="A275" s="79" t="s">
        <v>124</v>
      </c>
      <c r="B275" s="131">
        <f>C275+B274</f>
        <v>8904806</v>
      </c>
      <c r="C275" s="131">
        <v>5970506</v>
      </c>
      <c r="D275" s="131">
        <v>2426406</v>
      </c>
    </row>
    <row r="276" spans="1:4" s="16" customFormat="1" ht="4.2" customHeight="1">
      <c r="A276" s="65"/>
      <c r="B276" s="66"/>
      <c r="C276" s="66"/>
      <c r="D276" s="66"/>
    </row>
    <row r="277" spans="1:4" s="2" customFormat="1" ht="19.95" customHeight="1">
      <c r="A277" s="144" t="s">
        <v>140</v>
      </c>
      <c r="B277" s="145"/>
      <c r="C277" s="145"/>
      <c r="D277" s="145"/>
    </row>
    <row r="278" spans="1:4" s="16" customFormat="1" ht="15" customHeight="1">
      <c r="A278" s="82" t="s">
        <v>141</v>
      </c>
      <c r="B278" s="83">
        <f>'2026'!B280</f>
        <v>0</v>
      </c>
      <c r="C278" s="83">
        <v>152776</v>
      </c>
      <c r="D278" s="83"/>
    </row>
    <row r="279" spans="1:4" s="135" customFormat="1" ht="18" customHeight="1">
      <c r="A279" s="136" t="s">
        <v>124</v>
      </c>
      <c r="B279" s="146">
        <f>C279+B278</f>
        <v>152776</v>
      </c>
      <c r="C279" s="146">
        <v>152776</v>
      </c>
      <c r="D279" s="146"/>
    </row>
    <row r="280" spans="1:4" s="16" customFormat="1" ht="15" customHeight="1">
      <c r="A280" s="82" t="s">
        <v>142</v>
      </c>
      <c r="B280" s="83">
        <f>'2026'!B282</f>
        <v>72814</v>
      </c>
      <c r="C280" s="83">
        <v>215294</v>
      </c>
      <c r="D280" s="83"/>
    </row>
    <row r="281" spans="1:4" s="135" customFormat="1" ht="18" customHeight="1">
      <c r="A281" s="136" t="s">
        <v>124</v>
      </c>
      <c r="B281" s="146">
        <f>C281+B280</f>
        <v>288108</v>
      </c>
      <c r="C281" s="146">
        <v>215294</v>
      </c>
      <c r="D281" s="146"/>
    </row>
    <row r="282" spans="1:4" s="16" customFormat="1" ht="15" customHeight="1">
      <c r="A282" s="82" t="s">
        <v>143</v>
      </c>
      <c r="B282" s="83">
        <f>'2026'!B284</f>
        <v>0</v>
      </c>
      <c r="C282" s="83">
        <v>17500</v>
      </c>
      <c r="D282" s="83"/>
    </row>
    <row r="283" spans="1:4" s="135" customFormat="1" ht="18" customHeight="1">
      <c r="A283" s="136" t="s">
        <v>124</v>
      </c>
      <c r="B283" s="146">
        <f>C283+B282</f>
        <v>17500</v>
      </c>
      <c r="C283" s="146">
        <v>17500</v>
      </c>
      <c r="D283" s="146"/>
    </row>
    <row r="284" spans="1:4" s="16" customFormat="1" ht="15" customHeight="1">
      <c r="A284" s="82" t="s">
        <v>766</v>
      </c>
      <c r="B284" s="83">
        <f>'2026'!B286</f>
        <v>0</v>
      </c>
      <c r="C284" s="83">
        <v>0</v>
      </c>
      <c r="D284" s="83"/>
    </row>
    <row r="285" spans="1:4" s="135" customFormat="1" ht="18" customHeight="1">
      <c r="A285" s="136" t="s">
        <v>124</v>
      </c>
      <c r="B285" s="146">
        <f>C285+B284</f>
        <v>0</v>
      </c>
      <c r="C285" s="146">
        <v>0</v>
      </c>
      <c r="D285" s="146"/>
    </row>
    <row r="286" spans="1:4" s="16" customFormat="1" ht="15" customHeight="1">
      <c r="A286" s="82" t="s">
        <v>767</v>
      </c>
      <c r="B286" s="83">
        <f>'2026'!B288</f>
        <v>0</v>
      </c>
      <c r="C286" s="83">
        <v>0</v>
      </c>
      <c r="D286" s="83"/>
    </row>
    <row r="287" spans="1:4" s="135" customFormat="1" ht="18" customHeight="1">
      <c r="A287" s="136" t="s">
        <v>124</v>
      </c>
      <c r="B287" s="146">
        <f>C287+B286</f>
        <v>0</v>
      </c>
      <c r="C287" s="146">
        <v>0</v>
      </c>
      <c r="D287" s="146"/>
    </row>
    <row r="288" spans="1:4" s="16" customFormat="1" ht="15" customHeight="1">
      <c r="A288" s="82" t="s">
        <v>853</v>
      </c>
      <c r="B288" s="83">
        <f>'2026'!B290</f>
        <v>0</v>
      </c>
      <c r="C288" s="83">
        <v>0</v>
      </c>
      <c r="D288" s="83"/>
    </row>
    <row r="289" spans="1:4" s="135" customFormat="1" ht="18" customHeight="1">
      <c r="A289" s="136" t="s">
        <v>124</v>
      </c>
      <c r="B289" s="146">
        <f>C289+B288</f>
        <v>0</v>
      </c>
      <c r="C289" s="146">
        <v>0</v>
      </c>
      <c r="D289" s="146"/>
    </row>
    <row r="290" spans="1:4" s="135" customFormat="1" ht="18" customHeight="1">
      <c r="A290" s="177" t="s">
        <v>242</v>
      </c>
      <c r="B290" s="143">
        <f>'2026'!B292</f>
        <v>0</v>
      </c>
      <c r="C290" s="143">
        <v>0</v>
      </c>
      <c r="D290" s="143"/>
    </row>
    <row r="291" spans="1:4" s="135" customFormat="1" ht="18" customHeight="1">
      <c r="A291" s="136" t="s">
        <v>124</v>
      </c>
      <c r="B291" s="146">
        <f>C291+B290</f>
        <v>0</v>
      </c>
      <c r="C291" s="146">
        <v>0</v>
      </c>
      <c r="D291" s="146"/>
    </row>
    <row r="292" spans="1:4" s="135" customFormat="1" ht="18" customHeight="1">
      <c r="A292" s="177" t="s">
        <v>241</v>
      </c>
      <c r="B292" s="143">
        <f>'2026'!B294</f>
        <v>0</v>
      </c>
      <c r="C292" s="143">
        <v>0</v>
      </c>
      <c r="D292" s="143"/>
    </row>
    <row r="293" spans="1:4" s="135" customFormat="1" ht="18" customHeight="1">
      <c r="A293" s="136" t="s">
        <v>124</v>
      </c>
      <c r="B293" s="146">
        <f>C293+B292</f>
        <v>0</v>
      </c>
      <c r="C293" s="146">
        <v>0</v>
      </c>
      <c r="D293" s="146"/>
    </row>
    <row r="294" spans="1:4" s="16" customFormat="1" ht="15" customHeight="1">
      <c r="A294" s="82" t="s">
        <v>144</v>
      </c>
      <c r="B294" s="83">
        <f>'2026'!B296</f>
        <v>0</v>
      </c>
      <c r="C294" s="83">
        <v>40000</v>
      </c>
      <c r="D294" s="83"/>
    </row>
    <row r="295" spans="1:4" s="135" customFormat="1" ht="18" customHeight="1">
      <c r="A295" s="136" t="s">
        <v>124</v>
      </c>
      <c r="B295" s="146">
        <f>C295+B294</f>
        <v>40000</v>
      </c>
      <c r="C295" s="146">
        <v>40000</v>
      </c>
      <c r="D295" s="146"/>
    </row>
    <row r="296" spans="1:4" s="16" customFormat="1" ht="15" customHeight="1">
      <c r="A296" s="82" t="s">
        <v>145</v>
      </c>
      <c r="B296" s="83">
        <f>'2026'!B298</f>
        <v>56266</v>
      </c>
      <c r="C296" s="83">
        <v>155425</v>
      </c>
      <c r="D296" s="83"/>
    </row>
    <row r="297" spans="1:4" s="135" customFormat="1" ht="18" customHeight="1">
      <c r="A297" s="136" t="s">
        <v>124</v>
      </c>
      <c r="B297" s="146">
        <f>C297+B296</f>
        <v>211691</v>
      </c>
      <c r="C297" s="146">
        <v>155425</v>
      </c>
      <c r="D297" s="146"/>
    </row>
    <row r="298" spans="1:4" s="135" customFormat="1" ht="18" customHeight="1">
      <c r="A298" s="177" t="s">
        <v>346</v>
      </c>
      <c r="B298" s="143">
        <f>'2026'!B300</f>
        <v>15500</v>
      </c>
      <c r="C298" s="143"/>
      <c r="D298" s="146"/>
    </row>
    <row r="299" spans="1:4" s="135" customFormat="1" ht="18" customHeight="1">
      <c r="A299" s="136" t="s">
        <v>124</v>
      </c>
      <c r="B299" s="146">
        <f>C299+B298</f>
        <v>15500</v>
      </c>
      <c r="C299" s="146"/>
      <c r="D299" s="146"/>
    </row>
    <row r="300" spans="1:4" s="135" customFormat="1" ht="18" customHeight="1">
      <c r="A300" s="177" t="s">
        <v>764</v>
      </c>
      <c r="B300" s="143">
        <f>'2026'!B302</f>
        <v>0</v>
      </c>
      <c r="C300" s="143"/>
      <c r="D300" s="146"/>
    </row>
    <row r="301" spans="1:4" s="135" customFormat="1" ht="18" customHeight="1">
      <c r="A301" s="136" t="s">
        <v>124</v>
      </c>
      <c r="B301" s="146">
        <f>C301+B300</f>
        <v>0</v>
      </c>
      <c r="C301" s="146"/>
      <c r="D301" s="146"/>
    </row>
    <row r="302" spans="1:4" s="135" customFormat="1" ht="18" customHeight="1">
      <c r="A302" s="177" t="s">
        <v>765</v>
      </c>
      <c r="B302" s="143">
        <f>'2026'!B304</f>
        <v>0</v>
      </c>
      <c r="C302" s="143"/>
      <c r="D302" s="146"/>
    </row>
    <row r="303" spans="1:4" s="135" customFormat="1" ht="18" customHeight="1">
      <c r="A303" s="136" t="s">
        <v>124</v>
      </c>
      <c r="B303" s="146">
        <f>C303+B302</f>
        <v>0</v>
      </c>
      <c r="C303" s="146"/>
      <c r="D303" s="146"/>
    </row>
    <row r="304" spans="1:4" s="135" customFormat="1" ht="18" customHeight="1">
      <c r="A304" s="177" t="s">
        <v>854</v>
      </c>
      <c r="B304" s="143">
        <f>'2026'!B306</f>
        <v>0</v>
      </c>
      <c r="C304" s="143"/>
      <c r="D304" s="146"/>
    </row>
    <row r="305" spans="1:4" s="135" customFormat="1" ht="18" customHeight="1">
      <c r="A305" s="136" t="s">
        <v>124</v>
      </c>
      <c r="B305" s="146">
        <f>C305+B304</f>
        <v>0</v>
      </c>
      <c r="C305" s="146"/>
      <c r="D305" s="146"/>
    </row>
    <row r="306" spans="1:4" s="16" customFormat="1" ht="15" customHeight="1">
      <c r="A306" s="82" t="s">
        <v>146</v>
      </c>
      <c r="B306" s="83">
        <f>'2026'!B308</f>
        <v>60000</v>
      </c>
      <c r="C306" s="83">
        <v>149000</v>
      </c>
      <c r="D306" s="83"/>
    </row>
    <row r="307" spans="1:4" s="135" customFormat="1" ht="18" customHeight="1">
      <c r="A307" s="136" t="s">
        <v>124</v>
      </c>
      <c r="B307" s="146">
        <f>C307+B306</f>
        <v>209000</v>
      </c>
      <c r="C307" s="146">
        <v>149000</v>
      </c>
      <c r="D307" s="146"/>
    </row>
    <row r="308" spans="1:4" s="16" customFormat="1" ht="15" customHeight="1">
      <c r="A308" s="82" t="s">
        <v>147</v>
      </c>
      <c r="B308" s="83">
        <f>'2026'!B310</f>
        <v>0</v>
      </c>
      <c r="C308" s="83">
        <v>15000</v>
      </c>
      <c r="D308" s="83"/>
    </row>
    <row r="309" spans="1:4" s="135" customFormat="1" ht="18" customHeight="1">
      <c r="A309" s="136" t="s">
        <v>124</v>
      </c>
      <c r="B309" s="146">
        <f>C309+B308</f>
        <v>15000</v>
      </c>
      <c r="C309" s="146">
        <v>15000</v>
      </c>
      <c r="D309" s="146"/>
    </row>
    <row r="310" spans="1:4" s="135" customFormat="1" ht="18" customHeight="1">
      <c r="A310" s="176" t="s">
        <v>230</v>
      </c>
      <c r="B310" s="143">
        <f>'2026'!B312</f>
        <v>87000</v>
      </c>
      <c r="C310" s="143">
        <v>87500</v>
      </c>
      <c r="D310" s="146"/>
    </row>
    <row r="311" spans="1:4" s="135" customFormat="1" ht="18" customHeight="1">
      <c r="A311" s="136" t="s">
        <v>124</v>
      </c>
      <c r="B311" s="146">
        <f>C311+B310</f>
        <v>174500</v>
      </c>
      <c r="C311" s="146">
        <v>87500</v>
      </c>
      <c r="D311" s="146"/>
    </row>
    <row r="312" spans="1:4" s="135" customFormat="1" ht="18" customHeight="1">
      <c r="A312" s="176" t="s">
        <v>231</v>
      </c>
      <c r="B312" s="143">
        <f>'2026'!B314</f>
        <v>0</v>
      </c>
      <c r="C312" s="143">
        <v>41000</v>
      </c>
      <c r="D312" s="146"/>
    </row>
    <row r="313" spans="1:4" s="135" customFormat="1" ht="18" customHeight="1">
      <c r="A313" s="136" t="s">
        <v>124</v>
      </c>
      <c r="B313" s="146">
        <f>C313+B312</f>
        <v>41000</v>
      </c>
      <c r="C313" s="146">
        <v>41000</v>
      </c>
      <c r="D313" s="146"/>
    </row>
    <row r="314" spans="1:4" s="135" customFormat="1" ht="18" customHeight="1">
      <c r="A314" s="176" t="s">
        <v>232</v>
      </c>
      <c r="B314" s="143">
        <f>'2026'!B316</f>
        <v>51000</v>
      </c>
      <c r="C314" s="143">
        <v>93000</v>
      </c>
      <c r="D314" s="146"/>
    </row>
    <row r="315" spans="1:4" s="135" customFormat="1" ht="18" customHeight="1">
      <c r="A315" s="136" t="s">
        <v>124</v>
      </c>
      <c r="B315" s="146">
        <f>C315+B314</f>
        <v>144000</v>
      </c>
      <c r="C315" s="146">
        <v>93000</v>
      </c>
      <c r="D315" s="146"/>
    </row>
    <row r="316" spans="1:4" s="135" customFormat="1" ht="18" customHeight="1">
      <c r="A316" s="176" t="s">
        <v>233</v>
      </c>
      <c r="B316" s="143">
        <f>'2026'!B318</f>
        <v>0</v>
      </c>
      <c r="C316" s="143">
        <v>52000</v>
      </c>
      <c r="D316" s="146"/>
    </row>
    <row r="317" spans="1:4" s="135" customFormat="1" ht="18" customHeight="1">
      <c r="A317" s="136" t="s">
        <v>124</v>
      </c>
      <c r="B317" s="146">
        <f>C317+B316</f>
        <v>52000</v>
      </c>
      <c r="C317" s="146">
        <v>52000</v>
      </c>
      <c r="D317" s="146"/>
    </row>
    <row r="318" spans="1:4" s="135" customFormat="1" ht="18" customHeight="1">
      <c r="A318" s="176" t="s">
        <v>234</v>
      </c>
      <c r="B318" s="143">
        <f>'2026'!B320</f>
        <v>0</v>
      </c>
      <c r="C318" s="143">
        <v>11500</v>
      </c>
      <c r="D318" s="146"/>
    </row>
    <row r="319" spans="1:4" s="135" customFormat="1" ht="18" customHeight="1">
      <c r="A319" s="136" t="s">
        <v>124</v>
      </c>
      <c r="B319" s="146">
        <f>C319+B318</f>
        <v>11500</v>
      </c>
      <c r="C319" s="146">
        <v>11500</v>
      </c>
      <c r="D319" s="146"/>
    </row>
    <row r="320" spans="1:4" s="135" customFormat="1" ht="18" customHeight="1">
      <c r="A320" s="176" t="s">
        <v>235</v>
      </c>
      <c r="B320" s="143">
        <f>'2026'!B322</f>
        <v>0</v>
      </c>
      <c r="C320" s="143">
        <v>23740</v>
      </c>
      <c r="D320" s="146"/>
    </row>
    <row r="321" spans="1:4" s="135" customFormat="1" ht="18" customHeight="1">
      <c r="A321" s="136" t="s">
        <v>124</v>
      </c>
      <c r="B321" s="146">
        <f>C321+B320</f>
        <v>23740</v>
      </c>
      <c r="C321" s="146">
        <v>23740</v>
      </c>
      <c r="D321" s="146"/>
    </row>
    <row r="322" spans="1:4" s="135" customFormat="1" ht="18" customHeight="1">
      <c r="A322" s="176" t="s">
        <v>236</v>
      </c>
      <c r="B322" s="143">
        <f>'2026'!B324</f>
        <v>0</v>
      </c>
      <c r="C322" s="143">
        <v>8000</v>
      </c>
      <c r="D322" s="146"/>
    </row>
    <row r="323" spans="1:4" s="135" customFormat="1" ht="18" customHeight="1">
      <c r="A323" s="136" t="s">
        <v>124</v>
      </c>
      <c r="B323" s="146">
        <f>C323+B322</f>
        <v>8000</v>
      </c>
      <c r="C323" s="146">
        <v>8000</v>
      </c>
      <c r="D323" s="146"/>
    </row>
    <row r="324" spans="1:4" s="135" customFormat="1" ht="18" customHeight="1">
      <c r="A324" s="176" t="s">
        <v>887</v>
      </c>
      <c r="B324" s="143">
        <f>'2026'!B326</f>
        <v>0</v>
      </c>
      <c r="C324" s="143">
        <v>0</v>
      </c>
      <c r="D324" s="146"/>
    </row>
    <row r="325" spans="1:4" s="135" customFormat="1" ht="18" customHeight="1">
      <c r="A325" s="136" t="s">
        <v>124</v>
      </c>
      <c r="B325" s="146">
        <f>C325+B324</f>
        <v>0</v>
      </c>
      <c r="C325" s="146">
        <v>0</v>
      </c>
      <c r="D325" s="146"/>
    </row>
    <row r="326" spans="1:4" s="135" customFormat="1" ht="18" customHeight="1">
      <c r="A326" s="176" t="s">
        <v>888</v>
      </c>
      <c r="B326" s="143">
        <f>'2026'!B328</f>
        <v>0</v>
      </c>
      <c r="C326" s="143">
        <v>0</v>
      </c>
      <c r="D326" s="146"/>
    </row>
    <row r="327" spans="1:4" s="135" customFormat="1" ht="18" customHeight="1">
      <c r="A327" s="136" t="s">
        <v>124</v>
      </c>
      <c r="B327" s="146">
        <f>C327+B326</f>
        <v>0</v>
      </c>
      <c r="C327" s="146">
        <v>0</v>
      </c>
      <c r="D327" s="146"/>
    </row>
    <row r="328" spans="1:4" s="135" customFormat="1" ht="18" customHeight="1">
      <c r="A328" s="176" t="s">
        <v>890</v>
      </c>
      <c r="B328" s="143">
        <f>'2026'!B330</f>
        <v>0</v>
      </c>
      <c r="C328" s="143">
        <v>0</v>
      </c>
      <c r="D328" s="146"/>
    </row>
    <row r="329" spans="1:4" s="135" customFormat="1" ht="18" customHeight="1">
      <c r="A329" s="136" t="s">
        <v>124</v>
      </c>
      <c r="B329" s="146">
        <f>C329+B328</f>
        <v>0</v>
      </c>
      <c r="C329" s="146">
        <v>0</v>
      </c>
      <c r="D329" s="146"/>
    </row>
    <row r="330" spans="1:4" s="135" customFormat="1" ht="18" customHeight="1">
      <c r="A330" s="176" t="s">
        <v>891</v>
      </c>
      <c r="B330" s="143">
        <f>'2026'!B332</f>
        <v>0</v>
      </c>
      <c r="C330" s="143">
        <v>0</v>
      </c>
      <c r="D330" s="146"/>
    </row>
    <row r="331" spans="1:4" s="135" customFormat="1" ht="18" customHeight="1">
      <c r="A331" s="136" t="s">
        <v>124</v>
      </c>
      <c r="B331" s="146">
        <f>C331+B330</f>
        <v>0</v>
      </c>
      <c r="C331" s="146">
        <v>0</v>
      </c>
      <c r="D331" s="146"/>
    </row>
    <row r="332" spans="1:4" s="135" customFormat="1" ht="18" customHeight="1">
      <c r="A332" s="176" t="s">
        <v>895</v>
      </c>
      <c r="B332" s="143">
        <f>'2026'!B334</f>
        <v>0</v>
      </c>
      <c r="C332" s="143">
        <v>0</v>
      </c>
      <c r="D332" s="146"/>
    </row>
    <row r="333" spans="1:4" s="135" customFormat="1" ht="18" customHeight="1">
      <c r="A333" s="136" t="s">
        <v>124</v>
      </c>
      <c r="B333" s="146">
        <f>C333+B332</f>
        <v>0</v>
      </c>
      <c r="C333" s="146">
        <v>0</v>
      </c>
      <c r="D333" s="146"/>
    </row>
    <row r="334" spans="1:4" s="135" customFormat="1" ht="18" customHeight="1">
      <c r="A334" s="176" t="s">
        <v>903</v>
      </c>
      <c r="B334" s="143">
        <f>'2026'!B336</f>
        <v>0</v>
      </c>
      <c r="C334" s="143">
        <v>0</v>
      </c>
      <c r="D334" s="146"/>
    </row>
    <row r="335" spans="1:4" s="135" customFormat="1" ht="18" customHeight="1">
      <c r="A335" s="136" t="s">
        <v>124</v>
      </c>
      <c r="B335" s="146">
        <f>C335+B334</f>
        <v>0</v>
      </c>
      <c r="C335" s="146">
        <v>0</v>
      </c>
      <c r="D335" s="146"/>
    </row>
    <row r="336" spans="1:4" s="135" customFormat="1" ht="18" customHeight="1">
      <c r="A336" s="176" t="s">
        <v>897</v>
      </c>
      <c r="B336" s="143">
        <f>'2026'!B338</f>
        <v>0</v>
      </c>
      <c r="C336" s="143">
        <v>0</v>
      </c>
      <c r="D336" s="146"/>
    </row>
    <row r="337" spans="1:4" s="135" customFormat="1" ht="18" customHeight="1">
      <c r="A337" s="136" t="s">
        <v>124</v>
      </c>
      <c r="B337" s="146">
        <f>C337+B336</f>
        <v>0</v>
      </c>
      <c r="C337" s="146">
        <v>0</v>
      </c>
      <c r="D337" s="146"/>
    </row>
    <row r="338" spans="1:4" s="135" customFormat="1" ht="18" customHeight="1">
      <c r="A338" s="176" t="s">
        <v>898</v>
      </c>
      <c r="B338" s="143">
        <f>'2026'!B340</f>
        <v>0</v>
      </c>
      <c r="C338" s="143">
        <v>0</v>
      </c>
      <c r="D338" s="146"/>
    </row>
    <row r="339" spans="1:4" s="135" customFormat="1" ht="18" customHeight="1">
      <c r="A339" s="136" t="s">
        <v>124</v>
      </c>
      <c r="B339" s="146">
        <f>C339+B338</f>
        <v>0</v>
      </c>
      <c r="C339" s="146">
        <v>0</v>
      </c>
      <c r="D339" s="146"/>
    </row>
    <row r="340" spans="1:4" s="135" customFormat="1" ht="18" customHeight="1">
      <c r="A340" s="176" t="s">
        <v>899</v>
      </c>
      <c r="B340" s="143">
        <f>'2026'!B342</f>
        <v>0</v>
      </c>
      <c r="C340" s="143">
        <v>0</v>
      </c>
      <c r="D340" s="146"/>
    </row>
    <row r="341" spans="1:4" s="135" customFormat="1" ht="18" customHeight="1">
      <c r="A341" s="136" t="s">
        <v>124</v>
      </c>
      <c r="B341" s="146">
        <f>C341+B340</f>
        <v>0</v>
      </c>
      <c r="C341" s="146">
        <v>0</v>
      </c>
      <c r="D341" s="146"/>
    </row>
    <row r="342" spans="1:4" s="135" customFormat="1" ht="18" customHeight="1">
      <c r="A342" s="176" t="s">
        <v>832</v>
      </c>
      <c r="B342" s="143">
        <f>'2026'!B344</f>
        <v>0</v>
      </c>
      <c r="C342" s="143">
        <v>0</v>
      </c>
      <c r="D342" s="146"/>
    </row>
    <row r="343" spans="1:4" s="135" customFormat="1" ht="18" customHeight="1">
      <c r="A343" s="136" t="s">
        <v>124</v>
      </c>
      <c r="B343" s="146">
        <f>C343+B342</f>
        <v>0</v>
      </c>
      <c r="C343" s="146">
        <v>0</v>
      </c>
      <c r="D343" s="146"/>
    </row>
    <row r="344" spans="1:4" s="135" customFormat="1" ht="18" customHeight="1">
      <c r="A344" s="176"/>
      <c r="B344" s="143">
        <f>'2026'!B346</f>
        <v>0</v>
      </c>
      <c r="C344" s="143">
        <v>0</v>
      </c>
      <c r="D344" s="146"/>
    </row>
    <row r="345" spans="1:4" s="135" customFormat="1" ht="18" customHeight="1">
      <c r="A345" s="136" t="s">
        <v>124</v>
      </c>
      <c r="B345" s="146">
        <f>C345+B344</f>
        <v>0</v>
      </c>
      <c r="C345" s="146">
        <v>0</v>
      </c>
      <c r="D345" s="146"/>
    </row>
    <row r="346" spans="1:4" s="135" customFormat="1" ht="18" customHeight="1">
      <c r="A346" s="133" t="s">
        <v>150</v>
      </c>
      <c r="B346" s="143">
        <f>B278+B280+B282+B284+B286+B288+B290+B292+B294+B296+B298+B300+B302+B304+B306+B308+B310+B312+B314+B316+B318+B320+B322+B324+B326+B328+B330+B332+B334+B336+B338+B340+B342+B344</f>
        <v>342580</v>
      </c>
      <c r="C346" s="143">
        <v>1061735</v>
      </c>
      <c r="D346" s="143"/>
    </row>
    <row r="347" spans="1:4" s="2" customFormat="1" ht="19.95" customHeight="1">
      <c r="A347" s="79" t="s">
        <v>124</v>
      </c>
      <c r="B347" s="147">
        <f>C347+B346</f>
        <v>1404315</v>
      </c>
      <c r="C347" s="147">
        <v>1061735</v>
      </c>
      <c r="D347" s="147"/>
    </row>
    <row r="348" spans="1:4" s="16" customFormat="1" ht="6.6" customHeight="1" thickBot="1">
      <c r="A348" s="80"/>
      <c r="B348" s="81"/>
      <c r="C348" s="81"/>
      <c r="D348" s="81"/>
    </row>
    <row r="349" spans="1:4" s="16" customFormat="1" ht="21" customHeight="1">
      <c r="A349" s="159" t="s">
        <v>157</v>
      </c>
      <c r="B349" s="112">
        <f>'2026'!B351</f>
        <v>31144000</v>
      </c>
      <c r="C349" s="112">
        <v>36659000</v>
      </c>
      <c r="D349" s="112"/>
    </row>
    <row r="350" spans="1:4" s="16" customFormat="1" ht="21.75" customHeight="1" thickBot="1">
      <c r="A350" s="160" t="s">
        <v>13</v>
      </c>
      <c r="B350" s="107">
        <f>C350+B349</f>
        <v>67803000</v>
      </c>
      <c r="C350" s="107">
        <v>36659000</v>
      </c>
      <c r="D350" s="107"/>
    </row>
    <row r="351" spans="1:4" s="16" customFormat="1" ht="6.6" customHeight="1" thickBot="1">
      <c r="A351" s="80"/>
      <c r="B351" s="81"/>
      <c r="C351" s="81"/>
      <c r="D351" s="81"/>
    </row>
    <row r="352" spans="1:4" s="16" customFormat="1" ht="21" customHeight="1">
      <c r="A352" s="159" t="s">
        <v>843</v>
      </c>
      <c r="B352" s="112">
        <f>'2026'!B354</f>
        <v>0</v>
      </c>
      <c r="C352" s="112">
        <v>0</v>
      </c>
      <c r="D352" s="112"/>
    </row>
    <row r="353" spans="1:4" s="16" customFormat="1" ht="21.75" customHeight="1" thickBot="1">
      <c r="A353" s="160" t="s">
        <v>13</v>
      </c>
      <c r="B353" s="107">
        <f>C353+B352</f>
        <v>0</v>
      </c>
      <c r="C353" s="107">
        <v>0</v>
      </c>
      <c r="D353" s="107"/>
    </row>
    <row r="354" spans="1:4" s="16" customFormat="1" ht="16.2" customHeight="1">
      <c r="A354" s="1332" t="s">
        <v>906</v>
      </c>
      <c r="B354" s="1331"/>
      <c r="C354" s="1331"/>
      <c r="D354" s="1331"/>
    </row>
    <row r="355" spans="1:4" s="16" customFormat="1" ht="12" customHeight="1" thickBot="1">
      <c r="A355" s="80"/>
      <c r="B355" s="81"/>
      <c r="C355" s="81"/>
      <c r="D355" s="81"/>
    </row>
    <row r="356" spans="1:4" s="16" customFormat="1" ht="19.95" customHeight="1">
      <c r="A356" s="159" t="s">
        <v>364</v>
      </c>
      <c r="B356" s="112">
        <f>B358+B360+B362+B364+B366</f>
        <v>1475000</v>
      </c>
      <c r="C356" s="112">
        <v>700000</v>
      </c>
      <c r="D356" s="112"/>
    </row>
    <row r="357" spans="1:4" s="16" customFormat="1" ht="19.95" customHeight="1">
      <c r="A357" s="252" t="s">
        <v>13</v>
      </c>
      <c r="B357" s="124">
        <f>C357+B356</f>
        <v>2175000</v>
      </c>
      <c r="C357" s="124">
        <v>700000</v>
      </c>
      <c r="D357" s="78"/>
    </row>
    <row r="358" spans="1:4" s="16" customFormat="1" ht="19.95" customHeight="1">
      <c r="A358" s="253" t="s">
        <v>365</v>
      </c>
      <c r="B358" s="78">
        <f>'2026'!B360</f>
        <v>400000</v>
      </c>
      <c r="C358" s="78">
        <v>300000</v>
      </c>
      <c r="D358" s="78"/>
    </row>
    <row r="359" spans="1:4" s="16" customFormat="1" ht="19.95" customHeight="1">
      <c r="A359" s="252" t="s">
        <v>13</v>
      </c>
      <c r="B359" s="124">
        <f>C359+B358</f>
        <v>700000</v>
      </c>
      <c r="C359" s="124">
        <v>300000</v>
      </c>
      <c r="D359" s="78"/>
    </row>
    <row r="360" spans="1:4" s="16" customFormat="1" ht="19.95" customHeight="1">
      <c r="A360" s="253" t="s">
        <v>366</v>
      </c>
      <c r="B360" s="78">
        <f>'2026'!B362</f>
        <v>1075000</v>
      </c>
      <c r="C360" s="78">
        <v>400000</v>
      </c>
      <c r="D360" s="78"/>
    </row>
    <row r="361" spans="1:4" s="16" customFormat="1" ht="19.95" customHeight="1">
      <c r="A361" s="252" t="s">
        <v>13</v>
      </c>
      <c r="B361" s="124">
        <f>C361+B360</f>
        <v>1475000</v>
      </c>
      <c r="C361" s="124">
        <v>400000</v>
      </c>
      <c r="D361" s="78"/>
    </row>
    <row r="362" spans="1:4" s="16" customFormat="1" ht="19.95" customHeight="1">
      <c r="A362" s="253"/>
      <c r="B362" s="78">
        <f>'2026'!B364</f>
        <v>0</v>
      </c>
      <c r="C362" s="78">
        <v>0</v>
      </c>
      <c r="D362" s="78"/>
    </row>
    <row r="363" spans="1:4" s="16" customFormat="1" ht="19.95" customHeight="1">
      <c r="A363" s="252" t="s">
        <v>13</v>
      </c>
      <c r="B363" s="124">
        <f>C363+B362</f>
        <v>0</v>
      </c>
      <c r="C363" s="124">
        <v>0</v>
      </c>
      <c r="D363" s="78"/>
    </row>
    <row r="364" spans="1:4" s="16" customFormat="1" ht="19.95" customHeight="1">
      <c r="A364" s="253"/>
      <c r="B364" s="78">
        <f>'2026'!B366</f>
        <v>0</v>
      </c>
      <c r="C364" s="78">
        <v>0</v>
      </c>
      <c r="D364" s="78"/>
    </row>
    <row r="365" spans="1:4" s="16" customFormat="1" ht="19.95" customHeight="1">
      <c r="A365" s="252" t="s">
        <v>13</v>
      </c>
      <c r="B365" s="124">
        <f>C365+B364</f>
        <v>0</v>
      </c>
      <c r="C365" s="124">
        <v>0</v>
      </c>
      <c r="D365" s="78"/>
    </row>
    <row r="366" spans="1:4" s="16" customFormat="1" ht="19.95" customHeight="1">
      <c r="A366" s="253"/>
      <c r="B366" s="78">
        <f>'2026'!B368</f>
        <v>0</v>
      </c>
      <c r="C366" s="78">
        <v>0</v>
      </c>
      <c r="D366" s="78"/>
    </row>
    <row r="367" spans="1:4" s="16" customFormat="1" ht="19.95" customHeight="1">
      <c r="A367" s="252" t="s">
        <v>13</v>
      </c>
      <c r="B367" s="124">
        <f>C367+B366</f>
        <v>0</v>
      </c>
      <c r="C367" s="124">
        <v>0</v>
      </c>
      <c r="D367" s="78"/>
    </row>
    <row r="368" spans="1:4" s="16" customFormat="1" ht="16.8" customHeight="1">
      <c r="A368" s="80"/>
      <c r="B368" s="81"/>
      <c r="C368" s="81"/>
      <c r="D368" s="81"/>
    </row>
    <row r="369" spans="1:5" s="16" customFormat="1" ht="6.6" customHeight="1" thickBot="1">
      <c r="A369" s="80"/>
      <c r="B369" s="81"/>
      <c r="C369" s="81"/>
      <c r="D369" s="81"/>
    </row>
    <row r="370" spans="1:5" s="16" customFormat="1" ht="15.75" customHeight="1">
      <c r="A370" s="159" t="s">
        <v>187</v>
      </c>
      <c r="B370" s="161">
        <f>'2026'!B372</f>
        <v>34813502</v>
      </c>
      <c r="C370" s="161">
        <v>15438000</v>
      </c>
      <c r="D370" s="161"/>
    </row>
    <row r="371" spans="1:5" s="16" customFormat="1" ht="15.75" customHeight="1" thickBot="1">
      <c r="A371" s="160" t="s">
        <v>13</v>
      </c>
      <c r="B371" s="162">
        <f>C371+B370</f>
        <v>50251502</v>
      </c>
      <c r="C371" s="162">
        <v>15438000</v>
      </c>
      <c r="D371" s="162"/>
    </row>
    <row r="372" spans="1:5" s="16" customFormat="1" ht="7.5" customHeight="1" thickBot="1">
      <c r="A372" s="80"/>
      <c r="B372" s="81"/>
      <c r="C372" s="81"/>
      <c r="D372" s="81"/>
    </row>
    <row r="373" spans="1:5" ht="26.4" customHeight="1">
      <c r="A373" s="68" t="s">
        <v>125</v>
      </c>
      <c r="B373" s="69">
        <f>B219+B231+B249+B252+B274+B346+B349+B11+B188+B208+B216+B356-B33-B61-B89-B117-B204-B212</f>
        <v>349674123</v>
      </c>
      <c r="C373" s="69">
        <v>463872661</v>
      </c>
      <c r="D373" s="69">
        <v>195042349</v>
      </c>
    </row>
    <row r="374" spans="1:5" s="2" customFormat="1" ht="26.4" customHeight="1" thickBot="1">
      <c r="A374" s="70" t="s">
        <v>59</v>
      </c>
      <c r="B374" s="71">
        <f>C374+B373</f>
        <v>1008589133</v>
      </c>
      <c r="C374" s="71">
        <v>658915010</v>
      </c>
      <c r="D374" s="71">
        <v>195042349</v>
      </c>
    </row>
    <row r="375" spans="1:5" ht="6" customHeight="1" thickBot="1">
      <c r="A375" s="5"/>
      <c r="B375" s="67"/>
      <c r="C375" s="67"/>
      <c r="D375" s="67"/>
    </row>
    <row r="376" spans="1:5" s="59" customFormat="1" ht="26.4" customHeight="1">
      <c r="A376" s="61" t="s">
        <v>126</v>
      </c>
      <c r="B376" s="62">
        <f>B185-B373</f>
        <v>16734708</v>
      </c>
      <c r="C376" s="62">
        <v>-11280666</v>
      </c>
      <c r="D376" s="62">
        <v>19306325</v>
      </c>
      <c r="E376" s="59" t="s">
        <v>45</v>
      </c>
    </row>
    <row r="377" spans="1:5" ht="25.2" customHeight="1" thickBot="1">
      <c r="A377" s="63" t="s">
        <v>127</v>
      </c>
      <c r="B377" s="64">
        <f>C377+B376</f>
        <v>24760367</v>
      </c>
      <c r="C377" s="64">
        <v>8025659</v>
      </c>
      <c r="D377" s="64">
        <v>19306325</v>
      </c>
    </row>
    <row r="378" spans="1:5" ht="9.6" customHeight="1">
      <c r="A378" s="41"/>
      <c r="B378" s="60"/>
      <c r="C378" s="60"/>
      <c r="D378" s="60"/>
    </row>
    <row r="379" spans="1:5" s="58" customFormat="1" ht="25.2" customHeight="1">
      <c r="A379" s="56" t="s">
        <v>117</v>
      </c>
      <c r="B379" s="57">
        <f>'2026'!B379</f>
        <v>257132281</v>
      </c>
      <c r="C379" s="57">
        <v>244286588</v>
      </c>
      <c r="D379" s="57">
        <v>133724743</v>
      </c>
    </row>
    <row r="380" spans="1:5" s="2" customFormat="1" ht="18">
      <c r="A380" s="2" t="s">
        <v>21</v>
      </c>
      <c r="B380" s="24">
        <f>'2026'!B380</f>
        <v>10445333</v>
      </c>
      <c r="C380" s="24">
        <v>3734000</v>
      </c>
      <c r="D380" s="24"/>
    </row>
    <row r="381" spans="1:5" ht="18">
      <c r="A381" s="2" t="s">
        <v>11</v>
      </c>
      <c r="B381" s="24">
        <f>'2026'!B381</f>
        <v>63375000</v>
      </c>
      <c r="C381" s="24">
        <v>44102000</v>
      </c>
      <c r="D381" s="8"/>
    </row>
    <row r="383" spans="1:5" s="1059" customFormat="1" ht="28.95" customHeight="1">
      <c r="A383" s="1059" t="s">
        <v>162</v>
      </c>
      <c r="B383" s="1060">
        <f>B379+B380-B381</f>
        <v>204202614</v>
      </c>
      <c r="C383" s="1060">
        <f>C379+C380-C381</f>
        <v>203918588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385"/>
  <sheetViews>
    <sheetView zoomScale="60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75" sqref="B375"/>
    </sheetView>
  </sheetViews>
  <sheetFormatPr defaultRowHeight="14.4"/>
  <cols>
    <col min="1" max="1" width="38.6640625" customWidth="1"/>
    <col min="2" max="11" width="27.109375" customWidth="1"/>
    <col min="12" max="12" width="19.33203125" customWidth="1"/>
  </cols>
  <sheetData>
    <row r="1" spans="1:11" ht="15" thickBot="1"/>
    <row r="2" spans="1:11" s="2" customFormat="1" ht="18">
      <c r="A2" s="42"/>
      <c r="B2" s="43" t="s">
        <v>113</v>
      </c>
      <c r="C2" s="43" t="s">
        <v>110</v>
      </c>
      <c r="D2" s="43" t="s">
        <v>105</v>
      </c>
      <c r="E2" s="43" t="s">
        <v>104</v>
      </c>
      <c r="F2" s="43" t="s">
        <v>89</v>
      </c>
      <c r="G2" s="43" t="s">
        <v>88</v>
      </c>
      <c r="H2" s="43" t="s">
        <v>169</v>
      </c>
      <c r="I2" s="43" t="s">
        <v>153</v>
      </c>
      <c r="J2" s="43" t="s">
        <v>118</v>
      </c>
      <c r="K2" s="43">
        <v>0</v>
      </c>
    </row>
    <row r="3" spans="1:11" ht="4.95" customHeight="1" thickBo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3" customHeight="1" thickBot="1">
      <c r="A4" s="5"/>
    </row>
    <row r="5" spans="1:11" ht="15" thickTop="1">
      <c r="A5" s="84" t="s">
        <v>24</v>
      </c>
      <c r="B5" s="85">
        <f>SEPT!C223</f>
        <v>-10528500</v>
      </c>
      <c r="C5" s="85">
        <v>-2325941</v>
      </c>
      <c r="D5" s="85">
        <v>-1898445</v>
      </c>
      <c r="E5" s="85">
        <v>2891164</v>
      </c>
      <c r="F5" s="85">
        <v>-4756098</v>
      </c>
      <c r="G5" s="85">
        <v>-1806900</v>
      </c>
      <c r="H5" s="85">
        <v>-1810354</v>
      </c>
      <c r="I5" s="85">
        <v>-2129971</v>
      </c>
      <c r="J5" s="85">
        <v>1011541</v>
      </c>
      <c r="K5" s="85">
        <v>0</v>
      </c>
    </row>
    <row r="6" spans="1:11" s="2" customFormat="1" ht="18.600000000000001" thickBot="1">
      <c r="A6" s="86" t="s">
        <v>47</v>
      </c>
      <c r="B6" s="114">
        <f>C6+B5</f>
        <v>-21353504</v>
      </c>
      <c r="C6" s="114">
        <v>-10825004</v>
      </c>
      <c r="D6" s="114">
        <v>-8499063</v>
      </c>
      <c r="E6" s="114">
        <v>-6600618</v>
      </c>
      <c r="F6" s="114">
        <v>-9491782</v>
      </c>
      <c r="G6" s="114">
        <v>-4735684</v>
      </c>
      <c r="H6" s="114">
        <v>-2928784</v>
      </c>
      <c r="I6" s="114">
        <v>-1118430</v>
      </c>
      <c r="J6" s="114">
        <v>1011541</v>
      </c>
      <c r="K6" s="114">
        <v>0</v>
      </c>
    </row>
    <row r="7" spans="1:11" s="2" customFormat="1" ht="10.5" customHeight="1" thickTop="1" thickBot="1">
      <c r="B7" s="168"/>
      <c r="C7" s="168"/>
      <c r="D7" s="168"/>
      <c r="E7" s="168"/>
      <c r="F7" s="168"/>
      <c r="G7" s="168"/>
      <c r="H7" s="168"/>
      <c r="I7" s="168"/>
      <c r="J7" s="168"/>
      <c r="K7" s="168"/>
    </row>
    <row r="8" spans="1:11" s="2" customFormat="1" ht="18">
      <c r="A8" s="169" t="s">
        <v>19</v>
      </c>
      <c r="B8" s="170">
        <f>SEPT!C216</f>
        <v>13735500</v>
      </c>
      <c r="C8" s="170">
        <v>15810000</v>
      </c>
      <c r="D8" s="170">
        <v>20388500</v>
      </c>
      <c r="E8" s="170">
        <v>13086500</v>
      </c>
      <c r="F8" s="170">
        <v>23379000</v>
      </c>
      <c r="G8" s="170">
        <v>23573500</v>
      </c>
      <c r="H8" s="170">
        <v>23342000</v>
      </c>
      <c r="I8" s="170">
        <v>18720000</v>
      </c>
      <c r="J8" s="170">
        <v>15581000</v>
      </c>
      <c r="K8" s="170">
        <v>0</v>
      </c>
    </row>
    <row r="9" spans="1:11" s="2" customFormat="1" ht="18.600000000000001" thickBot="1">
      <c r="A9" s="171" t="s">
        <v>13</v>
      </c>
      <c r="B9" s="172">
        <f>C9+B8</f>
        <v>167616000</v>
      </c>
      <c r="C9" s="172">
        <v>153880500</v>
      </c>
      <c r="D9" s="172">
        <v>138070500</v>
      </c>
      <c r="E9" s="172">
        <v>117682000</v>
      </c>
      <c r="F9" s="172">
        <v>104595500</v>
      </c>
      <c r="G9" s="172">
        <v>81216500</v>
      </c>
      <c r="H9" s="172">
        <v>57643000</v>
      </c>
      <c r="I9" s="172">
        <v>34301000</v>
      </c>
      <c r="J9" s="172">
        <v>15581000</v>
      </c>
      <c r="K9" s="172">
        <v>0</v>
      </c>
    </row>
    <row r="10" spans="1:11" s="2" customFormat="1" ht="9.75" customHeight="1" thickBot="1">
      <c r="B10" s="168"/>
      <c r="C10" s="168"/>
      <c r="D10" s="168"/>
      <c r="E10" s="168"/>
      <c r="F10" s="168"/>
      <c r="G10" s="168"/>
      <c r="H10" s="168"/>
      <c r="I10" s="168"/>
      <c r="J10" s="168"/>
      <c r="K10" s="168"/>
    </row>
    <row r="11" spans="1:11" s="2" customFormat="1" ht="18">
      <c r="A11" s="169" t="s">
        <v>180</v>
      </c>
      <c r="B11" s="170">
        <f>SEPT!C218</f>
        <v>470000</v>
      </c>
      <c r="C11" s="170">
        <v>1955000</v>
      </c>
      <c r="D11" s="170">
        <v>1700000</v>
      </c>
      <c r="E11" s="170">
        <v>3215000</v>
      </c>
      <c r="F11" s="170">
        <v>1918000</v>
      </c>
      <c r="G11" s="170">
        <v>1798000</v>
      </c>
      <c r="H11" s="170">
        <v>1550000</v>
      </c>
      <c r="I11" s="170">
        <v>2339000</v>
      </c>
      <c r="J11" s="170">
        <v>2412500</v>
      </c>
      <c r="K11" s="170">
        <v>0</v>
      </c>
    </row>
    <row r="12" spans="1:11" s="2" customFormat="1" ht="18.600000000000001" thickBot="1">
      <c r="A12" s="171" t="s">
        <v>13</v>
      </c>
      <c r="B12" s="172">
        <f>C12+B11</f>
        <v>17357500</v>
      </c>
      <c r="C12" s="172">
        <v>16887500</v>
      </c>
      <c r="D12" s="172">
        <v>14932500</v>
      </c>
      <c r="E12" s="172">
        <v>13232500</v>
      </c>
      <c r="F12" s="172">
        <v>10017500</v>
      </c>
      <c r="G12" s="172">
        <v>8099500</v>
      </c>
      <c r="H12" s="172">
        <v>6301500</v>
      </c>
      <c r="I12" s="172">
        <v>4751500</v>
      </c>
      <c r="J12" s="172">
        <v>2412500</v>
      </c>
      <c r="K12" s="172">
        <v>0</v>
      </c>
    </row>
    <row r="13" spans="1:11" ht="7.95" customHeight="1" thickBot="1">
      <c r="A13" s="5"/>
      <c r="B13" s="67"/>
      <c r="C13" s="67"/>
      <c r="D13" s="67"/>
      <c r="E13" s="67"/>
      <c r="F13" s="67"/>
      <c r="G13" s="67"/>
      <c r="H13" s="67"/>
      <c r="I13" s="67"/>
      <c r="J13" s="67"/>
      <c r="K13" s="67"/>
    </row>
    <row r="14" spans="1:11" ht="15" thickTop="1">
      <c r="A14" s="88" t="s">
        <v>173</v>
      </c>
      <c r="B14" s="205">
        <f>SEPT!C249</f>
        <v>1889861</v>
      </c>
      <c r="C14" s="205">
        <v>12789322</v>
      </c>
      <c r="D14" s="205">
        <v>10941577</v>
      </c>
      <c r="E14" s="205">
        <v>13434022</v>
      </c>
      <c r="F14" s="205">
        <v>14058737</v>
      </c>
      <c r="G14" s="205">
        <v>11291753</v>
      </c>
      <c r="H14" s="205">
        <v>12753411</v>
      </c>
      <c r="I14" s="205">
        <v>15206254</v>
      </c>
      <c r="J14" s="205">
        <v>15092980</v>
      </c>
      <c r="K14" s="205">
        <v>0</v>
      </c>
    </row>
    <row r="15" spans="1:11" s="16" customFormat="1">
      <c r="A15" s="202"/>
      <c r="B15" s="247">
        <f>C15+B14</f>
        <v>107457917</v>
      </c>
      <c r="C15" s="247">
        <v>105568056</v>
      </c>
      <c r="D15" s="247">
        <v>92778734</v>
      </c>
      <c r="E15" s="247">
        <v>81837157</v>
      </c>
      <c r="F15" s="247">
        <v>68403135</v>
      </c>
      <c r="G15" s="247">
        <v>54344398</v>
      </c>
      <c r="H15" s="247">
        <v>43052645</v>
      </c>
      <c r="I15" s="247">
        <v>30299234</v>
      </c>
      <c r="J15" s="247">
        <v>15092980</v>
      </c>
      <c r="K15" s="247">
        <v>0</v>
      </c>
    </row>
    <row r="16" spans="1:11" s="16" customFormat="1">
      <c r="A16" s="214" t="s">
        <v>100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</row>
    <row r="17" spans="1:11" s="16" customFormat="1">
      <c r="A17" s="215" t="s">
        <v>337</v>
      </c>
      <c r="B17" s="206">
        <f>SEPT!C252</f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</row>
    <row r="18" spans="1:11" s="16" customFormat="1">
      <c r="A18" s="215"/>
      <c r="B18" s="247">
        <f>C18+B17</f>
        <v>0</v>
      </c>
      <c r="C18" s="247">
        <v>0</v>
      </c>
      <c r="D18" s="247">
        <v>0</v>
      </c>
      <c r="E18" s="247">
        <v>0</v>
      </c>
      <c r="F18" s="247">
        <v>0</v>
      </c>
      <c r="G18" s="247">
        <v>0</v>
      </c>
      <c r="H18" s="247">
        <v>0</v>
      </c>
      <c r="I18" s="247">
        <v>0</v>
      </c>
      <c r="J18" s="247">
        <v>0</v>
      </c>
      <c r="K18" s="247">
        <v>0</v>
      </c>
    </row>
    <row r="19" spans="1:11" s="16" customFormat="1">
      <c r="A19" s="215" t="s">
        <v>353</v>
      </c>
      <c r="B19" s="206">
        <f>SEPT!C254</f>
        <v>71000</v>
      </c>
      <c r="C19" s="206">
        <v>41750</v>
      </c>
      <c r="D19" s="206">
        <v>0</v>
      </c>
      <c r="E19" s="206">
        <v>26500</v>
      </c>
      <c r="F19" s="206">
        <v>30000</v>
      </c>
      <c r="G19" s="206">
        <v>103416</v>
      </c>
      <c r="H19" s="206">
        <v>67481</v>
      </c>
      <c r="I19" s="206">
        <v>9000</v>
      </c>
      <c r="J19" s="206">
        <v>0</v>
      </c>
      <c r="K19" s="206">
        <v>0</v>
      </c>
    </row>
    <row r="20" spans="1:11" s="16" customFormat="1">
      <c r="A20" s="215"/>
      <c r="B20" s="247">
        <f>C20+B19</f>
        <v>349147</v>
      </c>
      <c r="C20" s="247">
        <v>278147</v>
      </c>
      <c r="D20" s="247">
        <v>236397</v>
      </c>
      <c r="E20" s="247">
        <v>236397</v>
      </c>
      <c r="F20" s="247">
        <v>209897</v>
      </c>
      <c r="G20" s="247">
        <v>179897</v>
      </c>
      <c r="H20" s="247">
        <v>76481</v>
      </c>
      <c r="I20" s="247">
        <v>9000</v>
      </c>
      <c r="J20" s="247">
        <v>0</v>
      </c>
      <c r="K20" s="247">
        <v>0</v>
      </c>
    </row>
    <row r="21" spans="1:11" s="16" customFormat="1">
      <c r="A21" s="215" t="s">
        <v>245</v>
      </c>
      <c r="B21" s="206">
        <f>SEPT!C256</f>
        <v>137500</v>
      </c>
      <c r="C21" s="206">
        <v>137500</v>
      </c>
      <c r="D21" s="206">
        <v>435498</v>
      </c>
      <c r="E21" s="206">
        <v>326998</v>
      </c>
      <c r="F21" s="206">
        <v>275000</v>
      </c>
      <c r="G21" s="206">
        <v>137500</v>
      </c>
      <c r="H21" s="206">
        <v>295999</v>
      </c>
      <c r="I21" s="206">
        <v>137500</v>
      </c>
      <c r="J21" s="206">
        <v>240907</v>
      </c>
      <c r="K21" s="206">
        <v>0</v>
      </c>
    </row>
    <row r="22" spans="1:11" s="16" customFormat="1">
      <c r="A22" s="215"/>
      <c r="B22" s="247">
        <f>C22+B21</f>
        <v>2124402</v>
      </c>
      <c r="C22" s="247">
        <v>1986902</v>
      </c>
      <c r="D22" s="247">
        <v>1849402</v>
      </c>
      <c r="E22" s="247">
        <v>1413904</v>
      </c>
      <c r="F22" s="247">
        <v>1086906</v>
      </c>
      <c r="G22" s="247">
        <v>811906</v>
      </c>
      <c r="H22" s="247">
        <v>674406</v>
      </c>
      <c r="I22" s="247">
        <v>378407</v>
      </c>
      <c r="J22" s="247">
        <v>240907</v>
      </c>
      <c r="K22" s="247">
        <v>0</v>
      </c>
    </row>
    <row r="23" spans="1:11" s="16" customFormat="1">
      <c r="A23" s="215" t="s">
        <v>349</v>
      </c>
      <c r="B23" s="220">
        <f>SEPT!C258</f>
        <v>0</v>
      </c>
      <c r="C23" s="220">
        <v>0</v>
      </c>
      <c r="D23" s="220">
        <v>0</v>
      </c>
      <c r="E23" s="220">
        <v>0</v>
      </c>
      <c r="F23" s="220">
        <v>0</v>
      </c>
      <c r="G23" s="220">
        <v>0</v>
      </c>
      <c r="H23" s="220">
        <v>0</v>
      </c>
      <c r="I23" s="220">
        <v>0</v>
      </c>
      <c r="J23" s="220">
        <v>0</v>
      </c>
      <c r="K23" s="220">
        <v>0</v>
      </c>
    </row>
    <row r="24" spans="1:11" s="16" customFormat="1">
      <c r="A24" s="215"/>
      <c r="B24" s="247">
        <f>C24+B23</f>
        <v>0</v>
      </c>
      <c r="C24" s="247">
        <v>0</v>
      </c>
      <c r="D24" s="247">
        <v>0</v>
      </c>
      <c r="E24" s="247">
        <v>0</v>
      </c>
      <c r="F24" s="247">
        <v>0</v>
      </c>
      <c r="G24" s="247">
        <v>0</v>
      </c>
      <c r="H24" s="247">
        <v>0</v>
      </c>
      <c r="I24" s="247">
        <v>0</v>
      </c>
      <c r="J24" s="247">
        <v>0</v>
      </c>
      <c r="K24" s="247">
        <v>0</v>
      </c>
    </row>
    <row r="25" spans="1:11" s="16" customFormat="1">
      <c r="A25" s="215" t="s">
        <v>247</v>
      </c>
      <c r="B25" s="220">
        <f>SEPT!C260</f>
        <v>0</v>
      </c>
      <c r="C25" s="220">
        <v>102400</v>
      </c>
      <c r="D25" s="220">
        <v>102400</v>
      </c>
      <c r="E25" s="220">
        <v>204800</v>
      </c>
      <c r="F25" s="220">
        <v>102400</v>
      </c>
      <c r="G25" s="220">
        <v>102400</v>
      </c>
      <c r="H25" s="220">
        <v>154800</v>
      </c>
      <c r="I25" s="220">
        <v>101400</v>
      </c>
      <c r="J25" s="220">
        <v>152800</v>
      </c>
      <c r="K25" s="220">
        <v>0</v>
      </c>
    </row>
    <row r="26" spans="1:11" s="16" customFormat="1">
      <c r="A26" s="215"/>
      <c r="B26" s="247">
        <f>C26+B25</f>
        <v>1023400</v>
      </c>
      <c r="C26" s="247">
        <v>1023400</v>
      </c>
      <c r="D26" s="247">
        <v>921000</v>
      </c>
      <c r="E26" s="247">
        <v>818600</v>
      </c>
      <c r="F26" s="247">
        <v>613800</v>
      </c>
      <c r="G26" s="247">
        <v>511400</v>
      </c>
      <c r="H26" s="247">
        <v>409000</v>
      </c>
      <c r="I26" s="247">
        <v>254200</v>
      </c>
      <c r="J26" s="247">
        <v>152800</v>
      </c>
      <c r="K26" s="247">
        <v>0</v>
      </c>
    </row>
    <row r="27" spans="1:11" s="16" customFormat="1">
      <c r="A27" s="215" t="s">
        <v>572</v>
      </c>
      <c r="B27" s="206">
        <f>SEPT!C262</f>
        <v>0</v>
      </c>
      <c r="C27" s="206">
        <v>1976000</v>
      </c>
      <c r="D27" s="206">
        <v>1766000</v>
      </c>
      <c r="E27" s="206">
        <v>1559500</v>
      </c>
      <c r="F27" s="206">
        <v>3109334</v>
      </c>
      <c r="G27" s="206">
        <v>1645000</v>
      </c>
      <c r="H27" s="206">
        <v>1658000</v>
      </c>
      <c r="I27" s="206">
        <v>1525000</v>
      </c>
      <c r="J27" s="206">
        <v>2338000</v>
      </c>
      <c r="K27" s="206">
        <v>0</v>
      </c>
    </row>
    <row r="28" spans="1:11" s="16" customFormat="1">
      <c r="A28" s="215"/>
      <c r="B28" s="247">
        <f>C28+B27</f>
        <v>15576834</v>
      </c>
      <c r="C28" s="247">
        <v>15576834</v>
      </c>
      <c r="D28" s="247">
        <v>13600834</v>
      </c>
      <c r="E28" s="247">
        <v>11834834</v>
      </c>
      <c r="F28" s="247">
        <v>10275334</v>
      </c>
      <c r="G28" s="247">
        <v>7166000</v>
      </c>
      <c r="H28" s="247">
        <v>5521000</v>
      </c>
      <c r="I28" s="247">
        <v>3863000</v>
      </c>
      <c r="J28" s="247">
        <v>2338000</v>
      </c>
      <c r="K28" s="247">
        <v>0</v>
      </c>
    </row>
    <row r="29" spans="1:11" s="16" customFormat="1">
      <c r="A29" s="215" t="s">
        <v>246</v>
      </c>
      <c r="B29" s="206">
        <f>SEPT!C264</f>
        <v>0</v>
      </c>
      <c r="C29" s="206">
        <v>0</v>
      </c>
      <c r="D29" s="206">
        <v>421250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423375</v>
      </c>
      <c r="K29" s="206">
        <v>0</v>
      </c>
    </row>
    <row r="30" spans="1:11" s="16" customFormat="1">
      <c r="A30" s="215"/>
      <c r="B30" s="247">
        <f>C30+B29</f>
        <v>844625</v>
      </c>
      <c r="C30" s="247">
        <v>844625</v>
      </c>
      <c r="D30" s="247">
        <v>844625</v>
      </c>
      <c r="E30" s="247">
        <v>423375</v>
      </c>
      <c r="F30" s="247">
        <v>423375</v>
      </c>
      <c r="G30" s="247">
        <v>423375</v>
      </c>
      <c r="H30" s="247">
        <v>423375</v>
      </c>
      <c r="I30" s="247">
        <v>423375</v>
      </c>
      <c r="J30" s="247">
        <v>423375</v>
      </c>
      <c r="K30" s="247">
        <v>0</v>
      </c>
    </row>
    <row r="31" spans="1:11" s="16" customFormat="1">
      <c r="A31" s="215" t="s">
        <v>334</v>
      </c>
      <c r="B31" s="206">
        <f>SEPT!C266</f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</row>
    <row r="32" spans="1:11" s="16" customFormat="1">
      <c r="A32" s="215"/>
      <c r="B32" s="247">
        <f>C32+B31</f>
        <v>0</v>
      </c>
      <c r="C32" s="247">
        <v>0</v>
      </c>
      <c r="D32" s="247">
        <v>0</v>
      </c>
      <c r="E32" s="247">
        <v>0</v>
      </c>
      <c r="F32" s="247">
        <v>0</v>
      </c>
      <c r="G32" s="247">
        <v>0</v>
      </c>
      <c r="H32" s="247">
        <v>0</v>
      </c>
      <c r="I32" s="247">
        <v>0</v>
      </c>
      <c r="J32" s="247">
        <v>0</v>
      </c>
      <c r="K32" s="247">
        <v>0</v>
      </c>
    </row>
    <row r="33" spans="1:11" s="16" customFormat="1">
      <c r="A33" s="215" t="s">
        <v>180</v>
      </c>
      <c r="B33" s="204">
        <f>SEPT!C270</f>
        <v>0</v>
      </c>
      <c r="C33" s="204">
        <v>0</v>
      </c>
      <c r="D33" s="204">
        <v>0</v>
      </c>
      <c r="E33" s="204">
        <v>0</v>
      </c>
      <c r="F33" s="204">
        <v>20000</v>
      </c>
      <c r="G33" s="204">
        <v>0</v>
      </c>
      <c r="H33" s="204">
        <v>0</v>
      </c>
      <c r="I33" s="204">
        <v>46000</v>
      </c>
      <c r="J33" s="204">
        <v>0</v>
      </c>
      <c r="K33" s="204"/>
    </row>
    <row r="34" spans="1:11" s="16" customFormat="1">
      <c r="A34" s="215"/>
      <c r="B34" s="247">
        <f>C34+B33</f>
        <v>66000</v>
      </c>
      <c r="C34" s="247">
        <v>66000</v>
      </c>
      <c r="D34" s="247">
        <v>66000</v>
      </c>
      <c r="E34" s="247">
        <v>66000</v>
      </c>
      <c r="F34" s="247">
        <v>66000</v>
      </c>
      <c r="G34" s="247">
        <v>46000</v>
      </c>
      <c r="H34" s="247">
        <v>46000</v>
      </c>
      <c r="I34" s="247">
        <v>46000</v>
      </c>
      <c r="J34" s="247">
        <v>0</v>
      </c>
      <c r="K34" s="247"/>
    </row>
    <row r="35" spans="1:11" s="16" customFormat="1">
      <c r="A35" s="215" t="s">
        <v>27</v>
      </c>
      <c r="B35" s="206">
        <f>SEPT!C268</f>
        <v>62500</v>
      </c>
      <c r="C35" s="206">
        <v>204184</v>
      </c>
      <c r="D35" s="206">
        <v>322500</v>
      </c>
      <c r="E35" s="206">
        <v>251250</v>
      </c>
      <c r="F35" s="206">
        <v>1996125</v>
      </c>
      <c r="G35" s="206">
        <v>329000</v>
      </c>
      <c r="H35" s="206">
        <v>184200</v>
      </c>
      <c r="I35" s="206">
        <v>563250</v>
      </c>
      <c r="J35" s="206">
        <v>1208924</v>
      </c>
      <c r="K35" s="206">
        <v>0</v>
      </c>
    </row>
    <row r="36" spans="1:11" s="16" customFormat="1">
      <c r="A36" s="215"/>
      <c r="B36" s="247">
        <f>C36+B35</f>
        <v>5121933</v>
      </c>
      <c r="C36" s="247">
        <v>5059433</v>
      </c>
      <c r="D36" s="247">
        <v>4855249</v>
      </c>
      <c r="E36" s="247">
        <v>4532749</v>
      </c>
      <c r="F36" s="247">
        <v>4281499</v>
      </c>
      <c r="G36" s="247">
        <v>2285374</v>
      </c>
      <c r="H36" s="247">
        <v>1956374</v>
      </c>
      <c r="I36" s="247">
        <v>1772174</v>
      </c>
      <c r="J36" s="247">
        <v>1208924</v>
      </c>
      <c r="K36" s="247">
        <v>0</v>
      </c>
    </row>
    <row r="37" spans="1:11" s="16" customFormat="1">
      <c r="A37" s="215" t="s">
        <v>59</v>
      </c>
      <c r="B37" s="206">
        <f>B17+B19+B21+B23+B25+B27+B29+B31+B35+B33</f>
        <v>271000</v>
      </c>
      <c r="C37" s="206">
        <v>2461834</v>
      </c>
      <c r="D37" s="206">
        <v>3047648</v>
      </c>
      <c r="E37" s="206">
        <v>2369048</v>
      </c>
      <c r="F37" s="206">
        <v>5532859</v>
      </c>
      <c r="G37" s="206">
        <v>2317316</v>
      </c>
      <c r="H37" s="206">
        <v>2360480</v>
      </c>
      <c r="I37" s="206">
        <v>2382150</v>
      </c>
      <c r="J37" s="206">
        <v>4364006</v>
      </c>
      <c r="K37" s="206">
        <v>0</v>
      </c>
    </row>
    <row r="38" spans="1:11" s="16" customFormat="1">
      <c r="A38" s="202"/>
      <c r="B38" s="247">
        <f>C38+B37</f>
        <v>25106341</v>
      </c>
      <c r="C38" s="247">
        <v>24835341</v>
      </c>
      <c r="D38" s="247">
        <v>22373507</v>
      </c>
      <c r="E38" s="247">
        <v>19325859</v>
      </c>
      <c r="F38" s="247">
        <v>16956811</v>
      </c>
      <c r="G38" s="247">
        <v>11423952</v>
      </c>
      <c r="H38" s="247">
        <v>9106636</v>
      </c>
      <c r="I38" s="247">
        <v>6746156</v>
      </c>
      <c r="J38" s="247">
        <v>4364006</v>
      </c>
      <c r="K38" s="247">
        <v>0</v>
      </c>
    </row>
    <row r="39" spans="1:11" s="16" customFormat="1">
      <c r="A39" s="217" t="s">
        <v>350</v>
      </c>
      <c r="B39" s="218">
        <f>B14-B37</f>
        <v>1618861</v>
      </c>
      <c r="C39" s="218">
        <v>10327488</v>
      </c>
      <c r="D39" s="218">
        <v>7893929</v>
      </c>
      <c r="E39" s="218">
        <v>11064974</v>
      </c>
      <c r="F39" s="218">
        <v>8525878</v>
      </c>
      <c r="G39" s="218">
        <v>8974437</v>
      </c>
      <c r="H39" s="218">
        <v>10392931</v>
      </c>
      <c r="I39" s="218">
        <v>12824104</v>
      </c>
      <c r="J39" s="218">
        <v>10728974</v>
      </c>
      <c r="K39" s="218">
        <v>0</v>
      </c>
    </row>
    <row r="40" spans="1:11" s="16" customFormat="1">
      <c r="A40" s="217"/>
      <c r="B40" s="247">
        <f>C40+B39</f>
        <v>82351576</v>
      </c>
      <c r="C40" s="247">
        <v>80732715</v>
      </c>
      <c r="D40" s="247">
        <v>70405227</v>
      </c>
      <c r="E40" s="247">
        <v>62511298</v>
      </c>
      <c r="F40" s="247">
        <v>51446324</v>
      </c>
      <c r="G40" s="247">
        <v>42920446</v>
      </c>
      <c r="H40" s="247">
        <v>33946009</v>
      </c>
      <c r="I40" s="247">
        <v>23553078</v>
      </c>
      <c r="J40" s="247">
        <v>10728974</v>
      </c>
      <c r="K40" s="247">
        <v>0</v>
      </c>
    </row>
    <row r="41" spans="1:11" s="16" customFormat="1">
      <c r="A41" s="219"/>
      <c r="B41" s="216"/>
      <c r="C41" s="216"/>
      <c r="D41" s="216"/>
      <c r="E41" s="216"/>
      <c r="F41" s="216"/>
      <c r="G41" s="216"/>
      <c r="H41" s="216"/>
      <c r="I41" s="216"/>
      <c r="J41" s="216"/>
      <c r="K41" s="216"/>
    </row>
    <row r="42" spans="1:11">
      <c r="A42" s="201" t="s">
        <v>174</v>
      </c>
      <c r="B42" s="206">
        <f>SEPT!C277</f>
        <v>1656683</v>
      </c>
      <c r="C42" s="206">
        <v>9318976</v>
      </c>
      <c r="D42" s="206">
        <v>8440412</v>
      </c>
      <c r="E42" s="206">
        <v>11741625</v>
      </c>
      <c r="F42" s="206">
        <v>14264796</v>
      </c>
      <c r="G42" s="206">
        <v>10656878</v>
      </c>
      <c r="H42" s="206">
        <v>11214802</v>
      </c>
      <c r="I42" s="206">
        <v>12267858</v>
      </c>
      <c r="J42" s="206">
        <v>7065278</v>
      </c>
      <c r="K42" s="206">
        <v>0</v>
      </c>
    </row>
    <row r="43" spans="1:11" s="16" customFormat="1">
      <c r="A43" s="202"/>
      <c r="B43" s="247">
        <f>C43+B42</f>
        <v>86627308</v>
      </c>
      <c r="C43" s="247">
        <v>84970625</v>
      </c>
      <c r="D43" s="247">
        <v>75651649</v>
      </c>
      <c r="E43" s="247">
        <v>67211237</v>
      </c>
      <c r="F43" s="247">
        <v>55469612</v>
      </c>
      <c r="G43" s="247">
        <v>41204816</v>
      </c>
      <c r="H43" s="247">
        <v>30547938</v>
      </c>
      <c r="I43" s="247">
        <v>19333136</v>
      </c>
      <c r="J43" s="247">
        <v>7065278</v>
      </c>
      <c r="K43" s="247">
        <v>0</v>
      </c>
    </row>
    <row r="44" spans="1:11" s="16" customFormat="1">
      <c r="A44" s="214" t="s">
        <v>100</v>
      </c>
      <c r="B44" s="216"/>
      <c r="C44" s="216"/>
      <c r="D44" s="216"/>
      <c r="E44" s="216"/>
      <c r="F44" s="216"/>
      <c r="G44" s="216"/>
      <c r="H44" s="216"/>
      <c r="I44" s="216"/>
      <c r="J44" s="216"/>
      <c r="K44" s="216"/>
    </row>
    <row r="45" spans="1:11" s="16" customFormat="1">
      <c r="A45" s="215" t="s">
        <v>337</v>
      </c>
      <c r="B45" s="206">
        <f>SEPT!C280</f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</row>
    <row r="46" spans="1:11" s="16" customFormat="1">
      <c r="A46" s="215"/>
      <c r="B46" s="247">
        <f>C46+B45</f>
        <v>0</v>
      </c>
      <c r="C46" s="247">
        <v>0</v>
      </c>
      <c r="D46" s="247">
        <v>0</v>
      </c>
      <c r="E46" s="247">
        <v>0</v>
      </c>
      <c r="F46" s="247">
        <v>0</v>
      </c>
      <c r="G46" s="247">
        <v>0</v>
      </c>
      <c r="H46" s="247">
        <v>0</v>
      </c>
      <c r="I46" s="247">
        <v>0</v>
      </c>
      <c r="J46" s="247">
        <v>0</v>
      </c>
      <c r="K46" s="247">
        <v>0</v>
      </c>
    </row>
    <row r="47" spans="1:11" s="16" customFormat="1">
      <c r="A47" s="215" t="s">
        <v>353</v>
      </c>
      <c r="B47" s="206">
        <f>SEPT!C282</f>
        <v>0</v>
      </c>
      <c r="C47" s="206">
        <v>0</v>
      </c>
      <c r="D47" s="206">
        <v>0</v>
      </c>
      <c r="E47" s="206">
        <v>10000</v>
      </c>
      <c r="F47" s="206">
        <v>10000</v>
      </c>
      <c r="G47" s="206">
        <v>9000</v>
      </c>
      <c r="H47" s="206">
        <v>0</v>
      </c>
      <c r="I47" s="206">
        <v>9000</v>
      </c>
      <c r="J47" s="206">
        <v>0</v>
      </c>
      <c r="K47" s="206">
        <v>0</v>
      </c>
    </row>
    <row r="48" spans="1:11" s="16" customFormat="1">
      <c r="A48" s="215"/>
      <c r="B48" s="247">
        <f>C48+B47</f>
        <v>38000</v>
      </c>
      <c r="C48" s="247">
        <v>38000</v>
      </c>
      <c r="D48" s="247">
        <v>38000</v>
      </c>
      <c r="E48" s="247">
        <v>38000</v>
      </c>
      <c r="F48" s="247">
        <v>28000</v>
      </c>
      <c r="G48" s="247">
        <v>18000</v>
      </c>
      <c r="H48" s="247">
        <v>9000</v>
      </c>
      <c r="I48" s="247">
        <v>9000</v>
      </c>
      <c r="J48" s="247">
        <v>0</v>
      </c>
      <c r="K48" s="247">
        <v>0</v>
      </c>
    </row>
    <row r="49" spans="1:11" s="16" customFormat="1">
      <c r="A49" s="215" t="s">
        <v>245</v>
      </c>
      <c r="B49" s="206">
        <f>SEPT!C284</f>
        <v>0</v>
      </c>
      <c r="C49" s="206">
        <v>100500</v>
      </c>
      <c r="D49" s="206">
        <v>107499</v>
      </c>
      <c r="E49" s="206">
        <v>91000</v>
      </c>
      <c r="F49" s="206">
        <v>91000</v>
      </c>
      <c r="G49" s="206">
        <v>91000</v>
      </c>
      <c r="H49" s="206">
        <v>201499</v>
      </c>
      <c r="I49" s="206">
        <v>0</v>
      </c>
      <c r="J49" s="206">
        <v>192999</v>
      </c>
      <c r="K49" s="206">
        <v>0</v>
      </c>
    </row>
    <row r="50" spans="1:11" s="16" customFormat="1">
      <c r="A50" s="215"/>
      <c r="B50" s="247">
        <f>C50+B49</f>
        <v>875497</v>
      </c>
      <c r="C50" s="247">
        <v>875497</v>
      </c>
      <c r="D50" s="247">
        <v>774997</v>
      </c>
      <c r="E50" s="247">
        <v>667498</v>
      </c>
      <c r="F50" s="247">
        <v>576498</v>
      </c>
      <c r="G50" s="247">
        <v>485498</v>
      </c>
      <c r="H50" s="247">
        <v>394498</v>
      </c>
      <c r="I50" s="247">
        <v>192999</v>
      </c>
      <c r="J50" s="247">
        <v>192999</v>
      </c>
      <c r="K50" s="247">
        <v>0</v>
      </c>
    </row>
    <row r="51" spans="1:11" s="16" customFormat="1">
      <c r="A51" s="215" t="s">
        <v>349</v>
      </c>
      <c r="B51" s="220">
        <f>SEPT!C286</f>
        <v>0</v>
      </c>
      <c r="C51" s="220">
        <v>5000</v>
      </c>
      <c r="D51" s="220">
        <v>0</v>
      </c>
      <c r="E51" s="220">
        <v>5000</v>
      </c>
      <c r="F51" s="220">
        <v>10000</v>
      </c>
      <c r="G51" s="220">
        <v>0</v>
      </c>
      <c r="H51" s="220">
        <v>0</v>
      </c>
      <c r="I51" s="220">
        <v>0</v>
      </c>
      <c r="J51" s="220">
        <v>10000</v>
      </c>
      <c r="K51" s="220">
        <v>0</v>
      </c>
    </row>
    <row r="52" spans="1:11" s="16" customFormat="1">
      <c r="A52" s="215"/>
      <c r="B52" s="247">
        <f>C52+B51</f>
        <v>30000</v>
      </c>
      <c r="C52" s="247">
        <v>30000</v>
      </c>
      <c r="D52" s="247">
        <v>25000</v>
      </c>
      <c r="E52" s="247">
        <v>25000</v>
      </c>
      <c r="F52" s="247">
        <v>20000</v>
      </c>
      <c r="G52" s="247">
        <v>10000</v>
      </c>
      <c r="H52" s="247">
        <v>10000</v>
      </c>
      <c r="I52" s="247">
        <v>10000</v>
      </c>
      <c r="J52" s="247">
        <v>10000</v>
      </c>
      <c r="K52" s="247">
        <v>0</v>
      </c>
    </row>
    <row r="53" spans="1:11" s="16" customFormat="1">
      <c r="A53" s="215" t="s">
        <v>247</v>
      </c>
      <c r="B53" s="220">
        <f>SEPT!C288</f>
        <v>102400</v>
      </c>
      <c r="C53" s="220">
        <v>102400</v>
      </c>
      <c r="D53" s="220">
        <v>102400</v>
      </c>
      <c r="E53" s="220">
        <v>102400</v>
      </c>
      <c r="F53" s="220">
        <v>102400</v>
      </c>
      <c r="G53" s="220">
        <v>102400</v>
      </c>
      <c r="H53" s="220">
        <v>101400</v>
      </c>
      <c r="I53" s="220">
        <v>101400</v>
      </c>
      <c r="J53" s="220">
        <v>101400</v>
      </c>
      <c r="K53" s="220">
        <v>0</v>
      </c>
    </row>
    <row r="54" spans="1:11" s="16" customFormat="1">
      <c r="A54" s="215"/>
      <c r="B54" s="247">
        <f>C54+B53</f>
        <v>918600</v>
      </c>
      <c r="C54" s="247">
        <v>816200</v>
      </c>
      <c r="D54" s="247">
        <v>713800</v>
      </c>
      <c r="E54" s="247">
        <v>611400</v>
      </c>
      <c r="F54" s="247">
        <v>509000</v>
      </c>
      <c r="G54" s="247">
        <v>406600</v>
      </c>
      <c r="H54" s="247">
        <v>304200</v>
      </c>
      <c r="I54" s="247">
        <v>202800</v>
      </c>
      <c r="J54" s="247">
        <v>101400</v>
      </c>
      <c r="K54" s="247">
        <v>0</v>
      </c>
    </row>
    <row r="55" spans="1:11" s="16" customFormat="1">
      <c r="A55" s="215" t="s">
        <v>187</v>
      </c>
      <c r="B55" s="206">
        <f>SEPT!C290</f>
        <v>0</v>
      </c>
      <c r="C55" s="206">
        <v>1576000</v>
      </c>
      <c r="D55" s="206">
        <v>1569000</v>
      </c>
      <c r="E55" s="206">
        <v>1359500</v>
      </c>
      <c r="F55" s="206">
        <v>2109334</v>
      </c>
      <c r="G55" s="206">
        <v>1465000</v>
      </c>
      <c r="H55" s="206">
        <v>1658000</v>
      </c>
      <c r="I55" s="206">
        <v>1657000</v>
      </c>
      <c r="J55" s="206">
        <v>780000</v>
      </c>
      <c r="K55" s="206">
        <v>0</v>
      </c>
    </row>
    <row r="56" spans="1:11" s="16" customFormat="1">
      <c r="A56" s="215"/>
      <c r="B56" s="247">
        <f>C56+B55</f>
        <v>12173834</v>
      </c>
      <c r="C56" s="247">
        <v>12173834</v>
      </c>
      <c r="D56" s="247">
        <v>10597834</v>
      </c>
      <c r="E56" s="247">
        <v>9028834</v>
      </c>
      <c r="F56" s="247">
        <v>7669334</v>
      </c>
      <c r="G56" s="247">
        <v>5560000</v>
      </c>
      <c r="H56" s="247">
        <v>4095000</v>
      </c>
      <c r="I56" s="247">
        <v>2437000</v>
      </c>
      <c r="J56" s="247">
        <v>780000</v>
      </c>
      <c r="K56" s="247">
        <v>0</v>
      </c>
    </row>
    <row r="57" spans="1:11" s="16" customFormat="1">
      <c r="A57" s="215" t="s">
        <v>246</v>
      </c>
      <c r="B57" s="206">
        <f>SEPT!C292</f>
        <v>0</v>
      </c>
      <c r="C57" s="206">
        <v>0</v>
      </c>
      <c r="D57" s="206">
        <v>421250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423375</v>
      </c>
      <c r="K57" s="206">
        <v>0</v>
      </c>
    </row>
    <row r="58" spans="1:11" s="16" customFormat="1">
      <c r="A58" s="215"/>
      <c r="B58" s="247">
        <f>C58+B57</f>
        <v>844625</v>
      </c>
      <c r="C58" s="247">
        <v>844625</v>
      </c>
      <c r="D58" s="247">
        <v>844625</v>
      </c>
      <c r="E58" s="247">
        <v>423375</v>
      </c>
      <c r="F58" s="247">
        <v>423375</v>
      </c>
      <c r="G58" s="247">
        <v>423375</v>
      </c>
      <c r="H58" s="247">
        <v>423375</v>
      </c>
      <c r="I58" s="247">
        <v>423375</v>
      </c>
      <c r="J58" s="247">
        <v>423375</v>
      </c>
      <c r="K58" s="247">
        <v>0</v>
      </c>
    </row>
    <row r="59" spans="1:11" s="16" customFormat="1">
      <c r="A59" s="215" t="s">
        <v>334</v>
      </c>
      <c r="B59" s="206">
        <f>SEPT!C294</f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2500000</v>
      </c>
      <c r="I59" s="206">
        <v>0</v>
      </c>
      <c r="J59" s="206">
        <v>0</v>
      </c>
      <c r="K59" s="206">
        <v>0</v>
      </c>
    </row>
    <row r="60" spans="1:11" s="16" customFormat="1">
      <c r="A60" s="215"/>
      <c r="B60" s="247">
        <f>C60+B59</f>
        <v>2500000</v>
      </c>
      <c r="C60" s="247">
        <v>2500000</v>
      </c>
      <c r="D60" s="247">
        <v>2500000</v>
      </c>
      <c r="E60" s="247">
        <v>2500000</v>
      </c>
      <c r="F60" s="247">
        <v>2500000</v>
      </c>
      <c r="G60" s="247">
        <v>2500000</v>
      </c>
      <c r="H60" s="247">
        <v>2500000</v>
      </c>
      <c r="I60" s="247">
        <v>0</v>
      </c>
      <c r="J60" s="247">
        <v>0</v>
      </c>
      <c r="K60" s="247">
        <v>0</v>
      </c>
    </row>
    <row r="61" spans="1:11" s="16" customFormat="1">
      <c r="A61" s="215" t="s">
        <v>180</v>
      </c>
      <c r="B61" s="204">
        <f>SEPT!C298</f>
        <v>0</v>
      </c>
      <c r="C61" s="204">
        <v>0</v>
      </c>
      <c r="D61" s="204">
        <v>20000</v>
      </c>
      <c r="E61" s="204">
        <v>0</v>
      </c>
      <c r="F61" s="204">
        <v>38000</v>
      </c>
      <c r="G61" s="204">
        <v>18000</v>
      </c>
      <c r="H61" s="204">
        <v>0</v>
      </c>
      <c r="I61" s="204">
        <v>141000</v>
      </c>
      <c r="J61" s="204">
        <v>0</v>
      </c>
      <c r="K61" s="204"/>
    </row>
    <row r="62" spans="1:11" s="16" customFormat="1">
      <c r="A62" s="215"/>
      <c r="B62" s="247">
        <f>C62+B61</f>
        <v>217000</v>
      </c>
      <c r="C62" s="247">
        <v>217000</v>
      </c>
      <c r="D62" s="247">
        <v>217000</v>
      </c>
      <c r="E62" s="247">
        <v>197000</v>
      </c>
      <c r="F62" s="247">
        <v>197000</v>
      </c>
      <c r="G62" s="247">
        <v>159000</v>
      </c>
      <c r="H62" s="247">
        <v>141000</v>
      </c>
      <c r="I62" s="247">
        <v>141000</v>
      </c>
      <c r="J62" s="247">
        <v>0</v>
      </c>
      <c r="K62" s="247"/>
    </row>
    <row r="63" spans="1:11" s="16" customFormat="1">
      <c r="A63" s="215" t="s">
        <v>27</v>
      </c>
      <c r="B63" s="206">
        <f>SEPT!C296</f>
        <v>62500</v>
      </c>
      <c r="C63" s="206">
        <v>243125</v>
      </c>
      <c r="D63" s="206">
        <v>405500</v>
      </c>
      <c r="E63" s="206">
        <v>256250</v>
      </c>
      <c r="F63" s="206">
        <v>326125</v>
      </c>
      <c r="G63" s="206">
        <v>209190</v>
      </c>
      <c r="H63" s="206">
        <v>183844</v>
      </c>
      <c r="I63" s="206">
        <v>631250</v>
      </c>
      <c r="J63" s="206">
        <v>265150</v>
      </c>
      <c r="K63" s="206">
        <v>0</v>
      </c>
    </row>
    <row r="64" spans="1:11" s="16" customFormat="1">
      <c r="A64" s="215"/>
      <c r="B64" s="247">
        <f>C64+B63</f>
        <v>2582934</v>
      </c>
      <c r="C64" s="247">
        <v>2520434</v>
      </c>
      <c r="D64" s="247">
        <v>2277309</v>
      </c>
      <c r="E64" s="247">
        <v>1871809</v>
      </c>
      <c r="F64" s="247">
        <v>1615559</v>
      </c>
      <c r="G64" s="247">
        <v>1289434</v>
      </c>
      <c r="H64" s="247">
        <v>1080244</v>
      </c>
      <c r="I64" s="247">
        <v>896400</v>
      </c>
      <c r="J64" s="247">
        <v>265150</v>
      </c>
      <c r="K64" s="247">
        <v>0</v>
      </c>
    </row>
    <row r="65" spans="1:11" s="16" customFormat="1">
      <c r="A65" s="215" t="s">
        <v>59</v>
      </c>
      <c r="B65" s="206">
        <f>B45+B47+B49+B51+B53+B55+B57+B59+B63+B61</f>
        <v>164900</v>
      </c>
      <c r="C65" s="206">
        <v>2027025</v>
      </c>
      <c r="D65" s="206">
        <v>2625649</v>
      </c>
      <c r="E65" s="206">
        <v>1824150</v>
      </c>
      <c r="F65" s="206">
        <v>2686859</v>
      </c>
      <c r="G65" s="206">
        <v>1894590</v>
      </c>
      <c r="H65" s="206">
        <v>4644743</v>
      </c>
      <c r="I65" s="206">
        <v>2539650</v>
      </c>
      <c r="J65" s="206">
        <v>1772924</v>
      </c>
      <c r="K65" s="206">
        <v>0</v>
      </c>
    </row>
    <row r="66" spans="1:11" s="16" customFormat="1">
      <c r="A66" s="202"/>
      <c r="B66" s="247">
        <f>C66+B65</f>
        <v>20180490</v>
      </c>
      <c r="C66" s="247">
        <v>20015590</v>
      </c>
      <c r="D66" s="247">
        <v>17988565</v>
      </c>
      <c r="E66" s="247">
        <v>15362916</v>
      </c>
      <c r="F66" s="247">
        <v>13538766</v>
      </c>
      <c r="G66" s="247">
        <v>10851907</v>
      </c>
      <c r="H66" s="247">
        <v>8957317</v>
      </c>
      <c r="I66" s="247">
        <v>4312574</v>
      </c>
      <c r="J66" s="247">
        <v>1772924</v>
      </c>
      <c r="K66" s="247">
        <v>0</v>
      </c>
    </row>
    <row r="67" spans="1:11" s="16" customFormat="1">
      <c r="A67" s="217" t="s">
        <v>350</v>
      </c>
      <c r="B67" s="218">
        <f>B42-B65</f>
        <v>1491783</v>
      </c>
      <c r="C67" s="218">
        <v>7291951</v>
      </c>
      <c r="D67" s="218">
        <v>5814763</v>
      </c>
      <c r="E67" s="218">
        <v>9917475</v>
      </c>
      <c r="F67" s="218">
        <v>11577937</v>
      </c>
      <c r="G67" s="218">
        <v>8762288</v>
      </c>
      <c r="H67" s="218">
        <v>6570059</v>
      </c>
      <c r="I67" s="218">
        <v>9728208</v>
      </c>
      <c r="J67" s="218">
        <v>5292354</v>
      </c>
      <c r="K67" s="218">
        <v>0</v>
      </c>
    </row>
    <row r="68" spans="1:11" s="16" customFormat="1">
      <c r="A68" s="217"/>
      <c r="B68" s="247">
        <f>C68+B67</f>
        <v>66446818</v>
      </c>
      <c r="C68" s="247">
        <v>64955035</v>
      </c>
      <c r="D68" s="247">
        <v>57663084</v>
      </c>
      <c r="E68" s="247">
        <v>51848321</v>
      </c>
      <c r="F68" s="247">
        <v>41930846</v>
      </c>
      <c r="G68" s="247">
        <v>30352909</v>
      </c>
      <c r="H68" s="247">
        <v>21590621</v>
      </c>
      <c r="I68" s="247">
        <v>15020562</v>
      </c>
      <c r="J68" s="247">
        <v>5292354</v>
      </c>
      <c r="K68" s="247">
        <v>0</v>
      </c>
    </row>
    <row r="69" spans="1:11" s="16" customFormat="1">
      <c r="A69" s="219"/>
      <c r="B69" s="216"/>
      <c r="C69" s="216"/>
      <c r="D69" s="216"/>
      <c r="E69" s="216"/>
      <c r="F69" s="216"/>
      <c r="G69" s="216"/>
      <c r="H69" s="216"/>
      <c r="I69" s="216"/>
      <c r="J69" s="216"/>
      <c r="K69" s="216"/>
    </row>
    <row r="70" spans="1:11">
      <c r="A70" s="201" t="s">
        <v>333</v>
      </c>
      <c r="B70" s="206">
        <f>SEPT!C305</f>
        <v>2422111</v>
      </c>
      <c r="C70" s="206">
        <v>14685286</v>
      </c>
      <c r="D70" s="206">
        <v>10318132</v>
      </c>
      <c r="E70" s="206">
        <v>8639946</v>
      </c>
      <c r="F70" s="206">
        <v>13116793</v>
      </c>
      <c r="G70" s="206">
        <v>11238536</v>
      </c>
      <c r="H70" s="206">
        <v>9824127</v>
      </c>
      <c r="I70" s="206">
        <v>8741037</v>
      </c>
      <c r="J70" s="206">
        <v>5311994</v>
      </c>
      <c r="K70" s="206">
        <v>0</v>
      </c>
    </row>
    <row r="71" spans="1:11" s="16" customFormat="1">
      <c r="A71" s="202"/>
      <c r="B71" s="247">
        <f>C71+B70</f>
        <v>84297962</v>
      </c>
      <c r="C71" s="247">
        <v>81875851</v>
      </c>
      <c r="D71" s="247">
        <v>67190565</v>
      </c>
      <c r="E71" s="247">
        <v>56872433</v>
      </c>
      <c r="F71" s="247">
        <v>48232487</v>
      </c>
      <c r="G71" s="247">
        <v>35115694</v>
      </c>
      <c r="H71" s="247">
        <v>23877158</v>
      </c>
      <c r="I71" s="247">
        <v>14053031</v>
      </c>
      <c r="J71" s="247">
        <v>5311994</v>
      </c>
      <c r="K71" s="247">
        <v>0</v>
      </c>
    </row>
    <row r="72" spans="1:11" s="16" customFormat="1">
      <c r="A72" s="214" t="s">
        <v>100</v>
      </c>
      <c r="B72" s="216"/>
      <c r="C72" s="216"/>
      <c r="D72" s="216"/>
      <c r="E72" s="216"/>
      <c r="F72" s="216"/>
      <c r="G72" s="216"/>
      <c r="H72" s="216"/>
      <c r="I72" s="216"/>
      <c r="J72" s="216"/>
      <c r="K72" s="216"/>
    </row>
    <row r="73" spans="1:11" s="16" customFormat="1">
      <c r="A73" s="215" t="s">
        <v>337</v>
      </c>
      <c r="B73" s="206">
        <f>SEPT!C308</f>
        <v>0</v>
      </c>
      <c r="C73" s="206">
        <v>0</v>
      </c>
      <c r="D73" s="206">
        <v>0</v>
      </c>
      <c r="E73" s="206">
        <v>0</v>
      </c>
      <c r="F73" s="206">
        <v>0</v>
      </c>
      <c r="G73" s="206">
        <v>0</v>
      </c>
      <c r="H73" s="206">
        <v>0</v>
      </c>
      <c r="I73" s="206">
        <v>0</v>
      </c>
      <c r="J73" s="206">
        <v>0</v>
      </c>
      <c r="K73" s="206">
        <v>0</v>
      </c>
    </row>
    <row r="74" spans="1:11" s="16" customFormat="1">
      <c r="A74" s="215"/>
      <c r="B74" s="247">
        <f>C74+B73</f>
        <v>0</v>
      </c>
      <c r="C74" s="247">
        <v>0</v>
      </c>
      <c r="D74" s="247">
        <v>0</v>
      </c>
      <c r="E74" s="247">
        <v>0</v>
      </c>
      <c r="F74" s="247">
        <v>0</v>
      </c>
      <c r="G74" s="247">
        <v>0</v>
      </c>
      <c r="H74" s="247">
        <v>0</v>
      </c>
      <c r="I74" s="247">
        <v>0</v>
      </c>
      <c r="J74" s="247">
        <v>0</v>
      </c>
      <c r="K74" s="247">
        <v>0</v>
      </c>
    </row>
    <row r="75" spans="1:11" s="16" customFormat="1">
      <c r="A75" s="215" t="s">
        <v>353</v>
      </c>
      <c r="B75" s="206">
        <f>SEPT!C310</f>
        <v>14000</v>
      </c>
      <c r="C75" s="206">
        <v>20035</v>
      </c>
      <c r="D75" s="206">
        <v>0</v>
      </c>
      <c r="E75" s="206">
        <v>20000</v>
      </c>
      <c r="F75" s="206">
        <v>20000</v>
      </c>
      <c r="G75" s="206">
        <v>13000</v>
      </c>
      <c r="H75" s="206">
        <v>23500</v>
      </c>
      <c r="I75" s="206">
        <v>9000</v>
      </c>
      <c r="J75" s="206">
        <v>15000</v>
      </c>
      <c r="K75" s="206">
        <v>0</v>
      </c>
    </row>
    <row r="76" spans="1:11" s="16" customFormat="1">
      <c r="A76" s="215"/>
      <c r="B76" s="247">
        <f>C76+B75</f>
        <v>134535</v>
      </c>
      <c r="C76" s="247">
        <v>120535</v>
      </c>
      <c r="D76" s="247">
        <v>100500</v>
      </c>
      <c r="E76" s="247">
        <v>100500</v>
      </c>
      <c r="F76" s="247">
        <v>80500</v>
      </c>
      <c r="G76" s="247">
        <v>60500</v>
      </c>
      <c r="H76" s="247">
        <v>47500</v>
      </c>
      <c r="I76" s="247">
        <v>24000</v>
      </c>
      <c r="J76" s="247">
        <v>15000</v>
      </c>
      <c r="K76" s="247">
        <v>0</v>
      </c>
    </row>
    <row r="77" spans="1:11" s="16" customFormat="1">
      <c r="A77" s="215" t="s">
        <v>245</v>
      </c>
      <c r="B77" s="206">
        <f>SEPT!C312</f>
        <v>50999</v>
      </c>
      <c r="C77" s="206">
        <v>50999</v>
      </c>
      <c r="D77" s="206">
        <v>92552</v>
      </c>
      <c r="E77" s="206">
        <v>139497</v>
      </c>
      <c r="F77" s="206">
        <v>45999</v>
      </c>
      <c r="G77" s="206">
        <v>113898</v>
      </c>
      <c r="H77" s="206">
        <v>75000</v>
      </c>
      <c r="I77" s="206">
        <v>152498</v>
      </c>
      <c r="J77" s="206">
        <v>151998</v>
      </c>
      <c r="K77" s="206">
        <v>0</v>
      </c>
    </row>
    <row r="78" spans="1:11" s="16" customFormat="1">
      <c r="A78" s="215"/>
      <c r="B78" s="247">
        <f>C78+B77</f>
        <v>873440</v>
      </c>
      <c r="C78" s="247">
        <v>822441</v>
      </c>
      <c r="D78" s="247">
        <v>771442</v>
      </c>
      <c r="E78" s="247">
        <v>678890</v>
      </c>
      <c r="F78" s="247">
        <v>539393</v>
      </c>
      <c r="G78" s="247">
        <v>493394</v>
      </c>
      <c r="H78" s="247">
        <v>379496</v>
      </c>
      <c r="I78" s="247">
        <v>304496</v>
      </c>
      <c r="J78" s="247">
        <v>151998</v>
      </c>
      <c r="K78" s="247">
        <v>0</v>
      </c>
    </row>
    <row r="79" spans="1:11" s="16" customFormat="1">
      <c r="A79" s="215" t="s">
        <v>349</v>
      </c>
      <c r="B79" s="220">
        <f>SEPT!C314</f>
        <v>0</v>
      </c>
      <c r="C79" s="220">
        <v>0</v>
      </c>
      <c r="D79" s="220">
        <v>0</v>
      </c>
      <c r="E79" s="220">
        <v>0</v>
      </c>
      <c r="F79" s="220">
        <v>0</v>
      </c>
      <c r="G79" s="220">
        <v>0</v>
      </c>
      <c r="H79" s="220">
        <v>0</v>
      </c>
      <c r="I79" s="220">
        <v>0</v>
      </c>
      <c r="J79" s="220">
        <v>0</v>
      </c>
      <c r="K79" s="220">
        <v>0</v>
      </c>
    </row>
    <row r="80" spans="1:11" s="16" customFormat="1">
      <c r="A80" s="215"/>
      <c r="B80" s="247">
        <f>C80+B79</f>
        <v>0</v>
      </c>
      <c r="C80" s="247">
        <v>0</v>
      </c>
      <c r="D80" s="247">
        <v>0</v>
      </c>
      <c r="E80" s="247">
        <v>0</v>
      </c>
      <c r="F80" s="247">
        <v>0</v>
      </c>
      <c r="G80" s="247">
        <v>0</v>
      </c>
      <c r="H80" s="247">
        <v>0</v>
      </c>
      <c r="I80" s="247">
        <v>0</v>
      </c>
      <c r="J80" s="247">
        <v>0</v>
      </c>
      <c r="K80" s="247">
        <v>0</v>
      </c>
    </row>
    <row r="81" spans="1:11" s="16" customFormat="1">
      <c r="A81" s="215" t="s">
        <v>247</v>
      </c>
      <c r="B81" s="220">
        <f>SEPT!C316</f>
        <v>202400</v>
      </c>
      <c r="C81" s="220">
        <v>0</v>
      </c>
      <c r="D81" s="220">
        <v>254800</v>
      </c>
      <c r="E81" s="220">
        <v>202400</v>
      </c>
      <c r="F81" s="220">
        <v>202400</v>
      </c>
      <c r="G81" s="220">
        <v>202400</v>
      </c>
      <c r="H81" s="220">
        <v>403800</v>
      </c>
      <c r="I81" s="220">
        <v>201400</v>
      </c>
      <c r="J81" s="220">
        <v>0</v>
      </c>
      <c r="K81" s="220">
        <v>0</v>
      </c>
    </row>
    <row r="82" spans="1:11" s="16" customFormat="1">
      <c r="A82" s="215"/>
      <c r="B82" s="247">
        <f>C82+B81</f>
        <v>1669600</v>
      </c>
      <c r="C82" s="247">
        <v>1467200</v>
      </c>
      <c r="D82" s="247">
        <v>1467200</v>
      </c>
      <c r="E82" s="247">
        <v>1212400</v>
      </c>
      <c r="F82" s="247">
        <v>1010000</v>
      </c>
      <c r="G82" s="247">
        <v>807600</v>
      </c>
      <c r="H82" s="247">
        <v>605200</v>
      </c>
      <c r="I82" s="247">
        <v>201400</v>
      </c>
      <c r="J82" s="247">
        <v>0</v>
      </c>
      <c r="K82" s="247">
        <v>0</v>
      </c>
    </row>
    <row r="83" spans="1:11" s="16" customFormat="1">
      <c r="A83" s="215" t="s">
        <v>187</v>
      </c>
      <c r="B83" s="206">
        <f>SEPT!C318</f>
        <v>0</v>
      </c>
      <c r="C83" s="206">
        <v>1735000</v>
      </c>
      <c r="D83" s="206">
        <v>1525000</v>
      </c>
      <c r="E83" s="206">
        <v>1256000</v>
      </c>
      <c r="F83" s="206">
        <v>2371000</v>
      </c>
      <c r="G83" s="206">
        <v>1763000</v>
      </c>
      <c r="H83" s="206">
        <v>1960500</v>
      </c>
      <c r="I83" s="206">
        <v>2130000</v>
      </c>
      <c r="J83" s="206">
        <v>2028000</v>
      </c>
      <c r="K83" s="206">
        <v>0</v>
      </c>
    </row>
    <row r="84" spans="1:11" s="16" customFormat="1">
      <c r="A84" s="215"/>
      <c r="B84" s="247">
        <f>C84+B83</f>
        <v>14768500</v>
      </c>
      <c r="C84" s="247">
        <v>14768500</v>
      </c>
      <c r="D84" s="247">
        <v>13033500</v>
      </c>
      <c r="E84" s="247">
        <v>11508500</v>
      </c>
      <c r="F84" s="247">
        <v>10252500</v>
      </c>
      <c r="G84" s="247">
        <v>7881500</v>
      </c>
      <c r="H84" s="247">
        <v>6118500</v>
      </c>
      <c r="I84" s="247">
        <v>4158000</v>
      </c>
      <c r="J84" s="247">
        <v>2028000</v>
      </c>
      <c r="K84" s="247">
        <v>0</v>
      </c>
    </row>
    <row r="85" spans="1:11" s="16" customFormat="1">
      <c r="A85" s="215" t="s">
        <v>246</v>
      </c>
      <c r="B85" s="206">
        <f>SEPT!C320</f>
        <v>0</v>
      </c>
      <c r="C85" s="206">
        <v>0</v>
      </c>
      <c r="D85" s="206">
        <v>421250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423375</v>
      </c>
      <c r="K85" s="206">
        <v>0</v>
      </c>
    </row>
    <row r="86" spans="1:11" s="16" customFormat="1">
      <c r="A86" s="215"/>
      <c r="B86" s="247">
        <f>C86+B85</f>
        <v>844625</v>
      </c>
      <c r="C86" s="247">
        <v>844625</v>
      </c>
      <c r="D86" s="247">
        <v>844625</v>
      </c>
      <c r="E86" s="247">
        <v>423375</v>
      </c>
      <c r="F86" s="247">
        <v>423375</v>
      </c>
      <c r="G86" s="247">
        <v>423375</v>
      </c>
      <c r="H86" s="247">
        <v>423375</v>
      </c>
      <c r="I86" s="247">
        <v>423375</v>
      </c>
      <c r="J86" s="247">
        <v>423375</v>
      </c>
      <c r="K86" s="247">
        <v>0</v>
      </c>
    </row>
    <row r="87" spans="1:11" s="16" customFormat="1">
      <c r="A87" s="215" t="s">
        <v>334</v>
      </c>
      <c r="B87" s="206">
        <f>SEPT!C322</f>
        <v>0</v>
      </c>
      <c r="C87" s="206">
        <v>0</v>
      </c>
      <c r="D87" s="206">
        <v>8000000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</row>
    <row r="88" spans="1:11" s="16" customFormat="1">
      <c r="A88" s="215"/>
      <c r="B88" s="247">
        <f>C88+B87</f>
        <v>8000000</v>
      </c>
      <c r="C88" s="247">
        <v>8000000</v>
      </c>
      <c r="D88" s="247">
        <v>8000000</v>
      </c>
      <c r="E88" s="247">
        <v>0</v>
      </c>
      <c r="F88" s="247">
        <v>0</v>
      </c>
      <c r="G88" s="247">
        <v>0</v>
      </c>
      <c r="H88" s="247">
        <v>0</v>
      </c>
      <c r="I88" s="247">
        <v>0</v>
      </c>
      <c r="J88" s="247">
        <v>0</v>
      </c>
      <c r="K88" s="247">
        <v>0</v>
      </c>
    </row>
    <row r="89" spans="1:11" s="16" customFormat="1">
      <c r="A89" s="215" t="s">
        <v>180</v>
      </c>
      <c r="B89" s="204">
        <f>SEPT!C326</f>
        <v>0</v>
      </c>
      <c r="C89" s="204">
        <v>0</v>
      </c>
      <c r="D89" s="204">
        <v>0</v>
      </c>
      <c r="E89" s="204">
        <v>0</v>
      </c>
      <c r="F89" s="204">
        <v>20000</v>
      </c>
      <c r="G89" s="204">
        <v>36000</v>
      </c>
      <c r="H89" s="204">
        <v>0</v>
      </c>
      <c r="I89" s="204">
        <v>126000</v>
      </c>
      <c r="J89" s="204">
        <v>18000</v>
      </c>
      <c r="K89" s="204"/>
    </row>
    <row r="90" spans="1:11" s="16" customFormat="1">
      <c r="A90" s="215"/>
      <c r="B90" s="247">
        <f>C90+B89</f>
        <v>200000</v>
      </c>
      <c r="C90" s="247">
        <v>200000</v>
      </c>
      <c r="D90" s="247">
        <v>200000</v>
      </c>
      <c r="E90" s="247">
        <v>200000</v>
      </c>
      <c r="F90" s="247">
        <v>200000</v>
      </c>
      <c r="G90" s="247">
        <v>180000</v>
      </c>
      <c r="H90" s="247">
        <v>144000</v>
      </c>
      <c r="I90" s="247">
        <v>144000</v>
      </c>
      <c r="J90" s="247">
        <v>18000</v>
      </c>
      <c r="K90" s="247"/>
    </row>
    <row r="91" spans="1:11" s="16" customFormat="1">
      <c r="A91" s="215" t="s">
        <v>27</v>
      </c>
      <c r="B91" s="206">
        <f>SEPT!C324</f>
        <v>102500</v>
      </c>
      <c r="C91" s="206">
        <v>393125</v>
      </c>
      <c r="D91" s="206">
        <v>692500</v>
      </c>
      <c r="E91" s="206">
        <v>1410750</v>
      </c>
      <c r="F91" s="206">
        <v>696125</v>
      </c>
      <c r="G91" s="206">
        <v>249000</v>
      </c>
      <c r="H91" s="206">
        <v>203000</v>
      </c>
      <c r="I91" s="206">
        <v>519250</v>
      </c>
      <c r="J91" s="206">
        <v>103000</v>
      </c>
      <c r="K91" s="206">
        <v>0</v>
      </c>
    </row>
    <row r="92" spans="1:11" s="16" customFormat="1">
      <c r="A92" s="215"/>
      <c r="B92" s="247">
        <f>C92+B91</f>
        <v>4369250</v>
      </c>
      <c r="C92" s="247">
        <v>4266750</v>
      </c>
      <c r="D92" s="247">
        <v>3873625</v>
      </c>
      <c r="E92" s="247">
        <v>3181125</v>
      </c>
      <c r="F92" s="247">
        <v>1770375</v>
      </c>
      <c r="G92" s="247">
        <v>1074250</v>
      </c>
      <c r="H92" s="247">
        <v>825250</v>
      </c>
      <c r="I92" s="247">
        <v>622250</v>
      </c>
      <c r="J92" s="247">
        <v>103000</v>
      </c>
      <c r="K92" s="247">
        <v>0</v>
      </c>
    </row>
    <row r="93" spans="1:11" s="16" customFormat="1">
      <c r="A93" s="215" t="s">
        <v>59</v>
      </c>
      <c r="B93" s="206">
        <f>B73+B75+B77+B79+B81+B83+B85+B87+B91+B89</f>
        <v>369899</v>
      </c>
      <c r="C93" s="206">
        <v>2199159</v>
      </c>
      <c r="D93" s="206">
        <v>10986102</v>
      </c>
      <c r="E93" s="206">
        <v>3028647</v>
      </c>
      <c r="F93" s="206">
        <v>3355524</v>
      </c>
      <c r="G93" s="206">
        <v>2377298</v>
      </c>
      <c r="H93" s="206">
        <v>2665800</v>
      </c>
      <c r="I93" s="206">
        <v>3138148</v>
      </c>
      <c r="J93" s="206">
        <v>2739373</v>
      </c>
      <c r="K93" s="206">
        <v>0</v>
      </c>
    </row>
    <row r="94" spans="1:11" s="16" customFormat="1">
      <c r="A94" s="202"/>
      <c r="B94" s="247">
        <f>C94+B93</f>
        <v>30859950</v>
      </c>
      <c r="C94" s="247">
        <v>30490051</v>
      </c>
      <c r="D94" s="247">
        <v>28290892</v>
      </c>
      <c r="E94" s="247">
        <v>17304790</v>
      </c>
      <c r="F94" s="247">
        <v>14276143</v>
      </c>
      <c r="G94" s="247">
        <v>10920619</v>
      </c>
      <c r="H94" s="247">
        <v>8543321</v>
      </c>
      <c r="I94" s="247">
        <v>5877521</v>
      </c>
      <c r="J94" s="247">
        <v>2739373</v>
      </c>
      <c r="K94" s="247">
        <v>0</v>
      </c>
    </row>
    <row r="95" spans="1:11" s="16" customFormat="1">
      <c r="A95" s="217" t="s">
        <v>350</v>
      </c>
      <c r="B95" s="218">
        <f>B70-B93</f>
        <v>2052212</v>
      </c>
      <c r="C95" s="218">
        <v>12486127</v>
      </c>
      <c r="D95" s="218">
        <v>-667970</v>
      </c>
      <c r="E95" s="218">
        <v>5611299</v>
      </c>
      <c r="F95" s="218">
        <v>9761269</v>
      </c>
      <c r="G95" s="218">
        <v>8861238</v>
      </c>
      <c r="H95" s="218">
        <v>7158327</v>
      </c>
      <c r="I95" s="218">
        <v>5602889</v>
      </c>
      <c r="J95" s="218">
        <v>2572621</v>
      </c>
      <c r="K95" s="218">
        <v>0</v>
      </c>
    </row>
    <row r="96" spans="1:11" s="16" customFormat="1">
      <c r="A96" s="217"/>
      <c r="B96" s="247">
        <f>C96+B95</f>
        <v>53438012</v>
      </c>
      <c r="C96" s="247">
        <v>51385800</v>
      </c>
      <c r="D96" s="247">
        <v>38899673</v>
      </c>
      <c r="E96" s="247">
        <v>39567643</v>
      </c>
      <c r="F96" s="247">
        <v>33956344</v>
      </c>
      <c r="G96" s="247">
        <v>24195075</v>
      </c>
      <c r="H96" s="247">
        <v>15333837</v>
      </c>
      <c r="I96" s="247">
        <v>8175510</v>
      </c>
      <c r="J96" s="247">
        <v>2572621</v>
      </c>
      <c r="K96" s="247">
        <v>0</v>
      </c>
    </row>
    <row r="97" spans="1:11" s="16" customFormat="1">
      <c r="A97" s="219"/>
      <c r="B97" s="216"/>
      <c r="C97" s="216"/>
      <c r="D97" s="216"/>
      <c r="E97" s="216"/>
      <c r="F97" s="216"/>
      <c r="G97" s="216"/>
      <c r="H97" s="216"/>
      <c r="I97" s="216"/>
      <c r="J97" s="216"/>
      <c r="K97" s="216"/>
    </row>
    <row r="98" spans="1:11">
      <c r="A98" s="201" t="s">
        <v>345</v>
      </c>
      <c r="B98" s="206">
        <f>SEPT!C333</f>
        <v>2175440</v>
      </c>
      <c r="C98" s="206">
        <v>12160738</v>
      </c>
      <c r="D98" s="206">
        <v>9289821</v>
      </c>
      <c r="E98" s="206">
        <v>11835664</v>
      </c>
      <c r="F98" s="206">
        <v>13293992</v>
      </c>
      <c r="G98" s="206">
        <v>10600882</v>
      </c>
      <c r="H98" s="206">
        <v>10326329</v>
      </c>
      <c r="I98" s="206">
        <v>10754123</v>
      </c>
      <c r="J98" s="206">
        <v>7749379</v>
      </c>
      <c r="K98" s="206">
        <v>0</v>
      </c>
    </row>
    <row r="99" spans="1:11" s="16" customFormat="1">
      <c r="A99" s="202"/>
      <c r="B99" s="247">
        <f>C99+B98</f>
        <v>88186368</v>
      </c>
      <c r="C99" s="247">
        <v>86010928</v>
      </c>
      <c r="D99" s="247">
        <v>73850190</v>
      </c>
      <c r="E99" s="247">
        <v>64560369</v>
      </c>
      <c r="F99" s="247">
        <v>52724705</v>
      </c>
      <c r="G99" s="247">
        <v>39430713</v>
      </c>
      <c r="H99" s="247">
        <v>28829831</v>
      </c>
      <c r="I99" s="247">
        <v>18503502</v>
      </c>
      <c r="J99" s="247">
        <v>7749379</v>
      </c>
      <c r="K99" s="247">
        <v>0</v>
      </c>
    </row>
    <row r="100" spans="1:11" s="16" customFormat="1">
      <c r="A100" s="214" t="s">
        <v>100</v>
      </c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</row>
    <row r="101" spans="1:11" s="16" customFormat="1">
      <c r="A101" s="215" t="s">
        <v>337</v>
      </c>
      <c r="B101" s="206">
        <f>SEPT!C336</f>
        <v>0</v>
      </c>
      <c r="C101" s="206">
        <v>0</v>
      </c>
      <c r="D101" s="206">
        <v>0</v>
      </c>
      <c r="E101" s="206">
        <v>0</v>
      </c>
      <c r="F101" s="206">
        <v>0</v>
      </c>
      <c r="G101" s="206">
        <v>0</v>
      </c>
      <c r="H101" s="206">
        <v>0</v>
      </c>
      <c r="I101" s="206">
        <v>0</v>
      </c>
      <c r="J101" s="206">
        <v>0</v>
      </c>
      <c r="K101" s="206">
        <v>0</v>
      </c>
    </row>
    <row r="102" spans="1:11" s="16" customFormat="1">
      <c r="A102" s="215"/>
      <c r="B102" s="247">
        <f>C102+B101</f>
        <v>0</v>
      </c>
      <c r="C102" s="247">
        <v>0</v>
      </c>
      <c r="D102" s="247">
        <v>0</v>
      </c>
      <c r="E102" s="247">
        <v>0</v>
      </c>
      <c r="F102" s="247">
        <v>0</v>
      </c>
      <c r="G102" s="247">
        <v>0</v>
      </c>
      <c r="H102" s="247">
        <v>0</v>
      </c>
      <c r="I102" s="247">
        <v>0</v>
      </c>
      <c r="J102" s="247">
        <v>0</v>
      </c>
      <c r="K102" s="247">
        <v>0</v>
      </c>
    </row>
    <row r="103" spans="1:11" s="16" customFormat="1">
      <c r="A103" s="215" t="s">
        <v>353</v>
      </c>
      <c r="B103" s="206">
        <f>SEPT!C338</f>
        <v>0</v>
      </c>
      <c r="C103" s="206">
        <v>10000</v>
      </c>
      <c r="D103" s="206">
        <v>0</v>
      </c>
      <c r="E103" s="206">
        <v>15500</v>
      </c>
      <c r="F103" s="206">
        <v>0</v>
      </c>
      <c r="G103" s="206">
        <v>15500</v>
      </c>
      <c r="H103" s="206">
        <v>0</v>
      </c>
      <c r="I103" s="206">
        <v>15386</v>
      </c>
      <c r="J103" s="206">
        <v>15500</v>
      </c>
      <c r="K103" s="206">
        <v>0</v>
      </c>
    </row>
    <row r="104" spans="1:11" s="16" customFormat="1">
      <c r="A104" s="215"/>
      <c r="B104" s="247">
        <f>C104+B103</f>
        <v>71886</v>
      </c>
      <c r="C104" s="247">
        <v>71886</v>
      </c>
      <c r="D104" s="247">
        <v>61886</v>
      </c>
      <c r="E104" s="247">
        <v>61886</v>
      </c>
      <c r="F104" s="247">
        <v>46386</v>
      </c>
      <c r="G104" s="247">
        <v>46386</v>
      </c>
      <c r="H104" s="247">
        <v>30886</v>
      </c>
      <c r="I104" s="247">
        <v>30886</v>
      </c>
      <c r="J104" s="247">
        <v>15500</v>
      </c>
      <c r="K104" s="247">
        <v>0</v>
      </c>
    </row>
    <row r="105" spans="1:11" s="16" customFormat="1">
      <c r="A105" s="215" t="s">
        <v>245</v>
      </c>
      <c r="B105" s="206">
        <f>SEPT!C340</f>
        <v>0</v>
      </c>
      <c r="C105" s="206">
        <v>91000</v>
      </c>
      <c r="D105" s="206">
        <v>114999</v>
      </c>
      <c r="E105" s="206">
        <v>249499</v>
      </c>
      <c r="F105" s="206">
        <v>91000</v>
      </c>
      <c r="G105" s="206">
        <v>182000</v>
      </c>
      <c r="H105" s="206">
        <v>158499</v>
      </c>
      <c r="I105" s="206">
        <v>137500</v>
      </c>
      <c r="J105" s="206">
        <v>191998</v>
      </c>
      <c r="K105" s="206">
        <v>0</v>
      </c>
    </row>
    <row r="106" spans="1:11" s="16" customFormat="1">
      <c r="A106" s="215"/>
      <c r="B106" s="247">
        <f>C106+B105</f>
        <v>1216495</v>
      </c>
      <c r="C106" s="247">
        <v>1216495</v>
      </c>
      <c r="D106" s="247">
        <v>1125495</v>
      </c>
      <c r="E106" s="247">
        <v>1010496</v>
      </c>
      <c r="F106" s="247">
        <v>760997</v>
      </c>
      <c r="G106" s="247">
        <v>669997</v>
      </c>
      <c r="H106" s="247">
        <v>487997</v>
      </c>
      <c r="I106" s="247">
        <v>329498</v>
      </c>
      <c r="J106" s="247">
        <v>191998</v>
      </c>
      <c r="K106" s="247">
        <v>0</v>
      </c>
    </row>
    <row r="107" spans="1:11" s="16" customFormat="1">
      <c r="A107" s="215" t="s">
        <v>349</v>
      </c>
      <c r="B107" s="220">
        <f>SEPT!C342</f>
        <v>0</v>
      </c>
      <c r="C107" s="220">
        <v>0</v>
      </c>
      <c r="D107" s="220">
        <v>250000</v>
      </c>
      <c r="E107" s="220">
        <v>0</v>
      </c>
      <c r="F107" s="220">
        <v>0</v>
      </c>
      <c r="G107" s="220">
        <v>0</v>
      </c>
      <c r="H107" s="220">
        <v>10000</v>
      </c>
      <c r="I107" s="220">
        <v>0</v>
      </c>
      <c r="J107" s="220">
        <v>5000</v>
      </c>
      <c r="K107" s="220">
        <v>0</v>
      </c>
    </row>
    <row r="108" spans="1:11" s="16" customFormat="1">
      <c r="A108" s="215"/>
      <c r="B108" s="247">
        <f>C108+B107</f>
        <v>265000</v>
      </c>
      <c r="C108" s="247">
        <v>265000</v>
      </c>
      <c r="D108" s="247">
        <v>265000</v>
      </c>
      <c r="E108" s="247">
        <v>15000</v>
      </c>
      <c r="F108" s="247">
        <v>15000</v>
      </c>
      <c r="G108" s="247">
        <v>15000</v>
      </c>
      <c r="H108" s="247">
        <v>15000</v>
      </c>
      <c r="I108" s="247">
        <v>5000</v>
      </c>
      <c r="J108" s="247">
        <v>5000</v>
      </c>
      <c r="K108" s="247">
        <v>0</v>
      </c>
    </row>
    <row r="109" spans="1:11" s="16" customFormat="1">
      <c r="A109" s="215" t="s">
        <v>247</v>
      </c>
      <c r="B109" s="220">
        <f>SEPT!C344</f>
        <v>99100</v>
      </c>
      <c r="C109" s="220">
        <v>0</v>
      </c>
      <c r="D109" s="220">
        <v>99100</v>
      </c>
      <c r="E109" s="220">
        <v>99100</v>
      </c>
      <c r="F109" s="220">
        <v>99100</v>
      </c>
      <c r="G109" s="220">
        <v>102400</v>
      </c>
      <c r="H109" s="220">
        <v>101400</v>
      </c>
      <c r="I109" s="220">
        <v>101400</v>
      </c>
      <c r="J109" s="220">
        <v>0</v>
      </c>
      <c r="K109" s="220">
        <v>0</v>
      </c>
    </row>
    <row r="110" spans="1:11" s="16" customFormat="1">
      <c r="A110" s="215"/>
      <c r="B110" s="247">
        <f>C110+B109</f>
        <v>701600</v>
      </c>
      <c r="C110" s="247">
        <v>602500</v>
      </c>
      <c r="D110" s="247">
        <v>602500</v>
      </c>
      <c r="E110" s="247">
        <v>503400</v>
      </c>
      <c r="F110" s="247">
        <v>404300</v>
      </c>
      <c r="G110" s="247">
        <v>305200</v>
      </c>
      <c r="H110" s="247">
        <v>202800</v>
      </c>
      <c r="I110" s="247">
        <v>101400</v>
      </c>
      <c r="J110" s="247">
        <v>0</v>
      </c>
      <c r="K110" s="247">
        <v>0</v>
      </c>
    </row>
    <row r="111" spans="1:11" s="16" customFormat="1">
      <c r="A111" s="215" t="s">
        <v>187</v>
      </c>
      <c r="B111" s="206">
        <f>SEPT!C346</f>
        <v>0</v>
      </c>
      <c r="C111" s="206">
        <v>1576000</v>
      </c>
      <c r="D111" s="206">
        <v>1520000</v>
      </c>
      <c r="E111" s="206">
        <v>1359500</v>
      </c>
      <c r="F111" s="206">
        <v>2109334</v>
      </c>
      <c r="G111" s="206">
        <v>1464000</v>
      </c>
      <c r="H111" s="206">
        <v>1658000</v>
      </c>
      <c r="I111" s="206">
        <v>1626000</v>
      </c>
      <c r="J111" s="206">
        <v>888000</v>
      </c>
      <c r="K111" s="206">
        <v>0</v>
      </c>
    </row>
    <row r="112" spans="1:11" s="16" customFormat="1">
      <c r="A112" s="215"/>
      <c r="B112" s="247">
        <f>C112+B111</f>
        <v>12200834</v>
      </c>
      <c r="C112" s="247">
        <v>12200834</v>
      </c>
      <c r="D112" s="247">
        <v>10624834</v>
      </c>
      <c r="E112" s="247">
        <v>9104834</v>
      </c>
      <c r="F112" s="247">
        <v>7745334</v>
      </c>
      <c r="G112" s="247">
        <v>5636000</v>
      </c>
      <c r="H112" s="247">
        <v>4172000</v>
      </c>
      <c r="I112" s="247">
        <v>2514000</v>
      </c>
      <c r="J112" s="247">
        <v>888000</v>
      </c>
      <c r="K112" s="247">
        <v>0</v>
      </c>
    </row>
    <row r="113" spans="1:11" s="16" customFormat="1">
      <c r="A113" s="215" t="s">
        <v>246</v>
      </c>
      <c r="B113" s="206">
        <f>SEPT!C348</f>
        <v>0</v>
      </c>
      <c r="C113" s="206">
        <v>0</v>
      </c>
      <c r="D113" s="206">
        <v>421250</v>
      </c>
      <c r="E113" s="206">
        <v>0</v>
      </c>
      <c r="F113" s="206">
        <v>0</v>
      </c>
      <c r="G113" s="206">
        <v>0</v>
      </c>
      <c r="H113" s="206">
        <v>0</v>
      </c>
      <c r="I113" s="206">
        <v>0</v>
      </c>
      <c r="J113" s="206">
        <v>423375</v>
      </c>
      <c r="K113" s="206">
        <v>0</v>
      </c>
    </row>
    <row r="114" spans="1:11" s="16" customFormat="1">
      <c r="A114" s="215"/>
      <c r="B114" s="247">
        <f>C114+B113</f>
        <v>844625</v>
      </c>
      <c r="C114" s="247">
        <v>844625</v>
      </c>
      <c r="D114" s="247">
        <v>844625</v>
      </c>
      <c r="E114" s="247">
        <v>423375</v>
      </c>
      <c r="F114" s="247">
        <v>423375</v>
      </c>
      <c r="G114" s="247">
        <v>423375</v>
      </c>
      <c r="H114" s="247">
        <v>423375</v>
      </c>
      <c r="I114" s="247">
        <v>423375</v>
      </c>
      <c r="J114" s="247">
        <v>423375</v>
      </c>
      <c r="K114" s="247">
        <v>0</v>
      </c>
    </row>
    <row r="115" spans="1:11" s="16" customFormat="1">
      <c r="A115" s="215" t="s">
        <v>334</v>
      </c>
      <c r="B115" s="206">
        <f>SEPT!C350</f>
        <v>0</v>
      </c>
      <c r="C115" s="206">
        <v>0</v>
      </c>
      <c r="D115" s="206">
        <v>0</v>
      </c>
      <c r="E115" s="206">
        <v>0</v>
      </c>
      <c r="F115" s="206">
        <v>0</v>
      </c>
      <c r="G115" s="206">
        <v>0</v>
      </c>
      <c r="H115" s="206">
        <v>0</v>
      </c>
      <c r="I115" s="206">
        <v>0</v>
      </c>
      <c r="J115" s="206">
        <v>0</v>
      </c>
      <c r="K115" s="206">
        <v>0</v>
      </c>
    </row>
    <row r="116" spans="1:11" s="16" customFormat="1">
      <c r="A116" s="215"/>
      <c r="B116" s="247">
        <f>C116+B115</f>
        <v>0</v>
      </c>
      <c r="C116" s="247">
        <v>0</v>
      </c>
      <c r="D116" s="247">
        <v>0</v>
      </c>
      <c r="E116" s="247">
        <v>0</v>
      </c>
      <c r="F116" s="247">
        <v>0</v>
      </c>
      <c r="G116" s="247">
        <v>0</v>
      </c>
      <c r="H116" s="247">
        <v>0</v>
      </c>
      <c r="I116" s="247">
        <v>0</v>
      </c>
      <c r="J116" s="247">
        <v>0</v>
      </c>
      <c r="K116" s="247">
        <v>0</v>
      </c>
    </row>
    <row r="117" spans="1:11" s="16" customFormat="1">
      <c r="A117" s="215" t="s">
        <v>180</v>
      </c>
      <c r="B117" s="204">
        <f>SEPT!C354</f>
        <v>0</v>
      </c>
      <c r="C117" s="204">
        <v>0</v>
      </c>
      <c r="D117" s="204">
        <v>0</v>
      </c>
      <c r="E117" s="204">
        <v>0</v>
      </c>
      <c r="F117" s="204">
        <v>20000</v>
      </c>
      <c r="G117" s="204">
        <v>18000</v>
      </c>
      <c r="H117" s="204">
        <v>0</v>
      </c>
      <c r="I117" s="204">
        <v>141000</v>
      </c>
      <c r="J117" s="204">
        <v>0</v>
      </c>
      <c r="K117" s="204"/>
    </row>
    <row r="118" spans="1:11" s="16" customFormat="1">
      <c r="A118" s="215"/>
      <c r="B118" s="247">
        <f>C118+B117</f>
        <v>179000</v>
      </c>
      <c r="C118" s="247">
        <v>179000</v>
      </c>
      <c r="D118" s="247">
        <v>179000</v>
      </c>
      <c r="E118" s="247">
        <v>179000</v>
      </c>
      <c r="F118" s="247">
        <v>179000</v>
      </c>
      <c r="G118" s="247">
        <v>159000</v>
      </c>
      <c r="H118" s="247">
        <v>141000</v>
      </c>
      <c r="I118" s="247">
        <v>141000</v>
      </c>
      <c r="J118" s="247">
        <v>0</v>
      </c>
      <c r="K118" s="247"/>
    </row>
    <row r="119" spans="1:11" s="16" customFormat="1">
      <c r="A119" s="215" t="s">
        <v>27</v>
      </c>
      <c r="B119" s="206">
        <f>SEPT!C352</f>
        <v>62500</v>
      </c>
      <c r="C119" s="206">
        <v>211112</v>
      </c>
      <c r="D119" s="206">
        <v>415500</v>
      </c>
      <c r="E119" s="206">
        <v>251250</v>
      </c>
      <c r="F119" s="206">
        <v>281125</v>
      </c>
      <c r="G119" s="206">
        <v>252238</v>
      </c>
      <c r="H119" s="206">
        <v>209000</v>
      </c>
      <c r="I119" s="206">
        <v>471852</v>
      </c>
      <c r="J119" s="206">
        <v>127600</v>
      </c>
      <c r="K119" s="206">
        <v>0</v>
      </c>
    </row>
    <row r="120" spans="1:11" s="16" customFormat="1">
      <c r="A120" s="215"/>
      <c r="B120" s="247">
        <f>C120+B119</f>
        <v>2282177</v>
      </c>
      <c r="C120" s="247">
        <v>2219677</v>
      </c>
      <c r="D120" s="247">
        <v>2008565</v>
      </c>
      <c r="E120" s="247">
        <v>1593065</v>
      </c>
      <c r="F120" s="247">
        <v>1341815</v>
      </c>
      <c r="G120" s="247">
        <v>1060690</v>
      </c>
      <c r="H120" s="247">
        <v>808452</v>
      </c>
      <c r="I120" s="247">
        <v>599452</v>
      </c>
      <c r="J120" s="247">
        <v>127600</v>
      </c>
      <c r="K120" s="247">
        <v>0</v>
      </c>
    </row>
    <row r="121" spans="1:11" s="16" customFormat="1">
      <c r="A121" s="215" t="s">
        <v>59</v>
      </c>
      <c r="B121" s="206">
        <f>B101+B103+B105+B107+B109+B111+B113+B115+B119+B117</f>
        <v>161600</v>
      </c>
      <c r="C121" s="206">
        <v>1888112</v>
      </c>
      <c r="D121" s="206">
        <v>2820849</v>
      </c>
      <c r="E121" s="206">
        <v>1974849</v>
      </c>
      <c r="F121" s="206">
        <v>2600559</v>
      </c>
      <c r="G121" s="206">
        <v>2034138</v>
      </c>
      <c r="H121" s="206">
        <v>2136899</v>
      </c>
      <c r="I121" s="206">
        <v>2493138</v>
      </c>
      <c r="J121" s="206">
        <v>1651473</v>
      </c>
      <c r="K121" s="206">
        <v>0</v>
      </c>
    </row>
    <row r="122" spans="1:11" s="16" customFormat="1">
      <c r="A122" s="202"/>
      <c r="B122" s="247">
        <f>C122+B121</f>
        <v>17761617</v>
      </c>
      <c r="C122" s="247">
        <v>17600017</v>
      </c>
      <c r="D122" s="247">
        <v>15711905</v>
      </c>
      <c r="E122" s="247">
        <v>12891056</v>
      </c>
      <c r="F122" s="247">
        <v>10916207</v>
      </c>
      <c r="G122" s="247">
        <v>8315648</v>
      </c>
      <c r="H122" s="247">
        <v>6281510</v>
      </c>
      <c r="I122" s="247">
        <v>4144611</v>
      </c>
      <c r="J122" s="247">
        <v>1651473</v>
      </c>
      <c r="K122" s="247">
        <v>0</v>
      </c>
    </row>
    <row r="123" spans="1:11" s="16" customFormat="1">
      <c r="A123" s="217" t="s">
        <v>350</v>
      </c>
      <c r="B123" s="218">
        <f>B98-B121</f>
        <v>2013840</v>
      </c>
      <c r="C123" s="218">
        <v>10272626</v>
      </c>
      <c r="D123" s="218">
        <v>6468972</v>
      </c>
      <c r="E123" s="218">
        <v>9860815</v>
      </c>
      <c r="F123" s="218">
        <v>10693433</v>
      </c>
      <c r="G123" s="218">
        <v>8566744</v>
      </c>
      <c r="H123" s="218">
        <v>8189430</v>
      </c>
      <c r="I123" s="218">
        <v>8260985</v>
      </c>
      <c r="J123" s="218">
        <v>6097906</v>
      </c>
      <c r="K123" s="218">
        <v>0</v>
      </c>
    </row>
    <row r="124" spans="1:11" s="16" customFormat="1">
      <c r="A124" s="217"/>
      <c r="B124" s="247">
        <f>C124+B123</f>
        <v>70424751</v>
      </c>
      <c r="C124" s="247">
        <v>68410911</v>
      </c>
      <c r="D124" s="247">
        <v>58138285</v>
      </c>
      <c r="E124" s="247">
        <v>51669313</v>
      </c>
      <c r="F124" s="247">
        <v>41808498</v>
      </c>
      <c r="G124" s="247">
        <v>31115065</v>
      </c>
      <c r="H124" s="247">
        <v>22548321</v>
      </c>
      <c r="I124" s="247">
        <v>14358891</v>
      </c>
      <c r="J124" s="247">
        <v>6097906</v>
      </c>
      <c r="K124" s="247">
        <v>0</v>
      </c>
    </row>
    <row r="125" spans="1:11" s="1100" customFormat="1">
      <c r="A125" s="1327"/>
      <c r="B125" s="1328"/>
      <c r="C125" s="1328"/>
      <c r="D125" s="1328"/>
      <c r="E125" s="1328"/>
      <c r="F125" s="1328"/>
      <c r="G125" s="1328"/>
      <c r="H125" s="1328"/>
      <c r="I125" s="1328"/>
      <c r="J125" s="1328"/>
      <c r="K125" s="1328"/>
    </row>
    <row r="126" spans="1:11">
      <c r="A126" s="201" t="s">
        <v>845</v>
      </c>
      <c r="B126" s="206">
        <f>SEPT!C361</f>
        <v>0</v>
      </c>
      <c r="C126" s="206"/>
      <c r="D126" s="206"/>
      <c r="E126" s="206"/>
      <c r="F126" s="206"/>
      <c r="G126" s="206"/>
      <c r="H126" s="206"/>
      <c r="I126" s="206"/>
      <c r="J126" s="206"/>
      <c r="K126" s="206">
        <v>0</v>
      </c>
    </row>
    <row r="127" spans="1:11" s="16" customFormat="1">
      <c r="A127" s="202"/>
      <c r="B127" s="247">
        <f>C127+B126</f>
        <v>0</v>
      </c>
      <c r="C127" s="247"/>
      <c r="D127" s="247"/>
      <c r="E127" s="247"/>
      <c r="F127" s="247"/>
      <c r="G127" s="247"/>
      <c r="H127" s="247"/>
      <c r="I127" s="247"/>
      <c r="J127" s="247"/>
      <c r="K127" s="247">
        <v>0</v>
      </c>
    </row>
    <row r="128" spans="1:11" s="16" customFormat="1">
      <c r="A128" s="214" t="s">
        <v>100</v>
      </c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</row>
    <row r="129" spans="1:11" s="16" customFormat="1">
      <c r="A129" s="215" t="s">
        <v>337</v>
      </c>
      <c r="B129" s="206">
        <f>SEPT!C364</f>
        <v>0</v>
      </c>
      <c r="C129" s="206"/>
      <c r="D129" s="206"/>
      <c r="E129" s="206"/>
      <c r="F129" s="206"/>
      <c r="G129" s="206"/>
      <c r="H129" s="206"/>
      <c r="I129" s="206"/>
      <c r="J129" s="206"/>
      <c r="K129" s="206">
        <v>0</v>
      </c>
    </row>
    <row r="130" spans="1:11" s="16" customFormat="1">
      <c r="A130" s="215"/>
      <c r="B130" s="247">
        <f>C130+B129</f>
        <v>0</v>
      </c>
      <c r="C130" s="247"/>
      <c r="D130" s="247"/>
      <c r="E130" s="247"/>
      <c r="F130" s="247"/>
      <c r="G130" s="247"/>
      <c r="H130" s="247"/>
      <c r="I130" s="247"/>
      <c r="J130" s="247"/>
      <c r="K130" s="247">
        <v>0</v>
      </c>
    </row>
    <row r="131" spans="1:11" s="16" customFormat="1">
      <c r="A131" s="215" t="s">
        <v>353</v>
      </c>
      <c r="B131" s="206">
        <f>SEPT!C366</f>
        <v>0</v>
      </c>
      <c r="C131" s="206"/>
      <c r="D131" s="206"/>
      <c r="E131" s="206"/>
      <c r="F131" s="206"/>
      <c r="G131" s="206"/>
      <c r="H131" s="206"/>
      <c r="I131" s="206"/>
      <c r="J131" s="206"/>
      <c r="K131" s="206">
        <v>0</v>
      </c>
    </row>
    <row r="132" spans="1:11" s="16" customFormat="1">
      <c r="A132" s="215"/>
      <c r="B132" s="247">
        <f>C132+B131</f>
        <v>0</v>
      </c>
      <c r="C132" s="247"/>
      <c r="D132" s="247"/>
      <c r="E132" s="247"/>
      <c r="F132" s="247"/>
      <c r="G132" s="247"/>
      <c r="H132" s="247"/>
      <c r="I132" s="247"/>
      <c r="J132" s="247"/>
      <c r="K132" s="247">
        <v>0</v>
      </c>
    </row>
    <row r="133" spans="1:11" s="16" customFormat="1">
      <c r="A133" s="215" t="s">
        <v>245</v>
      </c>
      <c r="B133" s="206">
        <f>SEPT!C368</f>
        <v>0</v>
      </c>
      <c r="C133" s="206"/>
      <c r="D133" s="206"/>
      <c r="E133" s="206"/>
      <c r="F133" s="206"/>
      <c r="G133" s="206"/>
      <c r="H133" s="206"/>
      <c r="I133" s="206"/>
      <c r="J133" s="206"/>
      <c r="K133" s="206">
        <v>0</v>
      </c>
    </row>
    <row r="134" spans="1:11" s="16" customFormat="1">
      <c r="A134" s="215"/>
      <c r="B134" s="247">
        <f>C134+B133</f>
        <v>0</v>
      </c>
      <c r="C134" s="247"/>
      <c r="D134" s="247"/>
      <c r="E134" s="247"/>
      <c r="F134" s="247"/>
      <c r="G134" s="247"/>
      <c r="H134" s="247"/>
      <c r="I134" s="247"/>
      <c r="J134" s="247"/>
      <c r="K134" s="247">
        <v>0</v>
      </c>
    </row>
    <row r="135" spans="1:11" s="16" customFormat="1">
      <c r="A135" s="215" t="s">
        <v>349</v>
      </c>
      <c r="B135" s="220">
        <f>SEPT!C370</f>
        <v>0</v>
      </c>
      <c r="C135" s="220"/>
      <c r="D135" s="220"/>
      <c r="E135" s="220"/>
      <c r="F135" s="220"/>
      <c r="G135" s="220"/>
      <c r="H135" s="220"/>
      <c r="I135" s="220"/>
      <c r="J135" s="220"/>
      <c r="K135" s="220">
        <v>0</v>
      </c>
    </row>
    <row r="136" spans="1:11" s="16" customFormat="1">
      <c r="A136" s="215"/>
      <c r="B136" s="247">
        <f>C136+B135</f>
        <v>0</v>
      </c>
      <c r="C136" s="247"/>
      <c r="D136" s="247"/>
      <c r="E136" s="247"/>
      <c r="F136" s="247"/>
      <c r="G136" s="247"/>
      <c r="H136" s="247"/>
      <c r="I136" s="247"/>
      <c r="J136" s="247"/>
      <c r="K136" s="247">
        <v>0</v>
      </c>
    </row>
    <row r="137" spans="1:11" s="16" customFormat="1">
      <c r="A137" s="215" t="s">
        <v>247</v>
      </c>
      <c r="B137" s="220">
        <f>SEPT!C372</f>
        <v>0</v>
      </c>
      <c r="C137" s="220"/>
      <c r="D137" s="220"/>
      <c r="E137" s="220"/>
      <c r="F137" s="220"/>
      <c r="G137" s="220"/>
      <c r="H137" s="220"/>
      <c r="I137" s="220"/>
      <c r="J137" s="220"/>
      <c r="K137" s="220">
        <v>0</v>
      </c>
    </row>
    <row r="138" spans="1:11" s="16" customFormat="1">
      <c r="A138" s="215"/>
      <c r="B138" s="247">
        <f>C138+B137</f>
        <v>0</v>
      </c>
      <c r="C138" s="247"/>
      <c r="D138" s="247"/>
      <c r="E138" s="247"/>
      <c r="F138" s="247"/>
      <c r="G138" s="247"/>
      <c r="H138" s="247"/>
      <c r="I138" s="247"/>
      <c r="J138" s="247"/>
      <c r="K138" s="247">
        <v>0</v>
      </c>
    </row>
    <row r="139" spans="1:11" s="16" customFormat="1">
      <c r="A139" s="215" t="s">
        <v>187</v>
      </c>
      <c r="B139" s="206">
        <f>SEPT!C374</f>
        <v>0</v>
      </c>
      <c r="C139" s="206"/>
      <c r="D139" s="206"/>
      <c r="E139" s="206"/>
      <c r="F139" s="206"/>
      <c r="G139" s="206"/>
      <c r="H139" s="206"/>
      <c r="I139" s="206"/>
      <c r="J139" s="206"/>
      <c r="K139" s="206">
        <v>0</v>
      </c>
    </row>
    <row r="140" spans="1:11" s="16" customFormat="1">
      <c r="A140" s="215"/>
      <c r="B140" s="247">
        <f>C140+B139</f>
        <v>0</v>
      </c>
      <c r="C140" s="247"/>
      <c r="D140" s="247"/>
      <c r="E140" s="247"/>
      <c r="F140" s="247"/>
      <c r="G140" s="247"/>
      <c r="H140" s="247"/>
      <c r="I140" s="247"/>
      <c r="J140" s="247"/>
      <c r="K140" s="247">
        <v>0</v>
      </c>
    </row>
    <row r="141" spans="1:11" s="16" customFormat="1">
      <c r="A141" s="215" t="s">
        <v>246</v>
      </c>
      <c r="B141" s="206">
        <f>SEPT!C376</f>
        <v>0</v>
      </c>
      <c r="C141" s="206"/>
      <c r="D141" s="206"/>
      <c r="E141" s="206"/>
      <c r="F141" s="206"/>
      <c r="G141" s="206"/>
      <c r="H141" s="206"/>
      <c r="I141" s="206"/>
      <c r="J141" s="206"/>
      <c r="K141" s="206">
        <v>0</v>
      </c>
    </row>
    <row r="142" spans="1:11" s="16" customFormat="1">
      <c r="A142" s="215"/>
      <c r="B142" s="247">
        <f>C142+B141</f>
        <v>0</v>
      </c>
      <c r="C142" s="247"/>
      <c r="D142" s="247"/>
      <c r="E142" s="247"/>
      <c r="F142" s="247"/>
      <c r="G142" s="247"/>
      <c r="H142" s="247"/>
      <c r="I142" s="247"/>
      <c r="J142" s="247"/>
      <c r="K142" s="247">
        <v>0</v>
      </c>
    </row>
    <row r="143" spans="1:11" s="16" customFormat="1">
      <c r="A143" s="215" t="s">
        <v>334</v>
      </c>
      <c r="B143" s="206">
        <f>SEPT!C378</f>
        <v>0</v>
      </c>
      <c r="C143" s="206"/>
      <c r="D143" s="206"/>
      <c r="E143" s="206"/>
      <c r="F143" s="206"/>
      <c r="G143" s="206"/>
      <c r="H143" s="206"/>
      <c r="I143" s="206"/>
      <c r="J143" s="206"/>
      <c r="K143" s="206">
        <v>0</v>
      </c>
    </row>
    <row r="144" spans="1:11" s="16" customFormat="1">
      <c r="A144" s="215"/>
      <c r="B144" s="247">
        <f>C144+B143</f>
        <v>0</v>
      </c>
      <c r="C144" s="247"/>
      <c r="D144" s="247"/>
      <c r="E144" s="247"/>
      <c r="F144" s="247"/>
      <c r="G144" s="247"/>
      <c r="H144" s="247"/>
      <c r="I144" s="247"/>
      <c r="J144" s="247"/>
      <c r="K144" s="247">
        <v>0</v>
      </c>
    </row>
    <row r="145" spans="1:11" s="16" customFormat="1">
      <c r="A145" s="215" t="s">
        <v>180</v>
      </c>
      <c r="B145" s="204">
        <f>SEPT!C382</f>
        <v>0</v>
      </c>
      <c r="C145" s="204"/>
      <c r="D145" s="204"/>
      <c r="E145" s="204"/>
      <c r="F145" s="204"/>
      <c r="G145" s="204"/>
      <c r="H145" s="204"/>
      <c r="I145" s="204"/>
      <c r="J145" s="204"/>
      <c r="K145" s="204"/>
    </row>
    <row r="146" spans="1:11" s="16" customFormat="1">
      <c r="A146" s="215"/>
      <c r="B146" s="247">
        <f>C146+B145</f>
        <v>0</v>
      </c>
      <c r="C146" s="247"/>
      <c r="D146" s="247"/>
      <c r="E146" s="247"/>
      <c r="F146" s="247"/>
      <c r="G146" s="247"/>
      <c r="H146" s="247"/>
      <c r="I146" s="247"/>
      <c r="J146" s="247"/>
      <c r="K146" s="247"/>
    </row>
    <row r="147" spans="1:11" s="16" customFormat="1">
      <c r="A147" s="215" t="s">
        <v>27</v>
      </c>
      <c r="B147" s="206">
        <f>SEPT!C380</f>
        <v>0</v>
      </c>
      <c r="C147" s="206"/>
      <c r="D147" s="206"/>
      <c r="E147" s="206"/>
      <c r="F147" s="206"/>
      <c r="G147" s="206"/>
      <c r="H147" s="206"/>
      <c r="I147" s="206"/>
      <c r="J147" s="206"/>
      <c r="K147" s="206">
        <v>0</v>
      </c>
    </row>
    <row r="148" spans="1:11" s="16" customFormat="1">
      <c r="A148" s="215"/>
      <c r="B148" s="247">
        <f>C148+B147</f>
        <v>0</v>
      </c>
      <c r="C148" s="247"/>
      <c r="D148" s="247"/>
      <c r="E148" s="247"/>
      <c r="F148" s="247"/>
      <c r="G148" s="247"/>
      <c r="H148" s="247"/>
      <c r="I148" s="247"/>
      <c r="J148" s="247"/>
      <c r="K148" s="247">
        <v>0</v>
      </c>
    </row>
    <row r="149" spans="1:11" s="16" customFormat="1">
      <c r="A149" s="215" t="s">
        <v>59</v>
      </c>
      <c r="B149" s="206">
        <f>B129+B131+B133+B135+B137+B139+B141+B143+B147+B145</f>
        <v>0</v>
      </c>
      <c r="C149" s="206"/>
      <c r="D149" s="206"/>
      <c r="E149" s="206"/>
      <c r="F149" s="206"/>
      <c r="G149" s="206"/>
      <c r="H149" s="206"/>
      <c r="I149" s="206"/>
      <c r="J149" s="206"/>
      <c r="K149" s="206">
        <v>0</v>
      </c>
    </row>
    <row r="150" spans="1:11" s="16" customFormat="1">
      <c r="A150" s="202"/>
      <c r="B150" s="247">
        <f>C150+B149</f>
        <v>0</v>
      </c>
      <c r="C150" s="247"/>
      <c r="D150" s="247"/>
      <c r="E150" s="247"/>
      <c r="F150" s="247"/>
      <c r="G150" s="247"/>
      <c r="H150" s="247"/>
      <c r="I150" s="247"/>
      <c r="J150" s="247"/>
      <c r="K150" s="247">
        <v>0</v>
      </c>
    </row>
    <row r="151" spans="1:11" s="16" customFormat="1">
      <c r="A151" s="217" t="s">
        <v>350</v>
      </c>
      <c r="B151" s="218">
        <f>B126-B149</f>
        <v>0</v>
      </c>
      <c r="C151" s="218"/>
      <c r="D151" s="218"/>
      <c r="E151" s="218"/>
      <c r="F151" s="218"/>
      <c r="G151" s="218"/>
      <c r="H151" s="218"/>
      <c r="I151" s="218"/>
      <c r="J151" s="218"/>
      <c r="K151" s="218">
        <v>0</v>
      </c>
    </row>
    <row r="152" spans="1:11" s="16" customFormat="1">
      <c r="A152" s="217"/>
      <c r="B152" s="247">
        <f>C152+B151</f>
        <v>0</v>
      </c>
      <c r="C152" s="247"/>
      <c r="D152" s="247"/>
      <c r="E152" s="247"/>
      <c r="F152" s="247"/>
      <c r="G152" s="247"/>
      <c r="H152" s="247"/>
      <c r="I152" s="247"/>
      <c r="J152" s="247"/>
      <c r="K152" s="247">
        <v>0</v>
      </c>
    </row>
    <row r="153" spans="1:11" s="1100" customFormat="1">
      <c r="A153" s="1327"/>
      <c r="B153" s="1328"/>
      <c r="C153" s="1328"/>
      <c r="D153" s="1328"/>
      <c r="E153" s="1328"/>
      <c r="F153" s="1328"/>
      <c r="G153" s="1328"/>
      <c r="H153" s="1328"/>
      <c r="I153" s="1328"/>
      <c r="J153" s="1328"/>
      <c r="K153" s="1328"/>
    </row>
    <row r="154" spans="1:11">
      <c r="A154" s="201" t="s">
        <v>845</v>
      </c>
      <c r="B154" s="206">
        <f>SEPT!C389</f>
        <v>0</v>
      </c>
      <c r="C154" s="206"/>
      <c r="D154" s="206"/>
      <c r="E154" s="206"/>
      <c r="F154" s="206"/>
      <c r="G154" s="206"/>
      <c r="H154" s="206"/>
      <c r="I154" s="206"/>
      <c r="J154" s="206"/>
      <c r="K154" s="206">
        <v>0</v>
      </c>
    </row>
    <row r="155" spans="1:11" s="16" customFormat="1">
      <c r="A155" s="202"/>
      <c r="B155" s="247">
        <f>C155+B154</f>
        <v>0</v>
      </c>
      <c r="C155" s="247"/>
      <c r="D155" s="247"/>
      <c r="E155" s="247"/>
      <c r="F155" s="247"/>
      <c r="G155" s="247"/>
      <c r="H155" s="247"/>
      <c r="I155" s="247"/>
      <c r="J155" s="247"/>
      <c r="K155" s="247">
        <v>0</v>
      </c>
    </row>
    <row r="156" spans="1:11" s="16" customFormat="1">
      <c r="A156" s="214" t="s">
        <v>100</v>
      </c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</row>
    <row r="157" spans="1:11" s="16" customFormat="1">
      <c r="A157" s="215" t="s">
        <v>337</v>
      </c>
      <c r="B157" s="206">
        <f>SEPT!C392</f>
        <v>0</v>
      </c>
      <c r="C157" s="206"/>
      <c r="D157" s="206"/>
      <c r="E157" s="206"/>
      <c r="F157" s="206"/>
      <c r="G157" s="206"/>
      <c r="H157" s="206"/>
      <c r="I157" s="206"/>
      <c r="J157" s="206"/>
      <c r="K157" s="206">
        <v>0</v>
      </c>
    </row>
    <row r="158" spans="1:11" s="16" customFormat="1">
      <c r="A158" s="215"/>
      <c r="B158" s="247">
        <f>C158+B157</f>
        <v>0</v>
      </c>
      <c r="C158" s="247"/>
      <c r="D158" s="247"/>
      <c r="E158" s="247"/>
      <c r="F158" s="247"/>
      <c r="G158" s="247"/>
      <c r="H158" s="247"/>
      <c r="I158" s="247"/>
      <c r="J158" s="247"/>
      <c r="K158" s="247">
        <v>0</v>
      </c>
    </row>
    <row r="159" spans="1:11" s="16" customFormat="1">
      <c r="A159" s="215" t="s">
        <v>353</v>
      </c>
      <c r="B159" s="206">
        <f>SEPT!C392</f>
        <v>0</v>
      </c>
      <c r="C159" s="206"/>
      <c r="D159" s="206"/>
      <c r="E159" s="206"/>
      <c r="F159" s="206"/>
      <c r="G159" s="206"/>
      <c r="H159" s="206"/>
      <c r="I159" s="206"/>
      <c r="J159" s="206"/>
      <c r="K159" s="206">
        <v>0</v>
      </c>
    </row>
    <row r="160" spans="1:11" s="16" customFormat="1">
      <c r="A160" s="215"/>
      <c r="B160" s="247">
        <f>C160+B159</f>
        <v>0</v>
      </c>
      <c r="C160" s="247"/>
      <c r="D160" s="247"/>
      <c r="E160" s="247"/>
      <c r="F160" s="247"/>
      <c r="G160" s="247"/>
      <c r="H160" s="247"/>
      <c r="I160" s="247"/>
      <c r="J160" s="247"/>
      <c r="K160" s="247">
        <v>0</v>
      </c>
    </row>
    <row r="161" spans="1:11" s="16" customFormat="1">
      <c r="A161" s="215" t="s">
        <v>245</v>
      </c>
      <c r="B161" s="206">
        <f>SEPT!C396</f>
        <v>0</v>
      </c>
      <c r="C161" s="206"/>
      <c r="D161" s="206"/>
      <c r="E161" s="206"/>
      <c r="F161" s="206"/>
      <c r="G161" s="206"/>
      <c r="H161" s="206"/>
      <c r="I161" s="206"/>
      <c r="J161" s="206"/>
      <c r="K161" s="206">
        <v>0</v>
      </c>
    </row>
    <row r="162" spans="1:11" s="16" customFormat="1">
      <c r="A162" s="215"/>
      <c r="B162" s="247">
        <f>C162+B161</f>
        <v>0</v>
      </c>
      <c r="C162" s="247"/>
      <c r="D162" s="247"/>
      <c r="E162" s="247"/>
      <c r="F162" s="247"/>
      <c r="G162" s="247"/>
      <c r="H162" s="247"/>
      <c r="I162" s="247"/>
      <c r="J162" s="247"/>
      <c r="K162" s="247">
        <v>0</v>
      </c>
    </row>
    <row r="163" spans="1:11" s="16" customFormat="1">
      <c r="A163" s="215" t="s">
        <v>349</v>
      </c>
      <c r="B163" s="220">
        <f>SEPT!C398</f>
        <v>0</v>
      </c>
      <c r="C163" s="220"/>
      <c r="D163" s="220"/>
      <c r="E163" s="220"/>
      <c r="F163" s="220"/>
      <c r="G163" s="220"/>
      <c r="H163" s="220"/>
      <c r="I163" s="220"/>
      <c r="J163" s="220"/>
      <c r="K163" s="220">
        <v>0</v>
      </c>
    </row>
    <row r="164" spans="1:11" s="16" customFormat="1">
      <c r="A164" s="215"/>
      <c r="B164" s="247">
        <f>C164+B163</f>
        <v>0</v>
      </c>
      <c r="C164" s="247"/>
      <c r="D164" s="247"/>
      <c r="E164" s="247"/>
      <c r="F164" s="247"/>
      <c r="G164" s="247"/>
      <c r="H164" s="247"/>
      <c r="I164" s="247"/>
      <c r="J164" s="247"/>
      <c r="K164" s="247">
        <v>0</v>
      </c>
    </row>
    <row r="165" spans="1:11" s="16" customFormat="1">
      <c r="A165" s="215" t="s">
        <v>247</v>
      </c>
      <c r="B165" s="220">
        <f>SEPT!C400</f>
        <v>0</v>
      </c>
      <c r="C165" s="220"/>
      <c r="D165" s="220"/>
      <c r="E165" s="220"/>
      <c r="F165" s="220"/>
      <c r="G165" s="220"/>
      <c r="H165" s="220"/>
      <c r="I165" s="220"/>
      <c r="J165" s="220"/>
      <c r="K165" s="220">
        <v>0</v>
      </c>
    </row>
    <row r="166" spans="1:11" s="16" customFormat="1">
      <c r="A166" s="215"/>
      <c r="B166" s="247">
        <f>C166+B165</f>
        <v>0</v>
      </c>
      <c r="C166" s="247"/>
      <c r="D166" s="247"/>
      <c r="E166" s="247"/>
      <c r="F166" s="247"/>
      <c r="G166" s="247"/>
      <c r="H166" s="247"/>
      <c r="I166" s="247"/>
      <c r="J166" s="247"/>
      <c r="K166" s="247">
        <v>0</v>
      </c>
    </row>
    <row r="167" spans="1:11" s="16" customFormat="1">
      <c r="A167" s="215" t="s">
        <v>187</v>
      </c>
      <c r="B167" s="206">
        <f>SEPT!C402</f>
        <v>0</v>
      </c>
      <c r="C167" s="206"/>
      <c r="D167" s="206"/>
      <c r="E167" s="206"/>
      <c r="F167" s="206"/>
      <c r="G167" s="206"/>
      <c r="H167" s="206"/>
      <c r="I167" s="206"/>
      <c r="J167" s="206"/>
      <c r="K167" s="206">
        <v>0</v>
      </c>
    </row>
    <row r="168" spans="1:11" s="16" customFormat="1">
      <c r="A168" s="215"/>
      <c r="B168" s="247">
        <f>C168+B167</f>
        <v>0</v>
      </c>
      <c r="C168" s="247"/>
      <c r="D168" s="247"/>
      <c r="E168" s="247"/>
      <c r="F168" s="247"/>
      <c r="G168" s="247"/>
      <c r="H168" s="247"/>
      <c r="I168" s="247"/>
      <c r="J168" s="247"/>
      <c r="K168" s="247">
        <v>0</v>
      </c>
    </row>
    <row r="169" spans="1:11" s="16" customFormat="1">
      <c r="A169" s="215" t="s">
        <v>246</v>
      </c>
      <c r="B169" s="206">
        <f>SEPT!C404</f>
        <v>0</v>
      </c>
      <c r="C169" s="206"/>
      <c r="D169" s="206"/>
      <c r="E169" s="206"/>
      <c r="F169" s="206"/>
      <c r="G169" s="206"/>
      <c r="H169" s="206"/>
      <c r="I169" s="206"/>
      <c r="J169" s="206"/>
      <c r="K169" s="206">
        <v>0</v>
      </c>
    </row>
    <row r="170" spans="1:11" s="16" customFormat="1">
      <c r="A170" s="215"/>
      <c r="B170" s="247">
        <f>C170+B169</f>
        <v>0</v>
      </c>
      <c r="C170" s="247"/>
      <c r="D170" s="247"/>
      <c r="E170" s="247"/>
      <c r="F170" s="247"/>
      <c r="G170" s="247"/>
      <c r="H170" s="247"/>
      <c r="I170" s="247"/>
      <c r="J170" s="247"/>
      <c r="K170" s="247">
        <v>0</v>
      </c>
    </row>
    <row r="171" spans="1:11" s="16" customFormat="1">
      <c r="A171" s="215" t="s">
        <v>334</v>
      </c>
      <c r="B171" s="206">
        <f>SEPT!C406</f>
        <v>0</v>
      </c>
      <c r="C171" s="206"/>
      <c r="D171" s="206"/>
      <c r="E171" s="206"/>
      <c r="F171" s="206"/>
      <c r="G171" s="206"/>
      <c r="H171" s="206"/>
      <c r="I171" s="206"/>
      <c r="J171" s="206"/>
      <c r="K171" s="206">
        <v>0</v>
      </c>
    </row>
    <row r="172" spans="1:11" s="16" customFormat="1">
      <c r="A172" s="215"/>
      <c r="B172" s="247">
        <f>C172+B171</f>
        <v>0</v>
      </c>
      <c r="C172" s="247"/>
      <c r="D172" s="247"/>
      <c r="E172" s="247"/>
      <c r="F172" s="247"/>
      <c r="G172" s="247"/>
      <c r="H172" s="247"/>
      <c r="I172" s="247"/>
      <c r="J172" s="247"/>
      <c r="K172" s="247">
        <v>0</v>
      </c>
    </row>
    <row r="173" spans="1:11" s="16" customFormat="1">
      <c r="A173" s="215" t="s">
        <v>180</v>
      </c>
      <c r="B173" s="204">
        <f>SEPT!C410</f>
        <v>0</v>
      </c>
      <c r="C173" s="204"/>
      <c r="D173" s="204"/>
      <c r="E173" s="204"/>
      <c r="F173" s="204"/>
      <c r="G173" s="204"/>
      <c r="H173" s="204"/>
      <c r="I173" s="204"/>
      <c r="J173" s="204"/>
      <c r="K173" s="204"/>
    </row>
    <row r="174" spans="1:11" s="16" customFormat="1">
      <c r="A174" s="215"/>
      <c r="B174" s="247">
        <f>C174+B173</f>
        <v>0</v>
      </c>
      <c r="C174" s="247"/>
      <c r="D174" s="247"/>
      <c r="E174" s="247"/>
      <c r="F174" s="247"/>
      <c r="G174" s="247"/>
      <c r="H174" s="247"/>
      <c r="I174" s="247"/>
      <c r="J174" s="247"/>
      <c r="K174" s="247"/>
    </row>
    <row r="175" spans="1:11" s="16" customFormat="1">
      <c r="A175" s="215" t="s">
        <v>27</v>
      </c>
      <c r="B175" s="206">
        <f>SEPT!C408</f>
        <v>0</v>
      </c>
      <c r="C175" s="206"/>
      <c r="D175" s="206"/>
      <c r="E175" s="206"/>
      <c r="F175" s="206"/>
      <c r="G175" s="206"/>
      <c r="H175" s="206"/>
      <c r="I175" s="206"/>
      <c r="J175" s="206"/>
      <c r="K175" s="206">
        <v>0</v>
      </c>
    </row>
    <row r="176" spans="1:11" s="16" customFormat="1">
      <c r="A176" s="215"/>
      <c r="B176" s="247">
        <f>C176+B175</f>
        <v>0</v>
      </c>
      <c r="C176" s="247"/>
      <c r="D176" s="247"/>
      <c r="E176" s="247"/>
      <c r="F176" s="247"/>
      <c r="G176" s="247"/>
      <c r="H176" s="247"/>
      <c r="I176" s="247"/>
      <c r="J176" s="247"/>
      <c r="K176" s="247">
        <v>0</v>
      </c>
    </row>
    <row r="177" spans="1:11" s="16" customFormat="1">
      <c r="A177" s="215" t="s">
        <v>59</v>
      </c>
      <c r="B177" s="206">
        <f>B157+B159+B161+B163+B165+B167+B169+B171+B175+B173</f>
        <v>0</v>
      </c>
      <c r="C177" s="206"/>
      <c r="D177" s="206"/>
      <c r="E177" s="206"/>
      <c r="F177" s="206"/>
      <c r="G177" s="206"/>
      <c r="H177" s="206"/>
      <c r="I177" s="206"/>
      <c r="J177" s="206"/>
      <c r="K177" s="206">
        <v>0</v>
      </c>
    </row>
    <row r="178" spans="1:11" s="16" customFormat="1">
      <c r="A178" s="202"/>
      <c r="B178" s="247">
        <f>C178+B177</f>
        <v>0</v>
      </c>
      <c r="C178" s="247"/>
      <c r="D178" s="247"/>
      <c r="E178" s="247"/>
      <c r="F178" s="247"/>
      <c r="G178" s="247"/>
      <c r="H178" s="247"/>
      <c r="I178" s="247"/>
      <c r="J178" s="247"/>
      <c r="K178" s="247">
        <v>0</v>
      </c>
    </row>
    <row r="179" spans="1:11" s="16" customFormat="1">
      <c r="A179" s="217" t="s">
        <v>350</v>
      </c>
      <c r="B179" s="218">
        <f>B154-B177</f>
        <v>0</v>
      </c>
      <c r="C179" s="218"/>
      <c r="D179" s="218"/>
      <c r="E179" s="218"/>
      <c r="F179" s="218"/>
      <c r="G179" s="218"/>
      <c r="H179" s="218"/>
      <c r="I179" s="218"/>
      <c r="J179" s="218"/>
      <c r="K179" s="218">
        <v>0</v>
      </c>
    </row>
    <row r="180" spans="1:11" s="16" customFormat="1">
      <c r="A180" s="217"/>
      <c r="B180" s="247">
        <f>C180+B179</f>
        <v>0</v>
      </c>
      <c r="C180" s="247"/>
      <c r="D180" s="247"/>
      <c r="E180" s="247"/>
      <c r="F180" s="247"/>
      <c r="G180" s="247"/>
      <c r="H180" s="247"/>
      <c r="I180" s="247"/>
      <c r="J180" s="247"/>
      <c r="K180" s="247">
        <v>0</v>
      </c>
    </row>
    <row r="181" spans="1:11" s="1100" customFormat="1">
      <c r="A181" s="1327"/>
      <c r="B181" s="1328"/>
      <c r="C181" s="1328"/>
      <c r="D181" s="1328"/>
      <c r="E181" s="1328"/>
      <c r="F181" s="1328"/>
      <c r="G181" s="1328"/>
      <c r="H181" s="1328"/>
      <c r="I181" s="1328"/>
      <c r="J181" s="1328"/>
      <c r="K181" s="1328"/>
    </row>
    <row r="182" spans="1:11" s="16" customFormat="1">
      <c r="A182" s="219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</row>
    <row r="183" spans="1:11" s="16" customFormat="1">
      <c r="A183" s="202" t="s">
        <v>24</v>
      </c>
      <c r="B183" s="204">
        <f>SEPT!C417</f>
        <v>19500</v>
      </c>
      <c r="C183" s="204">
        <v>-9384</v>
      </c>
      <c r="D183" s="204">
        <v>118626</v>
      </c>
      <c r="E183" s="204">
        <v>-69580</v>
      </c>
      <c r="F183" s="204">
        <v>-81000</v>
      </c>
      <c r="G183" s="204">
        <v>-48500</v>
      </c>
      <c r="H183" s="204">
        <v>-90386</v>
      </c>
      <c r="I183" s="204"/>
      <c r="J183" s="204"/>
      <c r="K183" s="204"/>
    </row>
    <row r="184" spans="1:11" s="16" customFormat="1">
      <c r="A184" s="202"/>
      <c r="B184" s="247">
        <f>C184+B183</f>
        <v>-160724</v>
      </c>
      <c r="C184" s="247">
        <v>-180224</v>
      </c>
      <c r="D184" s="247">
        <v>-170840</v>
      </c>
      <c r="E184" s="247">
        <v>-289466</v>
      </c>
      <c r="F184" s="247">
        <v>-219886</v>
      </c>
      <c r="G184" s="247">
        <v>-138886</v>
      </c>
      <c r="H184" s="247">
        <v>-90386</v>
      </c>
      <c r="I184" s="247"/>
      <c r="J184" s="247"/>
      <c r="K184" s="247"/>
    </row>
    <row r="185" spans="1:11" s="16" customFormat="1">
      <c r="A185" s="219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</row>
    <row r="186" spans="1:11" s="54" customFormat="1" ht="18">
      <c r="A186" s="207" t="s">
        <v>149</v>
      </c>
      <c r="B186" s="208">
        <f>B14+B42+B70+B98+B126+B154+B183</f>
        <v>8163595</v>
      </c>
      <c r="C186" s="208">
        <v>48944938</v>
      </c>
      <c r="D186" s="208">
        <v>39108568</v>
      </c>
      <c r="E186" s="208">
        <v>45581677</v>
      </c>
      <c r="F186" s="208">
        <v>54653318</v>
      </c>
      <c r="G186" s="208">
        <v>43739549</v>
      </c>
      <c r="H186" s="208">
        <v>44028283</v>
      </c>
      <c r="I186" s="208">
        <v>46969272</v>
      </c>
      <c r="J186" s="208">
        <v>35219631</v>
      </c>
      <c r="K186" s="208">
        <v>0</v>
      </c>
    </row>
    <row r="187" spans="1:11" s="2" customFormat="1" ht="18">
      <c r="A187" s="90" t="s">
        <v>48</v>
      </c>
      <c r="B187" s="115">
        <f>C187+B186</f>
        <v>366408831</v>
      </c>
      <c r="C187" s="115">
        <v>358245236</v>
      </c>
      <c r="D187" s="115">
        <v>309300298</v>
      </c>
      <c r="E187" s="115">
        <v>270191730</v>
      </c>
      <c r="F187" s="115">
        <v>224610053</v>
      </c>
      <c r="G187" s="115">
        <v>169956735</v>
      </c>
      <c r="H187" s="115">
        <v>126217186</v>
      </c>
      <c r="I187" s="115">
        <v>82188903</v>
      </c>
      <c r="J187" s="115">
        <v>35219631</v>
      </c>
      <c r="K187" s="115">
        <v>0</v>
      </c>
    </row>
    <row r="188" spans="1:11" ht="13.95" customHeight="1">
      <c r="A188" s="91"/>
      <c r="B188" s="46"/>
      <c r="C188" s="46"/>
      <c r="D188" s="46"/>
      <c r="E188" s="46"/>
      <c r="F188" s="46"/>
      <c r="G188" s="46"/>
      <c r="H188" s="46"/>
      <c r="I188" s="46"/>
      <c r="J188" s="46"/>
      <c r="K188" s="46"/>
    </row>
    <row r="189" spans="1:11" ht="16.95" customHeight="1">
      <c r="A189" s="226" t="s">
        <v>354</v>
      </c>
      <c r="B189" s="47">
        <f>B177+B149+B121+B93+B65+B37</f>
        <v>967399</v>
      </c>
      <c r="C189" s="47">
        <v>8576130</v>
      </c>
      <c r="D189" s="47">
        <v>19480248</v>
      </c>
      <c r="E189" s="47">
        <v>9196694</v>
      </c>
      <c r="F189" s="47">
        <v>14175801</v>
      </c>
      <c r="G189" s="47">
        <v>8623342</v>
      </c>
      <c r="H189" s="47">
        <v>11807922</v>
      </c>
      <c r="I189" s="47">
        <v>10553086</v>
      </c>
      <c r="J189" s="47">
        <v>10527776</v>
      </c>
      <c r="K189" s="47">
        <v>0</v>
      </c>
    </row>
    <row r="190" spans="1:11" ht="16.95" customHeight="1">
      <c r="A190" s="226"/>
      <c r="B190" s="235">
        <f>C190+B189</f>
        <v>93908398</v>
      </c>
      <c r="C190" s="235">
        <v>92940999</v>
      </c>
      <c r="D190" s="235">
        <v>84364869</v>
      </c>
      <c r="E190" s="235">
        <v>64884621</v>
      </c>
      <c r="F190" s="235">
        <v>55687927</v>
      </c>
      <c r="G190" s="235">
        <v>41512126</v>
      </c>
      <c r="H190" s="235">
        <v>32888784</v>
      </c>
      <c r="I190" s="235">
        <v>21080862</v>
      </c>
      <c r="J190" s="235">
        <v>10527776</v>
      </c>
      <c r="K190" s="235">
        <v>0</v>
      </c>
    </row>
    <row r="191" spans="1:11" ht="16.95" customHeight="1">
      <c r="A191" s="91"/>
      <c r="B191" s="46"/>
      <c r="C191" s="46"/>
      <c r="D191" s="46"/>
      <c r="E191" s="46"/>
      <c r="F191" s="46"/>
      <c r="G191" s="46"/>
      <c r="H191" s="46"/>
      <c r="I191" s="46"/>
      <c r="J191" s="46"/>
      <c r="K191" s="46"/>
    </row>
    <row r="192" spans="1:11" s="31" customFormat="1" ht="25.2" customHeight="1">
      <c r="A192" s="238" t="s">
        <v>352</v>
      </c>
      <c r="B192" s="239">
        <f>B186-B189</f>
        <v>7196196</v>
      </c>
      <c r="C192" s="239">
        <v>40368808</v>
      </c>
      <c r="D192" s="239">
        <v>19628320</v>
      </c>
      <c r="E192" s="239">
        <v>36384983</v>
      </c>
      <c r="F192" s="239">
        <v>40477517</v>
      </c>
      <c r="G192" s="239">
        <v>35116207</v>
      </c>
      <c r="H192" s="239">
        <v>32220361</v>
      </c>
      <c r="I192" s="239">
        <v>36416186</v>
      </c>
      <c r="J192" s="239">
        <v>24691855</v>
      </c>
      <c r="K192" s="239">
        <v>0</v>
      </c>
    </row>
    <row r="193" spans="1:11" s="31" customFormat="1" ht="25.2" customHeight="1">
      <c r="A193" s="238"/>
      <c r="B193" s="248">
        <f>C193+B192</f>
        <v>272500433</v>
      </c>
      <c r="C193" s="248">
        <v>265304237</v>
      </c>
      <c r="D193" s="248">
        <v>224935429</v>
      </c>
      <c r="E193" s="248">
        <v>205307109</v>
      </c>
      <c r="F193" s="248">
        <v>168922126</v>
      </c>
      <c r="G193" s="248">
        <v>128444609</v>
      </c>
      <c r="H193" s="248">
        <v>93328402</v>
      </c>
      <c r="I193" s="248">
        <v>61108041</v>
      </c>
      <c r="J193" s="248">
        <v>24691855</v>
      </c>
      <c r="K193" s="248">
        <v>0</v>
      </c>
    </row>
    <row r="194" spans="1:11" ht="17.399999999999999" customHeight="1">
      <c r="A194" s="91"/>
      <c r="B194" s="46"/>
      <c r="C194" s="46"/>
      <c r="D194" s="46"/>
      <c r="E194" s="46"/>
      <c r="F194" s="46"/>
      <c r="G194" s="46"/>
      <c r="H194" s="46"/>
      <c r="I194" s="46"/>
      <c r="J194" s="46"/>
      <c r="K194" s="46"/>
    </row>
    <row r="195" spans="1:11">
      <c r="A195" s="92" t="s">
        <v>84</v>
      </c>
      <c r="B195" s="47">
        <f>SEPT!C447</f>
        <v>0</v>
      </c>
      <c r="C195" s="47">
        <v>0</v>
      </c>
      <c r="D195" s="47">
        <v>0</v>
      </c>
      <c r="E195" s="47">
        <v>0</v>
      </c>
      <c r="F195" s="47">
        <v>261000</v>
      </c>
      <c r="G195" s="47">
        <v>0</v>
      </c>
      <c r="H195" s="47">
        <v>0</v>
      </c>
      <c r="I195" s="47">
        <v>0</v>
      </c>
      <c r="J195" s="47">
        <v>0</v>
      </c>
      <c r="K195" s="47">
        <v>0</v>
      </c>
    </row>
    <row r="196" spans="1:11" s="2" customFormat="1" ht="18.600000000000001" thickBot="1">
      <c r="A196" s="93" t="s">
        <v>85</v>
      </c>
      <c r="B196" s="114">
        <f>C196+B195</f>
        <v>261000</v>
      </c>
      <c r="C196" s="114">
        <v>261000</v>
      </c>
      <c r="D196" s="114">
        <v>261000</v>
      </c>
      <c r="E196" s="114">
        <v>261000</v>
      </c>
      <c r="F196" s="114">
        <v>261000</v>
      </c>
      <c r="G196" s="114">
        <v>0</v>
      </c>
      <c r="H196" s="114">
        <v>0</v>
      </c>
      <c r="I196" s="114">
        <v>0</v>
      </c>
      <c r="J196" s="114">
        <v>0</v>
      </c>
      <c r="K196" s="114">
        <v>0</v>
      </c>
    </row>
    <row r="197" spans="1:11" ht="8.4" customHeight="1" thickTop="1">
      <c r="A197" s="5"/>
      <c r="B197" s="67"/>
      <c r="C197" s="67"/>
      <c r="D197" s="67"/>
      <c r="E197" s="67"/>
      <c r="F197" s="67"/>
      <c r="G197" s="67"/>
      <c r="H197" s="67"/>
      <c r="I197" s="67"/>
      <c r="J197" s="67"/>
      <c r="K197" s="67"/>
    </row>
    <row r="198" spans="1:11" ht="15.6" customHeight="1">
      <c r="A198" s="983" t="s">
        <v>576</v>
      </c>
      <c r="B198" s="984"/>
      <c r="C198" s="984"/>
      <c r="D198" s="984"/>
      <c r="E198" s="984"/>
      <c r="F198" s="984"/>
      <c r="G198" s="984"/>
      <c r="H198" s="984"/>
      <c r="I198" s="984"/>
      <c r="J198" s="984"/>
      <c r="K198" s="984"/>
    </row>
    <row r="199" spans="1:11" ht="15.6" customHeight="1">
      <c r="A199" t="s">
        <v>573</v>
      </c>
      <c r="B199" s="67">
        <f>SEPT!C451</f>
        <v>168000</v>
      </c>
      <c r="C199" s="67">
        <v>196000</v>
      </c>
      <c r="D199" s="67">
        <v>2631000</v>
      </c>
      <c r="E199" s="67">
        <v>500000</v>
      </c>
      <c r="F199" s="67">
        <v>5142000</v>
      </c>
      <c r="G199" s="67">
        <v>2981000</v>
      </c>
      <c r="H199" s="67">
        <v>12822537</v>
      </c>
      <c r="I199" s="67">
        <v>12102700</v>
      </c>
      <c r="J199" s="67">
        <v>12338500</v>
      </c>
      <c r="K199" s="67">
        <v>0</v>
      </c>
    </row>
    <row r="200" spans="1:11" ht="15.6" customHeight="1">
      <c r="A200" s="249" t="s">
        <v>13</v>
      </c>
      <c r="B200" s="981">
        <f>C200+B199</f>
        <v>48881737</v>
      </c>
      <c r="C200" s="981">
        <v>48713737</v>
      </c>
      <c r="D200" s="981">
        <v>48517737</v>
      </c>
      <c r="E200" s="981">
        <v>45886737</v>
      </c>
      <c r="F200" s="981">
        <v>45386737</v>
      </c>
      <c r="G200" s="981">
        <v>40244737</v>
      </c>
      <c r="H200" s="981">
        <v>37263737</v>
      </c>
      <c r="I200" s="981">
        <v>24441200</v>
      </c>
      <c r="J200" s="981">
        <v>12338500</v>
      </c>
      <c r="K200" s="981">
        <v>0</v>
      </c>
    </row>
    <row r="201" spans="1:11" ht="15.6" customHeight="1">
      <c r="A201" t="s">
        <v>574</v>
      </c>
      <c r="B201" s="67">
        <f>SEPT!C453</f>
        <v>40000</v>
      </c>
      <c r="C201" s="67">
        <v>30000</v>
      </c>
      <c r="D201" s="67">
        <v>0</v>
      </c>
      <c r="E201" s="67">
        <v>20000</v>
      </c>
      <c r="F201" s="67">
        <v>0</v>
      </c>
      <c r="G201" s="67">
        <v>0</v>
      </c>
      <c r="H201" s="67">
        <v>180000</v>
      </c>
      <c r="I201" s="67">
        <v>300000</v>
      </c>
      <c r="J201" s="67">
        <v>700000</v>
      </c>
      <c r="K201" s="67">
        <v>0</v>
      </c>
    </row>
    <row r="202" spans="1:11" ht="15.6" customHeight="1">
      <c r="A202" s="249" t="s">
        <v>13</v>
      </c>
      <c r="B202" s="981">
        <f>C202+B201</f>
        <v>1270000</v>
      </c>
      <c r="C202" s="981">
        <v>1230000</v>
      </c>
      <c r="D202" s="981">
        <v>1200000</v>
      </c>
      <c r="E202" s="981">
        <v>1200000</v>
      </c>
      <c r="F202" s="981">
        <v>1180000</v>
      </c>
      <c r="G202" s="981">
        <v>1180000</v>
      </c>
      <c r="H202" s="981">
        <v>1180000</v>
      </c>
      <c r="I202" s="981">
        <v>1000000</v>
      </c>
      <c r="J202" s="981">
        <v>700000</v>
      </c>
      <c r="K202" s="981">
        <v>0</v>
      </c>
    </row>
    <row r="203" spans="1:11" ht="15.6" customHeight="1">
      <c r="A203" t="s">
        <v>575</v>
      </c>
      <c r="B203" s="67">
        <f>SEPT!C455</f>
        <v>0</v>
      </c>
      <c r="C203" s="67">
        <v>0</v>
      </c>
      <c r="D203" s="67">
        <v>0</v>
      </c>
      <c r="E203" s="67">
        <v>0</v>
      </c>
      <c r="F203" s="67">
        <v>0</v>
      </c>
      <c r="G203" s="67">
        <v>0</v>
      </c>
      <c r="H203" s="67">
        <v>30000</v>
      </c>
      <c r="I203" s="67">
        <v>200000</v>
      </c>
      <c r="J203" s="67">
        <v>100000</v>
      </c>
      <c r="K203" s="67">
        <v>0</v>
      </c>
    </row>
    <row r="204" spans="1:11" ht="15.6" customHeight="1">
      <c r="A204" s="249" t="s">
        <v>13</v>
      </c>
      <c r="B204" s="981">
        <f>C204+B203</f>
        <v>330000</v>
      </c>
      <c r="C204" s="981">
        <v>330000</v>
      </c>
      <c r="D204" s="981">
        <v>330000</v>
      </c>
      <c r="E204" s="981">
        <v>330000</v>
      </c>
      <c r="F204" s="981">
        <v>330000</v>
      </c>
      <c r="G204" s="981">
        <v>330000</v>
      </c>
      <c r="H204" s="981">
        <v>330000</v>
      </c>
      <c r="I204" s="981">
        <v>300000</v>
      </c>
      <c r="J204" s="981">
        <v>100000</v>
      </c>
      <c r="K204" s="981">
        <v>0</v>
      </c>
    </row>
    <row r="205" spans="1:11" ht="15.6" customHeight="1">
      <c r="A205" s="1026" t="s">
        <v>180</v>
      </c>
      <c r="B205" s="67">
        <f>SEPT!C459</f>
        <v>80000</v>
      </c>
      <c r="C205" s="67">
        <v>30000</v>
      </c>
      <c r="D205" s="67">
        <v>60000</v>
      </c>
      <c r="E205" s="67">
        <v>235000</v>
      </c>
      <c r="F205" s="67">
        <v>530000</v>
      </c>
      <c r="G205" s="67">
        <v>180000</v>
      </c>
      <c r="H205" s="67">
        <v>446000</v>
      </c>
      <c r="I205" s="67">
        <v>100000</v>
      </c>
      <c r="J205" s="67">
        <v>743500</v>
      </c>
      <c r="K205" s="67"/>
    </row>
    <row r="206" spans="1:11" ht="15.6" customHeight="1">
      <c r="A206" s="249" t="s">
        <v>13</v>
      </c>
      <c r="B206" s="981">
        <f>C206+B205</f>
        <v>2404500</v>
      </c>
      <c r="C206" s="981">
        <v>2324500</v>
      </c>
      <c r="D206" s="981">
        <v>2294500</v>
      </c>
      <c r="E206" s="981">
        <v>2234500</v>
      </c>
      <c r="F206" s="981">
        <v>1999500</v>
      </c>
      <c r="G206" s="981">
        <v>1469500</v>
      </c>
      <c r="H206" s="981">
        <v>1289500</v>
      </c>
      <c r="I206" s="981">
        <v>843500</v>
      </c>
      <c r="J206" s="981">
        <v>743500</v>
      </c>
      <c r="K206" s="981"/>
    </row>
    <row r="207" spans="1:11" ht="15.6" customHeight="1">
      <c r="A207" t="s">
        <v>27</v>
      </c>
      <c r="B207" s="67">
        <f>SEPT!C457</f>
        <v>100000</v>
      </c>
      <c r="C207" s="67">
        <v>1050000</v>
      </c>
      <c r="D207" s="67">
        <v>2250000</v>
      </c>
      <c r="E207" s="67">
        <v>6106000</v>
      </c>
      <c r="F207" s="67">
        <v>2154243</v>
      </c>
      <c r="G207" s="67">
        <v>3202500</v>
      </c>
      <c r="H207" s="67">
        <v>1710000</v>
      </c>
      <c r="I207" s="67">
        <v>4472195</v>
      </c>
      <c r="J207" s="67">
        <v>20011997</v>
      </c>
      <c r="K207" s="67">
        <v>0</v>
      </c>
    </row>
    <row r="208" spans="1:11" ht="15.6" customHeight="1">
      <c r="A208" s="249" t="s">
        <v>13</v>
      </c>
      <c r="B208" s="981">
        <f>C208+B207</f>
        <v>41056935</v>
      </c>
      <c r="C208" s="981">
        <v>40956935</v>
      </c>
      <c r="D208" s="981">
        <v>39906935</v>
      </c>
      <c r="E208" s="981">
        <v>37656935</v>
      </c>
      <c r="F208" s="981">
        <v>31550935</v>
      </c>
      <c r="G208" s="981">
        <v>29396692</v>
      </c>
      <c r="H208" s="981">
        <v>26194192</v>
      </c>
      <c r="I208" s="981">
        <v>24484192</v>
      </c>
      <c r="J208" s="981">
        <v>20011997</v>
      </c>
      <c r="K208" s="981">
        <v>0</v>
      </c>
    </row>
    <row r="209" spans="1:12" s="16" customFormat="1" ht="15.6" customHeight="1">
      <c r="A209" s="16" t="s">
        <v>149</v>
      </c>
      <c r="B209" s="81">
        <f>B199+B201+B203+B207+B205</f>
        <v>388000</v>
      </c>
      <c r="C209" s="81">
        <v>1306000</v>
      </c>
      <c r="D209" s="81">
        <v>4941000</v>
      </c>
      <c r="E209" s="81">
        <v>6861000</v>
      </c>
      <c r="F209" s="81">
        <v>7826243</v>
      </c>
      <c r="G209" s="81">
        <v>6363500</v>
      </c>
      <c r="H209" s="81">
        <v>15188537</v>
      </c>
      <c r="I209" s="81">
        <v>17174895</v>
      </c>
      <c r="J209" s="81">
        <v>33893997</v>
      </c>
      <c r="K209" s="81">
        <v>0</v>
      </c>
    </row>
    <row r="210" spans="1:12" s="16" customFormat="1" ht="15.6" customHeight="1">
      <c r="A210" s="982" t="s">
        <v>150</v>
      </c>
      <c r="B210" s="251">
        <f>C210+B209</f>
        <v>93943172</v>
      </c>
      <c r="C210" s="251">
        <v>93555172</v>
      </c>
      <c r="D210" s="251">
        <v>92249172</v>
      </c>
      <c r="E210" s="251">
        <v>87308172</v>
      </c>
      <c r="F210" s="251">
        <v>80447172</v>
      </c>
      <c r="G210" s="251">
        <v>72620929</v>
      </c>
      <c r="H210" s="251">
        <v>66257429</v>
      </c>
      <c r="I210" s="251">
        <v>51068892</v>
      </c>
      <c r="J210" s="251">
        <v>33893997</v>
      </c>
      <c r="K210" s="251">
        <v>0</v>
      </c>
    </row>
    <row r="211" spans="1:12" s="1100" customFormat="1" ht="10.8" customHeight="1">
      <c r="A211" s="1098"/>
      <c r="B211" s="1099"/>
      <c r="C211" s="1099"/>
      <c r="D211" s="1099"/>
      <c r="E211" s="1099"/>
      <c r="F211" s="1099"/>
      <c r="G211" s="1099"/>
      <c r="H211" s="1099"/>
      <c r="I211" s="1099"/>
      <c r="J211" s="1099"/>
      <c r="K211" s="1099"/>
    </row>
    <row r="212" spans="1:12" s="1100" customFormat="1" ht="15.6" customHeight="1">
      <c r="A212" s="1130" t="s">
        <v>789</v>
      </c>
      <c r="B212" s="1131"/>
      <c r="C212" s="1131"/>
      <c r="D212" s="1131"/>
      <c r="E212" s="1131"/>
      <c r="F212" s="1131"/>
      <c r="G212" s="1131"/>
      <c r="H212" s="1131"/>
      <c r="I212" s="1131"/>
      <c r="J212" s="1131"/>
      <c r="K212" s="1131"/>
    </row>
    <row r="213" spans="1:12" s="1128" customFormat="1" ht="15.6" customHeight="1">
      <c r="A213" s="1132" t="s">
        <v>180</v>
      </c>
      <c r="B213" s="1127">
        <f>SEPT!C467</f>
        <v>0</v>
      </c>
      <c r="C213" s="1127">
        <v>0</v>
      </c>
      <c r="D213" s="1127">
        <v>0</v>
      </c>
      <c r="E213" s="1127">
        <v>1762000</v>
      </c>
      <c r="F213" s="1127"/>
      <c r="G213" s="1127"/>
      <c r="H213" s="1127"/>
      <c r="I213" s="1127"/>
      <c r="J213" s="1127"/>
      <c r="K213" s="1127"/>
    </row>
    <row r="214" spans="1:12" s="1100" customFormat="1" ht="15.6" customHeight="1">
      <c r="A214" s="1098" t="s">
        <v>13</v>
      </c>
      <c r="B214" s="251">
        <f>C214+B213</f>
        <v>1762000</v>
      </c>
      <c r="C214" s="251">
        <v>1762000</v>
      </c>
      <c r="D214" s="251">
        <v>1762000</v>
      </c>
      <c r="E214" s="251">
        <v>1762000</v>
      </c>
      <c r="F214" s="251"/>
      <c r="G214" s="251"/>
      <c r="H214" s="251"/>
      <c r="I214" s="251"/>
      <c r="J214" s="251"/>
      <c r="K214" s="251"/>
    </row>
    <row r="215" spans="1:12" s="1128" customFormat="1" ht="15.6" customHeight="1">
      <c r="A215" s="1132" t="s">
        <v>27</v>
      </c>
      <c r="B215" s="1127">
        <f>SEPT!C469</f>
        <v>0</v>
      </c>
      <c r="C215" s="1127">
        <v>6500000</v>
      </c>
      <c r="D215" s="1127">
        <v>450000</v>
      </c>
      <c r="E215" s="1127">
        <v>5207811</v>
      </c>
      <c r="F215" s="1127"/>
      <c r="G215" s="1127"/>
      <c r="H215" s="1127"/>
      <c r="I215" s="1127"/>
      <c r="J215" s="1127"/>
      <c r="K215" s="1127"/>
    </row>
    <row r="216" spans="1:12" s="1100" customFormat="1" ht="15.6" customHeight="1" thickBot="1">
      <c r="A216" s="1098" t="s">
        <v>13</v>
      </c>
      <c r="B216" s="251">
        <f>C216+B215</f>
        <v>12157811</v>
      </c>
      <c r="C216" s="251">
        <v>12157811</v>
      </c>
      <c r="D216" s="251">
        <v>5657811</v>
      </c>
      <c r="E216" s="251">
        <v>5207811</v>
      </c>
      <c r="F216" s="251"/>
      <c r="G216" s="251"/>
      <c r="H216" s="251"/>
      <c r="I216" s="251"/>
      <c r="J216" s="251"/>
      <c r="K216" s="251"/>
    </row>
    <row r="217" spans="1:12" s="1100" customFormat="1" ht="15.6" customHeight="1">
      <c r="A217" s="1129" t="s">
        <v>151</v>
      </c>
      <c r="B217" s="1101">
        <f>B213+B215</f>
        <v>0</v>
      </c>
      <c r="C217" s="1101">
        <v>6500000</v>
      </c>
      <c r="D217" s="1101">
        <v>450000</v>
      </c>
      <c r="E217" s="1101">
        <v>6969811</v>
      </c>
      <c r="F217" s="1101"/>
      <c r="G217" s="1101"/>
      <c r="H217" s="1101"/>
      <c r="I217" s="1101"/>
      <c r="J217" s="1101"/>
      <c r="K217" s="1101"/>
    </row>
    <row r="218" spans="1:12" s="1100" customFormat="1" ht="15.6" customHeight="1" thickBot="1">
      <c r="A218" s="1102" t="s">
        <v>13</v>
      </c>
      <c r="B218" s="1103">
        <f>C218+B217</f>
        <v>13919811</v>
      </c>
      <c r="C218" s="1103">
        <v>13919811</v>
      </c>
      <c r="D218" s="1103">
        <v>7419811</v>
      </c>
      <c r="E218" s="1103">
        <v>6969811</v>
      </c>
      <c r="F218" s="1103"/>
      <c r="G218" s="1103"/>
      <c r="H218" s="1103"/>
      <c r="I218" s="1103"/>
      <c r="J218" s="1103"/>
      <c r="K218" s="1103"/>
    </row>
    <row r="219" spans="1:12" ht="8.4" customHeight="1" thickBot="1">
      <c r="B219" s="67"/>
      <c r="C219" s="67"/>
      <c r="D219" s="67"/>
      <c r="E219" s="67"/>
      <c r="F219" s="67"/>
      <c r="G219" s="67"/>
      <c r="H219" s="67"/>
      <c r="I219" s="67"/>
      <c r="J219" s="67"/>
      <c r="K219" s="67"/>
    </row>
    <row r="220" spans="1:12" ht="15" thickTop="1">
      <c r="A220" s="122" t="s">
        <v>49</v>
      </c>
      <c r="B220" s="123">
        <f>SEPT!C474</f>
        <v>5583843</v>
      </c>
      <c r="C220" s="123">
        <v>13073168</v>
      </c>
      <c r="D220" s="123">
        <v>13504380</v>
      </c>
      <c r="E220" s="123">
        <v>6614226</v>
      </c>
      <c r="F220" s="123">
        <v>8533599</v>
      </c>
      <c r="G220" s="123">
        <v>7267615</v>
      </c>
      <c r="H220" s="123">
        <v>6308125</v>
      </c>
      <c r="I220" s="123">
        <v>11902800</v>
      </c>
      <c r="J220" s="123">
        <v>9097922</v>
      </c>
      <c r="K220" s="123">
        <v>0</v>
      </c>
    </row>
    <row r="221" spans="1:12" s="2" customFormat="1" ht="18.600000000000001" thickBot="1">
      <c r="A221" s="102" t="s">
        <v>122</v>
      </c>
      <c r="B221" s="127">
        <f>C221+B220</f>
        <v>81885678</v>
      </c>
      <c r="C221" s="127">
        <v>76301835</v>
      </c>
      <c r="D221" s="127">
        <v>63228667</v>
      </c>
      <c r="E221" s="127">
        <v>49724287</v>
      </c>
      <c r="F221" s="127">
        <v>43110061</v>
      </c>
      <c r="G221" s="127">
        <v>34576462</v>
      </c>
      <c r="H221" s="127">
        <v>27308847</v>
      </c>
      <c r="I221" s="127">
        <v>21000722</v>
      </c>
      <c r="J221" s="127">
        <v>9097922</v>
      </c>
      <c r="K221" s="127">
        <v>0</v>
      </c>
      <c r="L221" s="24"/>
    </row>
    <row r="222" spans="1:12" ht="6" customHeight="1" thickBot="1">
      <c r="A222" s="104"/>
      <c r="B222" s="67"/>
      <c r="C222" s="67"/>
      <c r="D222" s="67"/>
      <c r="E222" s="67"/>
      <c r="F222" s="67"/>
      <c r="G222" s="67"/>
      <c r="H222" s="67"/>
      <c r="I222" s="67"/>
      <c r="J222" s="67"/>
      <c r="K222" s="67"/>
    </row>
    <row r="223" spans="1:12" ht="16.2" customHeight="1">
      <c r="A223" s="118" t="s">
        <v>154</v>
      </c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</row>
    <row r="224" spans="1:12" ht="16.2" customHeight="1">
      <c r="A224" s="96" t="s">
        <v>138</v>
      </c>
      <c r="B224" s="72">
        <f>SEPT!C478</f>
        <v>0</v>
      </c>
      <c r="C224" s="72">
        <v>0</v>
      </c>
      <c r="D224" s="72">
        <v>0</v>
      </c>
      <c r="E224" s="72">
        <v>1515000</v>
      </c>
      <c r="F224" s="72">
        <v>2750000</v>
      </c>
      <c r="G224" s="72">
        <v>1520000</v>
      </c>
      <c r="H224" s="72">
        <v>0</v>
      </c>
      <c r="I224" s="72">
        <v>250000</v>
      </c>
      <c r="J224" s="72">
        <v>0</v>
      </c>
      <c r="K224" s="72">
        <v>0</v>
      </c>
    </row>
    <row r="225" spans="1:11" ht="16.2" customHeight="1">
      <c r="A225" s="97" t="s">
        <v>122</v>
      </c>
      <c r="B225" s="117">
        <f>C225+B224</f>
        <v>6035000</v>
      </c>
      <c r="C225" s="117">
        <v>6035000</v>
      </c>
      <c r="D225" s="117">
        <v>6035000</v>
      </c>
      <c r="E225" s="117">
        <v>6035000</v>
      </c>
      <c r="F225" s="117">
        <v>4520000</v>
      </c>
      <c r="G225" s="117">
        <v>1770000</v>
      </c>
      <c r="H225" s="117">
        <v>250000</v>
      </c>
      <c r="I225" s="117">
        <v>250000</v>
      </c>
      <c r="J225" s="117">
        <v>0</v>
      </c>
      <c r="K225" s="117">
        <v>0</v>
      </c>
    </row>
    <row r="226" spans="1:11" ht="16.2" customHeight="1">
      <c r="A226" s="96" t="s">
        <v>139</v>
      </c>
      <c r="B226" s="72">
        <f>SEPT!C480</f>
        <v>0</v>
      </c>
      <c r="C226" s="72">
        <v>0</v>
      </c>
      <c r="D226" s="72">
        <v>0</v>
      </c>
      <c r="E226" s="72">
        <v>1500000</v>
      </c>
      <c r="F226" s="72">
        <v>0</v>
      </c>
      <c r="G226" s="72">
        <v>0</v>
      </c>
      <c r="H226" s="72">
        <v>500000</v>
      </c>
      <c r="I226" s="72">
        <v>0</v>
      </c>
      <c r="J226" s="72">
        <v>1500000</v>
      </c>
      <c r="K226" s="72">
        <v>0</v>
      </c>
    </row>
    <row r="227" spans="1:11" ht="16.2" customHeight="1">
      <c r="A227" s="97" t="s">
        <v>122</v>
      </c>
      <c r="B227" s="117">
        <f>C227+B226</f>
        <v>3500000</v>
      </c>
      <c r="C227" s="117">
        <v>3500000</v>
      </c>
      <c r="D227" s="117">
        <v>3500000</v>
      </c>
      <c r="E227" s="117">
        <v>3500000</v>
      </c>
      <c r="F227" s="117">
        <v>2000000</v>
      </c>
      <c r="G227" s="117">
        <v>2000000</v>
      </c>
      <c r="H227" s="117">
        <v>2000000</v>
      </c>
      <c r="I227" s="117">
        <v>1500000</v>
      </c>
      <c r="J227" s="117">
        <v>1500000</v>
      </c>
      <c r="K227" s="117">
        <v>0</v>
      </c>
    </row>
    <row r="228" spans="1:11" ht="16.2" customHeight="1">
      <c r="A228" s="99" t="s">
        <v>885</v>
      </c>
      <c r="B228" s="78">
        <f>SEPT!C482</f>
        <v>0</v>
      </c>
      <c r="C228" s="78"/>
      <c r="D228" s="78"/>
      <c r="E228" s="78"/>
      <c r="F228" s="78"/>
      <c r="G228" s="78"/>
      <c r="H228" s="78"/>
      <c r="I228" s="78"/>
      <c r="J228" s="78"/>
      <c r="K228" s="78"/>
    </row>
    <row r="229" spans="1:11" ht="16.2" customHeight="1">
      <c r="A229" s="97" t="s">
        <v>122</v>
      </c>
      <c r="B229" s="117">
        <f>C229+B228</f>
        <v>0</v>
      </c>
      <c r="C229" s="117"/>
      <c r="D229" s="117"/>
      <c r="E229" s="117"/>
      <c r="F229" s="117"/>
      <c r="G229" s="117"/>
      <c r="H229" s="117"/>
      <c r="I229" s="117"/>
      <c r="J229" s="117"/>
      <c r="K229" s="117"/>
    </row>
    <row r="230" spans="1:11" ht="16.2" customHeight="1">
      <c r="A230" s="96" t="s">
        <v>27</v>
      </c>
      <c r="B230" s="72">
        <f>SEPT!C484</f>
        <v>0</v>
      </c>
      <c r="C230" s="72">
        <v>0</v>
      </c>
      <c r="D230" s="72">
        <v>0</v>
      </c>
      <c r="E230" s="72">
        <v>0</v>
      </c>
      <c r="F230" s="72">
        <v>1250000</v>
      </c>
      <c r="G230" s="72">
        <v>0</v>
      </c>
      <c r="H230" s="72">
        <v>0</v>
      </c>
      <c r="I230" s="72">
        <v>0</v>
      </c>
      <c r="J230" s="72">
        <v>0</v>
      </c>
      <c r="K230" s="72">
        <v>0</v>
      </c>
    </row>
    <row r="231" spans="1:11" ht="16.2" customHeight="1">
      <c r="A231" s="97" t="s">
        <v>122</v>
      </c>
      <c r="B231" s="117">
        <f>C231+B230</f>
        <v>1250000</v>
      </c>
      <c r="C231" s="117">
        <v>1250000</v>
      </c>
      <c r="D231" s="117">
        <v>1250000</v>
      </c>
      <c r="E231" s="117">
        <v>1250000</v>
      </c>
      <c r="F231" s="117">
        <v>1250000</v>
      </c>
      <c r="G231" s="117">
        <v>0</v>
      </c>
      <c r="H231" s="117">
        <v>0</v>
      </c>
      <c r="I231" s="117">
        <v>0</v>
      </c>
      <c r="J231" s="117">
        <v>0</v>
      </c>
      <c r="K231" s="117">
        <v>0</v>
      </c>
    </row>
    <row r="232" spans="1:11" ht="16.2" customHeight="1">
      <c r="A232" s="98" t="s">
        <v>149</v>
      </c>
      <c r="B232" s="72">
        <f>B224+B226+B228+B230</f>
        <v>0</v>
      </c>
      <c r="C232" s="72">
        <v>0</v>
      </c>
      <c r="D232" s="72">
        <v>0</v>
      </c>
      <c r="E232" s="72">
        <v>3015000</v>
      </c>
      <c r="F232" s="72">
        <v>4000000</v>
      </c>
      <c r="G232" s="72">
        <v>1520000</v>
      </c>
      <c r="H232" s="72">
        <v>500000</v>
      </c>
      <c r="I232" s="72">
        <v>250000</v>
      </c>
      <c r="J232" s="72">
        <v>1500000</v>
      </c>
      <c r="K232" s="72">
        <v>0</v>
      </c>
    </row>
    <row r="233" spans="1:11" s="16" customFormat="1" ht="16.2" customHeight="1" thickBot="1">
      <c r="A233" s="106" t="s">
        <v>122</v>
      </c>
      <c r="B233" s="116">
        <f>C233+B232</f>
        <v>10785000</v>
      </c>
      <c r="C233" s="116">
        <v>10785000</v>
      </c>
      <c r="D233" s="116">
        <v>10785000</v>
      </c>
      <c r="E233" s="116">
        <v>10785000</v>
      </c>
      <c r="F233" s="116">
        <v>7770000</v>
      </c>
      <c r="G233" s="116">
        <v>3770000</v>
      </c>
      <c r="H233" s="116">
        <v>2250000</v>
      </c>
      <c r="I233" s="116">
        <v>1750000</v>
      </c>
      <c r="J233" s="116">
        <v>1500000</v>
      </c>
      <c r="K233" s="116">
        <v>0</v>
      </c>
    </row>
    <row r="234" spans="1:11" ht="6.6" customHeight="1" thickBot="1">
      <c r="A234" s="104"/>
      <c r="B234" s="67"/>
      <c r="C234" s="67"/>
      <c r="D234" s="67"/>
      <c r="E234" s="67"/>
      <c r="F234" s="67"/>
      <c r="G234" s="67"/>
      <c r="H234" s="67"/>
      <c r="I234" s="67"/>
      <c r="J234" s="67"/>
      <c r="K234" s="67"/>
    </row>
    <row r="235" spans="1:11" ht="18.600000000000001" customHeight="1">
      <c r="A235" s="118" t="s">
        <v>61</v>
      </c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</row>
    <row r="236" spans="1:11">
      <c r="A236" s="96" t="s">
        <v>135</v>
      </c>
      <c r="B236" s="72">
        <f>SEPT!C490</f>
        <v>0</v>
      </c>
      <c r="C236" s="72">
        <v>175997</v>
      </c>
      <c r="D236" s="72">
        <v>425997</v>
      </c>
      <c r="E236" s="72">
        <v>73498</v>
      </c>
      <c r="F236" s="72">
        <v>199497</v>
      </c>
      <c r="G236" s="72">
        <v>147998</v>
      </c>
      <c r="H236" s="72">
        <v>93000</v>
      </c>
      <c r="I236" s="72">
        <v>42999</v>
      </c>
      <c r="J236" s="72">
        <v>40299</v>
      </c>
      <c r="K236" s="72">
        <v>0</v>
      </c>
    </row>
    <row r="237" spans="1:11">
      <c r="A237" s="97" t="s">
        <v>122</v>
      </c>
      <c r="B237" s="117">
        <f>C237+B236</f>
        <v>1199285</v>
      </c>
      <c r="C237" s="117">
        <v>1199285</v>
      </c>
      <c r="D237" s="117">
        <v>1023288</v>
      </c>
      <c r="E237" s="117">
        <v>597291</v>
      </c>
      <c r="F237" s="117">
        <v>523793</v>
      </c>
      <c r="G237" s="117">
        <v>324296</v>
      </c>
      <c r="H237" s="117">
        <v>176298</v>
      </c>
      <c r="I237" s="117">
        <v>83298</v>
      </c>
      <c r="J237" s="117">
        <v>40299</v>
      </c>
      <c r="K237" s="117">
        <v>0</v>
      </c>
    </row>
    <row r="238" spans="1:11">
      <c r="A238" s="96" t="s">
        <v>4</v>
      </c>
      <c r="B238" s="72">
        <f>SEPT!C492</f>
        <v>200999</v>
      </c>
      <c r="C238" s="72">
        <v>233497</v>
      </c>
      <c r="D238" s="72">
        <v>479998</v>
      </c>
      <c r="E238" s="72">
        <v>158497</v>
      </c>
      <c r="F238" s="72">
        <v>195493</v>
      </c>
      <c r="G238" s="72">
        <v>223997</v>
      </c>
      <c r="H238" s="72">
        <v>142000</v>
      </c>
      <c r="I238" s="72">
        <v>248827</v>
      </c>
      <c r="J238" s="72">
        <v>183499</v>
      </c>
      <c r="K238" s="72">
        <v>0</v>
      </c>
    </row>
    <row r="239" spans="1:11">
      <c r="A239" s="97" t="s">
        <v>122</v>
      </c>
      <c r="B239" s="117">
        <f>C239+B238</f>
        <v>2066807</v>
      </c>
      <c r="C239" s="117">
        <v>1865808</v>
      </c>
      <c r="D239" s="117">
        <v>1632311</v>
      </c>
      <c r="E239" s="117">
        <v>1152313</v>
      </c>
      <c r="F239" s="117">
        <v>993816</v>
      </c>
      <c r="G239" s="117">
        <v>798323</v>
      </c>
      <c r="H239" s="117">
        <v>574326</v>
      </c>
      <c r="I239" s="117">
        <v>432326</v>
      </c>
      <c r="J239" s="117">
        <v>183499</v>
      </c>
      <c r="K239" s="117">
        <v>0</v>
      </c>
    </row>
    <row r="240" spans="1:11">
      <c r="A240" s="96" t="s">
        <v>136</v>
      </c>
      <c r="B240" s="72">
        <f>SEPT!C494</f>
        <v>0</v>
      </c>
      <c r="C240" s="72">
        <v>0</v>
      </c>
      <c r="D240" s="72">
        <v>20000</v>
      </c>
      <c r="E240" s="72">
        <v>110599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</row>
    <row r="241" spans="1:11">
      <c r="A241" s="97" t="s">
        <v>122</v>
      </c>
      <c r="B241" s="117">
        <f>C241+B240</f>
        <v>130599</v>
      </c>
      <c r="C241" s="117">
        <v>130599</v>
      </c>
      <c r="D241" s="117">
        <v>130599</v>
      </c>
      <c r="E241" s="117">
        <v>110599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</row>
    <row r="242" spans="1:11">
      <c r="A242" s="96" t="s">
        <v>137</v>
      </c>
      <c r="B242" s="72">
        <f>SEPT!C496</f>
        <v>0</v>
      </c>
      <c r="C242" s="72">
        <v>0</v>
      </c>
      <c r="D242" s="72">
        <v>0</v>
      </c>
      <c r="E242" s="72">
        <v>0</v>
      </c>
      <c r="F242" s="72">
        <v>0</v>
      </c>
      <c r="G242" s="72">
        <v>0</v>
      </c>
      <c r="H242" s="72">
        <v>0</v>
      </c>
      <c r="I242" s="72">
        <v>0</v>
      </c>
      <c r="J242" s="72">
        <v>0</v>
      </c>
      <c r="K242" s="72">
        <v>0</v>
      </c>
    </row>
    <row r="243" spans="1:11">
      <c r="A243" s="97" t="s">
        <v>122</v>
      </c>
      <c r="B243" s="117">
        <f>C243+B242</f>
        <v>0</v>
      </c>
      <c r="C243" s="117">
        <v>0</v>
      </c>
      <c r="D243" s="117">
        <v>0</v>
      </c>
      <c r="E243" s="117">
        <v>0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</row>
    <row r="244" spans="1:11">
      <c r="A244" s="99" t="s">
        <v>138</v>
      </c>
      <c r="B244" s="78">
        <f>SEPT!C498</f>
        <v>0</v>
      </c>
      <c r="C244" s="78"/>
      <c r="D244" s="78"/>
      <c r="E244" s="78"/>
      <c r="F244" s="78"/>
      <c r="G244" s="78"/>
      <c r="H244" s="78"/>
      <c r="I244" s="78"/>
      <c r="J244" s="78"/>
      <c r="K244" s="78"/>
    </row>
    <row r="245" spans="1:11">
      <c r="A245" s="97" t="s">
        <v>122</v>
      </c>
      <c r="B245" s="117">
        <f>C245+B244</f>
        <v>0</v>
      </c>
      <c r="C245" s="117"/>
      <c r="D245" s="117"/>
      <c r="E245" s="117"/>
      <c r="F245" s="117"/>
      <c r="G245" s="117"/>
      <c r="H245" s="117"/>
      <c r="I245" s="117"/>
      <c r="J245" s="117"/>
      <c r="K245" s="117"/>
    </row>
    <row r="246" spans="1:11">
      <c r="A246" s="99" t="s">
        <v>139</v>
      </c>
      <c r="B246" s="78">
        <f>SEPT!C500</f>
        <v>0</v>
      </c>
      <c r="C246" s="78"/>
      <c r="D246" s="78"/>
      <c r="E246" s="78"/>
      <c r="F246" s="78"/>
      <c r="G246" s="78"/>
      <c r="H246" s="78"/>
      <c r="I246" s="78"/>
      <c r="J246" s="78"/>
      <c r="K246" s="78"/>
    </row>
    <row r="247" spans="1:11">
      <c r="A247" s="97" t="s">
        <v>122</v>
      </c>
      <c r="B247" s="117">
        <f>C247+B246</f>
        <v>0</v>
      </c>
      <c r="C247" s="117"/>
      <c r="D247" s="117"/>
      <c r="E247" s="117"/>
      <c r="F247" s="117"/>
      <c r="G247" s="117"/>
      <c r="H247" s="117"/>
      <c r="I247" s="117"/>
      <c r="J247" s="117"/>
      <c r="K247" s="117"/>
    </row>
    <row r="248" spans="1:11">
      <c r="A248" s="96" t="s">
        <v>27</v>
      </c>
      <c r="B248" s="72">
        <f>SEPT!C502</f>
        <v>0</v>
      </c>
      <c r="C248" s="72">
        <v>0</v>
      </c>
      <c r="D248" s="72">
        <v>10999</v>
      </c>
      <c r="E248" s="72">
        <v>73498</v>
      </c>
      <c r="F248" s="72">
        <v>66499</v>
      </c>
      <c r="G248" s="72">
        <v>56999</v>
      </c>
      <c r="H248" s="72">
        <v>70999</v>
      </c>
      <c r="I248" s="72">
        <v>0</v>
      </c>
      <c r="J248" s="72">
        <v>66499</v>
      </c>
      <c r="K248" s="72">
        <v>0</v>
      </c>
    </row>
    <row r="249" spans="1:11">
      <c r="A249" s="97" t="s">
        <v>122</v>
      </c>
      <c r="B249" s="117">
        <f>C249+B248</f>
        <v>345493</v>
      </c>
      <c r="C249" s="117">
        <v>345493</v>
      </c>
      <c r="D249" s="117">
        <v>345493</v>
      </c>
      <c r="E249" s="117">
        <v>334494</v>
      </c>
      <c r="F249" s="117">
        <v>260996</v>
      </c>
      <c r="G249" s="117">
        <v>194497</v>
      </c>
      <c r="H249" s="117">
        <v>137498</v>
      </c>
      <c r="I249" s="117">
        <v>66499</v>
      </c>
      <c r="J249" s="117">
        <v>66499</v>
      </c>
      <c r="K249" s="117">
        <v>0</v>
      </c>
    </row>
    <row r="250" spans="1:11">
      <c r="A250" s="99" t="s">
        <v>149</v>
      </c>
      <c r="B250" s="72">
        <f>B236+B238+B240+B242+B244+B246+B248</f>
        <v>200999</v>
      </c>
      <c r="C250" s="72">
        <v>409494</v>
      </c>
      <c r="D250" s="72">
        <v>936994</v>
      </c>
      <c r="E250" s="72">
        <v>416092</v>
      </c>
      <c r="F250" s="72">
        <v>461489</v>
      </c>
      <c r="G250" s="72">
        <v>428994</v>
      </c>
      <c r="H250" s="72">
        <v>305999</v>
      </c>
      <c r="I250" s="72">
        <v>291826</v>
      </c>
      <c r="J250" s="72">
        <v>290297</v>
      </c>
      <c r="K250" s="72">
        <v>0</v>
      </c>
    </row>
    <row r="251" spans="1:11" s="129" customFormat="1" ht="18.600000000000001" thickBot="1">
      <c r="A251" s="126" t="s">
        <v>122</v>
      </c>
      <c r="B251" s="127">
        <f>C251+B250</f>
        <v>3742184</v>
      </c>
      <c r="C251" s="127">
        <v>3541185</v>
      </c>
      <c r="D251" s="127">
        <v>3131691</v>
      </c>
      <c r="E251" s="127">
        <v>2194697</v>
      </c>
      <c r="F251" s="127">
        <v>1778605</v>
      </c>
      <c r="G251" s="127">
        <v>1317116</v>
      </c>
      <c r="H251" s="127">
        <v>888122</v>
      </c>
      <c r="I251" s="127">
        <v>582123</v>
      </c>
      <c r="J251" s="127">
        <v>290297</v>
      </c>
      <c r="K251" s="127">
        <v>0</v>
      </c>
    </row>
    <row r="252" spans="1:11" s="2" customFormat="1" ht="7.2" customHeight="1" thickBot="1">
      <c r="A252" s="109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</row>
    <row r="253" spans="1:11" s="54" customFormat="1" ht="18">
      <c r="A253" s="120" t="s">
        <v>107</v>
      </c>
      <c r="B253" s="130">
        <f>SEPT!C507</f>
        <v>250000</v>
      </c>
      <c r="C253" s="130">
        <v>500000</v>
      </c>
      <c r="D253" s="130">
        <v>500000</v>
      </c>
      <c r="E253" s="130">
        <v>250000</v>
      </c>
      <c r="F253" s="130">
        <v>225000</v>
      </c>
      <c r="G253" s="130">
        <v>220000</v>
      </c>
      <c r="H253" s="130">
        <v>445000</v>
      </c>
      <c r="I253" s="130">
        <v>0</v>
      </c>
      <c r="J253" s="130">
        <v>675000</v>
      </c>
      <c r="K253" s="130">
        <v>0</v>
      </c>
    </row>
    <row r="254" spans="1:11" s="2" customFormat="1" ht="18.600000000000001" thickBot="1">
      <c r="A254" s="102" t="s">
        <v>122</v>
      </c>
      <c r="B254" s="127">
        <f>C254+B253</f>
        <v>3065000</v>
      </c>
      <c r="C254" s="127">
        <v>2815000</v>
      </c>
      <c r="D254" s="127">
        <v>2315000</v>
      </c>
      <c r="E254" s="127">
        <v>1815000</v>
      </c>
      <c r="F254" s="127">
        <v>1565000</v>
      </c>
      <c r="G254" s="127">
        <v>1340000</v>
      </c>
      <c r="H254" s="127">
        <v>1120000</v>
      </c>
      <c r="I254" s="127">
        <v>675000</v>
      </c>
      <c r="J254" s="127">
        <v>675000</v>
      </c>
      <c r="K254" s="127">
        <v>0</v>
      </c>
    </row>
    <row r="255" spans="1:11" s="16" customFormat="1" ht="6" customHeight="1" thickBot="1">
      <c r="A255" s="111"/>
      <c r="B255" s="81"/>
      <c r="C255" s="81"/>
      <c r="D255" s="81"/>
      <c r="E255" s="81"/>
      <c r="F255" s="81"/>
      <c r="G255" s="81"/>
      <c r="H255" s="81"/>
      <c r="I255" s="81"/>
      <c r="J255" s="81"/>
      <c r="K255" s="81"/>
    </row>
    <row r="256" spans="1:11" s="16" customFormat="1" ht="15.6" customHeight="1">
      <c r="A256" s="118" t="s">
        <v>97</v>
      </c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</row>
    <row r="257" spans="1:11">
      <c r="A257" s="96" t="s">
        <v>904</v>
      </c>
      <c r="B257" s="72">
        <f>SEPT!C511</f>
        <v>102400</v>
      </c>
      <c r="C257" s="72">
        <v>0</v>
      </c>
      <c r="D257" s="72">
        <v>0</v>
      </c>
      <c r="E257" s="72">
        <v>0</v>
      </c>
      <c r="F257" s="72">
        <v>0</v>
      </c>
      <c r="G257" s="72">
        <v>0</v>
      </c>
      <c r="H257" s="72">
        <v>0</v>
      </c>
      <c r="I257" s="72">
        <v>0</v>
      </c>
      <c r="J257" s="72">
        <v>0</v>
      </c>
      <c r="K257" s="72">
        <v>0</v>
      </c>
    </row>
    <row r="258" spans="1:11">
      <c r="A258" s="97" t="s">
        <v>122</v>
      </c>
      <c r="B258" s="117">
        <f>C258+B257</f>
        <v>102400</v>
      </c>
      <c r="C258" s="117">
        <v>0</v>
      </c>
      <c r="D258" s="117">
        <v>0</v>
      </c>
      <c r="E258" s="117">
        <v>0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</row>
    <row r="259" spans="1:11">
      <c r="A259" s="96" t="s">
        <v>905</v>
      </c>
      <c r="B259" s="72">
        <f>SEPT!C513</f>
        <v>0</v>
      </c>
      <c r="C259" s="72">
        <v>413800</v>
      </c>
      <c r="D259" s="72">
        <v>809600</v>
      </c>
      <c r="E259" s="72">
        <v>153900</v>
      </c>
      <c r="F259" s="72">
        <v>507800</v>
      </c>
      <c r="G259" s="72">
        <v>257200</v>
      </c>
      <c r="H259" s="72">
        <v>77400</v>
      </c>
      <c r="I259" s="72">
        <v>254200</v>
      </c>
      <c r="J259" s="72">
        <v>254200</v>
      </c>
      <c r="K259" s="72">
        <v>0</v>
      </c>
    </row>
    <row r="260" spans="1:11">
      <c r="A260" s="97" t="s">
        <v>122</v>
      </c>
      <c r="B260" s="117">
        <f>C260+B259</f>
        <v>2728100</v>
      </c>
      <c r="C260" s="117">
        <v>2728100</v>
      </c>
      <c r="D260" s="117">
        <v>2314300</v>
      </c>
      <c r="E260" s="117">
        <v>1504700</v>
      </c>
      <c r="F260" s="117">
        <v>1350800</v>
      </c>
      <c r="G260" s="117">
        <v>843000</v>
      </c>
      <c r="H260" s="117">
        <v>585800</v>
      </c>
      <c r="I260" s="117">
        <v>508400</v>
      </c>
      <c r="J260" s="117">
        <v>254200</v>
      </c>
      <c r="K260" s="117">
        <v>0</v>
      </c>
    </row>
    <row r="261" spans="1:11">
      <c r="A261" s="96" t="s">
        <v>139</v>
      </c>
      <c r="B261" s="72">
        <f>SEPT!C517</f>
        <v>0</v>
      </c>
      <c r="C261" s="72">
        <v>0</v>
      </c>
      <c r="D261" s="72">
        <v>0</v>
      </c>
      <c r="E261" s="72">
        <v>0</v>
      </c>
      <c r="F261" s="72">
        <v>0</v>
      </c>
      <c r="G261" s="72">
        <v>0</v>
      </c>
      <c r="H261" s="72">
        <v>52400</v>
      </c>
      <c r="I261" s="72">
        <v>0</v>
      </c>
      <c r="J261" s="72">
        <v>51400</v>
      </c>
      <c r="K261" s="72">
        <v>0</v>
      </c>
    </row>
    <row r="262" spans="1:11" ht="14.4" customHeight="1">
      <c r="A262" s="97" t="s">
        <v>122</v>
      </c>
      <c r="B262" s="117">
        <f>C262+B261</f>
        <v>103800</v>
      </c>
      <c r="C262" s="117">
        <v>103800</v>
      </c>
      <c r="D262" s="117">
        <v>103800</v>
      </c>
      <c r="E262" s="117">
        <v>103800</v>
      </c>
      <c r="F262" s="117">
        <v>103800</v>
      </c>
      <c r="G262" s="117">
        <v>103800</v>
      </c>
      <c r="H262" s="117">
        <v>103800</v>
      </c>
      <c r="I262" s="117">
        <v>51400</v>
      </c>
      <c r="J262" s="117">
        <v>51400</v>
      </c>
      <c r="K262" s="117">
        <v>0</v>
      </c>
    </row>
    <row r="263" spans="1:11" ht="14.4" customHeight="1">
      <c r="A263" s="99" t="s">
        <v>173</v>
      </c>
      <c r="B263" s="78">
        <f>SEPT!C517</f>
        <v>0</v>
      </c>
      <c r="C263" s="78"/>
      <c r="D263" s="78"/>
      <c r="E263" s="78"/>
      <c r="F263" s="78"/>
      <c r="G263" s="78"/>
      <c r="H263" s="78"/>
      <c r="I263" s="78"/>
      <c r="J263" s="78"/>
      <c r="K263" s="78"/>
    </row>
    <row r="264" spans="1:11" ht="14.4" customHeight="1">
      <c r="A264" s="97" t="s">
        <v>122</v>
      </c>
      <c r="B264" s="117">
        <f>C264+B263</f>
        <v>0</v>
      </c>
      <c r="C264" s="117"/>
      <c r="D264" s="117"/>
      <c r="E264" s="117"/>
      <c r="F264" s="117"/>
      <c r="G264" s="117"/>
      <c r="H264" s="117"/>
      <c r="I264" s="117"/>
      <c r="J264" s="117"/>
      <c r="K264" s="117"/>
    </row>
    <row r="265" spans="1:11" ht="14.4" customHeight="1">
      <c r="A265" s="99" t="s">
        <v>174</v>
      </c>
      <c r="B265" s="72">
        <f>SEPT!C519</f>
        <v>0</v>
      </c>
      <c r="C265" s="72">
        <v>0</v>
      </c>
      <c r="D265" s="72">
        <v>0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0</v>
      </c>
      <c r="K265" s="72">
        <v>0</v>
      </c>
    </row>
    <row r="266" spans="1:11" ht="14.4" customHeight="1">
      <c r="A266" s="97" t="s">
        <v>122</v>
      </c>
      <c r="B266" s="117">
        <f>C266+B265</f>
        <v>0</v>
      </c>
      <c r="C266" s="117">
        <v>0</v>
      </c>
      <c r="D266" s="117">
        <v>0</v>
      </c>
      <c r="E266" s="117">
        <v>0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</row>
    <row r="267" spans="1:11" ht="14.4" customHeight="1">
      <c r="A267" s="99" t="s">
        <v>333</v>
      </c>
      <c r="B267" s="72">
        <f>SEPT!C521</f>
        <v>0</v>
      </c>
      <c r="C267" s="72">
        <v>0</v>
      </c>
      <c r="D267" s="72">
        <v>0</v>
      </c>
      <c r="E267" s="72">
        <v>0</v>
      </c>
      <c r="F267" s="72">
        <v>0</v>
      </c>
      <c r="G267" s="72">
        <v>0</v>
      </c>
      <c r="H267" s="72">
        <v>0</v>
      </c>
      <c r="I267" s="72">
        <v>0</v>
      </c>
      <c r="J267" s="72">
        <v>0</v>
      </c>
      <c r="K267" s="72">
        <v>0</v>
      </c>
    </row>
    <row r="268" spans="1:11" ht="14.4" customHeight="1">
      <c r="A268" s="97" t="s">
        <v>122</v>
      </c>
      <c r="B268" s="117">
        <f>C268+B267</f>
        <v>0</v>
      </c>
      <c r="C268" s="117">
        <v>0</v>
      </c>
      <c r="D268" s="117">
        <v>0</v>
      </c>
      <c r="E268" s="117">
        <v>0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</row>
    <row r="269" spans="1:11" ht="14.4" customHeight="1">
      <c r="A269" s="99" t="s">
        <v>345</v>
      </c>
      <c r="B269" s="78">
        <f>SEPT!C523</f>
        <v>0</v>
      </c>
      <c r="C269" s="78"/>
      <c r="D269" s="78"/>
      <c r="E269" s="78"/>
      <c r="F269" s="78"/>
      <c r="G269" s="78"/>
      <c r="H269" s="78"/>
      <c r="I269" s="78"/>
      <c r="J269" s="78"/>
      <c r="K269" s="78"/>
    </row>
    <row r="270" spans="1:11" ht="14.4" customHeight="1">
      <c r="A270" s="97" t="s">
        <v>122</v>
      </c>
      <c r="B270" s="117">
        <f>C270+B269</f>
        <v>0</v>
      </c>
      <c r="C270" s="117"/>
      <c r="D270" s="117"/>
      <c r="E270" s="117"/>
      <c r="F270" s="117"/>
      <c r="G270" s="117"/>
      <c r="H270" s="117"/>
      <c r="I270" s="117"/>
      <c r="J270" s="117"/>
      <c r="K270" s="117"/>
    </row>
    <row r="271" spans="1:11" ht="14.4" customHeight="1">
      <c r="A271" s="99" t="s">
        <v>845</v>
      </c>
      <c r="B271" s="78">
        <f>SEPT!C525</f>
        <v>0</v>
      </c>
      <c r="C271" s="78"/>
      <c r="D271" s="78"/>
      <c r="E271" s="78"/>
      <c r="F271" s="78"/>
      <c r="G271" s="78"/>
      <c r="H271" s="78"/>
      <c r="I271" s="78"/>
      <c r="J271" s="78"/>
      <c r="K271" s="78"/>
    </row>
    <row r="272" spans="1:11" ht="14.4" customHeight="1">
      <c r="A272" s="97" t="s">
        <v>122</v>
      </c>
      <c r="B272" s="117">
        <f>C272+B271</f>
        <v>0</v>
      </c>
      <c r="C272" s="117"/>
      <c r="D272" s="117"/>
      <c r="E272" s="117"/>
      <c r="F272" s="117"/>
      <c r="G272" s="117"/>
      <c r="H272" s="117"/>
      <c r="I272" s="117"/>
      <c r="J272" s="117"/>
      <c r="K272" s="117"/>
    </row>
    <row r="273" spans="1:11" ht="14.4" customHeight="1">
      <c r="A273" s="99" t="s">
        <v>845</v>
      </c>
      <c r="B273" s="78">
        <f>SEPT!C527</f>
        <v>0</v>
      </c>
      <c r="C273" s="78"/>
      <c r="D273" s="78"/>
      <c r="E273" s="78"/>
      <c r="F273" s="78"/>
      <c r="G273" s="78"/>
      <c r="H273" s="78"/>
      <c r="I273" s="78"/>
      <c r="J273" s="78"/>
      <c r="K273" s="78"/>
    </row>
    <row r="274" spans="1:11" ht="14.4" customHeight="1">
      <c r="A274" s="97" t="s">
        <v>122</v>
      </c>
      <c r="B274" s="117">
        <f>C274+B273</f>
        <v>0</v>
      </c>
      <c r="C274" s="117"/>
      <c r="D274" s="117"/>
      <c r="E274" s="117"/>
      <c r="F274" s="117"/>
      <c r="G274" s="117"/>
      <c r="H274" s="117"/>
      <c r="I274" s="117"/>
      <c r="J274" s="117"/>
      <c r="K274" s="117"/>
    </row>
    <row r="275" spans="1:11" ht="14.4" customHeight="1">
      <c r="A275" s="98" t="s">
        <v>149</v>
      </c>
      <c r="B275" s="72">
        <f>B257+B259+B261+B263+B265+B267+B269+B271+B273</f>
        <v>102400</v>
      </c>
      <c r="C275" s="72">
        <v>413800</v>
      </c>
      <c r="D275" s="72">
        <v>809600</v>
      </c>
      <c r="E275" s="72">
        <v>153900</v>
      </c>
      <c r="F275" s="72">
        <v>507800</v>
      </c>
      <c r="G275" s="72">
        <v>257200</v>
      </c>
      <c r="H275" s="72">
        <v>129800</v>
      </c>
      <c r="I275" s="72">
        <v>254200</v>
      </c>
      <c r="J275" s="72">
        <v>305600</v>
      </c>
      <c r="K275" s="72">
        <v>0</v>
      </c>
    </row>
    <row r="276" spans="1:11" s="2" customFormat="1" ht="18.600000000000001" thickBot="1">
      <c r="A276" s="108" t="s">
        <v>122</v>
      </c>
      <c r="B276" s="127">
        <f>C276+B275</f>
        <v>2934300</v>
      </c>
      <c r="C276" s="127">
        <v>2831900</v>
      </c>
      <c r="D276" s="127">
        <v>2418100</v>
      </c>
      <c r="E276" s="127">
        <v>1608500</v>
      </c>
      <c r="F276" s="127">
        <v>1454600</v>
      </c>
      <c r="G276" s="127">
        <v>946800</v>
      </c>
      <c r="H276" s="127">
        <v>689600</v>
      </c>
      <c r="I276" s="127">
        <v>559800</v>
      </c>
      <c r="J276" s="127">
        <v>305600</v>
      </c>
      <c r="K276" s="127">
        <v>0</v>
      </c>
    </row>
    <row r="277" spans="1:11" s="16" customFormat="1" ht="10.199999999999999" customHeight="1" thickBot="1">
      <c r="A277" s="111"/>
      <c r="B277" s="81"/>
      <c r="C277" s="81"/>
      <c r="D277" s="81"/>
      <c r="E277" s="81"/>
      <c r="F277" s="81"/>
      <c r="G277" s="81"/>
      <c r="H277" s="81"/>
      <c r="I277" s="81"/>
      <c r="J277" s="81"/>
      <c r="K277" s="81"/>
    </row>
    <row r="278" spans="1:11" s="16" customFormat="1" ht="14.4" customHeight="1">
      <c r="A278" s="118" t="s">
        <v>140</v>
      </c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</row>
    <row r="279" spans="1:11" s="16" customFormat="1" ht="14.4" customHeight="1">
      <c r="A279" s="95" t="s">
        <v>141</v>
      </c>
      <c r="B279" s="72">
        <f>SEPT!C533</f>
        <v>0</v>
      </c>
      <c r="C279" s="72">
        <v>0</v>
      </c>
      <c r="D279" s="72">
        <v>0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</row>
    <row r="280" spans="1:11" s="16" customFormat="1" ht="14.4" customHeight="1">
      <c r="A280" s="97" t="s">
        <v>122</v>
      </c>
      <c r="B280" s="125">
        <f>C280+B279</f>
        <v>0</v>
      </c>
      <c r="C280" s="125">
        <v>0</v>
      </c>
      <c r="D280" s="125">
        <v>0</v>
      </c>
      <c r="E280" s="125">
        <v>0</v>
      </c>
      <c r="F280" s="125">
        <v>0</v>
      </c>
      <c r="G280" s="125">
        <v>0</v>
      </c>
      <c r="H280" s="125">
        <v>0</v>
      </c>
      <c r="I280" s="125">
        <v>0</v>
      </c>
      <c r="J280" s="125">
        <v>0</v>
      </c>
      <c r="K280" s="125">
        <v>0</v>
      </c>
    </row>
    <row r="281" spans="1:11" s="16" customFormat="1" ht="14.4" customHeight="1">
      <c r="A281" s="95" t="s">
        <v>142</v>
      </c>
      <c r="B281" s="72">
        <f>SEPT!C535</f>
        <v>0</v>
      </c>
      <c r="C281" s="72">
        <v>0</v>
      </c>
      <c r="D281" s="72">
        <v>18354</v>
      </c>
      <c r="E281" s="72">
        <v>18500</v>
      </c>
      <c r="F281" s="72">
        <v>17930</v>
      </c>
      <c r="G281" s="72">
        <v>0</v>
      </c>
      <c r="H281" s="72">
        <v>0</v>
      </c>
      <c r="I281" s="72">
        <v>18030</v>
      </c>
      <c r="J281" s="72">
        <v>0</v>
      </c>
      <c r="K281" s="72">
        <v>0</v>
      </c>
    </row>
    <row r="282" spans="1:11" s="16" customFormat="1" ht="14.4" customHeight="1">
      <c r="A282" s="97" t="s">
        <v>122</v>
      </c>
      <c r="B282" s="117">
        <f>C282+B281</f>
        <v>72814</v>
      </c>
      <c r="C282" s="117">
        <v>72814</v>
      </c>
      <c r="D282" s="117">
        <v>72814</v>
      </c>
      <c r="E282" s="117">
        <v>54460</v>
      </c>
      <c r="F282" s="117">
        <v>35960</v>
      </c>
      <c r="G282" s="117">
        <v>18030</v>
      </c>
      <c r="H282" s="117">
        <v>18030</v>
      </c>
      <c r="I282" s="117">
        <v>18030</v>
      </c>
      <c r="J282" s="117">
        <v>0</v>
      </c>
      <c r="K282" s="117">
        <v>0</v>
      </c>
    </row>
    <row r="283" spans="1:11" s="16" customFormat="1" ht="14.4" customHeight="1">
      <c r="A283" s="95" t="s">
        <v>143</v>
      </c>
      <c r="B283" s="72">
        <f>SEPT!C537</f>
        <v>0</v>
      </c>
      <c r="C283" s="72">
        <v>0</v>
      </c>
      <c r="D283" s="72">
        <v>0</v>
      </c>
      <c r="E283" s="72">
        <v>0</v>
      </c>
      <c r="F283" s="72">
        <v>0</v>
      </c>
      <c r="G283" s="72">
        <v>0</v>
      </c>
      <c r="H283" s="72">
        <v>0</v>
      </c>
      <c r="I283" s="72">
        <v>0</v>
      </c>
      <c r="J283" s="72">
        <v>0</v>
      </c>
      <c r="K283" s="72">
        <v>0</v>
      </c>
    </row>
    <row r="284" spans="1:11" s="16" customFormat="1" ht="14.4" customHeight="1">
      <c r="A284" s="97" t="s">
        <v>122</v>
      </c>
      <c r="B284" s="117">
        <f>C284+B283</f>
        <v>0</v>
      </c>
      <c r="C284" s="117">
        <v>0</v>
      </c>
      <c r="D284" s="117">
        <v>0</v>
      </c>
      <c r="E284" s="117">
        <v>0</v>
      </c>
      <c r="F284" s="117">
        <v>0</v>
      </c>
      <c r="G284" s="117">
        <v>0</v>
      </c>
      <c r="H284" s="117">
        <v>0</v>
      </c>
      <c r="I284" s="117">
        <v>0</v>
      </c>
      <c r="J284" s="117">
        <v>0</v>
      </c>
      <c r="K284" s="117">
        <v>0</v>
      </c>
    </row>
    <row r="285" spans="1:11" s="16" customFormat="1" ht="14.4" customHeight="1">
      <c r="A285" s="95" t="s">
        <v>766</v>
      </c>
      <c r="B285" s="72">
        <f>SEPT!C539</f>
        <v>0</v>
      </c>
      <c r="C285" s="72">
        <v>0</v>
      </c>
      <c r="D285" s="72">
        <v>0</v>
      </c>
      <c r="E285" s="72">
        <v>0</v>
      </c>
      <c r="F285" s="72">
        <v>0</v>
      </c>
      <c r="G285" s="72">
        <v>0</v>
      </c>
      <c r="H285" s="72">
        <v>0</v>
      </c>
      <c r="I285" s="72">
        <v>0</v>
      </c>
      <c r="J285" s="72">
        <v>0</v>
      </c>
      <c r="K285" s="72">
        <v>0</v>
      </c>
    </row>
    <row r="286" spans="1:11" s="16" customFormat="1" ht="14.4" customHeight="1">
      <c r="A286" s="97" t="s">
        <v>122</v>
      </c>
      <c r="B286" s="117">
        <f>C286+B285</f>
        <v>0</v>
      </c>
      <c r="C286" s="117">
        <v>0</v>
      </c>
      <c r="D286" s="117">
        <v>0</v>
      </c>
      <c r="E286" s="117">
        <v>0</v>
      </c>
      <c r="F286" s="117">
        <v>0</v>
      </c>
      <c r="G286" s="117">
        <v>0</v>
      </c>
      <c r="H286" s="117">
        <v>0</v>
      </c>
      <c r="I286" s="117">
        <v>0</v>
      </c>
      <c r="J286" s="117">
        <v>0</v>
      </c>
      <c r="K286" s="117">
        <v>0</v>
      </c>
    </row>
    <row r="287" spans="1:11" s="16" customFormat="1" ht="14.4" customHeight="1">
      <c r="A287" s="95" t="s">
        <v>767</v>
      </c>
      <c r="B287" s="72">
        <f>SEPT!C541</f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</row>
    <row r="288" spans="1:11" s="16" customFormat="1" ht="14.4" customHeight="1">
      <c r="A288" s="97" t="s">
        <v>122</v>
      </c>
      <c r="B288" s="117">
        <f>C288+B287</f>
        <v>0</v>
      </c>
      <c r="C288" s="117">
        <v>0</v>
      </c>
      <c r="D288" s="117">
        <v>0</v>
      </c>
      <c r="E288" s="117">
        <v>0</v>
      </c>
      <c r="F288" s="117">
        <v>0</v>
      </c>
      <c r="G288" s="117">
        <v>0</v>
      </c>
      <c r="H288" s="117">
        <v>0</v>
      </c>
      <c r="I288" s="117">
        <v>0</v>
      </c>
      <c r="J288" s="117">
        <v>0</v>
      </c>
      <c r="K288" s="117">
        <v>0</v>
      </c>
    </row>
    <row r="289" spans="1:11" s="16" customFormat="1" ht="14.4" customHeight="1">
      <c r="A289" s="95" t="s">
        <v>853</v>
      </c>
      <c r="B289" s="72">
        <f>SEPT!C543</f>
        <v>0</v>
      </c>
      <c r="C289" s="72">
        <v>0</v>
      </c>
      <c r="D289" s="72">
        <v>0</v>
      </c>
      <c r="E289" s="72">
        <v>0</v>
      </c>
      <c r="F289" s="72">
        <v>0</v>
      </c>
      <c r="G289" s="72">
        <v>0</v>
      </c>
      <c r="H289" s="72">
        <v>0</v>
      </c>
      <c r="I289" s="72">
        <v>0</v>
      </c>
      <c r="J289" s="72">
        <v>0</v>
      </c>
      <c r="K289" s="72">
        <v>0</v>
      </c>
    </row>
    <row r="290" spans="1:11" s="16" customFormat="1" ht="14.4" customHeight="1">
      <c r="A290" s="97" t="s">
        <v>122</v>
      </c>
      <c r="B290" s="117">
        <f>C290+B289</f>
        <v>0</v>
      </c>
      <c r="C290" s="117">
        <v>0</v>
      </c>
      <c r="D290" s="117">
        <v>0</v>
      </c>
      <c r="E290" s="117">
        <v>0</v>
      </c>
      <c r="F290" s="117">
        <v>0</v>
      </c>
      <c r="G290" s="117">
        <v>0</v>
      </c>
      <c r="H290" s="117">
        <v>0</v>
      </c>
      <c r="I290" s="117">
        <v>0</v>
      </c>
      <c r="J290" s="117">
        <v>0</v>
      </c>
      <c r="K290" s="117">
        <v>0</v>
      </c>
    </row>
    <row r="291" spans="1:11" s="16" customFormat="1" ht="14.4" customHeight="1">
      <c r="A291" s="98" t="s">
        <v>242</v>
      </c>
      <c r="B291" s="72">
        <f>SEPT!C545</f>
        <v>0</v>
      </c>
      <c r="C291" s="72">
        <v>0</v>
      </c>
      <c r="D291" s="72">
        <v>0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0</v>
      </c>
    </row>
    <row r="292" spans="1:11" s="16" customFormat="1" ht="14.4" customHeight="1">
      <c r="A292" s="97" t="s">
        <v>122</v>
      </c>
      <c r="B292" s="117">
        <f>C292+B291</f>
        <v>0</v>
      </c>
      <c r="C292" s="117">
        <v>0</v>
      </c>
      <c r="D292" s="117">
        <v>0</v>
      </c>
      <c r="E292" s="117">
        <v>0</v>
      </c>
      <c r="F292" s="117">
        <v>0</v>
      </c>
      <c r="G292" s="117">
        <v>0</v>
      </c>
      <c r="H292" s="117">
        <v>0</v>
      </c>
      <c r="I292" s="117">
        <v>0</v>
      </c>
      <c r="J292" s="117">
        <v>0</v>
      </c>
      <c r="K292" s="117">
        <v>0</v>
      </c>
    </row>
    <row r="293" spans="1:11" s="16" customFormat="1" ht="14.4" customHeight="1">
      <c r="A293" s="98" t="s">
        <v>241</v>
      </c>
      <c r="B293" s="72">
        <f>SEPT!C547</f>
        <v>0</v>
      </c>
      <c r="C293" s="72">
        <v>0</v>
      </c>
      <c r="D293" s="72">
        <v>0</v>
      </c>
      <c r="E293" s="72">
        <v>0</v>
      </c>
      <c r="F293" s="72">
        <v>0</v>
      </c>
      <c r="G293" s="72">
        <v>0</v>
      </c>
      <c r="H293" s="72">
        <v>0</v>
      </c>
      <c r="I293" s="72">
        <v>0</v>
      </c>
      <c r="J293" s="72">
        <v>0</v>
      </c>
      <c r="K293" s="72">
        <v>0</v>
      </c>
    </row>
    <row r="294" spans="1:11" s="16" customFormat="1" ht="14.4" customHeight="1">
      <c r="A294" s="97" t="s">
        <v>122</v>
      </c>
      <c r="B294" s="117">
        <f>C294+B293</f>
        <v>0</v>
      </c>
      <c r="C294" s="117">
        <v>0</v>
      </c>
      <c r="D294" s="117">
        <v>0</v>
      </c>
      <c r="E294" s="117">
        <v>0</v>
      </c>
      <c r="F294" s="117">
        <v>0</v>
      </c>
      <c r="G294" s="117">
        <v>0</v>
      </c>
      <c r="H294" s="117">
        <v>0</v>
      </c>
      <c r="I294" s="117">
        <v>0</v>
      </c>
      <c r="J294" s="117">
        <v>0</v>
      </c>
      <c r="K294" s="117">
        <v>0</v>
      </c>
    </row>
    <row r="295" spans="1:11" s="16" customFormat="1" ht="14.4" customHeight="1">
      <c r="A295" s="95" t="s">
        <v>144</v>
      </c>
      <c r="B295" s="72">
        <f>SEPT!C549</f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</row>
    <row r="296" spans="1:11" s="16" customFormat="1" ht="14.4" customHeight="1">
      <c r="A296" s="97" t="s">
        <v>122</v>
      </c>
      <c r="B296" s="117">
        <f>C296+B295</f>
        <v>0</v>
      </c>
      <c r="C296" s="117">
        <v>0</v>
      </c>
      <c r="D296" s="117">
        <v>0</v>
      </c>
      <c r="E296" s="117">
        <v>0</v>
      </c>
      <c r="F296" s="117">
        <v>0</v>
      </c>
      <c r="G296" s="117">
        <v>0</v>
      </c>
      <c r="H296" s="117">
        <v>0</v>
      </c>
      <c r="I296" s="117">
        <v>0</v>
      </c>
      <c r="J296" s="117">
        <v>0</v>
      </c>
      <c r="K296" s="117">
        <v>0</v>
      </c>
    </row>
    <row r="297" spans="1:11" s="16" customFormat="1" ht="14.4" customHeight="1">
      <c r="A297" s="95" t="s">
        <v>145</v>
      </c>
      <c r="B297" s="72">
        <f>SEPT!C551</f>
        <v>0</v>
      </c>
      <c r="C297" s="72">
        <v>0</v>
      </c>
      <c r="D297" s="72">
        <v>15500</v>
      </c>
      <c r="E297" s="72">
        <v>14266</v>
      </c>
      <c r="F297" s="72">
        <v>15500</v>
      </c>
      <c r="G297" s="72">
        <v>0</v>
      </c>
      <c r="H297" s="72">
        <v>0</v>
      </c>
      <c r="I297" s="72">
        <v>0</v>
      </c>
      <c r="J297" s="72">
        <v>11000</v>
      </c>
      <c r="K297" s="72">
        <v>0</v>
      </c>
    </row>
    <row r="298" spans="1:11" s="16" customFormat="1" ht="14.4" customHeight="1">
      <c r="A298" s="97" t="s">
        <v>122</v>
      </c>
      <c r="B298" s="117">
        <f>C298+B297</f>
        <v>56266</v>
      </c>
      <c r="C298" s="117">
        <v>56266</v>
      </c>
      <c r="D298" s="117">
        <v>56266</v>
      </c>
      <c r="E298" s="117">
        <v>40766</v>
      </c>
      <c r="F298" s="117">
        <v>26500</v>
      </c>
      <c r="G298" s="117">
        <v>11000</v>
      </c>
      <c r="H298" s="117">
        <v>11000</v>
      </c>
      <c r="I298" s="117">
        <v>11000</v>
      </c>
      <c r="J298" s="117">
        <v>11000</v>
      </c>
      <c r="K298" s="117">
        <v>0</v>
      </c>
    </row>
    <row r="299" spans="1:11" s="16" customFormat="1" ht="14.4" customHeight="1">
      <c r="A299" s="98" t="s">
        <v>346</v>
      </c>
      <c r="B299" s="72">
        <f>SEPT!C553</f>
        <v>0</v>
      </c>
      <c r="C299" s="72">
        <v>0</v>
      </c>
      <c r="D299" s="72">
        <v>15500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0</v>
      </c>
    </row>
    <row r="300" spans="1:11" s="16" customFormat="1" ht="14.4" customHeight="1">
      <c r="A300" s="97" t="s">
        <v>122</v>
      </c>
      <c r="B300" s="117">
        <f>C300+B299</f>
        <v>15500</v>
      </c>
      <c r="C300" s="117">
        <v>15500</v>
      </c>
      <c r="D300" s="117">
        <v>15500</v>
      </c>
      <c r="E300" s="117">
        <v>0</v>
      </c>
      <c r="F300" s="117">
        <v>0</v>
      </c>
      <c r="G300" s="117">
        <v>0</v>
      </c>
      <c r="H300" s="117">
        <v>0</v>
      </c>
      <c r="I300" s="117">
        <v>0</v>
      </c>
      <c r="J300" s="117">
        <v>0</v>
      </c>
      <c r="K300" s="117">
        <v>0</v>
      </c>
    </row>
    <row r="301" spans="1:11" s="16" customFormat="1" ht="14.4" customHeight="1">
      <c r="A301" s="98" t="s">
        <v>764</v>
      </c>
      <c r="B301" s="72">
        <f>SEPT!C555</f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</row>
    <row r="302" spans="1:11" s="16" customFormat="1" ht="14.4" customHeight="1">
      <c r="A302" s="97" t="s">
        <v>122</v>
      </c>
      <c r="B302" s="117">
        <f>C302+B301</f>
        <v>0</v>
      </c>
      <c r="C302" s="117">
        <v>0</v>
      </c>
      <c r="D302" s="117">
        <v>0</v>
      </c>
      <c r="E302" s="117">
        <v>0</v>
      </c>
      <c r="F302" s="117">
        <v>0</v>
      </c>
      <c r="G302" s="117">
        <v>0</v>
      </c>
      <c r="H302" s="117">
        <v>0</v>
      </c>
      <c r="I302" s="117">
        <v>0</v>
      </c>
      <c r="J302" s="117">
        <v>0</v>
      </c>
      <c r="K302" s="117">
        <v>0</v>
      </c>
    </row>
    <row r="303" spans="1:11" s="16" customFormat="1" ht="14.4" customHeight="1">
      <c r="A303" s="98" t="s">
        <v>765</v>
      </c>
      <c r="B303" s="72">
        <f>SEPT!C557</f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</row>
    <row r="304" spans="1:11" s="16" customFormat="1" ht="14.4" customHeight="1">
      <c r="A304" s="97" t="s">
        <v>122</v>
      </c>
      <c r="B304" s="117">
        <f>C304+B303</f>
        <v>0</v>
      </c>
      <c r="C304" s="117">
        <v>0</v>
      </c>
      <c r="D304" s="117">
        <v>0</v>
      </c>
      <c r="E304" s="117">
        <v>0</v>
      </c>
      <c r="F304" s="117">
        <v>0</v>
      </c>
      <c r="G304" s="117">
        <v>0</v>
      </c>
      <c r="H304" s="117">
        <v>0</v>
      </c>
      <c r="I304" s="117">
        <v>0</v>
      </c>
      <c r="J304" s="117">
        <v>0</v>
      </c>
      <c r="K304" s="117">
        <v>0</v>
      </c>
    </row>
    <row r="305" spans="1:11" s="16" customFormat="1" ht="14.4" customHeight="1">
      <c r="A305" s="98" t="s">
        <v>854</v>
      </c>
      <c r="B305" s="72">
        <f>SEPT!C559</f>
        <v>0</v>
      </c>
      <c r="C305" s="72">
        <v>0</v>
      </c>
      <c r="D305" s="72">
        <v>0</v>
      </c>
      <c r="E305" s="72">
        <v>0</v>
      </c>
      <c r="F305" s="72">
        <v>0</v>
      </c>
      <c r="G305" s="72">
        <v>0</v>
      </c>
      <c r="H305" s="72">
        <v>0</v>
      </c>
      <c r="I305" s="72">
        <v>0</v>
      </c>
      <c r="J305" s="72">
        <v>0</v>
      </c>
      <c r="K305" s="72">
        <v>0</v>
      </c>
    </row>
    <row r="306" spans="1:11" s="16" customFormat="1" ht="14.4" customHeight="1">
      <c r="A306" s="97" t="s">
        <v>122</v>
      </c>
      <c r="B306" s="117">
        <f>C306+B305</f>
        <v>0</v>
      </c>
      <c r="C306" s="117">
        <v>0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</row>
    <row r="307" spans="1:11" s="16" customFormat="1" ht="14.4" customHeight="1">
      <c r="A307" s="98" t="s">
        <v>146</v>
      </c>
      <c r="B307" s="72">
        <f>SEPT!C561</f>
        <v>0</v>
      </c>
      <c r="C307" s="72">
        <v>20000</v>
      </c>
      <c r="D307" s="72">
        <v>0</v>
      </c>
      <c r="E307" s="72">
        <v>20000</v>
      </c>
      <c r="F307" s="72">
        <v>0</v>
      </c>
      <c r="G307" s="72">
        <v>0</v>
      </c>
      <c r="H307" s="72">
        <v>0</v>
      </c>
      <c r="I307" s="72">
        <v>0</v>
      </c>
      <c r="J307" s="72">
        <v>20000</v>
      </c>
      <c r="K307" s="72">
        <v>0</v>
      </c>
    </row>
    <row r="308" spans="1:11" s="16" customFormat="1" ht="14.4" customHeight="1">
      <c r="A308" s="97" t="s">
        <v>122</v>
      </c>
      <c r="B308" s="117">
        <f>C308+B307</f>
        <v>60000</v>
      </c>
      <c r="C308" s="117">
        <v>60000</v>
      </c>
      <c r="D308" s="117">
        <v>40000</v>
      </c>
      <c r="E308" s="117">
        <v>40000</v>
      </c>
      <c r="F308" s="117">
        <v>20000</v>
      </c>
      <c r="G308" s="117">
        <v>20000</v>
      </c>
      <c r="H308" s="117">
        <v>20000</v>
      </c>
      <c r="I308" s="117">
        <v>20000</v>
      </c>
      <c r="J308" s="117">
        <v>20000</v>
      </c>
      <c r="K308" s="117">
        <v>0</v>
      </c>
    </row>
    <row r="309" spans="1:11" s="16" customFormat="1" ht="14.4" customHeight="1">
      <c r="A309" s="98" t="s">
        <v>147</v>
      </c>
      <c r="B309" s="72">
        <f>SEPT!C563</f>
        <v>0</v>
      </c>
      <c r="C309" s="72">
        <v>0</v>
      </c>
      <c r="D309" s="72">
        <v>0</v>
      </c>
      <c r="E309" s="72">
        <v>0</v>
      </c>
      <c r="F309" s="72">
        <v>0</v>
      </c>
      <c r="G309" s="72">
        <v>0</v>
      </c>
      <c r="H309" s="72">
        <v>0</v>
      </c>
      <c r="I309" s="72">
        <v>0</v>
      </c>
      <c r="J309" s="72">
        <v>0</v>
      </c>
      <c r="K309" s="72">
        <v>0</v>
      </c>
    </row>
    <row r="310" spans="1:11" s="16" customFormat="1" ht="14.4" customHeight="1">
      <c r="A310" s="97" t="s">
        <v>122</v>
      </c>
      <c r="B310" s="117">
        <f>C310+B309</f>
        <v>0</v>
      </c>
      <c r="C310" s="117">
        <v>0</v>
      </c>
      <c r="D310" s="117">
        <v>0</v>
      </c>
      <c r="E310" s="117">
        <v>0</v>
      </c>
      <c r="F310" s="117">
        <v>0</v>
      </c>
      <c r="G310" s="117">
        <v>0</v>
      </c>
      <c r="H310" s="117">
        <v>0</v>
      </c>
      <c r="I310" s="117">
        <v>0</v>
      </c>
      <c r="J310" s="117">
        <v>0</v>
      </c>
      <c r="K310" s="117">
        <v>0</v>
      </c>
    </row>
    <row r="311" spans="1:11" s="16" customFormat="1" ht="14.4" customHeight="1">
      <c r="A311" s="98" t="s">
        <v>886</v>
      </c>
      <c r="B311" s="124">
        <f>SEPT!C565</f>
        <v>0</v>
      </c>
      <c r="C311" s="124">
        <v>11000</v>
      </c>
      <c r="D311" s="124">
        <v>0</v>
      </c>
      <c r="E311" s="124">
        <v>19000</v>
      </c>
      <c r="F311" s="124">
        <v>19000</v>
      </c>
      <c r="G311" s="124">
        <v>0</v>
      </c>
      <c r="H311" s="124">
        <v>0</v>
      </c>
      <c r="I311" s="124">
        <v>19000</v>
      </c>
      <c r="J311" s="124">
        <v>19000</v>
      </c>
      <c r="K311" s="124">
        <v>0</v>
      </c>
    </row>
    <row r="312" spans="1:11" s="16" customFormat="1" ht="14.4" customHeight="1">
      <c r="A312" s="97" t="s">
        <v>122</v>
      </c>
      <c r="B312" s="117">
        <f>C312+B311</f>
        <v>87000</v>
      </c>
      <c r="C312" s="117">
        <v>87000</v>
      </c>
      <c r="D312" s="117">
        <v>76000</v>
      </c>
      <c r="E312" s="117">
        <v>76000</v>
      </c>
      <c r="F312" s="117">
        <v>57000</v>
      </c>
      <c r="G312" s="117">
        <v>38000</v>
      </c>
      <c r="H312" s="117">
        <v>38000</v>
      </c>
      <c r="I312" s="117">
        <v>38000</v>
      </c>
      <c r="J312" s="117">
        <v>19000</v>
      </c>
      <c r="K312" s="117">
        <v>0</v>
      </c>
    </row>
    <row r="313" spans="1:11" s="16" customFormat="1" ht="14.4" customHeight="1">
      <c r="A313" s="98" t="s">
        <v>889</v>
      </c>
      <c r="B313" s="124">
        <f>SEPT!C567</f>
        <v>0</v>
      </c>
      <c r="C313" s="124">
        <v>0</v>
      </c>
      <c r="D313" s="124">
        <v>0</v>
      </c>
      <c r="E313" s="124">
        <v>0</v>
      </c>
      <c r="F313" s="124">
        <v>0</v>
      </c>
      <c r="G313" s="124">
        <v>0</v>
      </c>
      <c r="H313" s="124">
        <v>0</v>
      </c>
      <c r="I313" s="124">
        <v>0</v>
      </c>
      <c r="J313" s="124">
        <v>0</v>
      </c>
      <c r="K313" s="124">
        <v>0</v>
      </c>
    </row>
    <row r="314" spans="1:11" s="16" customFormat="1" ht="14.4" customHeight="1">
      <c r="A314" s="97" t="s">
        <v>122</v>
      </c>
      <c r="B314" s="117">
        <f>C314+B313</f>
        <v>0</v>
      </c>
      <c r="C314" s="117">
        <v>0</v>
      </c>
      <c r="D314" s="117">
        <v>0</v>
      </c>
      <c r="E314" s="117">
        <v>0</v>
      </c>
      <c r="F314" s="117">
        <v>0</v>
      </c>
      <c r="G314" s="117">
        <v>0</v>
      </c>
      <c r="H314" s="117">
        <v>0</v>
      </c>
      <c r="I314" s="117">
        <v>0</v>
      </c>
      <c r="J314" s="117">
        <v>0</v>
      </c>
      <c r="K314" s="117">
        <v>0</v>
      </c>
    </row>
    <row r="315" spans="1:11" s="16" customFormat="1" ht="14.4" customHeight="1">
      <c r="A315" s="98" t="s">
        <v>232</v>
      </c>
      <c r="B315" s="124">
        <f>SEPT!C569</f>
        <v>0</v>
      </c>
      <c r="C315" s="124">
        <v>6000</v>
      </c>
      <c r="D315" s="124">
        <v>0</v>
      </c>
      <c r="E315" s="124">
        <v>12000</v>
      </c>
      <c r="F315" s="124">
        <v>12000</v>
      </c>
      <c r="G315" s="124">
        <v>0</v>
      </c>
      <c r="H315" s="124">
        <v>0</v>
      </c>
      <c r="I315" s="124">
        <v>0</v>
      </c>
      <c r="J315" s="124">
        <v>21000</v>
      </c>
      <c r="K315" s="124">
        <v>0</v>
      </c>
    </row>
    <row r="316" spans="1:11" s="16" customFormat="1" ht="14.4" customHeight="1">
      <c r="A316" s="97" t="s">
        <v>122</v>
      </c>
      <c r="B316" s="117">
        <f>C316+B315</f>
        <v>51000</v>
      </c>
      <c r="C316" s="117">
        <v>51000</v>
      </c>
      <c r="D316" s="117">
        <v>45000</v>
      </c>
      <c r="E316" s="117">
        <v>45000</v>
      </c>
      <c r="F316" s="117">
        <v>33000</v>
      </c>
      <c r="G316" s="117">
        <v>21000</v>
      </c>
      <c r="H316" s="117">
        <v>21000</v>
      </c>
      <c r="I316" s="117">
        <v>21000</v>
      </c>
      <c r="J316" s="117">
        <v>21000</v>
      </c>
      <c r="K316" s="117">
        <v>0</v>
      </c>
    </row>
    <row r="317" spans="1:11" s="16" customFormat="1" ht="14.4" customHeight="1">
      <c r="A317" s="98" t="s">
        <v>233</v>
      </c>
      <c r="B317" s="124">
        <f>SEPT!C571</f>
        <v>0</v>
      </c>
      <c r="C317" s="124">
        <v>0</v>
      </c>
      <c r="D317" s="124">
        <v>0</v>
      </c>
      <c r="E317" s="124">
        <v>0</v>
      </c>
      <c r="F317" s="124">
        <v>0</v>
      </c>
      <c r="G317" s="124">
        <v>0</v>
      </c>
      <c r="H317" s="124">
        <v>0</v>
      </c>
      <c r="I317" s="124">
        <v>0</v>
      </c>
      <c r="J317" s="124">
        <v>0</v>
      </c>
      <c r="K317" s="124">
        <v>0</v>
      </c>
    </row>
    <row r="318" spans="1:11" s="16" customFormat="1" ht="14.4" customHeight="1">
      <c r="A318" s="97" t="s">
        <v>122</v>
      </c>
      <c r="B318" s="117">
        <f>C318+B317</f>
        <v>0</v>
      </c>
      <c r="C318" s="117">
        <v>0</v>
      </c>
      <c r="D318" s="117">
        <v>0</v>
      </c>
      <c r="E318" s="117">
        <v>0</v>
      </c>
      <c r="F318" s="117">
        <v>0</v>
      </c>
      <c r="G318" s="117">
        <v>0</v>
      </c>
      <c r="H318" s="117">
        <v>0</v>
      </c>
      <c r="I318" s="117">
        <v>0</v>
      </c>
      <c r="J318" s="117">
        <v>0</v>
      </c>
      <c r="K318" s="117">
        <v>0</v>
      </c>
    </row>
    <row r="319" spans="1:11" s="16" customFormat="1" ht="14.4" customHeight="1">
      <c r="A319" s="98" t="s">
        <v>234</v>
      </c>
      <c r="B319" s="124">
        <f>SEPT!C573</f>
        <v>0</v>
      </c>
      <c r="C319" s="124">
        <v>0</v>
      </c>
      <c r="D319" s="124">
        <v>0</v>
      </c>
      <c r="E319" s="124">
        <v>0</v>
      </c>
      <c r="F319" s="124">
        <v>0</v>
      </c>
      <c r="G319" s="124">
        <v>0</v>
      </c>
      <c r="H319" s="124">
        <v>0</v>
      </c>
      <c r="I319" s="124">
        <v>0</v>
      </c>
      <c r="J319" s="124">
        <v>0</v>
      </c>
      <c r="K319" s="124">
        <v>0</v>
      </c>
    </row>
    <row r="320" spans="1:11" s="16" customFormat="1" ht="14.4" customHeight="1">
      <c r="A320" s="97" t="s">
        <v>122</v>
      </c>
      <c r="B320" s="117">
        <f>C320+B319</f>
        <v>0</v>
      </c>
      <c r="C320" s="117">
        <v>0</v>
      </c>
      <c r="D320" s="117">
        <v>0</v>
      </c>
      <c r="E320" s="117">
        <v>0</v>
      </c>
      <c r="F320" s="117">
        <v>0</v>
      </c>
      <c r="G320" s="117">
        <v>0</v>
      </c>
      <c r="H320" s="117">
        <v>0</v>
      </c>
      <c r="I320" s="117">
        <v>0</v>
      </c>
      <c r="J320" s="117">
        <v>0</v>
      </c>
      <c r="K320" s="117">
        <v>0</v>
      </c>
    </row>
    <row r="321" spans="1:11" s="16" customFormat="1" ht="14.4" customHeight="1">
      <c r="A321" s="98" t="s">
        <v>235</v>
      </c>
      <c r="B321" s="124">
        <f>SEPT!C575</f>
        <v>0</v>
      </c>
      <c r="C321" s="124">
        <v>0</v>
      </c>
      <c r="D321" s="124">
        <v>0</v>
      </c>
      <c r="E321" s="124">
        <v>0</v>
      </c>
      <c r="F321" s="124">
        <v>0</v>
      </c>
      <c r="G321" s="124">
        <v>0</v>
      </c>
      <c r="H321" s="124">
        <v>0</v>
      </c>
      <c r="I321" s="124">
        <v>0</v>
      </c>
      <c r="J321" s="124">
        <v>0</v>
      </c>
      <c r="K321" s="124">
        <v>0</v>
      </c>
    </row>
    <row r="322" spans="1:11" s="16" customFormat="1" ht="14.4" customHeight="1">
      <c r="A322" s="97" t="s">
        <v>122</v>
      </c>
      <c r="B322" s="117">
        <f>C322+B321</f>
        <v>0</v>
      </c>
      <c r="C322" s="117">
        <v>0</v>
      </c>
      <c r="D322" s="117">
        <v>0</v>
      </c>
      <c r="E322" s="117">
        <v>0</v>
      </c>
      <c r="F322" s="117">
        <v>0</v>
      </c>
      <c r="G322" s="117">
        <v>0</v>
      </c>
      <c r="H322" s="117">
        <v>0</v>
      </c>
      <c r="I322" s="117">
        <v>0</v>
      </c>
      <c r="J322" s="117">
        <v>0</v>
      </c>
      <c r="K322" s="117">
        <v>0</v>
      </c>
    </row>
    <row r="323" spans="1:11" s="16" customFormat="1" ht="14.4" customHeight="1">
      <c r="A323" s="98" t="s">
        <v>236</v>
      </c>
      <c r="B323" s="124">
        <f>SEPT!C577</f>
        <v>0</v>
      </c>
      <c r="C323" s="124">
        <v>0</v>
      </c>
      <c r="D323" s="124">
        <v>0</v>
      </c>
      <c r="E323" s="124">
        <v>0</v>
      </c>
      <c r="F323" s="124">
        <v>0</v>
      </c>
      <c r="G323" s="124">
        <v>0</v>
      </c>
      <c r="H323" s="124">
        <v>0</v>
      </c>
      <c r="I323" s="124">
        <v>0</v>
      </c>
      <c r="J323" s="124">
        <v>0</v>
      </c>
      <c r="K323" s="124">
        <v>0</v>
      </c>
    </row>
    <row r="324" spans="1:11" s="16" customFormat="1" ht="14.4" customHeight="1">
      <c r="A324" s="97" t="s">
        <v>122</v>
      </c>
      <c r="B324" s="117">
        <f>C324+B323</f>
        <v>0</v>
      </c>
      <c r="C324" s="117">
        <v>0</v>
      </c>
      <c r="D324" s="117">
        <v>0</v>
      </c>
      <c r="E324" s="117">
        <v>0</v>
      </c>
      <c r="F324" s="117">
        <v>0</v>
      </c>
      <c r="G324" s="117">
        <v>0</v>
      </c>
      <c r="H324" s="117">
        <v>0</v>
      </c>
      <c r="I324" s="117">
        <v>0</v>
      </c>
      <c r="J324" s="117">
        <v>0</v>
      </c>
      <c r="K324" s="117">
        <v>0</v>
      </c>
    </row>
    <row r="325" spans="1:11" s="16" customFormat="1" ht="14.4" customHeight="1">
      <c r="A325" s="98" t="s">
        <v>887</v>
      </c>
      <c r="B325" s="124">
        <f>SEPT!C579</f>
        <v>0</v>
      </c>
      <c r="C325" s="124">
        <v>0</v>
      </c>
      <c r="D325" s="124">
        <v>0</v>
      </c>
      <c r="E325" s="124">
        <v>0</v>
      </c>
      <c r="F325" s="124">
        <v>0</v>
      </c>
      <c r="G325" s="124">
        <v>0</v>
      </c>
      <c r="H325" s="124">
        <v>0</v>
      </c>
      <c r="I325" s="124">
        <v>0</v>
      </c>
      <c r="J325" s="124">
        <v>0</v>
      </c>
      <c r="K325" s="124">
        <v>0</v>
      </c>
    </row>
    <row r="326" spans="1:11" s="16" customFormat="1" ht="14.4" customHeight="1">
      <c r="A326" s="97" t="s">
        <v>122</v>
      </c>
      <c r="B326" s="117">
        <f>C326+B325</f>
        <v>0</v>
      </c>
      <c r="C326" s="117">
        <v>0</v>
      </c>
      <c r="D326" s="117">
        <v>0</v>
      </c>
      <c r="E326" s="117">
        <v>0</v>
      </c>
      <c r="F326" s="117">
        <v>0</v>
      </c>
      <c r="G326" s="117">
        <v>0</v>
      </c>
      <c r="H326" s="117">
        <v>0</v>
      </c>
      <c r="I326" s="117">
        <v>0</v>
      </c>
      <c r="J326" s="117">
        <v>0</v>
      </c>
      <c r="K326" s="117">
        <v>0</v>
      </c>
    </row>
    <row r="327" spans="1:11" s="16" customFormat="1" ht="14.4" customHeight="1">
      <c r="A327" s="98" t="s">
        <v>888</v>
      </c>
      <c r="B327" s="124">
        <f>SEPT!C581</f>
        <v>0</v>
      </c>
      <c r="C327" s="124">
        <v>0</v>
      </c>
      <c r="D327" s="124">
        <v>0</v>
      </c>
      <c r="E327" s="124">
        <v>0</v>
      </c>
      <c r="F327" s="124">
        <v>0</v>
      </c>
      <c r="G327" s="124">
        <v>0</v>
      </c>
      <c r="H327" s="124">
        <v>0</v>
      </c>
      <c r="I327" s="124">
        <v>0</v>
      </c>
      <c r="J327" s="124">
        <v>0</v>
      </c>
      <c r="K327" s="124">
        <v>0</v>
      </c>
    </row>
    <row r="328" spans="1:11" s="16" customFormat="1" ht="14.4" customHeight="1">
      <c r="A328" s="97" t="s">
        <v>122</v>
      </c>
      <c r="B328" s="117">
        <f>C328+B327</f>
        <v>0</v>
      </c>
      <c r="C328" s="117">
        <v>0</v>
      </c>
      <c r="D328" s="117">
        <v>0</v>
      </c>
      <c r="E328" s="117">
        <v>0</v>
      </c>
      <c r="F328" s="117">
        <v>0</v>
      </c>
      <c r="G328" s="117">
        <v>0</v>
      </c>
      <c r="H328" s="117">
        <v>0</v>
      </c>
      <c r="I328" s="117">
        <v>0</v>
      </c>
      <c r="J328" s="117">
        <v>0</v>
      </c>
      <c r="K328" s="117">
        <v>0</v>
      </c>
    </row>
    <row r="329" spans="1:11" s="16" customFormat="1" ht="14.4" customHeight="1">
      <c r="A329" s="98" t="s">
        <v>890</v>
      </c>
      <c r="B329" s="124">
        <f>SEPT!C583</f>
        <v>0</v>
      </c>
      <c r="C329" s="124">
        <v>0</v>
      </c>
      <c r="D329" s="124">
        <v>0</v>
      </c>
      <c r="E329" s="124">
        <v>0</v>
      </c>
      <c r="F329" s="124">
        <v>0</v>
      </c>
      <c r="G329" s="124">
        <v>0</v>
      </c>
      <c r="H329" s="124">
        <v>0</v>
      </c>
      <c r="I329" s="124">
        <v>0</v>
      </c>
      <c r="J329" s="124">
        <v>0</v>
      </c>
      <c r="K329" s="124">
        <v>0</v>
      </c>
    </row>
    <row r="330" spans="1:11" s="16" customFormat="1" ht="14.4" customHeight="1">
      <c r="A330" s="97" t="s">
        <v>122</v>
      </c>
      <c r="B330" s="117">
        <f>C330+B329</f>
        <v>0</v>
      </c>
      <c r="C330" s="117">
        <v>0</v>
      </c>
      <c r="D330" s="117">
        <v>0</v>
      </c>
      <c r="E330" s="117">
        <v>0</v>
      </c>
      <c r="F330" s="117">
        <v>0</v>
      </c>
      <c r="G330" s="117">
        <v>0</v>
      </c>
      <c r="H330" s="117">
        <v>0</v>
      </c>
      <c r="I330" s="117">
        <v>0</v>
      </c>
      <c r="J330" s="117">
        <v>0</v>
      </c>
      <c r="K330" s="117">
        <v>0</v>
      </c>
    </row>
    <row r="331" spans="1:11" s="16" customFormat="1" ht="14.4" customHeight="1">
      <c r="A331" s="98" t="s">
        <v>891</v>
      </c>
      <c r="B331" s="124">
        <f>SEPT!C585</f>
        <v>0</v>
      </c>
      <c r="C331" s="124">
        <v>0</v>
      </c>
      <c r="D331" s="124">
        <v>0</v>
      </c>
      <c r="E331" s="124">
        <v>0</v>
      </c>
      <c r="F331" s="124">
        <v>0</v>
      </c>
      <c r="G331" s="124">
        <v>0</v>
      </c>
      <c r="H331" s="124">
        <v>0</v>
      </c>
      <c r="I331" s="124">
        <v>0</v>
      </c>
      <c r="J331" s="124">
        <v>0</v>
      </c>
      <c r="K331" s="124">
        <v>0</v>
      </c>
    </row>
    <row r="332" spans="1:11" s="16" customFormat="1" ht="14.4" customHeight="1">
      <c r="A332" s="97" t="s">
        <v>122</v>
      </c>
      <c r="B332" s="117">
        <f>C332+B331</f>
        <v>0</v>
      </c>
      <c r="C332" s="117">
        <v>0</v>
      </c>
      <c r="D332" s="117">
        <v>0</v>
      </c>
      <c r="E332" s="117">
        <v>0</v>
      </c>
      <c r="F332" s="117">
        <v>0</v>
      </c>
      <c r="G332" s="117">
        <v>0</v>
      </c>
      <c r="H332" s="117">
        <v>0</v>
      </c>
      <c r="I332" s="117">
        <v>0</v>
      </c>
      <c r="J332" s="117">
        <v>0</v>
      </c>
      <c r="K332" s="117">
        <v>0</v>
      </c>
    </row>
    <row r="333" spans="1:11" s="16" customFormat="1" ht="14.4" customHeight="1">
      <c r="A333" s="98" t="s">
        <v>895</v>
      </c>
      <c r="B333" s="124">
        <f>SEPT!C587</f>
        <v>0</v>
      </c>
      <c r="C333" s="124">
        <v>0</v>
      </c>
      <c r="D333" s="124">
        <v>0</v>
      </c>
      <c r="E333" s="124">
        <v>0</v>
      </c>
      <c r="F333" s="124">
        <v>0</v>
      </c>
      <c r="G333" s="124">
        <v>0</v>
      </c>
      <c r="H333" s="124">
        <v>0</v>
      </c>
      <c r="I333" s="124">
        <v>0</v>
      </c>
      <c r="J333" s="124">
        <v>0</v>
      </c>
      <c r="K333" s="124">
        <v>0</v>
      </c>
    </row>
    <row r="334" spans="1:11" s="16" customFormat="1" ht="14.4" customHeight="1">
      <c r="A334" s="97" t="s">
        <v>122</v>
      </c>
      <c r="B334" s="117">
        <f>C334+B333</f>
        <v>0</v>
      </c>
      <c r="C334" s="117">
        <v>0</v>
      </c>
      <c r="D334" s="117">
        <v>0</v>
      </c>
      <c r="E334" s="117">
        <v>0</v>
      </c>
      <c r="F334" s="117">
        <v>0</v>
      </c>
      <c r="G334" s="117">
        <v>0</v>
      </c>
      <c r="H334" s="117">
        <v>0</v>
      </c>
      <c r="I334" s="117">
        <v>0</v>
      </c>
      <c r="J334" s="117">
        <v>0</v>
      </c>
      <c r="K334" s="117">
        <v>0</v>
      </c>
    </row>
    <row r="335" spans="1:11" s="16" customFormat="1" ht="14.4" customHeight="1">
      <c r="A335" s="98" t="s">
        <v>903</v>
      </c>
      <c r="B335" s="124">
        <f>SEPT!C589</f>
        <v>0</v>
      </c>
      <c r="C335" s="124">
        <v>0</v>
      </c>
      <c r="D335" s="124">
        <v>0</v>
      </c>
      <c r="E335" s="124">
        <v>0</v>
      </c>
      <c r="F335" s="124">
        <v>0</v>
      </c>
      <c r="G335" s="124">
        <v>0</v>
      </c>
      <c r="H335" s="124">
        <v>0</v>
      </c>
      <c r="I335" s="124">
        <v>0</v>
      </c>
      <c r="J335" s="124">
        <v>0</v>
      </c>
      <c r="K335" s="124">
        <v>0</v>
      </c>
    </row>
    <row r="336" spans="1:11" s="16" customFormat="1" ht="14.4" customHeight="1">
      <c r="A336" s="97" t="s">
        <v>122</v>
      </c>
      <c r="B336" s="117">
        <f>C336+B335</f>
        <v>0</v>
      </c>
      <c r="C336" s="117">
        <v>0</v>
      </c>
      <c r="D336" s="117">
        <v>0</v>
      </c>
      <c r="E336" s="117">
        <v>0</v>
      </c>
      <c r="F336" s="117">
        <v>0</v>
      </c>
      <c r="G336" s="117">
        <v>0</v>
      </c>
      <c r="H336" s="117">
        <v>0</v>
      </c>
      <c r="I336" s="117">
        <v>0</v>
      </c>
      <c r="J336" s="117">
        <v>0</v>
      </c>
      <c r="K336" s="117">
        <v>0</v>
      </c>
    </row>
    <row r="337" spans="1:11" s="16" customFormat="1" ht="14.4" customHeight="1">
      <c r="A337" s="98" t="s">
        <v>897</v>
      </c>
      <c r="B337" s="124">
        <f>SEPT!C591</f>
        <v>0</v>
      </c>
      <c r="C337" s="124">
        <v>0</v>
      </c>
      <c r="D337" s="124">
        <v>0</v>
      </c>
      <c r="E337" s="124">
        <v>0</v>
      </c>
      <c r="F337" s="124">
        <v>0</v>
      </c>
      <c r="G337" s="124">
        <v>0</v>
      </c>
      <c r="H337" s="124">
        <v>0</v>
      </c>
      <c r="I337" s="124">
        <v>0</v>
      </c>
      <c r="J337" s="124">
        <v>0</v>
      </c>
      <c r="K337" s="124">
        <v>0</v>
      </c>
    </row>
    <row r="338" spans="1:11" s="16" customFormat="1" ht="14.4" customHeight="1">
      <c r="A338" s="97" t="s">
        <v>122</v>
      </c>
      <c r="B338" s="117">
        <f>C338+B337</f>
        <v>0</v>
      </c>
      <c r="C338" s="117">
        <v>0</v>
      </c>
      <c r="D338" s="117">
        <v>0</v>
      </c>
      <c r="E338" s="117">
        <v>0</v>
      </c>
      <c r="F338" s="117">
        <v>0</v>
      </c>
      <c r="G338" s="117">
        <v>0</v>
      </c>
      <c r="H338" s="117">
        <v>0</v>
      </c>
      <c r="I338" s="117">
        <v>0</v>
      </c>
      <c r="J338" s="117">
        <v>0</v>
      </c>
      <c r="K338" s="117">
        <v>0</v>
      </c>
    </row>
    <row r="339" spans="1:11" s="16" customFormat="1" ht="14.4" customHeight="1">
      <c r="A339" s="98" t="s">
        <v>898</v>
      </c>
      <c r="B339" s="124">
        <f>SEPT!C593</f>
        <v>0</v>
      </c>
      <c r="C339" s="124">
        <v>0</v>
      </c>
      <c r="D339" s="124">
        <v>0</v>
      </c>
      <c r="E339" s="124">
        <v>0</v>
      </c>
      <c r="F339" s="124">
        <v>0</v>
      </c>
      <c r="G339" s="124">
        <v>0</v>
      </c>
      <c r="H339" s="124">
        <v>0</v>
      </c>
      <c r="I339" s="124">
        <v>0</v>
      </c>
      <c r="J339" s="124">
        <v>0</v>
      </c>
      <c r="K339" s="124">
        <v>0</v>
      </c>
    </row>
    <row r="340" spans="1:11" s="16" customFormat="1" ht="14.4" customHeight="1">
      <c r="A340" s="97" t="s">
        <v>122</v>
      </c>
      <c r="B340" s="117">
        <f>C340+B339</f>
        <v>0</v>
      </c>
      <c r="C340" s="117">
        <v>0</v>
      </c>
      <c r="D340" s="117">
        <v>0</v>
      </c>
      <c r="E340" s="117">
        <v>0</v>
      </c>
      <c r="F340" s="117">
        <v>0</v>
      </c>
      <c r="G340" s="117">
        <v>0</v>
      </c>
      <c r="H340" s="117">
        <v>0</v>
      </c>
      <c r="I340" s="117">
        <v>0</v>
      </c>
      <c r="J340" s="117">
        <v>0</v>
      </c>
      <c r="K340" s="117">
        <v>0</v>
      </c>
    </row>
    <row r="341" spans="1:11" s="16" customFormat="1" ht="14.4" customHeight="1">
      <c r="A341" s="98" t="s">
        <v>899</v>
      </c>
      <c r="B341" s="124">
        <f>SEPT!C595</f>
        <v>0</v>
      </c>
      <c r="C341" s="124">
        <v>0</v>
      </c>
      <c r="D341" s="124">
        <v>0</v>
      </c>
      <c r="E341" s="124">
        <v>0</v>
      </c>
      <c r="F341" s="124">
        <v>0</v>
      </c>
      <c r="G341" s="124">
        <v>0</v>
      </c>
      <c r="H341" s="124">
        <v>0</v>
      </c>
      <c r="I341" s="124">
        <v>0</v>
      </c>
      <c r="J341" s="124">
        <v>0</v>
      </c>
      <c r="K341" s="124">
        <v>0</v>
      </c>
    </row>
    <row r="342" spans="1:11" s="16" customFormat="1" ht="14.4" customHeight="1">
      <c r="A342" s="97" t="s">
        <v>122</v>
      </c>
      <c r="B342" s="117">
        <f>C342+B341</f>
        <v>0</v>
      </c>
      <c r="C342" s="117">
        <v>0</v>
      </c>
      <c r="D342" s="117">
        <v>0</v>
      </c>
      <c r="E342" s="117">
        <v>0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</row>
    <row r="343" spans="1:11" s="16" customFormat="1" ht="14.4" customHeight="1">
      <c r="A343" s="98" t="s">
        <v>832</v>
      </c>
      <c r="B343" s="124">
        <f>SEPT!C597</f>
        <v>0</v>
      </c>
      <c r="C343" s="124">
        <v>0</v>
      </c>
      <c r="D343" s="124">
        <v>0</v>
      </c>
      <c r="E343" s="124">
        <v>0</v>
      </c>
      <c r="F343" s="124">
        <v>0</v>
      </c>
      <c r="G343" s="124">
        <v>0</v>
      </c>
      <c r="H343" s="124">
        <v>0</v>
      </c>
      <c r="I343" s="124">
        <v>0</v>
      </c>
      <c r="J343" s="124">
        <v>0</v>
      </c>
      <c r="K343" s="124">
        <v>0</v>
      </c>
    </row>
    <row r="344" spans="1:11" s="16" customFormat="1" ht="14.4" customHeight="1">
      <c r="A344" s="97" t="s">
        <v>122</v>
      </c>
      <c r="B344" s="117">
        <f>C344+B343</f>
        <v>0</v>
      </c>
      <c r="C344" s="117">
        <v>0</v>
      </c>
      <c r="D344" s="117">
        <v>0</v>
      </c>
      <c r="E344" s="117">
        <v>0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</row>
    <row r="345" spans="1:11" s="16" customFormat="1" ht="14.4" customHeight="1">
      <c r="A345" s="98"/>
      <c r="B345" s="124">
        <f>SEPT!C599</f>
        <v>0</v>
      </c>
      <c r="C345" s="124">
        <v>0</v>
      </c>
      <c r="D345" s="124">
        <v>0</v>
      </c>
      <c r="E345" s="124">
        <v>0</v>
      </c>
      <c r="F345" s="124">
        <v>0</v>
      </c>
      <c r="G345" s="124">
        <v>0</v>
      </c>
      <c r="H345" s="124">
        <v>0</v>
      </c>
      <c r="I345" s="124">
        <v>0</v>
      </c>
      <c r="J345" s="124">
        <v>0</v>
      </c>
      <c r="K345" s="124">
        <v>0</v>
      </c>
    </row>
    <row r="346" spans="1:11" s="16" customFormat="1" ht="14.4" customHeight="1">
      <c r="A346" s="97"/>
      <c r="B346" s="117">
        <f>C346+B345</f>
        <v>0</v>
      </c>
      <c r="C346" s="117">
        <v>0</v>
      </c>
      <c r="D346" s="117">
        <v>0</v>
      </c>
      <c r="E346" s="117">
        <v>0</v>
      </c>
      <c r="F346" s="117">
        <v>0</v>
      </c>
      <c r="G346" s="117">
        <v>0</v>
      </c>
      <c r="H346" s="117">
        <v>0</v>
      </c>
      <c r="I346" s="117">
        <v>0</v>
      </c>
      <c r="J346" s="117">
        <v>0</v>
      </c>
      <c r="K346" s="117">
        <v>0</v>
      </c>
    </row>
    <row r="347" spans="1:11" s="16" customFormat="1" ht="14.4" customHeight="1">
      <c r="A347" s="98" t="s">
        <v>149</v>
      </c>
      <c r="B347" s="72">
        <f>B279+B281+B283+B285+B287+B289+B291+B293+B295+B297+B299+B301+B303+B305+B307+B309+B311+B313+B315+B317+B319+B321+B323+B325+B327+B329+B331+B333+B335+B337+B339+B341+B343+B345</f>
        <v>0</v>
      </c>
      <c r="C347" s="72">
        <v>37000</v>
      </c>
      <c r="D347" s="72">
        <v>49354</v>
      </c>
      <c r="E347" s="72">
        <v>83766</v>
      </c>
      <c r="F347" s="72">
        <v>64430</v>
      </c>
      <c r="G347" s="72">
        <v>0</v>
      </c>
      <c r="H347" s="72">
        <v>0</v>
      </c>
      <c r="I347" s="72">
        <v>37030</v>
      </c>
      <c r="J347" s="72">
        <v>71000</v>
      </c>
      <c r="K347" s="72">
        <v>0</v>
      </c>
    </row>
    <row r="348" spans="1:11" s="16" customFormat="1" ht="14.4" customHeight="1" thickBot="1">
      <c r="A348" s="108" t="s">
        <v>122</v>
      </c>
      <c r="B348" s="116">
        <f>C348+B347</f>
        <v>342580</v>
      </c>
      <c r="C348" s="116">
        <v>342580</v>
      </c>
      <c r="D348" s="116">
        <v>305580</v>
      </c>
      <c r="E348" s="116">
        <v>256226</v>
      </c>
      <c r="F348" s="116">
        <v>172460</v>
      </c>
      <c r="G348" s="116">
        <v>108030</v>
      </c>
      <c r="H348" s="116">
        <v>108030</v>
      </c>
      <c r="I348" s="116">
        <v>108030</v>
      </c>
      <c r="J348" s="116">
        <v>71000</v>
      </c>
      <c r="K348" s="116">
        <v>0</v>
      </c>
    </row>
    <row r="349" spans="1:11" s="16" customFormat="1" ht="14.4" customHeight="1" thickBot="1">
      <c r="A349" s="113"/>
      <c r="B349" s="81"/>
      <c r="C349" s="81"/>
      <c r="D349" s="81"/>
      <c r="E349" s="81"/>
      <c r="F349" s="81"/>
      <c r="G349" s="81"/>
      <c r="H349" s="81"/>
      <c r="I349" s="81"/>
      <c r="J349" s="81"/>
      <c r="K349" s="81"/>
    </row>
    <row r="350" spans="1:11" s="16" customFormat="1" ht="14.4" customHeight="1" thickTop="1">
      <c r="A350" s="167" t="s">
        <v>157</v>
      </c>
      <c r="B350" s="164">
        <f>SEPT!C610</f>
        <v>0</v>
      </c>
      <c r="C350" s="164">
        <v>3894000</v>
      </c>
      <c r="D350" s="164">
        <v>3894000</v>
      </c>
      <c r="E350" s="164">
        <v>3894000</v>
      </c>
      <c r="F350" s="164">
        <v>3891000</v>
      </c>
      <c r="G350" s="164">
        <v>3891000</v>
      </c>
      <c r="H350" s="164">
        <v>3894000</v>
      </c>
      <c r="I350" s="164">
        <v>3894000</v>
      </c>
      <c r="J350" s="164">
        <v>3892000</v>
      </c>
      <c r="K350" s="164">
        <v>0</v>
      </c>
    </row>
    <row r="351" spans="1:11" s="16" customFormat="1" ht="14.4" customHeight="1" thickBot="1">
      <c r="A351" s="165" t="s">
        <v>13</v>
      </c>
      <c r="B351" s="163">
        <f>C351+B350</f>
        <v>31144000</v>
      </c>
      <c r="C351" s="163">
        <v>31144000</v>
      </c>
      <c r="D351" s="163">
        <v>27250000</v>
      </c>
      <c r="E351" s="163">
        <v>23356000</v>
      </c>
      <c r="F351" s="163">
        <v>19462000</v>
      </c>
      <c r="G351" s="163">
        <v>15571000</v>
      </c>
      <c r="H351" s="163">
        <v>11680000</v>
      </c>
      <c r="I351" s="163">
        <v>7786000</v>
      </c>
      <c r="J351" s="163">
        <v>3892000</v>
      </c>
      <c r="K351" s="163">
        <v>0</v>
      </c>
    </row>
    <row r="352" spans="1:11" s="16" customFormat="1" ht="14.4" customHeight="1" thickTop="1" thickBot="1">
      <c r="A352" s="113"/>
      <c r="B352" s="81"/>
      <c r="C352" s="81"/>
      <c r="D352" s="81"/>
      <c r="E352" s="81"/>
      <c r="F352" s="81"/>
      <c r="G352" s="81"/>
      <c r="H352" s="81"/>
      <c r="I352" s="81"/>
      <c r="J352" s="81"/>
      <c r="K352" s="81"/>
    </row>
    <row r="353" spans="1:11" s="16" customFormat="1" ht="14.4" customHeight="1" thickTop="1">
      <c r="A353" s="167" t="s">
        <v>843</v>
      </c>
      <c r="B353" s="164">
        <f>SEPT!C614</f>
        <v>0</v>
      </c>
      <c r="C353" s="164"/>
      <c r="D353" s="164"/>
      <c r="E353" s="164"/>
      <c r="F353" s="164"/>
      <c r="G353" s="164"/>
      <c r="H353" s="164"/>
      <c r="I353" s="164"/>
      <c r="J353" s="164"/>
      <c r="K353" s="164"/>
    </row>
    <row r="354" spans="1:11" s="16" customFormat="1" ht="14.4" customHeight="1">
      <c r="A354" s="1330" t="s">
        <v>13</v>
      </c>
      <c r="B354" s="117">
        <f>C354+B353</f>
        <v>0</v>
      </c>
      <c r="C354" s="117"/>
      <c r="D354" s="117"/>
      <c r="E354" s="117"/>
      <c r="F354" s="117"/>
      <c r="G354" s="117"/>
      <c r="H354" s="117"/>
      <c r="I354" s="117"/>
      <c r="J354" s="117"/>
      <c r="K354" s="117"/>
    </row>
    <row r="355" spans="1:11" s="1100" customFormat="1" ht="14.4" customHeight="1" thickBot="1">
      <c r="A355" s="165" t="s">
        <v>906</v>
      </c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</row>
    <row r="356" spans="1:11" s="1100" customFormat="1" ht="14.4" customHeight="1" thickTop="1">
      <c r="A356" s="1329"/>
      <c r="B356" s="1099"/>
      <c r="C356" s="1099"/>
      <c r="D356" s="1099"/>
      <c r="E356" s="1099"/>
      <c r="F356" s="1099"/>
      <c r="G356" s="1099"/>
      <c r="H356" s="1099"/>
      <c r="I356" s="1099"/>
      <c r="J356" s="1099"/>
      <c r="K356" s="1099"/>
    </row>
    <row r="357" spans="1:11" s="16" customFormat="1" ht="14.4" customHeight="1">
      <c r="A357" s="250" t="s">
        <v>364</v>
      </c>
      <c r="B357" s="81">
        <f>B359+B361+B363+B365+B367</f>
        <v>0</v>
      </c>
      <c r="C357" s="81">
        <v>100000</v>
      </c>
      <c r="D357" s="81">
        <v>200000</v>
      </c>
      <c r="E357" s="81">
        <v>100000</v>
      </c>
      <c r="F357" s="81">
        <v>0</v>
      </c>
      <c r="G357" s="81">
        <v>200000</v>
      </c>
      <c r="H357" s="81">
        <v>100000</v>
      </c>
      <c r="I357" s="81">
        <v>0</v>
      </c>
      <c r="J357" s="81">
        <v>775000</v>
      </c>
      <c r="K357" s="81">
        <v>0</v>
      </c>
    </row>
    <row r="358" spans="1:11" s="16" customFormat="1" ht="14.4" customHeight="1">
      <c r="A358" s="113" t="s">
        <v>13</v>
      </c>
      <c r="B358" s="251">
        <f>C358+B357</f>
        <v>1475000</v>
      </c>
      <c r="C358" s="251">
        <v>1475000</v>
      </c>
      <c r="D358" s="251">
        <v>1375000</v>
      </c>
      <c r="E358" s="251">
        <v>1175000</v>
      </c>
      <c r="F358" s="251">
        <v>1075000</v>
      </c>
      <c r="G358" s="251">
        <v>1075000</v>
      </c>
      <c r="H358" s="251">
        <v>875000</v>
      </c>
      <c r="I358" s="251">
        <v>775000</v>
      </c>
      <c r="J358" s="251">
        <v>775000</v>
      </c>
      <c r="K358" s="251">
        <v>0</v>
      </c>
    </row>
    <row r="359" spans="1:11" s="16" customFormat="1" ht="14.4" customHeight="1">
      <c r="A359" s="250" t="s">
        <v>365</v>
      </c>
      <c r="B359" s="81">
        <f>SEPT!C620</f>
        <v>0</v>
      </c>
      <c r="C359" s="81">
        <v>0</v>
      </c>
      <c r="D359" s="81">
        <v>0</v>
      </c>
      <c r="E359" s="81">
        <v>0</v>
      </c>
      <c r="F359" s="81">
        <v>0</v>
      </c>
      <c r="G359" s="81">
        <v>100000</v>
      </c>
      <c r="H359" s="81">
        <v>0</v>
      </c>
      <c r="I359" s="81">
        <v>0</v>
      </c>
      <c r="J359" s="81">
        <v>300000</v>
      </c>
      <c r="K359" s="81">
        <v>0</v>
      </c>
    </row>
    <row r="360" spans="1:11" s="16" customFormat="1" ht="14.4" customHeight="1">
      <c r="A360" s="113" t="s">
        <v>13</v>
      </c>
      <c r="B360" s="251">
        <f>C360+B359</f>
        <v>400000</v>
      </c>
      <c r="C360" s="251">
        <v>400000</v>
      </c>
      <c r="D360" s="251">
        <v>400000</v>
      </c>
      <c r="E360" s="251">
        <v>400000</v>
      </c>
      <c r="F360" s="251">
        <v>400000</v>
      </c>
      <c r="G360" s="251">
        <v>400000</v>
      </c>
      <c r="H360" s="251">
        <v>300000</v>
      </c>
      <c r="I360" s="251">
        <v>300000</v>
      </c>
      <c r="J360" s="251">
        <v>300000</v>
      </c>
      <c r="K360" s="251">
        <v>0</v>
      </c>
    </row>
    <row r="361" spans="1:11" s="16" customFormat="1" ht="14.4" customHeight="1">
      <c r="A361" s="250" t="s">
        <v>366</v>
      </c>
      <c r="B361" s="81">
        <f>SEPT!C622</f>
        <v>0</v>
      </c>
      <c r="C361" s="81">
        <v>100000</v>
      </c>
      <c r="D361" s="81">
        <v>200000</v>
      </c>
      <c r="E361" s="81">
        <v>100000</v>
      </c>
      <c r="F361" s="81">
        <v>0</v>
      </c>
      <c r="G361" s="81">
        <v>100000</v>
      </c>
      <c r="H361" s="81">
        <v>100000</v>
      </c>
      <c r="I361" s="81">
        <v>0</v>
      </c>
      <c r="J361" s="81">
        <v>475000</v>
      </c>
      <c r="K361" s="81">
        <v>0</v>
      </c>
    </row>
    <row r="362" spans="1:11" s="16" customFormat="1" ht="14.4" customHeight="1">
      <c r="A362" s="113" t="s">
        <v>13</v>
      </c>
      <c r="B362" s="251">
        <f>C362+B361</f>
        <v>1075000</v>
      </c>
      <c r="C362" s="251">
        <v>1075000</v>
      </c>
      <c r="D362" s="251">
        <v>975000</v>
      </c>
      <c r="E362" s="251">
        <v>775000</v>
      </c>
      <c r="F362" s="251">
        <v>675000</v>
      </c>
      <c r="G362" s="251">
        <v>675000</v>
      </c>
      <c r="H362" s="251">
        <v>575000</v>
      </c>
      <c r="I362" s="251">
        <v>475000</v>
      </c>
      <c r="J362" s="251">
        <v>475000</v>
      </c>
      <c r="K362" s="251">
        <v>0</v>
      </c>
    </row>
    <row r="363" spans="1:11" s="16" customFormat="1" ht="14.4" customHeight="1">
      <c r="A363" s="250"/>
      <c r="B363" s="81">
        <f>SEPT!C624</f>
        <v>0</v>
      </c>
      <c r="C363" s="81">
        <v>0</v>
      </c>
      <c r="D363" s="81"/>
      <c r="E363" s="81"/>
      <c r="F363" s="81"/>
      <c r="G363" s="81"/>
      <c r="H363" s="81"/>
      <c r="I363" s="81"/>
      <c r="J363" s="81"/>
      <c r="K363" s="81"/>
    </row>
    <row r="364" spans="1:11" s="16" customFormat="1" ht="14.4" customHeight="1">
      <c r="A364" s="113" t="s">
        <v>13</v>
      </c>
      <c r="B364" s="251">
        <f>C364+B363</f>
        <v>0</v>
      </c>
      <c r="C364" s="251">
        <v>0</v>
      </c>
      <c r="D364" s="251"/>
      <c r="E364" s="251"/>
      <c r="F364" s="251"/>
      <c r="G364" s="251"/>
      <c r="H364" s="251"/>
      <c r="I364" s="251"/>
      <c r="J364" s="251"/>
      <c r="K364" s="251"/>
    </row>
    <row r="365" spans="1:11" s="16" customFormat="1" ht="14.4" customHeight="1">
      <c r="A365" s="250"/>
      <c r="B365" s="81">
        <f>SEPT!C626</f>
        <v>0</v>
      </c>
      <c r="C365" s="81">
        <v>0</v>
      </c>
      <c r="D365" s="81"/>
      <c r="E365" s="81"/>
      <c r="F365" s="81"/>
      <c r="G365" s="81"/>
      <c r="H365" s="81"/>
      <c r="I365" s="81"/>
      <c r="J365" s="81"/>
      <c r="K365" s="81"/>
    </row>
    <row r="366" spans="1:11" s="16" customFormat="1" ht="14.4" customHeight="1">
      <c r="A366" s="113" t="s">
        <v>13</v>
      </c>
      <c r="B366" s="251">
        <f>C366+B365</f>
        <v>0</v>
      </c>
      <c r="C366" s="251">
        <v>0</v>
      </c>
      <c r="D366" s="251"/>
      <c r="E366" s="251"/>
      <c r="F366" s="251"/>
      <c r="G366" s="251"/>
      <c r="H366" s="251"/>
      <c r="I366" s="251"/>
      <c r="J366" s="251"/>
      <c r="K366" s="251"/>
    </row>
    <row r="367" spans="1:11" s="16" customFormat="1" ht="14.4" customHeight="1">
      <c r="A367" s="250"/>
      <c r="B367" s="81">
        <f>SEPT!C628</f>
        <v>0</v>
      </c>
      <c r="C367" s="81">
        <v>0</v>
      </c>
      <c r="D367" s="81"/>
      <c r="E367" s="81"/>
      <c r="F367" s="81"/>
      <c r="G367" s="81"/>
      <c r="H367" s="81"/>
      <c r="I367" s="81"/>
      <c r="J367" s="81"/>
      <c r="K367" s="81"/>
    </row>
    <row r="368" spans="1:11" s="16" customFormat="1" ht="14.4" customHeight="1">
      <c r="A368" s="113" t="s">
        <v>13</v>
      </c>
      <c r="B368" s="251">
        <f>C368+B367</f>
        <v>0</v>
      </c>
      <c r="C368" s="251">
        <v>0</v>
      </c>
      <c r="D368" s="251"/>
      <c r="E368" s="251"/>
      <c r="F368" s="251"/>
      <c r="G368" s="251"/>
      <c r="H368" s="251"/>
      <c r="I368" s="251"/>
      <c r="J368" s="251"/>
      <c r="K368" s="251"/>
    </row>
    <row r="369" spans="1:11" s="16" customFormat="1" ht="14.4" customHeight="1">
      <c r="A369" s="113"/>
      <c r="B369" s="81"/>
      <c r="C369" s="81"/>
      <c r="D369" s="81"/>
      <c r="E369" s="81"/>
      <c r="F369" s="81"/>
      <c r="G369" s="81"/>
      <c r="H369" s="81"/>
      <c r="I369" s="81"/>
      <c r="J369" s="81"/>
      <c r="K369" s="81"/>
    </row>
    <row r="370" spans="1:11" s="16" customFormat="1" ht="14.4" customHeight="1" thickBot="1">
      <c r="A370" s="113"/>
      <c r="B370" s="81"/>
      <c r="C370" s="81"/>
      <c r="D370" s="81"/>
      <c r="E370" s="81"/>
      <c r="F370" s="81"/>
      <c r="G370" s="81"/>
      <c r="H370" s="81"/>
      <c r="I370" s="81"/>
      <c r="J370" s="81"/>
      <c r="K370" s="81"/>
    </row>
    <row r="371" spans="1:11" s="16" customFormat="1" ht="14.4" customHeight="1">
      <c r="A371" s="153" t="s">
        <v>187</v>
      </c>
      <c r="B371" s="157">
        <f>SEPT!C631</f>
        <v>0</v>
      </c>
      <c r="C371" s="157">
        <v>6863000</v>
      </c>
      <c r="D371" s="157">
        <v>6380000</v>
      </c>
      <c r="E371" s="157">
        <v>5534500</v>
      </c>
      <c r="F371" s="157">
        <v>9699002</v>
      </c>
      <c r="G371" s="157">
        <v>6337000</v>
      </c>
      <c r="H371" s="157">
        <v>0</v>
      </c>
      <c r="I371" s="157">
        <v>0</v>
      </c>
      <c r="J371" s="157">
        <v>0</v>
      </c>
      <c r="K371" s="157">
        <v>0</v>
      </c>
    </row>
    <row r="372" spans="1:11" s="16" customFormat="1" ht="14.4" customHeight="1" thickBot="1">
      <c r="A372" s="108" t="s">
        <v>13</v>
      </c>
      <c r="B372" s="158">
        <f>C372+B371</f>
        <v>34813502</v>
      </c>
      <c r="C372" s="158">
        <v>34813502</v>
      </c>
      <c r="D372" s="158">
        <v>27950502</v>
      </c>
      <c r="E372" s="158">
        <v>21570502</v>
      </c>
      <c r="F372" s="158">
        <v>16036002</v>
      </c>
      <c r="G372" s="158">
        <v>6337000</v>
      </c>
      <c r="H372" s="158">
        <v>0</v>
      </c>
      <c r="I372" s="158">
        <v>0</v>
      </c>
      <c r="J372" s="158">
        <v>0</v>
      </c>
      <c r="K372" s="158">
        <v>0</v>
      </c>
    </row>
    <row r="373" spans="1:11" s="16" customFormat="1" ht="14.4" customHeight="1" thickBot="1">
      <c r="A373" s="113"/>
      <c r="B373" s="81"/>
      <c r="C373" s="81"/>
      <c r="D373" s="81"/>
      <c r="E373" s="81"/>
      <c r="F373" s="81"/>
      <c r="G373" s="81"/>
      <c r="H373" s="81"/>
      <c r="I373" s="81"/>
      <c r="J373" s="81"/>
      <c r="K373" s="81"/>
    </row>
    <row r="374" spans="1:11" s="16" customFormat="1" ht="23.4" customHeight="1">
      <c r="A374" s="105" t="s">
        <v>121</v>
      </c>
      <c r="B374" s="112">
        <f>B220+B217+B232+B250+B253+B275+B347+B350+B11+B189+B357+B209-B117-B89-B61-B33-B205-B213</f>
        <v>7882641</v>
      </c>
      <c r="C374" s="112">
        <v>36734592</v>
      </c>
      <c r="D374" s="112">
        <v>46385576</v>
      </c>
      <c r="E374" s="112">
        <v>38772489</v>
      </c>
      <c r="F374" s="112">
        <v>40975362</v>
      </c>
      <c r="G374" s="112">
        <v>30317651</v>
      </c>
      <c r="H374" s="112">
        <v>39783383</v>
      </c>
      <c r="I374" s="112">
        <v>46142837</v>
      </c>
      <c r="J374" s="112">
        <v>62679592</v>
      </c>
      <c r="K374" s="112">
        <v>0</v>
      </c>
    </row>
    <row r="375" spans="1:11" s="2" customFormat="1" ht="18.600000000000001" thickBot="1">
      <c r="A375" s="100" t="s">
        <v>59</v>
      </c>
      <c r="B375" s="114">
        <f>C375+B374</f>
        <v>349674123</v>
      </c>
      <c r="C375" s="114">
        <v>341791482</v>
      </c>
      <c r="D375" s="114">
        <v>305056890</v>
      </c>
      <c r="E375" s="114">
        <v>258671314</v>
      </c>
      <c r="F375" s="114">
        <v>219898825</v>
      </c>
      <c r="G375" s="114">
        <v>178923463</v>
      </c>
      <c r="H375" s="114">
        <v>148605812</v>
      </c>
      <c r="I375" s="114">
        <v>108822429</v>
      </c>
      <c r="J375" s="114">
        <v>62679592</v>
      </c>
      <c r="K375" s="114">
        <v>0</v>
      </c>
    </row>
    <row r="376" spans="1:11" ht="6" customHeight="1" thickTop="1">
      <c r="A376" s="25"/>
      <c r="B376" s="77"/>
      <c r="C376" s="77"/>
      <c r="D376" s="77"/>
      <c r="E376" s="77"/>
      <c r="F376" s="77"/>
      <c r="G376" s="77"/>
      <c r="H376" s="77"/>
      <c r="I376" s="77"/>
      <c r="J376" s="77"/>
      <c r="K376" s="77"/>
    </row>
    <row r="377" spans="1:11" s="41" customFormat="1" ht="30.6" customHeight="1">
      <c r="A377" s="39" t="s">
        <v>60</v>
      </c>
      <c r="B377" s="40">
        <f>B187-B375</f>
        <v>16734708</v>
      </c>
      <c r="C377" s="40">
        <v>16453754</v>
      </c>
      <c r="D377" s="40">
        <v>4243408</v>
      </c>
      <c r="E377" s="40">
        <v>11520416</v>
      </c>
      <c r="F377" s="40">
        <v>4711228</v>
      </c>
      <c r="G377" s="40">
        <v>-8966728</v>
      </c>
      <c r="H377" s="40">
        <v>-22388626</v>
      </c>
      <c r="I377" s="40">
        <v>-26633526</v>
      </c>
      <c r="J377" s="40">
        <v>-27459961</v>
      </c>
      <c r="K377" s="40">
        <v>0</v>
      </c>
    </row>
    <row r="378" spans="1:11" ht="4.95" customHeight="1">
      <c r="A378" s="4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 spans="1:11" s="58" customFormat="1" ht="25.2" customHeight="1">
      <c r="A379" s="56" t="s">
        <v>117</v>
      </c>
      <c r="B379" s="57">
        <f>SEPT!C639</f>
        <v>257132281</v>
      </c>
      <c r="C379" s="57">
        <v>267179827</v>
      </c>
      <c r="D379" s="57">
        <v>332274422</v>
      </c>
      <c r="E379" s="57">
        <v>276249375</v>
      </c>
      <c r="F379" s="57">
        <v>286957452</v>
      </c>
      <c r="G379" s="57">
        <v>317392927</v>
      </c>
      <c r="H379" s="57">
        <v>214964928</v>
      </c>
      <c r="I379" s="57">
        <v>364743632</v>
      </c>
      <c r="J379" s="57">
        <v>216277168</v>
      </c>
      <c r="K379" s="57">
        <v>244286588</v>
      </c>
    </row>
    <row r="380" spans="1:11" s="2" customFormat="1" ht="25.2" customHeight="1">
      <c r="A380" s="148" t="s">
        <v>21</v>
      </c>
      <c r="B380" s="60">
        <f>SEPT!C640</f>
        <v>10445333</v>
      </c>
      <c r="C380" s="60">
        <v>10445333</v>
      </c>
      <c r="D380" s="60">
        <v>9100333</v>
      </c>
      <c r="E380" s="60">
        <v>11925333</v>
      </c>
      <c r="F380" s="60">
        <v>4805333</v>
      </c>
      <c r="G380" s="60">
        <v>4074000</v>
      </c>
      <c r="H380" s="60">
        <v>6934000</v>
      </c>
      <c r="I380" s="60">
        <v>5709000</v>
      </c>
      <c r="J380" s="60">
        <v>3379000</v>
      </c>
      <c r="K380" s="60">
        <v>3734000</v>
      </c>
    </row>
    <row r="381" spans="1:11" ht="25.2" customHeight="1">
      <c r="A381" s="148" t="s">
        <v>11</v>
      </c>
      <c r="B381" s="60">
        <f>SEPT!C641</f>
        <v>63375000</v>
      </c>
      <c r="C381" s="60">
        <v>64050000</v>
      </c>
      <c r="D381" s="60">
        <v>76375000</v>
      </c>
      <c r="E381" s="60">
        <v>74160000</v>
      </c>
      <c r="F381" s="60">
        <v>87674000</v>
      </c>
      <c r="G381" s="60">
        <v>121600000</v>
      </c>
      <c r="H381" s="60">
        <v>35502000</v>
      </c>
      <c r="I381" s="60">
        <v>186600000</v>
      </c>
      <c r="J381" s="60">
        <v>33920000</v>
      </c>
      <c r="K381" s="60">
        <v>44102000</v>
      </c>
    </row>
    <row r="382" spans="1:11" ht="25.2" customHeight="1">
      <c r="A382" s="149" t="s">
        <v>162</v>
      </c>
      <c r="B382" s="150">
        <f>B379+B380-B381</f>
        <v>204202614</v>
      </c>
      <c r="C382" s="150">
        <v>213575160</v>
      </c>
      <c r="D382" s="150">
        <v>264999755</v>
      </c>
      <c r="E382" s="150">
        <v>214014708</v>
      </c>
      <c r="F382" s="150">
        <v>204088785</v>
      </c>
      <c r="G382" s="150">
        <v>199866927</v>
      </c>
      <c r="H382" s="150">
        <v>186396928</v>
      </c>
      <c r="I382" s="150">
        <v>183852632</v>
      </c>
      <c r="J382" s="150">
        <v>185736168</v>
      </c>
      <c r="K382" s="150">
        <v>203918588</v>
      </c>
    </row>
    <row r="384" spans="1:11" s="151" customFormat="1" ht="24.9" customHeight="1">
      <c r="A384" s="151" t="s">
        <v>24</v>
      </c>
      <c r="B384" s="152">
        <f>B6</f>
        <v>-21353504</v>
      </c>
      <c r="C384" s="152">
        <v>-10825004</v>
      </c>
      <c r="D384" s="152">
        <v>-8499063</v>
      </c>
      <c r="E384" s="152">
        <v>-6600618</v>
      </c>
      <c r="F384" s="152">
        <v>-9491782</v>
      </c>
      <c r="G384" s="152">
        <v>-4735684</v>
      </c>
      <c r="H384" s="152">
        <v>-2928784</v>
      </c>
      <c r="I384" s="152">
        <v>-1118430</v>
      </c>
      <c r="J384" s="152">
        <v>1011541</v>
      </c>
      <c r="K384" s="152">
        <v>28139174</v>
      </c>
    </row>
    <row r="385" spans="1:11" s="151" customFormat="1" ht="24.9" customHeight="1">
      <c r="A385" s="151" t="s">
        <v>46</v>
      </c>
      <c r="B385" s="152">
        <f>B382-B384</f>
        <v>225556118</v>
      </c>
      <c r="C385" s="152">
        <v>224400164</v>
      </c>
      <c r="D385" s="152">
        <v>273498818</v>
      </c>
      <c r="E385" s="152">
        <v>220615326</v>
      </c>
      <c r="F385" s="152">
        <v>213580567</v>
      </c>
      <c r="G385" s="152">
        <v>204602611</v>
      </c>
      <c r="H385" s="152">
        <v>189325712</v>
      </c>
      <c r="I385" s="152">
        <v>184971062</v>
      </c>
      <c r="J385" s="152">
        <v>184724627</v>
      </c>
      <c r="K385" s="152">
        <v>175779414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649"/>
  <sheetViews>
    <sheetView tabSelected="1" zoomScale="60" zoomScaleNormal="60" workbookViewId="0">
      <pane xSplit="1" ySplit="4" topLeftCell="B191" activePane="bottomRight" state="frozen"/>
      <selection pane="topRight" activeCell="B1" sqref="B1"/>
      <selection pane="bottomLeft" activeCell="A5" sqref="A5"/>
      <selection pane="bottomRight" activeCell="B631" sqref="B631"/>
    </sheetView>
  </sheetViews>
  <sheetFormatPr defaultColWidth="8.88671875" defaultRowHeight="14.4"/>
  <cols>
    <col min="1" max="1" width="37.44140625" style="263" customWidth="1"/>
    <col min="2" max="2" width="11.109375" style="263" customWidth="1"/>
    <col min="3" max="9" width="25.6640625" style="263" customWidth="1"/>
    <col min="10" max="10" width="8.88671875" style="263"/>
    <col min="11" max="11" width="8.88671875" style="263" customWidth="1"/>
    <col min="12" max="16384" width="8.88671875" style="263"/>
  </cols>
  <sheetData>
    <row r="1" spans="1:9">
      <c r="A1" s="426" t="s">
        <v>547</v>
      </c>
      <c r="B1" s="426" t="s">
        <v>546</v>
      </c>
      <c r="C1" s="960"/>
      <c r="D1" s="960"/>
      <c r="E1" s="960"/>
      <c r="F1" s="960"/>
      <c r="G1" s="960"/>
      <c r="H1" s="960"/>
      <c r="I1" s="960"/>
    </row>
    <row r="2" spans="1:9" ht="15" thickBot="1"/>
    <row r="3" spans="1:9">
      <c r="A3" s="727"/>
      <c r="B3" s="726"/>
      <c r="C3" s="679">
        <v>46272</v>
      </c>
      <c r="D3" s="679">
        <v>46271</v>
      </c>
      <c r="E3" s="679" t="s">
        <v>908</v>
      </c>
      <c r="F3" s="679">
        <v>46268</v>
      </c>
      <c r="G3" s="679">
        <v>46267</v>
      </c>
      <c r="H3" s="679">
        <v>46266</v>
      </c>
      <c r="I3" s="679" t="s">
        <v>875</v>
      </c>
    </row>
    <row r="4" spans="1:9" s="267" customFormat="1" ht="15" thickBot="1">
      <c r="A4" s="728"/>
      <c r="B4" s="729"/>
      <c r="C4" s="680" t="s">
        <v>131</v>
      </c>
      <c r="D4" s="680" t="s">
        <v>132</v>
      </c>
      <c r="E4" s="680" t="s">
        <v>707</v>
      </c>
      <c r="F4" s="680" t="s">
        <v>128</v>
      </c>
      <c r="G4" s="680" t="s">
        <v>129</v>
      </c>
      <c r="H4" s="680" t="s">
        <v>130</v>
      </c>
      <c r="I4" s="680" t="s">
        <v>131</v>
      </c>
    </row>
    <row r="5" spans="1:9" s="267" customFormat="1">
      <c r="A5" s="730"/>
      <c r="B5" s="731"/>
      <c r="C5" s="681"/>
      <c r="D5" s="681"/>
      <c r="E5" s="681"/>
      <c r="F5" s="681"/>
      <c r="G5" s="681"/>
      <c r="H5" s="681"/>
      <c r="I5" s="681"/>
    </row>
    <row r="6" spans="1:9" ht="15" thickBot="1">
      <c r="A6" s="732" t="s">
        <v>24</v>
      </c>
      <c r="B6" s="733"/>
      <c r="C6" s="682"/>
      <c r="D6" s="682"/>
      <c r="E6" s="682"/>
      <c r="F6" s="682"/>
      <c r="G6" s="682"/>
      <c r="H6" s="682"/>
      <c r="I6" s="682"/>
    </row>
    <row r="7" spans="1:9">
      <c r="A7" s="3" t="s">
        <v>10</v>
      </c>
      <c r="B7" s="734"/>
      <c r="C7" s="683"/>
      <c r="D7" s="683"/>
      <c r="E7" s="683"/>
      <c r="F7" s="683"/>
      <c r="G7" s="683"/>
      <c r="H7" s="683"/>
      <c r="I7" s="683"/>
    </row>
    <row r="8" spans="1:9">
      <c r="A8" s="25" t="s">
        <v>101</v>
      </c>
      <c r="B8" s="735"/>
      <c r="C8" s="641">
        <f>'TABEL INPUT'!O13</f>
        <v>671000</v>
      </c>
      <c r="D8" s="641">
        <v>671000</v>
      </c>
      <c r="E8" s="641">
        <v>671000</v>
      </c>
      <c r="F8" s="641">
        <v>606000</v>
      </c>
      <c r="G8" s="641">
        <v>606000</v>
      </c>
      <c r="H8" s="641">
        <v>606000</v>
      </c>
      <c r="I8" s="641">
        <v>606000</v>
      </c>
    </row>
    <row r="9" spans="1:9">
      <c r="A9" s="25" t="s">
        <v>336</v>
      </c>
      <c r="B9" s="735"/>
      <c r="C9" s="641">
        <f>'TABEL INPUT'!O14</f>
        <v>1615000</v>
      </c>
      <c r="D9" s="641">
        <v>1615000</v>
      </c>
      <c r="E9" s="641">
        <v>1615000</v>
      </c>
      <c r="F9" s="641">
        <v>1615000</v>
      </c>
      <c r="G9" s="641">
        <v>1615000</v>
      </c>
      <c r="H9" s="641">
        <v>1615000</v>
      </c>
      <c r="I9" s="641">
        <v>1615000</v>
      </c>
    </row>
    <row r="10" spans="1:9">
      <c r="A10" s="1" t="s">
        <v>14</v>
      </c>
      <c r="B10" s="736"/>
      <c r="C10" s="641">
        <v>0</v>
      </c>
      <c r="D10" s="641">
        <v>0</v>
      </c>
      <c r="E10" s="641">
        <v>0</v>
      </c>
      <c r="F10" s="641">
        <v>0</v>
      </c>
      <c r="G10" s="641">
        <v>0</v>
      </c>
      <c r="H10" s="641">
        <v>0</v>
      </c>
      <c r="I10" s="641">
        <v>0</v>
      </c>
    </row>
    <row r="11" spans="1:9">
      <c r="A11" s="1" t="s">
        <v>15</v>
      </c>
      <c r="B11" s="736"/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1">
        <v>0</v>
      </c>
    </row>
    <row r="12" spans="1:9">
      <c r="A12" s="1">
        <v>1000</v>
      </c>
      <c r="B12" s="736"/>
      <c r="C12" s="641"/>
      <c r="D12" s="641"/>
      <c r="E12" s="641"/>
      <c r="F12" s="641"/>
      <c r="G12" s="641"/>
      <c r="H12" s="641"/>
      <c r="I12" s="641"/>
    </row>
    <row r="13" spans="1:9">
      <c r="A13" s="1">
        <v>2000</v>
      </c>
      <c r="B13" s="736"/>
      <c r="C13" s="641">
        <v>0</v>
      </c>
      <c r="D13" s="641">
        <v>0</v>
      </c>
      <c r="E13" s="641">
        <v>0</v>
      </c>
      <c r="F13" s="641">
        <v>0</v>
      </c>
      <c r="G13" s="641">
        <v>0</v>
      </c>
      <c r="H13" s="641">
        <v>0</v>
      </c>
      <c r="I13" s="641">
        <v>0</v>
      </c>
    </row>
    <row r="14" spans="1:9">
      <c r="A14" s="1">
        <v>5000</v>
      </c>
      <c r="B14" s="736"/>
      <c r="C14" s="641"/>
      <c r="D14" s="641"/>
      <c r="E14" s="641"/>
      <c r="F14" s="641"/>
      <c r="G14" s="641"/>
      <c r="H14" s="641"/>
      <c r="I14" s="641"/>
    </row>
    <row r="15" spans="1:9">
      <c r="A15" s="1">
        <v>10000</v>
      </c>
      <c r="B15" s="736"/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1">
        <v>0</v>
      </c>
    </row>
    <row r="16" spans="1:9">
      <c r="A16" s="1">
        <v>20000</v>
      </c>
      <c r="B16" s="736"/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1">
        <v>0</v>
      </c>
    </row>
    <row r="17" spans="1:12">
      <c r="A17" s="1">
        <v>50000</v>
      </c>
      <c r="B17" s="736"/>
      <c r="C17" s="642">
        <v>0</v>
      </c>
      <c r="D17" s="642">
        <v>0</v>
      </c>
      <c r="E17" s="642">
        <v>0</v>
      </c>
      <c r="F17" s="642">
        <v>0</v>
      </c>
      <c r="G17" s="642">
        <v>0</v>
      </c>
      <c r="H17" s="642">
        <v>0</v>
      </c>
      <c r="I17" s="642">
        <v>0</v>
      </c>
    </row>
    <row r="18" spans="1:12">
      <c r="A18" s="4">
        <v>100000</v>
      </c>
      <c r="B18" s="15"/>
      <c r="C18" s="642">
        <v>0</v>
      </c>
      <c r="D18" s="642">
        <v>0</v>
      </c>
      <c r="E18" s="642">
        <v>0</v>
      </c>
      <c r="F18" s="642">
        <v>0</v>
      </c>
      <c r="G18" s="642">
        <v>0</v>
      </c>
      <c r="H18" s="642">
        <v>0</v>
      </c>
      <c r="I18" s="642">
        <v>0</v>
      </c>
    </row>
    <row r="19" spans="1:12" ht="16.2" thickBot="1">
      <c r="A19" s="737"/>
      <c r="B19" s="738"/>
      <c r="C19" s="848">
        <f>SUM(C8:C18)</f>
        <v>2286000</v>
      </c>
      <c r="D19" s="848">
        <v>2286000</v>
      </c>
      <c r="E19" s="848">
        <v>2286000</v>
      </c>
      <c r="F19" s="848">
        <v>2221000</v>
      </c>
      <c r="G19" s="848">
        <v>2221000</v>
      </c>
      <c r="H19" s="848">
        <v>2221000</v>
      </c>
      <c r="I19" s="848">
        <v>2221000</v>
      </c>
      <c r="L19"/>
    </row>
    <row r="20" spans="1:12">
      <c r="A20" s="5"/>
      <c r="B20"/>
      <c r="C20" s="852"/>
      <c r="D20" s="852"/>
      <c r="E20" s="852"/>
      <c r="F20" s="852"/>
      <c r="G20" s="852"/>
      <c r="H20" s="852"/>
      <c r="I20" s="852"/>
    </row>
    <row r="21" spans="1:12" ht="16.2" thickBot="1">
      <c r="A21" s="5"/>
      <c r="B21"/>
      <c r="C21" s="853"/>
      <c r="D21" s="853"/>
      <c r="E21" s="853"/>
      <c r="F21" s="853"/>
      <c r="G21" s="853"/>
      <c r="H21" s="853"/>
      <c r="I21" s="853"/>
    </row>
    <row r="22" spans="1:12">
      <c r="A22" s="739" t="s">
        <v>0</v>
      </c>
      <c r="B22" s="740"/>
      <c r="C22" s="956">
        <f>'TABEL INPUT'!O6</f>
        <v>160754000</v>
      </c>
      <c r="D22" s="956">
        <v>160754000</v>
      </c>
      <c r="E22" s="956">
        <v>168950000</v>
      </c>
      <c r="F22" s="956">
        <v>170350000</v>
      </c>
      <c r="G22" s="956">
        <v>160550000</v>
      </c>
      <c r="H22" s="956">
        <v>160900000</v>
      </c>
      <c r="I22" s="956">
        <v>138890000</v>
      </c>
    </row>
    <row r="23" spans="1:12">
      <c r="A23" s="25" t="s">
        <v>10</v>
      </c>
      <c r="B23" s="741"/>
      <c r="C23" s="686">
        <v>0</v>
      </c>
      <c r="D23" s="686">
        <v>0</v>
      </c>
      <c r="E23" s="686">
        <v>0</v>
      </c>
      <c r="F23" s="686">
        <v>0</v>
      </c>
      <c r="G23" s="686">
        <v>0</v>
      </c>
      <c r="H23" s="686">
        <v>0</v>
      </c>
      <c r="I23" s="686">
        <v>0</v>
      </c>
    </row>
    <row r="24" spans="1:12">
      <c r="A24" s="25" t="s">
        <v>555</v>
      </c>
      <c r="B24" s="741"/>
      <c r="C24" s="686">
        <f>'TABEL INPUT'!O15</f>
        <v>45000</v>
      </c>
      <c r="D24" s="686">
        <v>45000</v>
      </c>
      <c r="E24" s="686">
        <v>30000</v>
      </c>
      <c r="F24" s="686">
        <v>98500</v>
      </c>
      <c r="G24" s="686">
        <v>36000</v>
      </c>
      <c r="H24" s="686">
        <v>60000</v>
      </c>
      <c r="I24" s="686">
        <v>13500</v>
      </c>
    </row>
    <row r="25" spans="1:12">
      <c r="A25" s="25" t="s">
        <v>173</v>
      </c>
      <c r="B25" s="741"/>
      <c r="C25" s="686">
        <f>'TABEL INPUT'!C6</f>
        <v>0</v>
      </c>
      <c r="D25" s="686">
        <v>0</v>
      </c>
      <c r="E25" s="686">
        <v>0</v>
      </c>
      <c r="F25" s="686">
        <v>0</v>
      </c>
      <c r="G25" s="686">
        <v>0</v>
      </c>
      <c r="H25" s="686">
        <v>0</v>
      </c>
      <c r="I25" s="686">
        <v>0</v>
      </c>
    </row>
    <row r="26" spans="1:12">
      <c r="A26" s="25" t="s">
        <v>332</v>
      </c>
      <c r="B26" s="741"/>
      <c r="C26" s="686">
        <f>'TABEL INPUT'!F6</f>
        <v>0</v>
      </c>
      <c r="D26" s="686">
        <v>0</v>
      </c>
      <c r="E26" s="686">
        <v>0</v>
      </c>
      <c r="F26" s="686">
        <v>0</v>
      </c>
      <c r="G26" s="686">
        <v>0</v>
      </c>
      <c r="H26" s="686">
        <v>0</v>
      </c>
      <c r="I26" s="686">
        <v>0</v>
      </c>
    </row>
    <row r="27" spans="1:12">
      <c r="A27" s="25" t="s">
        <v>345</v>
      </c>
      <c r="B27" s="741"/>
      <c r="C27" s="686">
        <f>'TABEL INPUT'!L6</f>
        <v>0</v>
      </c>
      <c r="D27" s="686">
        <v>0</v>
      </c>
      <c r="E27" s="686">
        <v>0</v>
      </c>
      <c r="F27" s="686">
        <v>0</v>
      </c>
      <c r="G27" s="686">
        <v>0</v>
      </c>
      <c r="H27" s="686">
        <v>0</v>
      </c>
      <c r="I27" s="686">
        <v>0</v>
      </c>
    </row>
    <row r="28" spans="1:12">
      <c r="A28" s="25" t="s">
        <v>333</v>
      </c>
      <c r="B28" s="741"/>
      <c r="C28" s="686">
        <f>'TABEL INPUT'!I4</f>
        <v>0</v>
      </c>
      <c r="D28" s="686">
        <v>0</v>
      </c>
      <c r="E28" s="686">
        <v>0</v>
      </c>
      <c r="F28" s="686">
        <v>32309000</v>
      </c>
      <c r="G28" s="686">
        <v>24856000</v>
      </c>
      <c r="H28" s="686">
        <v>11162000</v>
      </c>
      <c r="I28" s="686">
        <v>0</v>
      </c>
    </row>
    <row r="29" spans="1:12">
      <c r="A29" s="1" t="s">
        <v>562</v>
      </c>
      <c r="B29" s="736"/>
      <c r="C29" s="641">
        <f>'TABEL INPUT'!O16</f>
        <v>0</v>
      </c>
      <c r="D29" s="641">
        <v>0</v>
      </c>
      <c r="E29" s="641">
        <v>0</v>
      </c>
      <c r="F29" s="641">
        <v>65000</v>
      </c>
      <c r="G29" s="641">
        <v>65000</v>
      </c>
      <c r="H29" s="641">
        <v>65000</v>
      </c>
      <c r="I29" s="641">
        <v>235000</v>
      </c>
    </row>
    <row r="30" spans="1:12">
      <c r="A30" s="1" t="s">
        <v>563</v>
      </c>
      <c r="B30" s="736"/>
      <c r="C30" s="641">
        <f>'TABEL INPUT'!O17</f>
        <v>0</v>
      </c>
      <c r="D30" s="641">
        <v>0</v>
      </c>
      <c r="E30" s="641">
        <v>0</v>
      </c>
      <c r="F30" s="641">
        <v>0</v>
      </c>
      <c r="G30" s="641">
        <v>0</v>
      </c>
      <c r="H30" s="641">
        <v>0</v>
      </c>
      <c r="I30" s="641">
        <v>0</v>
      </c>
    </row>
    <row r="31" spans="1:12" s="687" customFormat="1" ht="15" thickBot="1">
      <c r="A31" s="742"/>
      <c r="B31" s="743"/>
      <c r="C31" s="849">
        <f>SUM(C22:C30)</f>
        <v>160799000</v>
      </c>
      <c r="D31" s="849">
        <v>160799000</v>
      </c>
      <c r="E31" s="849">
        <v>168980000</v>
      </c>
      <c r="F31" s="849">
        <v>202822500</v>
      </c>
      <c r="G31" s="849">
        <v>185507000</v>
      </c>
      <c r="H31" s="849">
        <v>172187000</v>
      </c>
      <c r="I31" s="849">
        <v>139138500</v>
      </c>
    </row>
    <row r="32" spans="1:12">
      <c r="A32"/>
      <c r="B32"/>
      <c r="C32" s="851"/>
      <c r="D32" s="851"/>
      <c r="E32" s="851"/>
      <c r="F32" s="851"/>
      <c r="G32" s="851"/>
      <c r="H32" s="851"/>
      <c r="I32" s="851"/>
    </row>
    <row r="33" spans="1:9" s="688" customFormat="1" ht="21">
      <c r="A33" s="1446" t="s">
        <v>225</v>
      </c>
      <c r="B33" s="1446"/>
      <c r="C33" s="850">
        <f>C19+C31</f>
        <v>163085000</v>
      </c>
      <c r="D33" s="850">
        <v>163085000</v>
      </c>
      <c r="E33" s="850">
        <v>171266000</v>
      </c>
      <c r="F33" s="850">
        <v>205043500</v>
      </c>
      <c r="G33" s="850">
        <v>187728000</v>
      </c>
      <c r="H33" s="850">
        <v>174408000</v>
      </c>
      <c r="I33" s="850">
        <v>141359500</v>
      </c>
    </row>
    <row r="34" spans="1:9" s="688" customFormat="1" ht="21">
      <c r="A34" s="744"/>
      <c r="B34" s="744"/>
      <c r="C34" s="850"/>
      <c r="D34" s="850"/>
      <c r="E34" s="850"/>
      <c r="F34" s="850"/>
      <c r="G34" s="850"/>
      <c r="H34" s="850"/>
      <c r="I34" s="850"/>
    </row>
    <row r="35" spans="1:9" ht="15" thickBot="1">
      <c r="A35"/>
      <c r="B35"/>
      <c r="C35" s="851"/>
      <c r="D35" s="851"/>
      <c r="E35" s="851"/>
      <c r="F35" s="851"/>
      <c r="G35" s="851"/>
      <c r="H35" s="851"/>
      <c r="I35" s="851"/>
    </row>
    <row r="36" spans="1:9" ht="18">
      <c r="A36" s="745" t="s">
        <v>138</v>
      </c>
      <c r="B36" s="740"/>
      <c r="C36" s="854"/>
      <c r="D36" s="854"/>
      <c r="E36" s="854"/>
      <c r="F36" s="854"/>
      <c r="G36" s="854"/>
      <c r="H36" s="854"/>
      <c r="I36" s="854"/>
    </row>
    <row r="37" spans="1:9">
      <c r="A37" s="28"/>
      <c r="B37" s="746"/>
      <c r="C37" s="855"/>
      <c r="D37" s="855"/>
      <c r="E37" s="855"/>
      <c r="F37" s="855"/>
      <c r="G37" s="855"/>
      <c r="H37" s="855"/>
      <c r="I37" s="855"/>
    </row>
    <row r="38" spans="1:9">
      <c r="A38" s="28" t="s">
        <v>812</v>
      </c>
      <c r="B38" s="747" t="s">
        <v>266</v>
      </c>
      <c r="C38" s="855">
        <f>'AGEN BAOMEKOT'!V190</f>
        <v>14081391</v>
      </c>
      <c r="D38" s="855">
        <v>14081391</v>
      </c>
      <c r="E38" s="855">
        <v>5000001</v>
      </c>
      <c r="F38" s="855">
        <v>5000001</v>
      </c>
      <c r="G38" s="855">
        <v>5000001</v>
      </c>
      <c r="H38" s="855">
        <v>5000001</v>
      </c>
      <c r="I38" s="855">
        <v>53580001</v>
      </c>
    </row>
    <row r="39" spans="1:9">
      <c r="A39" s="28" t="s">
        <v>74</v>
      </c>
      <c r="B39" s="746" t="s">
        <v>267</v>
      </c>
      <c r="C39" s="855">
        <f>'AGEN BAOMEKOT'!K190</f>
        <v>941317</v>
      </c>
      <c r="D39" s="855">
        <v>941317</v>
      </c>
      <c r="E39" s="855">
        <v>992067</v>
      </c>
      <c r="F39" s="855">
        <v>265567</v>
      </c>
      <c r="G39" s="855">
        <v>544567</v>
      </c>
      <c r="H39" s="855">
        <v>544567</v>
      </c>
      <c r="I39" s="855">
        <v>926817</v>
      </c>
    </row>
    <row r="40" spans="1:9">
      <c r="A40" s="28" t="s">
        <v>1</v>
      </c>
      <c r="B40" s="746" t="s">
        <v>268</v>
      </c>
      <c r="C40" s="855">
        <f>'AGEN BAOMEKOT'!E190</f>
        <v>337945</v>
      </c>
      <c r="D40" s="855">
        <v>337945</v>
      </c>
      <c r="E40" s="855">
        <v>574837</v>
      </c>
      <c r="F40" s="855">
        <v>322348</v>
      </c>
      <c r="G40" s="855">
        <v>749238</v>
      </c>
      <c r="H40" s="855">
        <v>982032</v>
      </c>
      <c r="I40" s="855">
        <v>1721519</v>
      </c>
    </row>
    <row r="41" spans="1:9">
      <c r="A41" s="28" t="s">
        <v>111</v>
      </c>
      <c r="B41" s="746" t="s">
        <v>269</v>
      </c>
      <c r="C41" s="855">
        <f>'AGEN BAOMEKOT'!AB190</f>
        <v>638</v>
      </c>
      <c r="D41" s="855">
        <v>638</v>
      </c>
      <c r="E41" s="855">
        <v>106518</v>
      </c>
      <c r="F41" s="855">
        <v>338218</v>
      </c>
      <c r="G41" s="855">
        <v>338218</v>
      </c>
      <c r="H41" s="855">
        <v>116318</v>
      </c>
      <c r="I41" s="855">
        <v>230318</v>
      </c>
    </row>
    <row r="42" spans="1:9">
      <c r="A42" s="28" t="s">
        <v>168</v>
      </c>
      <c r="B42" s="746" t="s">
        <v>204</v>
      </c>
      <c r="C42" s="855">
        <f>'AGEN BAOMEKOT'!AH190</f>
        <v>320270</v>
      </c>
      <c r="D42" s="855">
        <v>320270</v>
      </c>
      <c r="E42" s="855">
        <v>320270</v>
      </c>
      <c r="F42" s="855">
        <v>438770</v>
      </c>
      <c r="G42" s="855">
        <v>226570</v>
      </c>
      <c r="H42" s="855">
        <v>226570</v>
      </c>
      <c r="I42" s="855">
        <v>226570</v>
      </c>
    </row>
    <row r="43" spans="1:9">
      <c r="A43" s="28" t="s">
        <v>16</v>
      </c>
      <c r="B43" s="746" t="s">
        <v>484</v>
      </c>
      <c r="C43" s="855">
        <f>'AGEN BAOMEKOT'!BB190</f>
        <v>0</v>
      </c>
      <c r="D43" s="855">
        <v>0</v>
      </c>
      <c r="E43" s="855">
        <v>0</v>
      </c>
      <c r="F43" s="855">
        <v>0</v>
      </c>
      <c r="G43" s="855">
        <v>0</v>
      </c>
      <c r="H43" s="855">
        <v>0</v>
      </c>
      <c r="I43" s="855">
        <v>0</v>
      </c>
    </row>
    <row r="44" spans="1:9">
      <c r="A44" s="28" t="s">
        <v>9</v>
      </c>
      <c r="B44" s="746" t="s">
        <v>270</v>
      </c>
      <c r="C44" s="855">
        <f>'AGEN BAOMEKOT'!AQ190</f>
        <v>199895</v>
      </c>
      <c r="D44" s="855">
        <v>199895</v>
      </c>
      <c r="E44" s="855">
        <v>199895</v>
      </c>
      <c r="F44" s="855">
        <v>199895</v>
      </c>
      <c r="G44" s="855">
        <v>199895</v>
      </c>
      <c r="H44" s="855">
        <v>199895</v>
      </c>
      <c r="I44" s="855">
        <v>199895</v>
      </c>
    </row>
    <row r="45" spans="1:9">
      <c r="A45" s="1" t="s">
        <v>819</v>
      </c>
      <c r="B45" s="748"/>
      <c r="C45" s="641">
        <f>'TABEL INPUT'!C11</f>
        <v>3615</v>
      </c>
      <c r="D45" s="641">
        <v>3615</v>
      </c>
      <c r="E45" s="641">
        <v>3615</v>
      </c>
      <c r="F45" s="641">
        <v>3615</v>
      </c>
      <c r="G45" s="641">
        <v>3615</v>
      </c>
      <c r="H45" s="641">
        <v>3615</v>
      </c>
      <c r="I45" s="641">
        <v>3615</v>
      </c>
    </row>
    <row r="46" spans="1:9">
      <c r="A46" s="1" t="s">
        <v>828</v>
      </c>
      <c r="B46" s="748"/>
      <c r="C46" s="641">
        <f>'TABEL INPUT'!C12</f>
        <v>496187</v>
      </c>
      <c r="D46" s="641">
        <v>496187</v>
      </c>
      <c r="E46" s="641">
        <v>496187</v>
      </c>
      <c r="F46" s="641">
        <v>496187</v>
      </c>
      <c r="G46" s="641">
        <v>496187</v>
      </c>
      <c r="H46" s="641">
        <v>496187</v>
      </c>
      <c r="I46" s="641">
        <v>496187</v>
      </c>
    </row>
    <row r="47" spans="1:9">
      <c r="A47" s="1" t="s">
        <v>550</v>
      </c>
      <c r="B47" s="748"/>
      <c r="C47" s="641">
        <f>'TABEL INPUT'!C13</f>
        <v>83840</v>
      </c>
      <c r="D47" s="641">
        <v>83840</v>
      </c>
      <c r="E47" s="641">
        <v>83840</v>
      </c>
      <c r="F47" s="641">
        <v>83840</v>
      </c>
      <c r="G47" s="641">
        <v>83840</v>
      </c>
      <c r="H47" s="641">
        <v>83840</v>
      </c>
      <c r="I47" s="641">
        <v>103840</v>
      </c>
    </row>
    <row r="48" spans="1:9" s="687" customFormat="1" ht="15" thickBot="1">
      <c r="A48" s="1447" t="s">
        <v>224</v>
      </c>
      <c r="B48" s="1448"/>
      <c r="C48" s="856">
        <f>SUM(C38:C47)</f>
        <v>16465098</v>
      </c>
      <c r="D48" s="856">
        <v>16465098</v>
      </c>
      <c r="E48" s="856">
        <v>7777230</v>
      </c>
      <c r="F48" s="856">
        <v>7148441</v>
      </c>
      <c r="G48" s="856">
        <v>7642131</v>
      </c>
      <c r="H48" s="856">
        <v>7653025</v>
      </c>
      <c r="I48" s="856">
        <v>57488762</v>
      </c>
    </row>
    <row r="49" spans="1:9" ht="15" thickBot="1">
      <c r="A49"/>
      <c r="B49" s="16"/>
      <c r="C49" s="851"/>
      <c r="D49" s="851"/>
      <c r="E49" s="851"/>
      <c r="F49" s="851"/>
      <c r="G49" s="851"/>
      <c r="H49" s="851"/>
      <c r="I49" s="851"/>
    </row>
    <row r="50" spans="1:9" ht="18">
      <c r="A50" s="745" t="s">
        <v>172</v>
      </c>
      <c r="B50" s="734"/>
      <c r="C50" s="854"/>
      <c r="D50" s="854"/>
      <c r="E50" s="854"/>
      <c r="F50" s="854"/>
      <c r="G50" s="854"/>
      <c r="H50" s="854"/>
      <c r="I50" s="854"/>
    </row>
    <row r="51" spans="1:9">
      <c r="A51" s="28" t="s">
        <v>813</v>
      </c>
      <c r="B51" s="747" t="s">
        <v>206</v>
      </c>
      <c r="C51" s="855">
        <f>'AGEN SIKU EHA'!Y190</f>
        <v>5000000</v>
      </c>
      <c r="D51" s="855">
        <v>5000000</v>
      </c>
      <c r="E51" s="855">
        <v>5000000</v>
      </c>
      <c r="F51" s="855">
        <v>5000000</v>
      </c>
      <c r="G51" s="855">
        <v>5000000</v>
      </c>
      <c r="H51" s="855">
        <v>5000000</v>
      </c>
      <c r="I51" s="855">
        <v>65500</v>
      </c>
    </row>
    <row r="52" spans="1:9">
      <c r="A52" s="28" t="s">
        <v>73</v>
      </c>
      <c r="B52" s="746" t="s">
        <v>81</v>
      </c>
      <c r="C52" s="855">
        <f>'AGEN SIKU EHA'!M190</f>
        <v>975218</v>
      </c>
      <c r="D52" s="855">
        <v>975218</v>
      </c>
      <c r="E52" s="855">
        <v>975218</v>
      </c>
      <c r="F52" s="855">
        <v>975218</v>
      </c>
      <c r="G52" s="855">
        <v>255218</v>
      </c>
      <c r="H52" s="855">
        <v>255218</v>
      </c>
      <c r="I52" s="855">
        <v>255218</v>
      </c>
    </row>
    <row r="53" spans="1:9">
      <c r="A53" s="28" t="s">
        <v>1</v>
      </c>
      <c r="B53" s="746" t="s">
        <v>271</v>
      </c>
      <c r="C53" s="855">
        <f>'AGEN SIKU EHA'!H190</f>
        <v>341717</v>
      </c>
      <c r="D53" s="855">
        <v>341717</v>
      </c>
      <c r="E53" s="855">
        <v>341717</v>
      </c>
      <c r="F53" s="855">
        <v>1049032</v>
      </c>
      <c r="G53" s="855">
        <v>1506722</v>
      </c>
      <c r="H53" s="855">
        <v>1878414</v>
      </c>
      <c r="I53" s="855">
        <v>92107</v>
      </c>
    </row>
    <row r="54" spans="1:9">
      <c r="A54" s="28" t="s">
        <v>111</v>
      </c>
      <c r="B54" s="746" t="s">
        <v>83</v>
      </c>
      <c r="C54" s="855">
        <f>'AGEN SIKU EHA'!AD190</f>
        <v>528915</v>
      </c>
      <c r="D54" s="855">
        <v>528915</v>
      </c>
      <c r="E54" s="855">
        <v>528915</v>
      </c>
      <c r="F54" s="855">
        <v>528915</v>
      </c>
      <c r="G54" s="855">
        <v>593915</v>
      </c>
      <c r="H54" s="855">
        <v>110965</v>
      </c>
      <c r="I54" s="855">
        <v>121965</v>
      </c>
    </row>
    <row r="55" spans="1:9">
      <c r="A55" s="28" t="s">
        <v>168</v>
      </c>
      <c r="B55" s="746" t="s">
        <v>272</v>
      </c>
      <c r="C55" s="855">
        <f>'AGEN SIKU EHA'!AJ190</f>
        <v>376533</v>
      </c>
      <c r="D55" s="855">
        <v>376533</v>
      </c>
      <c r="E55" s="855">
        <v>376533</v>
      </c>
      <c r="F55" s="855">
        <v>376533</v>
      </c>
      <c r="G55" s="855">
        <v>376533</v>
      </c>
      <c r="H55" s="855">
        <v>447033</v>
      </c>
      <c r="I55" s="855">
        <v>447033</v>
      </c>
    </row>
    <row r="56" spans="1:9">
      <c r="A56" s="28" t="s">
        <v>16</v>
      </c>
      <c r="B56" s="746" t="s">
        <v>273</v>
      </c>
      <c r="C56" s="855">
        <f>'AGEN SIKU EHA'!AZ190</f>
        <v>0</v>
      </c>
      <c r="D56" s="855">
        <v>0</v>
      </c>
      <c r="E56" s="855">
        <v>0</v>
      </c>
      <c r="F56" s="855">
        <v>0</v>
      </c>
      <c r="G56" s="855">
        <v>0</v>
      </c>
      <c r="H56" s="855">
        <v>0</v>
      </c>
      <c r="I56" s="855">
        <v>0</v>
      </c>
    </row>
    <row r="57" spans="1:9">
      <c r="A57" s="28" t="s">
        <v>9</v>
      </c>
      <c r="B57" s="746" t="s">
        <v>166</v>
      </c>
      <c r="C57" s="855">
        <f>'AGEN SIKU EHA'!AS190</f>
        <v>208871</v>
      </c>
      <c r="D57" s="855">
        <v>208871</v>
      </c>
      <c r="E57" s="855">
        <v>208871</v>
      </c>
      <c r="F57" s="855">
        <v>208871</v>
      </c>
      <c r="G57" s="855">
        <v>208871</v>
      </c>
      <c r="H57" s="855">
        <v>208871</v>
      </c>
      <c r="I57" s="855">
        <v>208871</v>
      </c>
    </row>
    <row r="58" spans="1:9">
      <c r="A58" s="28" t="s">
        <v>564</v>
      </c>
      <c r="B58" s="746"/>
      <c r="C58" s="855">
        <f>'TABEL INPUT'!F11</f>
        <v>4634</v>
      </c>
      <c r="D58" s="855">
        <v>4634</v>
      </c>
      <c r="E58" s="855">
        <v>4634</v>
      </c>
      <c r="F58" s="855">
        <v>4634</v>
      </c>
      <c r="G58" s="855">
        <v>4634</v>
      </c>
      <c r="H58" s="855">
        <v>4634</v>
      </c>
      <c r="I58" s="855">
        <v>4634</v>
      </c>
    </row>
    <row r="59" spans="1:9">
      <c r="A59" s="1"/>
      <c r="B59" s="748"/>
      <c r="C59" s="857"/>
      <c r="D59" s="857"/>
      <c r="E59" s="857"/>
      <c r="F59" s="857"/>
      <c r="G59" s="857"/>
      <c r="H59" s="857"/>
      <c r="I59" s="857"/>
    </row>
    <row r="60" spans="1:9" s="687" customFormat="1" ht="15" thickBot="1">
      <c r="A60" s="1447" t="s">
        <v>224</v>
      </c>
      <c r="B60" s="1448"/>
      <c r="C60" s="856">
        <f>SUM(C51:C59)</f>
        <v>7435888</v>
      </c>
      <c r="D60" s="856">
        <v>7435888</v>
      </c>
      <c r="E60" s="856">
        <v>7435888</v>
      </c>
      <c r="F60" s="856">
        <v>8143203</v>
      </c>
      <c r="G60" s="856">
        <v>7945893</v>
      </c>
      <c r="H60" s="856">
        <v>7905135</v>
      </c>
      <c r="I60" s="856">
        <v>1195328</v>
      </c>
    </row>
    <row r="61" spans="1:9" ht="15" thickBot="1">
      <c r="A61"/>
      <c r="B61" s="16"/>
      <c r="C61" s="851"/>
      <c r="D61" s="851"/>
      <c r="E61" s="851"/>
      <c r="F61" s="851"/>
      <c r="G61" s="851"/>
      <c r="H61" s="851"/>
      <c r="I61" s="851"/>
    </row>
    <row r="62" spans="1:9">
      <c r="A62" s="749" t="s">
        <v>211</v>
      </c>
      <c r="B62" s="750"/>
      <c r="C62" s="858"/>
      <c r="D62" s="858"/>
      <c r="E62" s="858"/>
      <c r="F62" s="858"/>
      <c r="G62" s="858"/>
      <c r="H62" s="858"/>
      <c r="I62" s="858"/>
    </row>
    <row r="63" spans="1:9">
      <c r="A63" s="751" t="s">
        <v>1</v>
      </c>
      <c r="B63" s="752" t="s">
        <v>275</v>
      </c>
      <c r="C63" s="859">
        <f>'AGEN HABIBOLA'!D191</f>
        <v>856669</v>
      </c>
      <c r="D63" s="859">
        <v>856669</v>
      </c>
      <c r="E63" s="859">
        <v>856669</v>
      </c>
      <c r="F63" s="859">
        <v>696346</v>
      </c>
      <c r="G63" s="859">
        <v>510420</v>
      </c>
      <c r="H63" s="859">
        <v>1055807</v>
      </c>
      <c r="I63" s="859">
        <v>103683</v>
      </c>
    </row>
    <row r="64" spans="1:9">
      <c r="A64" s="751" t="s">
        <v>212</v>
      </c>
      <c r="B64" s="752" t="s">
        <v>274</v>
      </c>
      <c r="C64" s="859">
        <f>'AGEN HABIBOLA'!J191</f>
        <v>36916</v>
      </c>
      <c r="D64" s="859">
        <v>36916</v>
      </c>
      <c r="E64" s="859">
        <v>36916</v>
      </c>
      <c r="F64" s="859">
        <v>36916</v>
      </c>
      <c r="G64" s="859">
        <v>218916</v>
      </c>
      <c r="H64" s="859">
        <v>562916</v>
      </c>
      <c r="I64" s="859">
        <v>935916</v>
      </c>
    </row>
    <row r="65" spans="1:9">
      <c r="A65" s="751" t="s">
        <v>263</v>
      </c>
      <c r="B65" s="752" t="s">
        <v>276</v>
      </c>
      <c r="C65" s="859">
        <f>'AGEN HABIBOLA'!Q191</f>
        <v>159814</v>
      </c>
      <c r="D65" s="859">
        <v>159814</v>
      </c>
      <c r="E65" s="859">
        <v>159814</v>
      </c>
      <c r="F65" s="859">
        <v>159814</v>
      </c>
      <c r="G65" s="859">
        <v>159814</v>
      </c>
      <c r="H65" s="859">
        <v>159814</v>
      </c>
      <c r="I65" s="859">
        <v>159814</v>
      </c>
    </row>
    <row r="66" spans="1:9">
      <c r="A66" s="751" t="s">
        <v>747</v>
      </c>
      <c r="B66" s="752" t="s">
        <v>277</v>
      </c>
      <c r="C66" s="859">
        <f>'AGEN HABIBOLA'!X191</f>
        <v>26290</v>
      </c>
      <c r="D66" s="859">
        <v>26290</v>
      </c>
      <c r="E66" s="859">
        <v>26290</v>
      </c>
      <c r="F66" s="859">
        <v>2249400</v>
      </c>
      <c r="G66" s="859">
        <v>3477500</v>
      </c>
      <c r="H66" s="859">
        <v>5000000</v>
      </c>
      <c r="I66" s="859">
        <v>74782</v>
      </c>
    </row>
    <row r="67" spans="1:9">
      <c r="A67" s="751" t="s">
        <v>200</v>
      </c>
      <c r="B67" s="752" t="s">
        <v>278</v>
      </c>
      <c r="C67" s="859">
        <f>'AGEN HABIBOLA'!AD191</f>
        <v>21907</v>
      </c>
      <c r="D67" s="859">
        <v>21907</v>
      </c>
      <c r="E67" s="859">
        <v>21907</v>
      </c>
      <c r="F67" s="859">
        <v>21907</v>
      </c>
      <c r="G67" s="859">
        <v>21907</v>
      </c>
      <c r="H67" s="859">
        <v>21907</v>
      </c>
      <c r="I67" s="859">
        <v>21907</v>
      </c>
    </row>
    <row r="68" spans="1:9">
      <c r="A68" s="751" t="s">
        <v>201</v>
      </c>
      <c r="B68" s="752" t="s">
        <v>279</v>
      </c>
      <c r="C68" s="859">
        <f>'AGEN HABIBOLA'!AJ191</f>
        <v>82000</v>
      </c>
      <c r="D68" s="859">
        <v>82000</v>
      </c>
      <c r="E68" s="859">
        <v>82000</v>
      </c>
      <c r="F68" s="859">
        <v>82000</v>
      </c>
      <c r="G68" s="859">
        <v>82000</v>
      </c>
      <c r="H68" s="859">
        <v>82000</v>
      </c>
      <c r="I68" s="859">
        <v>96000</v>
      </c>
    </row>
    <row r="69" spans="1:9">
      <c r="A69" s="751" t="s">
        <v>202</v>
      </c>
      <c r="B69" s="752" t="s">
        <v>280</v>
      </c>
      <c r="C69" s="859">
        <f>'AGEN HABIBOLA'!AP191</f>
        <v>46000</v>
      </c>
      <c r="D69" s="859">
        <v>46000</v>
      </c>
      <c r="E69" s="859">
        <v>46000</v>
      </c>
      <c r="F69" s="859">
        <v>46000</v>
      </c>
      <c r="G69" s="859">
        <v>46000</v>
      </c>
      <c r="H69" s="859">
        <v>46000</v>
      </c>
      <c r="I69" s="859">
        <v>46000</v>
      </c>
    </row>
    <row r="70" spans="1:9">
      <c r="A70" s="751" t="s">
        <v>213</v>
      </c>
      <c r="B70" s="752" t="s">
        <v>281</v>
      </c>
      <c r="C70" s="859">
        <f>'AGEN HABIBOLA'!AV191</f>
        <v>69862</v>
      </c>
      <c r="D70" s="859">
        <v>69862</v>
      </c>
      <c r="E70" s="859">
        <v>69862</v>
      </c>
      <c r="F70" s="859">
        <v>69862</v>
      </c>
      <c r="G70" s="859">
        <v>69862</v>
      </c>
      <c r="H70" s="859">
        <v>69862</v>
      </c>
      <c r="I70" s="859">
        <v>69862</v>
      </c>
    </row>
    <row r="71" spans="1:9">
      <c r="A71" s="751" t="s">
        <v>800</v>
      </c>
      <c r="B71" s="752"/>
      <c r="C71" s="859">
        <f>'TABEL INPUT'!I13</f>
        <v>0</v>
      </c>
      <c r="D71" s="859">
        <v>0</v>
      </c>
      <c r="E71" s="859">
        <v>0</v>
      </c>
      <c r="F71" s="859">
        <v>0</v>
      </c>
      <c r="G71" s="859">
        <v>0</v>
      </c>
      <c r="H71" s="859">
        <v>0</v>
      </c>
      <c r="I71" s="859">
        <v>0</v>
      </c>
    </row>
    <row r="72" spans="1:9">
      <c r="A72" s="751" t="s">
        <v>810</v>
      </c>
      <c r="B72" s="752"/>
      <c r="C72" s="859">
        <f>'TABEL INPUT'!I14</f>
        <v>5047231</v>
      </c>
      <c r="D72" s="859">
        <v>5047231</v>
      </c>
      <c r="E72" s="859">
        <v>5000000</v>
      </c>
      <c r="F72" s="859">
        <v>50000</v>
      </c>
      <c r="G72" s="859">
        <v>92130</v>
      </c>
      <c r="H72" s="859">
        <v>100000</v>
      </c>
      <c r="I72" s="859">
        <v>905000</v>
      </c>
    </row>
    <row r="73" spans="1:9" s="687" customFormat="1" ht="15" thickBot="1">
      <c r="A73" s="1447" t="s">
        <v>224</v>
      </c>
      <c r="B73" s="1448"/>
      <c r="C73" s="856">
        <f>SUM(C63:C72)</f>
        <v>6346689</v>
      </c>
      <c r="D73" s="856">
        <v>6346689</v>
      </c>
      <c r="E73" s="856">
        <v>6299458</v>
      </c>
      <c r="F73" s="856">
        <v>3412245</v>
      </c>
      <c r="G73" s="856">
        <v>4678549</v>
      </c>
      <c r="H73" s="856">
        <v>7098306</v>
      </c>
      <c r="I73" s="856">
        <v>2412964</v>
      </c>
    </row>
    <row r="74" spans="1:9">
      <c r="A74" s="5"/>
      <c r="B74" s="16"/>
      <c r="C74" s="861"/>
      <c r="D74" s="861"/>
      <c r="E74" s="861"/>
      <c r="F74" s="861"/>
      <c r="G74" s="861"/>
      <c r="H74" s="861"/>
      <c r="I74" s="861"/>
    </row>
    <row r="75" spans="1:9" ht="16.2" thickBot="1">
      <c r="A75" s="737"/>
      <c r="B75" s="738"/>
      <c r="C75" s="848"/>
      <c r="D75" s="848"/>
      <c r="E75" s="848"/>
      <c r="F75" s="848"/>
      <c r="G75" s="848"/>
      <c r="H75" s="848"/>
      <c r="I75" s="848"/>
    </row>
    <row r="76" spans="1:9" ht="15" thickBot="1">
      <c r="A76" s="727"/>
      <c r="B76" s="726"/>
      <c r="C76" s="852"/>
      <c r="D76" s="852"/>
      <c r="E76" s="852"/>
      <c r="F76" s="852"/>
      <c r="G76" s="852"/>
      <c r="H76" s="852"/>
      <c r="I76" s="852"/>
    </row>
    <row r="77" spans="1:9" ht="18">
      <c r="A77" s="745" t="s">
        <v>343</v>
      </c>
      <c r="B77" s="734"/>
      <c r="C77" s="854"/>
      <c r="D77" s="854"/>
      <c r="E77" s="854"/>
      <c r="F77" s="854"/>
      <c r="G77" s="854"/>
      <c r="H77" s="854"/>
      <c r="I77" s="854"/>
    </row>
    <row r="78" spans="1:9">
      <c r="A78" s="28" t="s">
        <v>814</v>
      </c>
      <c r="B78" s="747" t="s">
        <v>266</v>
      </c>
      <c r="C78" s="855">
        <f>'AGEN WATUBLAPI'!V190</f>
        <v>5000000</v>
      </c>
      <c r="D78" s="855">
        <v>5000000</v>
      </c>
      <c r="E78" s="855">
        <v>5000000</v>
      </c>
      <c r="F78" s="855">
        <v>5000000</v>
      </c>
      <c r="G78" s="855">
        <v>5000000</v>
      </c>
      <c r="H78" s="855">
        <v>5000000</v>
      </c>
      <c r="I78" s="855">
        <v>55000000</v>
      </c>
    </row>
    <row r="79" spans="1:9">
      <c r="A79" s="28" t="s">
        <v>73</v>
      </c>
      <c r="B79" s="746" t="s">
        <v>485</v>
      </c>
      <c r="C79" s="855">
        <f>'AGEN WATUBLAPI'!J190</f>
        <v>1066262</v>
      </c>
      <c r="D79" s="855">
        <v>1066262</v>
      </c>
      <c r="E79" s="855">
        <v>1066262</v>
      </c>
      <c r="F79" s="855">
        <v>216162</v>
      </c>
      <c r="G79" s="855">
        <v>227562</v>
      </c>
      <c r="H79" s="855">
        <v>364562</v>
      </c>
      <c r="I79" s="855">
        <v>632812</v>
      </c>
    </row>
    <row r="80" spans="1:9">
      <c r="A80" s="28" t="s">
        <v>1</v>
      </c>
      <c r="B80" s="746" t="s">
        <v>486</v>
      </c>
      <c r="C80" s="855">
        <f>'AGEN WATUBLAPI'!E190</f>
        <v>140185</v>
      </c>
      <c r="D80" s="855">
        <v>140185</v>
      </c>
      <c r="E80" s="855">
        <v>140185</v>
      </c>
      <c r="F80" s="855">
        <v>659151</v>
      </c>
      <c r="G80" s="855">
        <v>1200537</v>
      </c>
      <c r="H80" s="855">
        <v>1688319</v>
      </c>
      <c r="I80" s="855">
        <v>1141461</v>
      </c>
    </row>
    <row r="81" spans="1:9">
      <c r="A81" s="28" t="s">
        <v>111</v>
      </c>
      <c r="B81" s="746" t="s">
        <v>487</v>
      </c>
      <c r="C81" s="855">
        <f>'AGEN WATUBLAPI'!AA190</f>
        <v>202452</v>
      </c>
      <c r="D81" s="855">
        <v>202452</v>
      </c>
      <c r="E81" s="855">
        <v>202452</v>
      </c>
      <c r="F81" s="855">
        <v>296652</v>
      </c>
      <c r="G81" s="855">
        <v>407672</v>
      </c>
      <c r="H81" s="855">
        <v>5952</v>
      </c>
      <c r="I81" s="855">
        <v>271152</v>
      </c>
    </row>
    <row r="82" spans="1:9">
      <c r="A82" s="28" t="s">
        <v>168</v>
      </c>
      <c r="B82" s="746" t="s">
        <v>488</v>
      </c>
      <c r="C82" s="855">
        <f>'AGEN WATUBLAPI'!AG190</f>
        <v>466700</v>
      </c>
      <c r="D82" s="855">
        <v>466700</v>
      </c>
      <c r="E82" s="855">
        <v>466700</v>
      </c>
      <c r="F82" s="855">
        <v>466700</v>
      </c>
      <c r="G82" s="855">
        <v>272700</v>
      </c>
      <c r="H82" s="855">
        <v>346700</v>
      </c>
      <c r="I82" s="855">
        <v>346700</v>
      </c>
    </row>
    <row r="83" spans="1:9">
      <c r="A83" s="28" t="s">
        <v>16</v>
      </c>
      <c r="B83" s="746" t="s">
        <v>489</v>
      </c>
      <c r="C83" s="855">
        <f>'AGEN WATUBLAPI'!AW190</f>
        <v>0</v>
      </c>
      <c r="D83" s="855">
        <v>0</v>
      </c>
      <c r="E83" s="855">
        <v>0</v>
      </c>
      <c r="F83" s="855">
        <v>0</v>
      </c>
      <c r="G83" s="855">
        <v>0</v>
      </c>
      <c r="H83" s="855">
        <v>0</v>
      </c>
      <c r="I83" s="855">
        <v>0</v>
      </c>
    </row>
    <row r="84" spans="1:9">
      <c r="A84" s="28" t="s">
        <v>9</v>
      </c>
      <c r="B84" s="746" t="s">
        <v>490</v>
      </c>
      <c r="C84" s="855">
        <f>'AGEN WATUBLAPI'!AP190</f>
        <v>827481</v>
      </c>
      <c r="D84" s="855">
        <v>827481</v>
      </c>
      <c r="E84" s="855">
        <v>827481</v>
      </c>
      <c r="F84" s="855">
        <v>827481</v>
      </c>
      <c r="G84" s="855">
        <v>827481</v>
      </c>
      <c r="H84" s="855">
        <v>179544</v>
      </c>
      <c r="I84" s="855">
        <v>595607</v>
      </c>
    </row>
    <row r="85" spans="1:9">
      <c r="A85" s="1"/>
      <c r="B85" s="748"/>
      <c r="C85" s="857"/>
      <c r="D85" s="857"/>
      <c r="E85" s="857"/>
      <c r="F85" s="857"/>
      <c r="G85" s="857"/>
      <c r="H85" s="857"/>
      <c r="I85" s="857"/>
    </row>
    <row r="86" spans="1:9" s="687" customFormat="1" ht="15" thickBot="1">
      <c r="A86" s="1447" t="s">
        <v>224</v>
      </c>
      <c r="B86" s="1448"/>
      <c r="C86" s="856">
        <f>SUM(C78:C84)</f>
        <v>7703080</v>
      </c>
      <c r="D86" s="856">
        <v>7703080</v>
      </c>
      <c r="E86" s="856">
        <v>7703080</v>
      </c>
      <c r="F86" s="856">
        <v>7466146</v>
      </c>
      <c r="G86" s="856">
        <v>7935952</v>
      </c>
      <c r="H86" s="856">
        <v>7585077</v>
      </c>
      <c r="I86" s="856">
        <v>57987732</v>
      </c>
    </row>
    <row r="87" spans="1:9">
      <c r="A87" s="5"/>
      <c r="B87"/>
      <c r="C87" s="852"/>
      <c r="D87" s="852"/>
      <c r="E87" s="852"/>
      <c r="F87" s="852"/>
      <c r="G87" s="852"/>
      <c r="H87" s="852"/>
      <c r="I87" s="852"/>
    </row>
    <row r="88" spans="1:9">
      <c r="A88" s="5"/>
      <c r="B88"/>
      <c r="C88" s="852"/>
      <c r="D88" s="852"/>
      <c r="E88" s="852"/>
      <c r="F88" s="852"/>
      <c r="G88" s="852"/>
      <c r="H88" s="852"/>
      <c r="I88" s="852"/>
    </row>
    <row r="89" spans="1:9">
      <c r="A89" s="754" t="s">
        <v>4</v>
      </c>
      <c r="B89" s="755"/>
      <c r="C89" s="862"/>
      <c r="D89" s="862"/>
      <c r="E89" s="862"/>
      <c r="F89" s="862"/>
      <c r="G89" s="862"/>
      <c r="H89" s="862"/>
      <c r="I89" s="862"/>
    </row>
    <row r="90" spans="1:9">
      <c r="A90" s="28" t="s">
        <v>95</v>
      </c>
      <c r="B90" s="747" t="s">
        <v>207</v>
      </c>
      <c r="C90" s="855">
        <f>'TABEL INPUT'!O4</f>
        <v>26905055</v>
      </c>
      <c r="D90" s="855">
        <v>26905055</v>
      </c>
      <c r="E90" s="855">
        <v>26905055</v>
      </c>
      <c r="F90" s="855">
        <v>24440474</v>
      </c>
      <c r="G90" s="855">
        <v>1470364</v>
      </c>
      <c r="H90" s="855">
        <v>42472864</v>
      </c>
      <c r="I90" s="855">
        <v>414027</v>
      </c>
    </row>
    <row r="91" spans="1:9">
      <c r="A91" s="1161" t="s">
        <v>852</v>
      </c>
      <c r="B91" s="747" t="s">
        <v>208</v>
      </c>
      <c r="C91" s="855"/>
      <c r="D91" s="855"/>
      <c r="E91" s="855"/>
      <c r="F91" s="855"/>
      <c r="G91" s="855"/>
      <c r="H91" s="855"/>
      <c r="I91" s="855"/>
    </row>
    <row r="92" spans="1:9">
      <c r="A92" s="1162" t="s">
        <v>853</v>
      </c>
      <c r="B92" s="747"/>
      <c r="C92" s="855"/>
      <c r="D92" s="855"/>
      <c r="E92" s="855"/>
      <c r="F92" s="855"/>
      <c r="G92" s="855"/>
      <c r="H92" s="855"/>
      <c r="I92" s="855"/>
    </row>
    <row r="93" spans="1:9">
      <c r="A93" s="28"/>
      <c r="B93" s="747"/>
      <c r="C93" s="855"/>
      <c r="D93" s="855"/>
      <c r="E93" s="855"/>
      <c r="F93" s="855"/>
      <c r="G93" s="855"/>
      <c r="H93" s="855"/>
      <c r="I93" s="855"/>
    </row>
    <row r="94" spans="1:9">
      <c r="A94" s="28" t="s">
        <v>94</v>
      </c>
      <c r="B94" s="747" t="s">
        <v>82</v>
      </c>
      <c r="C94" s="855">
        <f>'TABEL INPUT'!O7</f>
        <v>200000</v>
      </c>
      <c r="D94" s="855">
        <v>200000</v>
      </c>
      <c r="E94" s="855">
        <v>200000</v>
      </c>
      <c r="F94" s="855">
        <v>200000</v>
      </c>
      <c r="G94" s="855">
        <v>200000</v>
      </c>
      <c r="H94" s="855">
        <v>200000</v>
      </c>
      <c r="I94" s="855">
        <v>200000</v>
      </c>
    </row>
    <row r="95" spans="1:9">
      <c r="A95" s="28" t="s">
        <v>103</v>
      </c>
      <c r="B95" s="747" t="s">
        <v>209</v>
      </c>
      <c r="C95" s="855">
        <f>'TABEL INPUT'!O8</f>
        <v>200000</v>
      </c>
      <c r="D95" s="855">
        <v>200000</v>
      </c>
      <c r="E95" s="855">
        <v>200000</v>
      </c>
      <c r="F95" s="855">
        <v>200000</v>
      </c>
      <c r="G95" s="855">
        <v>200000</v>
      </c>
      <c r="H95" s="855">
        <v>200000</v>
      </c>
      <c r="I95" s="855">
        <v>150000</v>
      </c>
    </row>
    <row r="96" spans="1:9">
      <c r="A96" s="28" t="s">
        <v>70</v>
      </c>
      <c r="B96" s="747" t="s">
        <v>210</v>
      </c>
      <c r="C96" s="855">
        <f>'TABEL INPUT'!O9</f>
        <v>42002</v>
      </c>
      <c r="D96" s="855">
        <v>42002</v>
      </c>
      <c r="E96" s="855">
        <v>42002</v>
      </c>
      <c r="F96" s="855">
        <v>42002</v>
      </c>
      <c r="G96" s="855">
        <v>42002</v>
      </c>
      <c r="H96" s="855">
        <v>42002</v>
      </c>
      <c r="I96" s="855">
        <v>62002</v>
      </c>
    </row>
    <row r="97" spans="1:9">
      <c r="A97" s="28" t="s">
        <v>220</v>
      </c>
      <c r="B97" s="747" t="s">
        <v>204</v>
      </c>
      <c r="C97" s="855">
        <f>'TABEL INPUT'!O10</f>
        <v>69222</v>
      </c>
      <c r="D97" s="855">
        <v>69222</v>
      </c>
      <c r="E97" s="855">
        <v>69222</v>
      </c>
      <c r="F97" s="855">
        <v>69222</v>
      </c>
      <c r="G97" s="855">
        <v>69222</v>
      </c>
      <c r="H97" s="855">
        <v>69222</v>
      </c>
      <c r="I97" s="855">
        <v>83222</v>
      </c>
    </row>
    <row r="98" spans="1:9">
      <c r="A98" s="28" t="s">
        <v>221</v>
      </c>
      <c r="B98" s="747" t="s">
        <v>205</v>
      </c>
      <c r="C98" s="855">
        <f>'TABEL INPUT'!O11</f>
        <v>63999</v>
      </c>
      <c r="D98" s="855">
        <v>63999</v>
      </c>
      <c r="E98" s="855">
        <v>63999</v>
      </c>
      <c r="F98" s="855">
        <v>63999</v>
      </c>
      <c r="G98" s="855">
        <v>63999</v>
      </c>
      <c r="H98" s="855">
        <v>63999</v>
      </c>
      <c r="I98" s="855">
        <v>80999</v>
      </c>
    </row>
    <row r="99" spans="1:9">
      <c r="A99" s="1" t="s">
        <v>5</v>
      </c>
      <c r="B99" s="756"/>
      <c r="C99" s="641">
        <v>0</v>
      </c>
      <c r="D99" s="641">
        <v>0</v>
      </c>
      <c r="E99" s="641">
        <v>0</v>
      </c>
      <c r="F99" s="641">
        <v>0</v>
      </c>
      <c r="G99" s="641">
        <v>0</v>
      </c>
      <c r="H99" s="641">
        <v>0</v>
      </c>
      <c r="I99" s="641">
        <v>0</v>
      </c>
    </row>
    <row r="100" spans="1:9">
      <c r="A100" s="1" t="s">
        <v>6</v>
      </c>
      <c r="B100" s="756"/>
      <c r="C100" s="641">
        <v>0</v>
      </c>
      <c r="D100" s="641">
        <v>0</v>
      </c>
      <c r="E100" s="641">
        <v>0</v>
      </c>
      <c r="F100" s="641">
        <v>0</v>
      </c>
      <c r="G100" s="641">
        <v>0</v>
      </c>
      <c r="H100" s="641">
        <v>0</v>
      </c>
      <c r="I100" s="641">
        <v>0</v>
      </c>
    </row>
    <row r="101" spans="1:9">
      <c r="A101" s="1" t="s">
        <v>7</v>
      </c>
      <c r="B101" s="756"/>
      <c r="C101" s="641">
        <v>0</v>
      </c>
      <c r="D101" s="641">
        <v>0</v>
      </c>
      <c r="E101" s="641">
        <v>0</v>
      </c>
      <c r="F101" s="641">
        <v>0</v>
      </c>
      <c r="G101" s="641">
        <v>0</v>
      </c>
      <c r="H101" s="641">
        <v>0</v>
      </c>
      <c r="I101" s="641">
        <v>0</v>
      </c>
    </row>
    <row r="102" spans="1:9">
      <c r="A102" s="4" t="s">
        <v>815</v>
      </c>
      <c r="B102" s="757"/>
      <c r="C102" s="689">
        <f>'TABEL INPUT'!O18</f>
        <v>2000</v>
      </c>
      <c r="D102" s="689">
        <v>2000</v>
      </c>
      <c r="E102" s="689">
        <v>2000</v>
      </c>
      <c r="F102" s="689">
        <v>2000</v>
      </c>
      <c r="G102" s="689">
        <v>2000</v>
      </c>
      <c r="H102" s="689">
        <v>2000</v>
      </c>
      <c r="I102" s="689">
        <v>2000</v>
      </c>
    </row>
    <row r="103" spans="1:9">
      <c r="A103" s="4" t="s">
        <v>566</v>
      </c>
      <c r="B103" s="757"/>
      <c r="C103" s="689">
        <f>'TABEL INPUT'!O19</f>
        <v>877</v>
      </c>
      <c r="D103" s="689">
        <v>877</v>
      </c>
      <c r="E103" s="689">
        <v>877</v>
      </c>
      <c r="F103" s="689">
        <v>877</v>
      </c>
      <c r="G103" s="689">
        <v>877</v>
      </c>
      <c r="H103" s="689">
        <v>877</v>
      </c>
      <c r="I103" s="689">
        <v>877</v>
      </c>
    </row>
    <row r="104" spans="1:9">
      <c r="A104" s="4" t="s">
        <v>567</v>
      </c>
      <c r="B104" s="757"/>
      <c r="C104" s="689">
        <f>'TABEL INPUT'!O20</f>
        <v>1345</v>
      </c>
      <c r="D104" s="689">
        <v>1345</v>
      </c>
      <c r="E104" s="689">
        <v>1345</v>
      </c>
      <c r="F104" s="689">
        <v>1345</v>
      </c>
      <c r="G104" s="689">
        <v>1345</v>
      </c>
      <c r="H104" s="689">
        <v>1345</v>
      </c>
      <c r="I104" s="689">
        <v>1345</v>
      </c>
    </row>
    <row r="105" spans="1:9">
      <c r="A105" s="4" t="s">
        <v>568</v>
      </c>
      <c r="B105" s="757"/>
      <c r="C105" s="689">
        <f>'TABEL INPUT'!O21</f>
        <v>3500</v>
      </c>
      <c r="D105" s="689">
        <v>3500</v>
      </c>
      <c r="E105" s="689">
        <v>3500</v>
      </c>
      <c r="F105" s="689">
        <v>3500</v>
      </c>
      <c r="G105" s="689">
        <v>3500</v>
      </c>
      <c r="H105" s="689">
        <v>3500</v>
      </c>
      <c r="I105" s="689">
        <v>3500</v>
      </c>
    </row>
    <row r="106" spans="1:9">
      <c r="A106" s="4" t="s">
        <v>10</v>
      </c>
      <c r="B106" s="757"/>
      <c r="C106" s="689">
        <f>'TABEL INPUT'!O26</f>
        <v>0</v>
      </c>
      <c r="D106" s="689">
        <v>0</v>
      </c>
      <c r="E106" s="689">
        <v>0</v>
      </c>
      <c r="F106" s="689">
        <v>0</v>
      </c>
      <c r="G106" s="689">
        <v>0</v>
      </c>
      <c r="H106" s="689">
        <v>0</v>
      </c>
      <c r="I106" s="689">
        <v>0</v>
      </c>
    </row>
    <row r="107" spans="1:9">
      <c r="A107" s="4"/>
      <c r="B107" s="757"/>
      <c r="C107" s="689"/>
      <c r="D107" s="689"/>
      <c r="E107" s="689"/>
      <c r="F107" s="689"/>
      <c r="G107" s="689"/>
      <c r="H107" s="689"/>
      <c r="I107" s="689"/>
    </row>
    <row r="108" spans="1:9" ht="16.2" thickBot="1">
      <c r="A108" s="737"/>
      <c r="B108" s="738"/>
      <c r="C108" s="848">
        <f>SUM(C90:C106)</f>
        <v>27488000</v>
      </c>
      <c r="D108" s="848">
        <v>27488000</v>
      </c>
      <c r="E108" s="848">
        <v>27488000</v>
      </c>
      <c r="F108" s="848">
        <v>25023419</v>
      </c>
      <c r="G108" s="848">
        <v>2053309</v>
      </c>
      <c r="H108" s="848">
        <v>43055809</v>
      </c>
      <c r="I108" s="848">
        <v>997972</v>
      </c>
    </row>
    <row r="109" spans="1:9">
      <c r="A109" s="5"/>
      <c r="B109"/>
      <c r="C109" s="685"/>
      <c r="D109" s="685"/>
      <c r="E109" s="685"/>
      <c r="F109" s="685"/>
      <c r="G109" s="685"/>
      <c r="H109" s="685"/>
      <c r="I109" s="685"/>
    </row>
    <row r="110" spans="1:9">
      <c r="A110" s="5"/>
      <c r="B110"/>
      <c r="C110" s="685"/>
      <c r="D110" s="685"/>
      <c r="E110" s="685"/>
      <c r="F110" s="685"/>
      <c r="G110" s="685"/>
      <c r="H110" s="685"/>
      <c r="I110" s="685"/>
    </row>
    <row r="111" spans="1:9">
      <c r="A111" s="754" t="s">
        <v>3</v>
      </c>
      <c r="B111" s="755"/>
      <c r="C111" s="690"/>
      <c r="D111" s="690"/>
      <c r="E111" s="690"/>
      <c r="F111" s="690"/>
      <c r="G111" s="690"/>
      <c r="H111" s="690"/>
      <c r="I111" s="690"/>
    </row>
    <row r="112" spans="1:9">
      <c r="A112" s="28" t="s">
        <v>223</v>
      </c>
      <c r="B112" s="747" t="s">
        <v>282</v>
      </c>
      <c r="C112" s="855">
        <f>'TABEL INPUT'!O12</f>
        <v>77984</v>
      </c>
      <c r="D112" s="855">
        <v>77984</v>
      </c>
      <c r="E112" s="855">
        <v>77984</v>
      </c>
      <c r="F112" s="855">
        <v>77984</v>
      </c>
      <c r="G112" s="855">
        <v>77984</v>
      </c>
      <c r="H112" s="855">
        <v>77984</v>
      </c>
      <c r="I112" s="855">
        <v>77984</v>
      </c>
    </row>
    <row r="113" spans="1:9">
      <c r="A113" s="28" t="s">
        <v>764</v>
      </c>
      <c r="B113" s="747"/>
      <c r="C113" s="855">
        <f>'TABEL INPUT'!O22</f>
        <v>28477542</v>
      </c>
      <c r="D113" s="855">
        <v>28477542</v>
      </c>
      <c r="E113" s="855">
        <v>28179672</v>
      </c>
      <c r="F113" s="855">
        <v>8332610</v>
      </c>
      <c r="G113" s="855">
        <v>47360700</v>
      </c>
      <c r="H113" s="855">
        <v>16740988</v>
      </c>
      <c r="I113" s="855">
        <v>5606585</v>
      </c>
    </row>
    <row r="114" spans="1:9">
      <c r="A114" s="1161" t="s">
        <v>765</v>
      </c>
      <c r="B114" s="747"/>
      <c r="C114" s="855"/>
      <c r="D114" s="855"/>
      <c r="E114" s="855"/>
      <c r="F114" s="855"/>
      <c r="G114" s="855"/>
      <c r="H114" s="855"/>
      <c r="I114" s="855"/>
    </row>
    <row r="115" spans="1:9">
      <c r="A115" s="1161" t="s">
        <v>854</v>
      </c>
      <c r="B115" s="747"/>
      <c r="C115" s="855"/>
      <c r="D115" s="855"/>
      <c r="E115" s="855"/>
      <c r="F115" s="855"/>
      <c r="G115" s="855"/>
      <c r="H115" s="855"/>
      <c r="I115" s="855"/>
    </row>
    <row r="116" spans="1:9">
      <c r="A116" s="28" t="s">
        <v>832</v>
      </c>
      <c r="B116" s="747"/>
      <c r="C116" s="855">
        <f>'TABEL INPUT'!O23</f>
        <v>53000</v>
      </c>
      <c r="D116" s="855">
        <v>53000</v>
      </c>
      <c r="E116" s="855">
        <v>53000</v>
      </c>
      <c r="F116" s="855">
        <v>53000</v>
      </c>
      <c r="G116" s="855">
        <v>53000</v>
      </c>
      <c r="H116" s="855">
        <v>53000</v>
      </c>
      <c r="I116" s="855">
        <v>53000</v>
      </c>
    </row>
    <row r="117" spans="1:9">
      <c r="A117" s="1" t="s">
        <v>5</v>
      </c>
      <c r="B117" s="756"/>
      <c r="C117" s="641">
        <v>0</v>
      </c>
      <c r="D117" s="641">
        <v>0</v>
      </c>
      <c r="E117" s="641">
        <v>0</v>
      </c>
      <c r="F117" s="641">
        <v>0</v>
      </c>
      <c r="G117" s="641">
        <v>0</v>
      </c>
      <c r="H117" s="641">
        <v>0</v>
      </c>
      <c r="I117" s="641">
        <v>0</v>
      </c>
    </row>
    <row r="118" spans="1:9">
      <c r="A118" s="1" t="s">
        <v>6</v>
      </c>
      <c r="B118" s="756"/>
      <c r="C118" s="641">
        <v>0</v>
      </c>
      <c r="D118" s="641">
        <v>0</v>
      </c>
      <c r="E118" s="641">
        <v>0</v>
      </c>
      <c r="F118" s="641">
        <v>0</v>
      </c>
      <c r="G118" s="641">
        <v>0</v>
      </c>
      <c r="H118" s="641">
        <v>0</v>
      </c>
      <c r="I118" s="641">
        <v>0</v>
      </c>
    </row>
    <row r="119" spans="1:9">
      <c r="A119" s="1" t="s">
        <v>7</v>
      </c>
      <c r="B119" s="756"/>
      <c r="C119" s="641">
        <v>0</v>
      </c>
      <c r="D119" s="641">
        <v>0</v>
      </c>
      <c r="E119" s="641">
        <v>0</v>
      </c>
      <c r="F119" s="641">
        <v>0</v>
      </c>
      <c r="G119" s="641">
        <v>0</v>
      </c>
      <c r="H119" s="641">
        <v>0</v>
      </c>
      <c r="I119" s="641">
        <v>0</v>
      </c>
    </row>
    <row r="120" spans="1:9">
      <c r="A120" s="1"/>
      <c r="B120" s="756"/>
      <c r="C120" s="641">
        <v>0</v>
      </c>
      <c r="D120" s="641">
        <v>0</v>
      </c>
      <c r="E120" s="641">
        <v>0</v>
      </c>
      <c r="F120" s="641">
        <v>0</v>
      </c>
      <c r="G120" s="641">
        <v>0</v>
      </c>
      <c r="H120" s="641">
        <v>0</v>
      </c>
      <c r="I120" s="641">
        <v>0</v>
      </c>
    </row>
    <row r="121" spans="1:9">
      <c r="A121" s="1"/>
      <c r="B121" s="736"/>
      <c r="C121" s="641"/>
      <c r="D121" s="641"/>
      <c r="E121" s="641"/>
      <c r="F121" s="641"/>
      <c r="G121" s="641"/>
      <c r="H121" s="641"/>
      <c r="I121" s="641"/>
    </row>
    <row r="122" spans="1:9" ht="15.6">
      <c r="A122" s="1"/>
      <c r="B122" s="736"/>
      <c r="C122" s="863">
        <f>SUM(C112:C120)</f>
        <v>28608526</v>
      </c>
      <c r="D122" s="863">
        <v>28608526</v>
      </c>
      <c r="E122" s="863">
        <v>28310656</v>
      </c>
      <c r="F122" s="863">
        <v>8463594</v>
      </c>
      <c r="G122" s="863">
        <v>47491684</v>
      </c>
      <c r="H122" s="863">
        <v>16871972</v>
      </c>
      <c r="I122" s="863">
        <v>5737569</v>
      </c>
    </row>
    <row r="123" spans="1:9">
      <c r="A123" s="4"/>
      <c r="B123" s="15"/>
      <c r="C123" s="865"/>
      <c r="D123" s="865"/>
      <c r="E123" s="865"/>
      <c r="F123" s="865"/>
      <c r="G123" s="865"/>
      <c r="H123" s="865"/>
      <c r="I123" s="865"/>
    </row>
    <row r="124" spans="1:9">
      <c r="A124" s="5"/>
      <c r="B124"/>
      <c r="C124" s="864"/>
      <c r="D124" s="864"/>
      <c r="E124" s="864"/>
      <c r="F124" s="864"/>
      <c r="G124" s="864"/>
      <c r="H124" s="864"/>
      <c r="I124" s="864"/>
    </row>
    <row r="125" spans="1:9" s="688" customFormat="1" ht="21">
      <c r="A125" s="1449" t="s">
        <v>226</v>
      </c>
      <c r="B125" s="1446"/>
      <c r="C125" s="850">
        <f>C48+C60+C73+C108+C86+C122</f>
        <v>94047281</v>
      </c>
      <c r="D125" s="850">
        <v>94047281</v>
      </c>
      <c r="E125" s="850">
        <v>85014312</v>
      </c>
      <c r="F125" s="850">
        <v>59657048</v>
      </c>
      <c r="G125" s="850">
        <v>77747518</v>
      </c>
      <c r="H125" s="850">
        <v>90169324</v>
      </c>
      <c r="I125" s="850">
        <v>125820327</v>
      </c>
    </row>
    <row r="126" spans="1:9">
      <c r="A126" s="5"/>
      <c r="B126"/>
      <c r="C126" s="864"/>
      <c r="D126" s="864"/>
      <c r="E126" s="864"/>
      <c r="F126" s="864"/>
      <c r="G126" s="864"/>
      <c r="H126" s="864"/>
      <c r="I126" s="864"/>
    </row>
    <row r="127" spans="1:9" ht="16.2" thickBot="1">
      <c r="A127" s="758"/>
      <c r="B127" s="759"/>
      <c r="C127" s="866"/>
      <c r="D127" s="866"/>
      <c r="E127" s="866"/>
      <c r="F127" s="866"/>
      <c r="G127" s="866"/>
      <c r="H127" s="866"/>
      <c r="I127" s="866"/>
    </row>
    <row r="128" spans="1:9" ht="15" thickTop="1">
      <c r="A128" s="5"/>
      <c r="B128"/>
      <c r="C128" s="864"/>
      <c r="D128" s="864"/>
      <c r="E128" s="864"/>
      <c r="F128" s="864"/>
      <c r="G128" s="864"/>
      <c r="H128" s="864"/>
      <c r="I128" s="864"/>
    </row>
    <row r="129" spans="1:9" s="691" customFormat="1" ht="21">
      <c r="A129" s="1442" t="s">
        <v>227</v>
      </c>
      <c r="B129" s="1443"/>
      <c r="C129" s="867">
        <f>C125+C33</f>
        <v>257132281</v>
      </c>
      <c r="D129" s="867">
        <v>257132281</v>
      </c>
      <c r="E129" s="867">
        <v>256280312</v>
      </c>
      <c r="F129" s="867">
        <v>264700548</v>
      </c>
      <c r="G129" s="867">
        <v>265475518</v>
      </c>
      <c r="H129" s="867">
        <v>264577324</v>
      </c>
      <c r="I129" s="867">
        <v>267179827</v>
      </c>
    </row>
    <row r="130" spans="1:9">
      <c r="A130" s="5"/>
      <c r="B130"/>
      <c r="C130" s="852"/>
      <c r="D130" s="852"/>
      <c r="E130" s="852"/>
      <c r="F130" s="852"/>
      <c r="G130" s="852"/>
      <c r="H130" s="852"/>
      <c r="I130" s="852"/>
    </row>
    <row r="131" spans="1:9" ht="18">
      <c r="A131" s="754" t="s">
        <v>21</v>
      </c>
      <c r="B131" s="755"/>
      <c r="C131" s="692"/>
      <c r="D131" s="692"/>
      <c r="E131" s="692"/>
      <c r="F131" s="692"/>
      <c r="G131" s="692"/>
      <c r="H131" s="692"/>
      <c r="I131" s="692"/>
    </row>
    <row r="132" spans="1:9">
      <c r="A132" s="1"/>
      <c r="B132" s="736"/>
      <c r="C132" s="641"/>
      <c r="D132" s="641"/>
      <c r="E132" s="641"/>
      <c r="F132" s="641"/>
      <c r="G132" s="641"/>
      <c r="H132" s="641"/>
      <c r="I132" s="641"/>
    </row>
    <row r="133" spans="1:9">
      <c r="A133" s="4" t="s">
        <v>76</v>
      </c>
      <c r="B133" s="15"/>
      <c r="C133" s="689">
        <v>5000000</v>
      </c>
      <c r="D133" s="689">
        <v>5000000</v>
      </c>
      <c r="E133" s="689">
        <v>5000000</v>
      </c>
      <c r="F133" s="689">
        <v>5000000</v>
      </c>
      <c r="G133" s="689">
        <v>5000000</v>
      </c>
      <c r="H133" s="689">
        <v>5000000</v>
      </c>
      <c r="I133" s="689">
        <v>5000000</v>
      </c>
    </row>
    <row r="134" spans="1:9">
      <c r="A134" s="4" t="s">
        <v>871</v>
      </c>
      <c r="B134" s="15"/>
      <c r="C134" s="1066">
        <v>0</v>
      </c>
      <c r="D134" s="1066">
        <v>0</v>
      </c>
      <c r="E134" s="1066">
        <v>0</v>
      </c>
      <c r="F134" s="1066">
        <v>0</v>
      </c>
      <c r="G134" s="1066">
        <v>0</v>
      </c>
      <c r="H134" s="1066">
        <v>0</v>
      </c>
      <c r="I134" s="1066">
        <v>0</v>
      </c>
    </row>
    <row r="135" spans="1:9">
      <c r="A135" s="4" t="s">
        <v>120</v>
      </c>
      <c r="B135" s="15"/>
      <c r="C135" s="1066">
        <v>3650000</v>
      </c>
      <c r="D135" s="1066">
        <v>3650000</v>
      </c>
      <c r="E135" s="1066">
        <v>3650000</v>
      </c>
      <c r="F135" s="1066">
        <v>3650000</v>
      </c>
      <c r="G135" s="1066">
        <v>3650000</v>
      </c>
      <c r="H135" s="1066">
        <v>3650000</v>
      </c>
      <c r="I135" s="1066">
        <v>3650000</v>
      </c>
    </row>
    <row r="136" spans="1:9">
      <c r="A136" s="4" t="s">
        <v>842</v>
      </c>
      <c r="B136" s="15"/>
      <c r="C136" s="1066">
        <v>2000000</v>
      </c>
      <c r="D136" s="1066">
        <v>2000000</v>
      </c>
      <c r="E136" s="1066">
        <v>2000000</v>
      </c>
      <c r="F136" s="1066">
        <v>2000000</v>
      </c>
      <c r="G136" s="1066">
        <v>2000000</v>
      </c>
      <c r="H136" s="1066">
        <v>2000000</v>
      </c>
      <c r="I136" s="1066">
        <v>2000000</v>
      </c>
    </row>
    <row r="137" spans="1:9">
      <c r="A137" s="4" t="s">
        <v>186</v>
      </c>
      <c r="B137" s="15"/>
      <c r="C137" s="689">
        <v>679000</v>
      </c>
      <c r="D137" s="689">
        <v>679000</v>
      </c>
      <c r="E137" s="689">
        <v>679000</v>
      </c>
      <c r="F137" s="689">
        <v>679000</v>
      </c>
      <c r="G137" s="689">
        <v>679000</v>
      </c>
      <c r="H137" s="689">
        <v>679000</v>
      </c>
      <c r="I137" s="689">
        <v>679000</v>
      </c>
    </row>
    <row r="138" spans="1:9">
      <c r="A138" s="4" t="s">
        <v>261</v>
      </c>
      <c r="B138" s="15"/>
      <c r="C138" s="689">
        <v>200000</v>
      </c>
      <c r="D138" s="689">
        <v>200000</v>
      </c>
      <c r="E138" s="689">
        <v>200000</v>
      </c>
      <c r="F138" s="689">
        <v>200000</v>
      </c>
      <c r="G138" s="689">
        <v>200000</v>
      </c>
      <c r="H138" s="689">
        <v>200000</v>
      </c>
      <c r="I138" s="689">
        <v>200000</v>
      </c>
    </row>
    <row r="139" spans="1:9">
      <c r="A139" s="4" t="s">
        <v>669</v>
      </c>
      <c r="B139" s="15"/>
      <c r="C139" s="689">
        <v>55000</v>
      </c>
      <c r="D139" s="689">
        <v>55000</v>
      </c>
      <c r="E139" s="689">
        <v>55000</v>
      </c>
      <c r="F139" s="689">
        <v>55000</v>
      </c>
      <c r="G139" s="689">
        <v>55000</v>
      </c>
      <c r="H139" s="689">
        <v>55000</v>
      </c>
      <c r="I139" s="689">
        <v>55000</v>
      </c>
    </row>
    <row r="140" spans="1:9">
      <c r="A140" s="4" t="s">
        <v>907</v>
      </c>
      <c r="B140" s="15"/>
      <c r="C140" s="1066">
        <v>0</v>
      </c>
      <c r="D140" s="1066">
        <v>0</v>
      </c>
      <c r="E140" s="693">
        <v>0</v>
      </c>
      <c r="F140" s="1066">
        <v>300000</v>
      </c>
      <c r="G140" s="1066">
        <v>0</v>
      </c>
      <c r="H140" s="1066">
        <v>0</v>
      </c>
      <c r="I140" s="1066">
        <v>0</v>
      </c>
    </row>
    <row r="141" spans="1:9">
      <c r="A141" s="4" t="s">
        <v>736</v>
      </c>
      <c r="B141" s="15"/>
      <c r="C141" s="1066">
        <v>800000</v>
      </c>
      <c r="D141" s="1066">
        <v>800000</v>
      </c>
      <c r="E141" s="1066">
        <v>800000</v>
      </c>
      <c r="F141" s="1066">
        <v>800000</v>
      </c>
      <c r="G141" s="1066">
        <v>800000</v>
      </c>
      <c r="H141" s="1066">
        <v>800000</v>
      </c>
      <c r="I141" s="1066">
        <v>800000</v>
      </c>
    </row>
    <row r="142" spans="1:9">
      <c r="A142" s="1" t="s">
        <v>26</v>
      </c>
      <c r="B142" s="736"/>
      <c r="C142" s="641">
        <v>50000</v>
      </c>
      <c r="D142" s="641">
        <v>50000</v>
      </c>
      <c r="E142" s="641">
        <v>50000</v>
      </c>
      <c r="F142" s="641">
        <v>50000</v>
      </c>
      <c r="G142" s="641">
        <v>50000</v>
      </c>
      <c r="H142" s="641">
        <v>50000</v>
      </c>
      <c r="I142" s="641">
        <v>50000</v>
      </c>
    </row>
    <row r="143" spans="1:9">
      <c r="A143" s="1" t="s">
        <v>713</v>
      </c>
      <c r="B143" s="736"/>
      <c r="C143" s="1067">
        <v>0</v>
      </c>
      <c r="D143" s="1067">
        <v>0</v>
      </c>
      <c r="E143" s="1067">
        <v>0</v>
      </c>
      <c r="F143" s="1067">
        <v>0</v>
      </c>
      <c r="G143" s="1067">
        <v>0</v>
      </c>
      <c r="H143" s="1067">
        <v>0</v>
      </c>
      <c r="I143" s="684">
        <v>0</v>
      </c>
    </row>
    <row r="144" spans="1:9">
      <c r="A144" s="1" t="s">
        <v>571</v>
      </c>
      <c r="B144" s="736"/>
      <c r="C144" s="641">
        <v>190000</v>
      </c>
      <c r="D144" s="641">
        <v>190000</v>
      </c>
      <c r="E144" s="641">
        <v>190000</v>
      </c>
      <c r="F144" s="641">
        <v>190000</v>
      </c>
      <c r="G144" s="641">
        <v>190000</v>
      </c>
      <c r="H144" s="641">
        <v>190000</v>
      </c>
      <c r="I144" s="641">
        <v>190000</v>
      </c>
    </row>
    <row r="145" spans="1:9">
      <c r="A145" s="1" t="s">
        <v>198</v>
      </c>
      <c r="B145" s="736"/>
      <c r="C145" s="1074">
        <v>100000</v>
      </c>
      <c r="D145" s="1074">
        <v>100000</v>
      </c>
      <c r="E145" s="1074">
        <v>100000</v>
      </c>
      <c r="F145" s="1074">
        <v>100000</v>
      </c>
      <c r="G145" s="1074">
        <v>100000</v>
      </c>
      <c r="H145" s="1074">
        <v>100000</v>
      </c>
      <c r="I145" s="1074">
        <v>100000</v>
      </c>
    </row>
    <row r="146" spans="1:9">
      <c r="A146" s="1" t="s">
        <v>818</v>
      </c>
      <c r="B146" s="736"/>
      <c r="C146" s="1067">
        <v>1000000</v>
      </c>
      <c r="D146" s="1067">
        <v>1000000</v>
      </c>
      <c r="E146" s="1067">
        <v>1000000</v>
      </c>
      <c r="F146" s="1067">
        <v>1000000</v>
      </c>
      <c r="G146" s="1067">
        <v>1000000</v>
      </c>
      <c r="H146" s="1067">
        <v>1000000</v>
      </c>
      <c r="I146" s="1067">
        <v>1000000</v>
      </c>
    </row>
    <row r="147" spans="1:9">
      <c r="A147" s="1" t="s">
        <v>740</v>
      </c>
      <c r="B147" s="736"/>
      <c r="C147" s="641">
        <v>506333</v>
      </c>
      <c r="D147" s="641">
        <v>506333</v>
      </c>
      <c r="E147" s="641">
        <v>506333</v>
      </c>
      <c r="F147" s="641">
        <v>506333</v>
      </c>
      <c r="G147" s="641">
        <v>506333</v>
      </c>
      <c r="H147" s="641">
        <v>506333</v>
      </c>
      <c r="I147" s="641">
        <v>506333</v>
      </c>
    </row>
    <row r="148" spans="1:9">
      <c r="A148" s="1"/>
      <c r="B148" s="736"/>
      <c r="C148" s="1067">
        <v>0</v>
      </c>
      <c r="D148" s="1067">
        <v>0</v>
      </c>
      <c r="E148" s="1067">
        <v>0</v>
      </c>
      <c r="F148" s="1067">
        <v>0</v>
      </c>
      <c r="G148" s="1067">
        <v>0</v>
      </c>
      <c r="H148" s="1067">
        <v>0</v>
      </c>
      <c r="I148" s="1067">
        <v>0</v>
      </c>
    </row>
    <row r="149" spans="1:9">
      <c r="A149" s="4" t="s">
        <v>660</v>
      </c>
      <c r="B149" s="15"/>
      <c r="C149" s="1066">
        <v>400000</v>
      </c>
      <c r="D149" s="1066">
        <v>400000</v>
      </c>
      <c r="E149" s="1066">
        <v>400000</v>
      </c>
      <c r="F149" s="1066">
        <v>400000</v>
      </c>
      <c r="G149" s="1066">
        <v>400000</v>
      </c>
      <c r="H149" s="1066">
        <v>400000</v>
      </c>
      <c r="I149" s="1066">
        <v>400000</v>
      </c>
    </row>
    <row r="150" spans="1:9">
      <c r="A150" s="4" t="s">
        <v>191</v>
      </c>
      <c r="B150" s="15"/>
      <c r="C150" s="1066">
        <v>250000</v>
      </c>
      <c r="D150" s="1066">
        <v>250000</v>
      </c>
      <c r="E150" s="1066">
        <v>250000</v>
      </c>
      <c r="F150" s="1066">
        <v>250000</v>
      </c>
      <c r="G150" s="1066">
        <v>250000</v>
      </c>
      <c r="H150" s="1066">
        <v>250000</v>
      </c>
      <c r="I150" s="1066">
        <v>250000</v>
      </c>
    </row>
    <row r="151" spans="1:9">
      <c r="A151" s="4" t="s">
        <v>651</v>
      </c>
      <c r="B151" s="15"/>
      <c r="C151" s="1066">
        <v>0</v>
      </c>
      <c r="D151" s="1066">
        <v>0</v>
      </c>
      <c r="E151" s="1066">
        <v>0</v>
      </c>
      <c r="F151" s="1066">
        <v>0</v>
      </c>
      <c r="G151" s="1066">
        <v>0</v>
      </c>
      <c r="H151" s="1066">
        <v>0</v>
      </c>
      <c r="I151" s="693">
        <v>0</v>
      </c>
    </row>
    <row r="152" spans="1:9">
      <c r="A152" s="4" t="s">
        <v>873</v>
      </c>
      <c r="B152" s="15"/>
      <c r="C152" s="1066">
        <v>460000</v>
      </c>
      <c r="D152" s="1066">
        <v>460000</v>
      </c>
      <c r="E152" s="1066">
        <v>460000</v>
      </c>
      <c r="F152" s="1066">
        <v>460000</v>
      </c>
      <c r="G152" s="1066">
        <v>460000</v>
      </c>
      <c r="H152" s="1066">
        <v>460000</v>
      </c>
      <c r="I152" s="1066">
        <v>460000</v>
      </c>
    </row>
    <row r="153" spans="1:9">
      <c r="A153" s="4" t="s">
        <v>850</v>
      </c>
      <c r="B153" s="15"/>
      <c r="C153" s="1066">
        <v>55000</v>
      </c>
      <c r="D153" s="1066">
        <v>55000</v>
      </c>
      <c r="E153" s="1066">
        <v>55000</v>
      </c>
      <c r="F153" s="1066">
        <v>55000</v>
      </c>
      <c r="G153" s="1066">
        <v>55000</v>
      </c>
      <c r="H153" s="1066">
        <v>55000</v>
      </c>
      <c r="I153" s="1066">
        <v>55000</v>
      </c>
    </row>
    <row r="154" spans="1:9">
      <c r="A154" s="4" t="s">
        <v>823</v>
      </c>
      <c r="B154" s="15"/>
      <c r="C154" s="1066">
        <v>50000</v>
      </c>
      <c r="D154" s="1066">
        <v>50000</v>
      </c>
      <c r="E154" s="1066">
        <v>50000</v>
      </c>
      <c r="F154" s="1066">
        <v>50000</v>
      </c>
      <c r="G154" s="1066">
        <v>50000</v>
      </c>
      <c r="H154" s="1066">
        <v>50000</v>
      </c>
      <c r="I154" s="1066">
        <v>50000</v>
      </c>
    </row>
    <row r="155" spans="1:9">
      <c r="A155" s="4"/>
      <c r="B155" s="15"/>
      <c r="C155" s="689"/>
      <c r="D155" s="689"/>
      <c r="E155" s="689"/>
      <c r="F155" s="689"/>
      <c r="G155" s="689"/>
      <c r="H155" s="689"/>
      <c r="I155" s="689"/>
    </row>
    <row r="156" spans="1:9" ht="16.2" thickBot="1">
      <c r="A156" s="737"/>
      <c r="B156" s="738"/>
      <c r="C156" s="848">
        <f>SUM(C134:C155)</f>
        <v>10445333</v>
      </c>
      <c r="D156" s="848">
        <v>10445333</v>
      </c>
      <c r="E156" s="848">
        <v>10445333</v>
      </c>
      <c r="F156" s="848">
        <v>10745333</v>
      </c>
      <c r="G156" s="848">
        <v>10445333</v>
      </c>
      <c r="H156" s="848">
        <v>10445333</v>
      </c>
      <c r="I156" s="848">
        <v>10445333</v>
      </c>
    </row>
    <row r="157" spans="1:9" ht="16.2" thickBot="1">
      <c r="A157" s="5"/>
      <c r="B157"/>
      <c r="C157" s="853"/>
      <c r="D157" s="853"/>
      <c r="E157" s="853"/>
      <c r="F157" s="853"/>
      <c r="G157" s="853"/>
      <c r="H157" s="853"/>
      <c r="I157" s="853"/>
    </row>
    <row r="158" spans="1:9">
      <c r="A158" s="760" t="s">
        <v>12</v>
      </c>
      <c r="B158" s="761"/>
      <c r="C158" s="694"/>
      <c r="D158" s="694"/>
      <c r="E158" s="694"/>
      <c r="F158" s="694"/>
      <c r="G158" s="694"/>
      <c r="H158" s="694"/>
      <c r="I158" s="694"/>
    </row>
    <row r="159" spans="1:9">
      <c r="A159" s="762"/>
      <c r="B159" s="763"/>
      <c r="C159" s="695"/>
      <c r="D159" s="695"/>
      <c r="E159" s="695"/>
      <c r="F159" s="695"/>
      <c r="G159" s="695"/>
      <c r="H159" s="695"/>
      <c r="I159" s="695"/>
    </row>
    <row r="160" spans="1:9">
      <c r="A160" s="1" t="s">
        <v>22</v>
      </c>
      <c r="B160" s="736"/>
      <c r="C160" s="641">
        <v>192000</v>
      </c>
      <c r="D160" s="641">
        <v>192000</v>
      </c>
      <c r="E160" s="641">
        <v>192000</v>
      </c>
      <c r="F160" s="641">
        <v>192000</v>
      </c>
      <c r="G160" s="641">
        <v>192000</v>
      </c>
      <c r="H160" s="641">
        <v>192000</v>
      </c>
      <c r="I160" s="641">
        <v>192000</v>
      </c>
    </row>
    <row r="161" spans="1:9">
      <c r="A161" s="1"/>
      <c r="B161" s="736"/>
      <c r="C161" s="641"/>
      <c r="D161" s="641"/>
      <c r="E161" s="641"/>
      <c r="F161" s="641"/>
      <c r="G161" s="641"/>
      <c r="H161" s="641"/>
      <c r="I161" s="641"/>
    </row>
    <row r="162" spans="1:9">
      <c r="A162" s="1"/>
      <c r="B162" s="736"/>
      <c r="C162" s="641"/>
      <c r="D162" s="641"/>
      <c r="E162" s="641"/>
      <c r="F162" s="641"/>
      <c r="G162" s="641"/>
      <c r="H162" s="641"/>
      <c r="I162" s="641"/>
    </row>
    <row r="163" spans="1:9">
      <c r="A163" s="1"/>
      <c r="B163" s="736"/>
      <c r="C163" s="641"/>
      <c r="D163" s="641"/>
      <c r="E163" s="641"/>
      <c r="F163" s="641"/>
      <c r="G163" s="641"/>
      <c r="H163" s="641"/>
      <c r="I163" s="641"/>
    </row>
    <row r="164" spans="1:9">
      <c r="A164" s="1" t="s">
        <v>26</v>
      </c>
      <c r="B164" s="736"/>
      <c r="C164" s="641">
        <v>139500</v>
      </c>
      <c r="D164" s="641">
        <v>139500</v>
      </c>
      <c r="E164" s="641">
        <v>139500</v>
      </c>
      <c r="F164" s="641">
        <v>139500</v>
      </c>
      <c r="G164" s="641">
        <v>139500</v>
      </c>
      <c r="H164" s="641">
        <v>139500</v>
      </c>
      <c r="I164" s="641">
        <v>139500</v>
      </c>
    </row>
    <row r="165" spans="1:9">
      <c r="A165" s="1"/>
      <c r="B165" s="736"/>
      <c r="C165" s="641"/>
      <c r="D165" s="641"/>
      <c r="E165" s="641"/>
      <c r="F165" s="641"/>
      <c r="G165" s="641"/>
      <c r="H165" s="641"/>
      <c r="I165" s="641"/>
    </row>
    <row r="166" spans="1:9">
      <c r="A166" s="1"/>
      <c r="B166" s="736"/>
      <c r="C166" s="641"/>
      <c r="D166" s="641"/>
      <c r="E166" s="641"/>
      <c r="F166" s="641"/>
      <c r="G166" s="641"/>
      <c r="H166" s="641"/>
      <c r="I166" s="641"/>
    </row>
    <row r="167" spans="1:9">
      <c r="A167" s="1" t="s">
        <v>571</v>
      </c>
      <c r="B167" s="736"/>
      <c r="C167" s="641">
        <v>100000</v>
      </c>
      <c r="D167" s="641">
        <v>100000</v>
      </c>
      <c r="E167" s="641">
        <v>100000</v>
      </c>
      <c r="F167" s="641">
        <v>100000</v>
      </c>
      <c r="G167" s="641">
        <v>100000</v>
      </c>
      <c r="H167" s="641">
        <v>100000</v>
      </c>
      <c r="I167" s="641">
        <v>100000</v>
      </c>
    </row>
    <row r="168" spans="1:9">
      <c r="A168" s="1"/>
      <c r="B168" s="736"/>
      <c r="C168" s="641"/>
      <c r="D168" s="641"/>
      <c r="E168" s="641"/>
      <c r="F168" s="641"/>
      <c r="G168" s="641"/>
      <c r="H168" s="641"/>
      <c r="I168" s="641"/>
    </row>
    <row r="169" spans="1:9">
      <c r="A169" s="1"/>
      <c r="B169" s="736"/>
      <c r="C169" s="641"/>
      <c r="D169" s="641"/>
      <c r="E169" s="641"/>
      <c r="F169" s="641"/>
      <c r="G169" s="641"/>
      <c r="H169" s="641"/>
      <c r="I169" s="641"/>
    </row>
    <row r="170" spans="1:9">
      <c r="A170" s="1"/>
      <c r="B170" s="736"/>
      <c r="C170" s="641"/>
      <c r="D170" s="641"/>
      <c r="E170" s="641"/>
      <c r="F170" s="641"/>
      <c r="G170" s="641"/>
      <c r="H170" s="641"/>
      <c r="I170" s="641"/>
    </row>
    <row r="171" spans="1:9">
      <c r="A171" s="1"/>
      <c r="B171" s="736"/>
      <c r="C171" s="641"/>
      <c r="D171" s="641"/>
      <c r="E171" s="641"/>
      <c r="F171" s="641"/>
      <c r="G171" s="641"/>
      <c r="H171" s="641"/>
      <c r="I171" s="641"/>
    </row>
    <row r="172" spans="1:9">
      <c r="A172" s="1"/>
      <c r="B172" s="736"/>
      <c r="C172" s="641"/>
      <c r="D172" s="641"/>
      <c r="E172" s="641"/>
      <c r="F172" s="641"/>
      <c r="G172" s="641"/>
      <c r="H172" s="641"/>
      <c r="I172" s="641"/>
    </row>
    <row r="173" spans="1:9">
      <c r="A173" s="4"/>
      <c r="B173" s="15"/>
      <c r="C173" s="689"/>
      <c r="D173" s="689"/>
      <c r="E173" s="689"/>
      <c r="F173" s="689"/>
      <c r="G173" s="689"/>
      <c r="H173" s="689"/>
      <c r="I173" s="689"/>
    </row>
    <row r="174" spans="1:9">
      <c r="A174" s="4"/>
      <c r="B174" s="15"/>
      <c r="C174" s="689"/>
      <c r="D174" s="689"/>
      <c r="E174" s="689"/>
      <c r="F174" s="689"/>
      <c r="G174" s="689"/>
      <c r="H174" s="689"/>
      <c r="I174" s="689"/>
    </row>
    <row r="175" spans="1:9">
      <c r="A175" s="4"/>
      <c r="B175" s="15"/>
      <c r="C175" s="689"/>
      <c r="D175" s="689"/>
      <c r="E175" s="689"/>
      <c r="F175" s="689"/>
      <c r="G175" s="689"/>
      <c r="H175" s="689"/>
      <c r="I175" s="689"/>
    </row>
    <row r="176" spans="1:9" ht="16.2" thickBot="1">
      <c r="A176" s="737"/>
      <c r="B176" s="738"/>
      <c r="C176" s="848">
        <f>SUM(C160:C175)</f>
        <v>431500</v>
      </c>
      <c r="D176" s="848">
        <v>431500</v>
      </c>
      <c r="E176" s="848">
        <v>431500</v>
      </c>
      <c r="F176" s="848">
        <v>431500</v>
      </c>
      <c r="G176" s="848">
        <v>431500</v>
      </c>
      <c r="H176" s="848">
        <v>431500</v>
      </c>
      <c r="I176" s="848">
        <v>431500</v>
      </c>
    </row>
    <row r="177" spans="1:9" s="697" customFormat="1">
      <c r="A177" s="764" t="s">
        <v>23</v>
      </c>
      <c r="B177" s="765"/>
      <c r="C177" s="696"/>
      <c r="D177" s="696"/>
      <c r="E177" s="696"/>
      <c r="F177" s="696"/>
      <c r="G177" s="696"/>
      <c r="H177" s="696"/>
      <c r="I177" s="696"/>
    </row>
    <row r="178" spans="1:9" s="697" customFormat="1">
      <c r="A178" s="766"/>
      <c r="B178" s="767"/>
      <c r="C178" s="698"/>
      <c r="D178" s="698"/>
      <c r="E178" s="698"/>
      <c r="F178" s="698"/>
      <c r="G178" s="698"/>
      <c r="H178" s="698"/>
      <c r="I178" s="698"/>
    </row>
    <row r="179" spans="1:9">
      <c r="A179" s="14" t="s">
        <v>152</v>
      </c>
      <c r="B179" s="15"/>
      <c r="C179" s="1066">
        <v>175000</v>
      </c>
      <c r="D179" s="1066">
        <v>175000</v>
      </c>
      <c r="E179" s="1066">
        <v>175000</v>
      </c>
      <c r="F179" s="1066">
        <v>175000</v>
      </c>
      <c r="G179" s="1066">
        <v>175000</v>
      </c>
      <c r="H179" s="1066">
        <v>175000</v>
      </c>
      <c r="I179" s="693">
        <v>175000</v>
      </c>
    </row>
    <row r="180" spans="1:9">
      <c r="A180" s="14" t="s">
        <v>660</v>
      </c>
      <c r="B180" s="15"/>
      <c r="C180" s="1066">
        <v>4000000</v>
      </c>
      <c r="D180" s="1066">
        <v>4000000</v>
      </c>
      <c r="E180" s="1066">
        <v>4000000</v>
      </c>
      <c r="F180" s="1066">
        <v>4000000</v>
      </c>
      <c r="G180" s="1066">
        <v>4000000</v>
      </c>
      <c r="H180" s="1066">
        <v>4000000</v>
      </c>
      <c r="I180" s="1066">
        <v>4000000</v>
      </c>
    </row>
    <row r="181" spans="1:9">
      <c r="A181" s="14" t="s">
        <v>731</v>
      </c>
      <c r="B181" s="15"/>
      <c r="C181" s="1066">
        <v>200000</v>
      </c>
      <c r="D181" s="693">
        <v>200000</v>
      </c>
      <c r="E181" s="1066"/>
      <c r="F181" s="1066"/>
      <c r="G181" s="1066"/>
      <c r="H181" s="1066"/>
      <c r="I181" s="1066"/>
    </row>
    <row r="182" spans="1:9">
      <c r="A182" s="14"/>
      <c r="B182" s="15"/>
      <c r="C182" s="1066"/>
      <c r="D182" s="1066"/>
      <c r="E182" s="1066"/>
      <c r="F182" s="1066"/>
      <c r="G182" s="1066"/>
      <c r="H182" s="1066"/>
      <c r="I182" s="1066"/>
    </row>
    <row r="183" spans="1:9">
      <c r="A183" s="1140"/>
      <c r="B183" s="1185"/>
      <c r="C183" s="1066"/>
      <c r="D183" s="1066"/>
      <c r="E183" s="1066"/>
      <c r="F183" s="1066"/>
      <c r="G183" s="1066"/>
      <c r="H183" s="1066"/>
      <c r="I183" s="1066"/>
    </row>
    <row r="184" spans="1:9">
      <c r="A184" s="1184"/>
      <c r="B184" s="1186"/>
      <c r="C184" s="1067"/>
      <c r="D184" s="1067"/>
      <c r="E184" s="1067"/>
      <c r="F184" s="1067"/>
      <c r="G184" s="1067"/>
      <c r="H184" s="1067"/>
      <c r="I184" s="1067"/>
    </row>
    <row r="185" spans="1:9">
      <c r="A185" s="6" t="s">
        <v>726</v>
      </c>
      <c r="B185" s="736"/>
      <c r="C185" s="641">
        <v>5000000</v>
      </c>
      <c r="D185" s="641">
        <v>5000000</v>
      </c>
      <c r="E185" s="641">
        <v>5000000</v>
      </c>
      <c r="F185" s="641">
        <v>5000000</v>
      </c>
      <c r="G185" s="641">
        <v>5000000</v>
      </c>
      <c r="H185" s="641">
        <v>5000000</v>
      </c>
      <c r="I185" s="641">
        <v>5000000</v>
      </c>
    </row>
    <row r="186" spans="1:9">
      <c r="A186" s="6"/>
      <c r="B186" s="736"/>
      <c r="C186" s="1067">
        <v>0</v>
      </c>
      <c r="D186" s="1067">
        <v>0</v>
      </c>
      <c r="E186" s="1067">
        <v>0</v>
      </c>
      <c r="F186" s="1067">
        <v>0</v>
      </c>
      <c r="G186" s="1067">
        <v>0</v>
      </c>
      <c r="H186" s="1067">
        <v>0</v>
      </c>
      <c r="I186" s="1067">
        <v>0</v>
      </c>
    </row>
    <row r="187" spans="1:9">
      <c r="A187" s="1184"/>
      <c r="B187" s="736"/>
      <c r="C187" s="1067">
        <v>0</v>
      </c>
      <c r="D187" s="1067">
        <v>0</v>
      </c>
      <c r="E187" s="1067">
        <v>0</v>
      </c>
      <c r="F187" s="1067">
        <v>0</v>
      </c>
      <c r="G187" s="1067">
        <v>0</v>
      </c>
      <c r="H187" s="1067">
        <v>0</v>
      </c>
      <c r="I187" s="1067">
        <v>0</v>
      </c>
    </row>
    <row r="188" spans="1:9">
      <c r="A188" s="1184"/>
      <c r="B188" s="736"/>
      <c r="C188" s="1067">
        <v>0</v>
      </c>
      <c r="D188" s="1067">
        <v>0</v>
      </c>
      <c r="E188" s="1067">
        <v>0</v>
      </c>
      <c r="F188" s="1067">
        <v>0</v>
      </c>
      <c r="G188" s="1067">
        <v>0</v>
      </c>
      <c r="H188" s="1067">
        <v>0</v>
      </c>
      <c r="I188" s="1067">
        <v>0</v>
      </c>
    </row>
    <row r="189" spans="1:9">
      <c r="A189" s="1184"/>
      <c r="B189" s="736"/>
      <c r="C189" s="641">
        <v>0</v>
      </c>
      <c r="D189" s="641">
        <v>0</v>
      </c>
      <c r="E189" s="641">
        <v>0</v>
      </c>
      <c r="F189" s="641">
        <v>0</v>
      </c>
      <c r="G189" s="641">
        <v>0</v>
      </c>
      <c r="H189" s="641">
        <v>0</v>
      </c>
      <c r="I189" s="641">
        <v>0</v>
      </c>
    </row>
    <row r="190" spans="1:9">
      <c r="A190" s="6"/>
      <c r="B190" s="736"/>
      <c r="C190" s="1067">
        <v>0</v>
      </c>
      <c r="D190" s="1067">
        <v>0</v>
      </c>
      <c r="E190" s="1067">
        <v>0</v>
      </c>
      <c r="F190" s="1067">
        <v>0</v>
      </c>
      <c r="G190" s="1067">
        <v>0</v>
      </c>
      <c r="H190" s="1067">
        <v>0</v>
      </c>
      <c r="I190" s="1067">
        <v>0</v>
      </c>
    </row>
    <row r="191" spans="1:9">
      <c r="A191" s="6"/>
      <c r="B191" s="736"/>
      <c r="C191" s="1067">
        <v>0</v>
      </c>
      <c r="D191" s="1067">
        <v>0</v>
      </c>
      <c r="E191" s="1067">
        <v>0</v>
      </c>
      <c r="F191" s="1067">
        <v>0</v>
      </c>
      <c r="G191" s="1067">
        <v>0</v>
      </c>
      <c r="H191" s="1067">
        <v>0</v>
      </c>
      <c r="I191" s="1067">
        <v>0</v>
      </c>
    </row>
    <row r="192" spans="1:9">
      <c r="A192" s="6"/>
      <c r="B192" s="736"/>
      <c r="C192" s="1067"/>
      <c r="D192" s="1067"/>
      <c r="E192" s="1067"/>
      <c r="F192" s="1067"/>
      <c r="G192" s="1067"/>
      <c r="H192" s="1067"/>
      <c r="I192" s="1067"/>
    </row>
    <row r="193" spans="1:9">
      <c r="A193" s="6"/>
      <c r="B193" s="736"/>
      <c r="C193" s="641">
        <v>0</v>
      </c>
      <c r="D193" s="641">
        <v>0</v>
      </c>
      <c r="E193" s="641">
        <v>0</v>
      </c>
      <c r="F193" s="641">
        <v>0</v>
      </c>
      <c r="G193" s="641">
        <v>0</v>
      </c>
      <c r="H193" s="641">
        <v>0</v>
      </c>
      <c r="I193" s="641">
        <v>0</v>
      </c>
    </row>
    <row r="194" spans="1:9">
      <c r="A194" s="6"/>
      <c r="B194" s="736"/>
      <c r="C194" s="641">
        <v>0</v>
      </c>
      <c r="D194" s="641">
        <v>0</v>
      </c>
      <c r="E194" s="641">
        <v>0</v>
      </c>
      <c r="F194" s="641">
        <v>0</v>
      </c>
      <c r="G194" s="641">
        <v>0</v>
      </c>
      <c r="H194" s="641">
        <v>0</v>
      </c>
      <c r="I194" s="641">
        <v>0</v>
      </c>
    </row>
    <row r="195" spans="1:9">
      <c r="A195" s="6" t="s">
        <v>624</v>
      </c>
      <c r="B195" s="736"/>
      <c r="C195" s="1067">
        <v>2000000</v>
      </c>
      <c r="D195" s="1067">
        <v>2000000</v>
      </c>
      <c r="E195" s="1067">
        <v>2000000</v>
      </c>
      <c r="F195" s="1067">
        <v>2000000</v>
      </c>
      <c r="G195" s="1067">
        <v>2000000</v>
      </c>
      <c r="H195" s="1067">
        <v>2000000</v>
      </c>
      <c r="I195" s="1067">
        <v>2000000</v>
      </c>
    </row>
    <row r="196" spans="1:9">
      <c r="A196" s="6" t="s">
        <v>119</v>
      </c>
      <c r="B196" s="736"/>
      <c r="C196" s="1067">
        <v>8500000</v>
      </c>
      <c r="D196" s="1067">
        <v>8500000</v>
      </c>
      <c r="E196" s="1067">
        <v>8500000</v>
      </c>
      <c r="F196" s="1067">
        <v>8500000</v>
      </c>
      <c r="G196" s="1067">
        <v>8500000</v>
      </c>
      <c r="H196" s="1067">
        <v>8500000</v>
      </c>
      <c r="I196" s="1067">
        <v>8500000</v>
      </c>
    </row>
    <row r="197" spans="1:9">
      <c r="A197" s="6" t="s">
        <v>179</v>
      </c>
      <c r="B197" s="736"/>
      <c r="C197" s="1067">
        <v>0</v>
      </c>
      <c r="D197" s="1067">
        <v>0</v>
      </c>
      <c r="E197" s="1067">
        <v>0</v>
      </c>
      <c r="F197" s="1067">
        <v>0</v>
      </c>
      <c r="G197" s="1067">
        <v>0</v>
      </c>
      <c r="H197" s="1067">
        <v>0</v>
      </c>
      <c r="I197" s="1067">
        <v>0</v>
      </c>
    </row>
    <row r="198" spans="1:9">
      <c r="A198" s="6" t="s">
        <v>756</v>
      </c>
      <c r="B198" s="736"/>
      <c r="C198" s="1067">
        <v>37000000</v>
      </c>
      <c r="D198" s="1067">
        <v>37000000</v>
      </c>
      <c r="E198" s="1067">
        <v>37000000</v>
      </c>
      <c r="F198" s="1067">
        <v>37000000</v>
      </c>
      <c r="G198" s="1067">
        <v>37000000</v>
      </c>
      <c r="H198" s="1067">
        <v>37000000</v>
      </c>
      <c r="I198" s="684">
        <v>37000000</v>
      </c>
    </row>
    <row r="199" spans="1:9">
      <c r="A199" s="6" t="s">
        <v>161</v>
      </c>
      <c r="B199" s="736"/>
      <c r="C199" s="1067">
        <v>6500000</v>
      </c>
      <c r="D199" s="1067">
        <v>6500000</v>
      </c>
      <c r="E199" s="1067">
        <v>6500000</v>
      </c>
      <c r="F199" s="1067">
        <v>6500000</v>
      </c>
      <c r="G199" s="1067">
        <v>6500000</v>
      </c>
      <c r="H199" s="1067">
        <v>6500000</v>
      </c>
      <c r="I199" s="1067">
        <v>6500000</v>
      </c>
    </row>
    <row r="200" spans="1:9" ht="16.2" thickBot="1">
      <c r="A200" s="7"/>
      <c r="B200" s="738"/>
      <c r="C200" s="848">
        <f>SUM(C179:C199)</f>
        <v>63375000</v>
      </c>
      <c r="D200" s="848">
        <v>63375000</v>
      </c>
      <c r="E200" s="848">
        <v>63175000</v>
      </c>
      <c r="F200" s="848">
        <v>63175000</v>
      </c>
      <c r="G200" s="848">
        <v>63175000</v>
      </c>
      <c r="H200" s="848">
        <v>63175000</v>
      </c>
      <c r="I200" s="848">
        <v>64050000</v>
      </c>
    </row>
    <row r="201" spans="1:9" ht="16.2" thickBot="1">
      <c r="A201" s="9"/>
      <c r="B201" s="10"/>
      <c r="C201" s="869"/>
      <c r="D201" s="869"/>
      <c r="E201" s="869"/>
      <c r="F201" s="869"/>
      <c r="G201" s="869"/>
      <c r="H201" s="869"/>
      <c r="I201" s="869"/>
    </row>
    <row r="202" spans="1:9" ht="16.2" thickBot="1">
      <c r="A202" s="768"/>
      <c r="B202" s="769"/>
      <c r="C202" s="868"/>
      <c r="D202" s="868"/>
      <c r="E202" s="868"/>
      <c r="F202" s="868"/>
      <c r="G202" s="868"/>
      <c r="H202" s="868"/>
      <c r="I202" s="868"/>
    </row>
    <row r="203" spans="1:9" s="699" customFormat="1" ht="18.600000000000001" thickBot="1">
      <c r="A203" s="770" t="s">
        <v>35</v>
      </c>
      <c r="B203" s="771"/>
      <c r="C203" s="870">
        <f>SUM(C129+C156-C200+C176)</f>
        <v>204634114</v>
      </c>
      <c r="D203" s="870">
        <v>204634114</v>
      </c>
      <c r="E203" s="870">
        <v>203982145</v>
      </c>
      <c r="F203" s="870">
        <v>212702381</v>
      </c>
      <c r="G203" s="870">
        <v>213177351</v>
      </c>
      <c r="H203" s="870">
        <v>212279157</v>
      </c>
      <c r="I203" s="870">
        <v>214006660</v>
      </c>
    </row>
    <row r="204" spans="1:9" s="699" customFormat="1" ht="18">
      <c r="A204" s="772"/>
      <c r="B204" s="773"/>
      <c r="C204" s="871"/>
      <c r="D204" s="871"/>
      <c r="E204" s="871"/>
      <c r="F204" s="871"/>
      <c r="G204" s="871"/>
      <c r="H204" s="871"/>
      <c r="I204" s="871"/>
    </row>
    <row r="205" spans="1:9">
      <c r="A205" s="5"/>
      <c r="B205"/>
      <c r="C205" s="852"/>
      <c r="D205" s="852"/>
      <c r="E205" s="852"/>
      <c r="F205" s="852"/>
      <c r="G205" s="852"/>
      <c r="H205" s="852"/>
      <c r="I205" s="852"/>
    </row>
    <row r="206" spans="1:9">
      <c r="A206" s="5" t="s">
        <v>25</v>
      </c>
      <c r="B206"/>
      <c r="C206" s="8">
        <f>C129</f>
        <v>257132281</v>
      </c>
      <c r="D206" s="8">
        <v>257132281</v>
      </c>
      <c r="E206" s="8">
        <v>256280312</v>
      </c>
      <c r="F206" s="8">
        <v>264700548</v>
      </c>
      <c r="G206" s="8">
        <v>265475518</v>
      </c>
      <c r="H206" s="8">
        <v>264577324</v>
      </c>
      <c r="I206" s="8">
        <v>267179827</v>
      </c>
    </row>
    <row r="207" spans="1:9" ht="18">
      <c r="A207" s="774" t="s">
        <v>13</v>
      </c>
      <c r="B207" s="2"/>
      <c r="C207" s="24">
        <f>C203</f>
        <v>204634114</v>
      </c>
      <c r="D207" s="24">
        <v>204634114</v>
      </c>
      <c r="E207" s="24">
        <v>203982145</v>
      </c>
      <c r="F207" s="24">
        <v>212702381</v>
      </c>
      <c r="G207" s="24">
        <v>213177351</v>
      </c>
      <c r="H207" s="24">
        <v>212279157</v>
      </c>
      <c r="I207" s="24">
        <v>214006660</v>
      </c>
    </row>
    <row r="208" spans="1:9" ht="18">
      <c r="A208" s="774"/>
      <c r="B208" s="2"/>
      <c r="C208" s="24"/>
      <c r="D208" s="24"/>
      <c r="E208" s="24"/>
      <c r="F208" s="24"/>
      <c r="G208" s="24"/>
      <c r="H208" s="24"/>
      <c r="I208" s="24"/>
    </row>
    <row r="209" spans="1:12" ht="15" thickBot="1">
      <c r="A209" s="5"/>
      <c r="B209"/>
      <c r="C209" s="8"/>
      <c r="D209" s="8"/>
      <c r="E209" s="8"/>
      <c r="F209" s="8"/>
      <c r="G209" s="8"/>
      <c r="H209" s="8"/>
      <c r="I209" s="8"/>
    </row>
    <row r="210" spans="1:12">
      <c r="A210" s="775" t="s">
        <v>18</v>
      </c>
      <c r="B210" s="726"/>
      <c r="C210" s="700">
        <f>C206-D206</f>
        <v>0</v>
      </c>
      <c r="D210" s="700">
        <v>851969</v>
      </c>
      <c r="E210" s="700">
        <v>-8420236</v>
      </c>
      <c r="F210" s="700">
        <v>-774970</v>
      </c>
      <c r="G210" s="700">
        <v>898194</v>
      </c>
      <c r="H210" s="700">
        <v>-2602503</v>
      </c>
      <c r="I210" s="700">
        <v>0</v>
      </c>
    </row>
    <row r="211" spans="1:12" ht="15" thickBot="1">
      <c r="A211" s="5"/>
      <c r="B211"/>
      <c r="C211" s="8"/>
      <c r="D211" s="8"/>
      <c r="E211" s="8"/>
      <c r="F211" s="8"/>
      <c r="G211" s="8"/>
      <c r="H211" s="8"/>
      <c r="I211" s="8"/>
    </row>
    <row r="212" spans="1:12">
      <c r="A212" s="776"/>
      <c r="B212" s="777"/>
      <c r="C212" s="872"/>
      <c r="D212" s="872"/>
      <c r="E212" s="872"/>
      <c r="F212" s="872"/>
      <c r="G212" s="872"/>
      <c r="H212" s="872"/>
      <c r="I212" s="872"/>
    </row>
    <row r="213" spans="1:12">
      <c r="A213" s="20" t="s">
        <v>183</v>
      </c>
      <c r="B213" s="778"/>
      <c r="C213" s="873">
        <f>C210+C215+C225-C226-C244+C245+C633-C419</f>
        <v>0</v>
      </c>
      <c r="D213" s="873">
        <v>565000</v>
      </c>
      <c r="E213" s="873">
        <v>1270500</v>
      </c>
      <c r="F213" s="873">
        <v>400000</v>
      </c>
      <c r="G213" s="873">
        <v>417000</v>
      </c>
      <c r="H213" s="873">
        <v>554500</v>
      </c>
      <c r="I213" s="873">
        <v>0</v>
      </c>
    </row>
    <row r="214" spans="1:12">
      <c r="A214" s="20" t="s">
        <v>24</v>
      </c>
      <c r="B214" s="778"/>
      <c r="C214" s="873">
        <f>C213-C217</f>
        <v>0</v>
      </c>
      <c r="D214" s="873">
        <v>515000</v>
      </c>
      <c r="E214" s="873">
        <v>1130500</v>
      </c>
      <c r="F214" s="873">
        <v>310000</v>
      </c>
      <c r="G214" s="873">
        <v>327000</v>
      </c>
      <c r="H214" s="873">
        <v>454500</v>
      </c>
      <c r="I214" s="873">
        <v>0</v>
      </c>
    </row>
    <row r="215" spans="1:12">
      <c r="A215" s="28" t="s">
        <v>19</v>
      </c>
      <c r="B215" s="746" t="s">
        <v>283</v>
      </c>
      <c r="C215" s="874">
        <f>KIOS!H188</f>
        <v>0</v>
      </c>
      <c r="D215" s="874">
        <v>0</v>
      </c>
      <c r="E215" s="874">
        <v>10906000</v>
      </c>
      <c r="F215" s="874">
        <v>2067500</v>
      </c>
      <c r="G215" s="874">
        <v>762000</v>
      </c>
      <c r="H215" s="874">
        <v>0</v>
      </c>
      <c r="I215" s="874">
        <v>0</v>
      </c>
    </row>
    <row r="216" spans="1:12" s="265" customFormat="1">
      <c r="A216" s="779" t="s">
        <v>189</v>
      </c>
      <c r="B216" s="780"/>
      <c r="C216" s="701">
        <f>D216+C215</f>
        <v>13735500</v>
      </c>
      <c r="D216" s="701">
        <v>13735500</v>
      </c>
      <c r="E216" s="701">
        <v>13735500</v>
      </c>
      <c r="F216" s="701">
        <v>2829500</v>
      </c>
      <c r="G216" s="701">
        <v>762000</v>
      </c>
      <c r="H216" s="701">
        <v>0</v>
      </c>
      <c r="I216" s="701">
        <v>0</v>
      </c>
    </row>
    <row r="217" spans="1:12">
      <c r="A217" s="28" t="s">
        <v>180</v>
      </c>
      <c r="B217" s="746" t="s">
        <v>284</v>
      </c>
      <c r="C217" s="874">
        <f>KIOS!L188+'REHAB RUMAH'!E16+'TABEL INPUT'!C51+'TABEL INPUT'!F51+'TABEL INPUT'!I51+'TABEL INPUT'!L51+'PESTA RIKI'!H15</f>
        <v>0</v>
      </c>
      <c r="D217" s="874">
        <v>50000</v>
      </c>
      <c r="E217" s="874">
        <v>140000</v>
      </c>
      <c r="F217" s="874">
        <v>90000</v>
      </c>
      <c r="G217" s="874">
        <v>90000</v>
      </c>
      <c r="H217" s="874">
        <v>100000</v>
      </c>
      <c r="I217" s="874">
        <v>0</v>
      </c>
    </row>
    <row r="218" spans="1:12" s="265" customFormat="1">
      <c r="A218" s="779" t="s">
        <v>190</v>
      </c>
      <c r="B218" s="780"/>
      <c r="C218" s="702">
        <f>D218+C217</f>
        <v>470000</v>
      </c>
      <c r="D218" s="702">
        <v>470000</v>
      </c>
      <c r="E218" s="702">
        <v>420000</v>
      </c>
      <c r="F218" s="702">
        <v>280000</v>
      </c>
      <c r="G218" s="702">
        <v>190000</v>
      </c>
      <c r="H218" s="702">
        <v>100000</v>
      </c>
      <c r="I218" s="702">
        <v>0</v>
      </c>
    </row>
    <row r="219" spans="1:12">
      <c r="A219" s="20"/>
      <c r="B219" s="781"/>
      <c r="C219" s="873"/>
      <c r="D219" s="873"/>
      <c r="E219" s="873"/>
      <c r="F219" s="873"/>
      <c r="G219" s="873"/>
      <c r="H219" s="873"/>
      <c r="I219" s="873"/>
    </row>
    <row r="220" spans="1:12">
      <c r="A220" s="28" t="s">
        <v>63</v>
      </c>
      <c r="B220" s="746" t="s">
        <v>285</v>
      </c>
      <c r="C220" s="875">
        <f>KIOS!C191</f>
        <v>0</v>
      </c>
      <c r="D220" s="875">
        <v>0</v>
      </c>
      <c r="E220" s="875">
        <v>0</v>
      </c>
      <c r="F220" s="875">
        <v>0</v>
      </c>
      <c r="G220" s="875">
        <v>0</v>
      </c>
      <c r="H220" s="875">
        <v>0</v>
      </c>
      <c r="I220" s="875">
        <v>0</v>
      </c>
      <c r="L220" s="703"/>
    </row>
    <row r="221" spans="1:12">
      <c r="A221" s="28" t="s">
        <v>12</v>
      </c>
      <c r="B221" s="746" t="s">
        <v>286</v>
      </c>
      <c r="C221" s="875">
        <f>KIOS!B191</f>
        <v>0</v>
      </c>
      <c r="D221" s="875">
        <v>0</v>
      </c>
      <c r="E221" s="875">
        <v>0</v>
      </c>
      <c r="F221" s="875">
        <v>0</v>
      </c>
      <c r="G221" s="875">
        <v>0</v>
      </c>
      <c r="H221" s="875">
        <v>0</v>
      </c>
      <c r="I221" s="875">
        <v>0</v>
      </c>
    </row>
    <row r="222" spans="1:12">
      <c r="A222" s="1"/>
      <c r="B222" s="748"/>
      <c r="C222" s="876"/>
      <c r="D222" s="876"/>
      <c r="E222" s="876"/>
      <c r="F222" s="876"/>
      <c r="G222" s="876"/>
      <c r="H222" s="876"/>
      <c r="I222" s="876"/>
    </row>
    <row r="223" spans="1:12">
      <c r="A223" s="782" t="s">
        <v>47</v>
      </c>
      <c r="B223" s="781"/>
      <c r="C223" s="702">
        <f>D223+C213-C215</f>
        <v>-10528500</v>
      </c>
      <c r="D223" s="702">
        <v>-10528500</v>
      </c>
      <c r="E223" s="702">
        <v>-11093500</v>
      </c>
      <c r="F223" s="702">
        <v>-1458000</v>
      </c>
      <c r="G223" s="702">
        <v>209500</v>
      </c>
      <c r="H223" s="702">
        <v>554500</v>
      </c>
      <c r="I223" s="702">
        <v>0</v>
      </c>
    </row>
    <row r="224" spans="1:12">
      <c r="A224" s="1"/>
      <c r="B224" s="748"/>
      <c r="C224" s="876"/>
      <c r="D224" s="876"/>
      <c r="E224" s="876"/>
      <c r="F224" s="876"/>
      <c r="G224" s="876"/>
      <c r="H224" s="876"/>
      <c r="I224" s="876"/>
    </row>
    <row r="225" spans="1:9">
      <c r="A225" s="28" t="s">
        <v>21</v>
      </c>
      <c r="B225" s="746" t="s">
        <v>287</v>
      </c>
      <c r="C225" s="875">
        <f>RHUMAH!AU191</f>
        <v>0</v>
      </c>
      <c r="D225" s="875">
        <v>0</v>
      </c>
      <c r="E225" s="875">
        <v>1000000</v>
      </c>
      <c r="F225" s="875">
        <v>0</v>
      </c>
      <c r="G225" s="875">
        <v>300000</v>
      </c>
      <c r="H225" s="875">
        <v>0</v>
      </c>
      <c r="I225" s="875">
        <v>0</v>
      </c>
    </row>
    <row r="226" spans="1:9">
      <c r="A226" s="28" t="s">
        <v>64</v>
      </c>
      <c r="B226" s="746" t="s">
        <v>281</v>
      </c>
      <c r="C226" s="875">
        <f>RHUMAH!AV191</f>
        <v>0</v>
      </c>
      <c r="D226" s="875">
        <v>0</v>
      </c>
      <c r="E226" s="875">
        <v>1300000</v>
      </c>
      <c r="F226" s="875">
        <v>0</v>
      </c>
      <c r="G226" s="875">
        <v>0</v>
      </c>
      <c r="H226" s="875">
        <v>0</v>
      </c>
      <c r="I226" s="875">
        <v>0</v>
      </c>
    </row>
    <row r="227" spans="1:9">
      <c r="A227" s="1"/>
      <c r="B227" s="748"/>
      <c r="C227" s="876"/>
      <c r="D227" s="876"/>
      <c r="E227" s="876"/>
      <c r="F227" s="876"/>
      <c r="G227" s="876"/>
      <c r="H227" s="876"/>
      <c r="I227" s="876"/>
    </row>
    <row r="228" spans="1:9">
      <c r="A228" s="1444" t="s">
        <v>324</v>
      </c>
      <c r="B228" s="1445"/>
      <c r="C228" s="1069">
        <v>7000</v>
      </c>
      <c r="D228" s="1069">
        <v>7000</v>
      </c>
      <c r="E228" s="1069">
        <v>7000</v>
      </c>
      <c r="F228" s="1069">
        <v>7000</v>
      </c>
      <c r="G228" s="1069">
        <v>7000</v>
      </c>
      <c r="H228" s="1069">
        <v>7000</v>
      </c>
      <c r="I228" s="1069">
        <v>0</v>
      </c>
    </row>
    <row r="229" spans="1:9">
      <c r="A229" s="1444" t="s">
        <v>325</v>
      </c>
      <c r="B229" s="1445"/>
      <c r="C229" s="1069">
        <v>0</v>
      </c>
      <c r="D229" s="1069">
        <v>0</v>
      </c>
      <c r="E229" s="1069">
        <v>0</v>
      </c>
      <c r="F229" s="1069">
        <v>0</v>
      </c>
      <c r="G229" s="1069">
        <v>0</v>
      </c>
      <c r="H229" s="1069">
        <v>0</v>
      </c>
      <c r="I229" s="1069">
        <v>0</v>
      </c>
    </row>
    <row r="230" spans="1:9">
      <c r="A230" s="783" t="s">
        <v>339</v>
      </c>
      <c r="B230" s="784"/>
      <c r="C230" s="1069">
        <v>0</v>
      </c>
      <c r="D230" s="1069">
        <v>0</v>
      </c>
      <c r="E230" s="1069">
        <v>0</v>
      </c>
      <c r="F230" s="1069">
        <v>0</v>
      </c>
      <c r="G230" s="1069">
        <v>0</v>
      </c>
      <c r="H230" s="1069">
        <v>0</v>
      </c>
      <c r="I230" s="1069">
        <v>0</v>
      </c>
    </row>
    <row r="231" spans="1:9">
      <c r="A231" s="783" t="s">
        <v>561</v>
      </c>
      <c r="B231" s="784"/>
      <c r="C231" s="1069">
        <v>7000</v>
      </c>
      <c r="D231" s="1069">
        <v>7000</v>
      </c>
      <c r="E231" s="1069">
        <v>7000</v>
      </c>
      <c r="F231" s="1069">
        <v>7000</v>
      </c>
      <c r="G231" s="1069">
        <v>7000</v>
      </c>
      <c r="H231" s="1069">
        <v>7000</v>
      </c>
      <c r="I231" s="1069">
        <v>0</v>
      </c>
    </row>
    <row r="232" spans="1:9">
      <c r="A232" s="1162"/>
      <c r="B232" s="784"/>
      <c r="C232" s="1069"/>
      <c r="D232" s="1069"/>
      <c r="E232" s="1069"/>
      <c r="F232" s="1069"/>
      <c r="G232" s="1069"/>
      <c r="H232" s="1069"/>
      <c r="I232" s="1069"/>
    </row>
    <row r="233" spans="1:9">
      <c r="A233" s="1162"/>
      <c r="B233" s="784"/>
      <c r="C233" s="1069"/>
      <c r="D233" s="1069"/>
      <c r="E233" s="1069"/>
      <c r="F233" s="1069"/>
      <c r="G233" s="1069"/>
      <c r="H233" s="1069"/>
      <c r="I233" s="1069"/>
    </row>
    <row r="234" spans="1:9">
      <c r="A234" s="965"/>
      <c r="B234" s="966"/>
      <c r="C234" s="1142">
        <f>SUM(C228:C231)</f>
        <v>14000</v>
      </c>
      <c r="D234" s="1142">
        <v>14000</v>
      </c>
      <c r="E234" s="1142">
        <v>14000</v>
      </c>
      <c r="F234" s="1142">
        <v>14000</v>
      </c>
      <c r="G234" s="1142">
        <v>14000</v>
      </c>
      <c r="H234" s="1142">
        <v>14000</v>
      </c>
      <c r="I234" s="1142">
        <v>0</v>
      </c>
    </row>
    <row r="235" spans="1:9">
      <c r="A235" s="1"/>
      <c r="B235" s="748"/>
      <c r="C235" s="1068" t="s">
        <v>45</v>
      </c>
      <c r="D235" s="1068"/>
      <c r="E235" s="1068"/>
      <c r="F235" s="1068"/>
      <c r="G235" s="1068"/>
      <c r="H235" s="1068"/>
      <c r="I235" s="1068"/>
    </row>
    <row r="236" spans="1:9">
      <c r="A236" s="1" t="s">
        <v>557</v>
      </c>
      <c r="B236" s="748"/>
      <c r="C236" s="1068">
        <v>0</v>
      </c>
      <c r="D236" s="1068">
        <v>0</v>
      </c>
      <c r="E236" s="1068">
        <v>0</v>
      </c>
      <c r="F236" s="1068">
        <v>0</v>
      </c>
      <c r="G236" s="1068">
        <v>0</v>
      </c>
      <c r="H236" s="1068">
        <v>0</v>
      </c>
      <c r="I236" s="1068">
        <v>0</v>
      </c>
    </row>
    <row r="237" spans="1:9">
      <c r="A237" s="1" t="s">
        <v>558</v>
      </c>
      <c r="B237" s="748"/>
      <c r="C237" s="1068">
        <v>0</v>
      </c>
      <c r="D237" s="1068">
        <v>0</v>
      </c>
      <c r="E237" s="1068">
        <v>0</v>
      </c>
      <c r="F237" s="1068">
        <v>0</v>
      </c>
      <c r="G237" s="1068">
        <v>0</v>
      </c>
      <c r="H237" s="1068">
        <v>0</v>
      </c>
      <c r="I237" s="1068">
        <v>0</v>
      </c>
    </row>
    <row r="238" spans="1:9">
      <c r="A238" s="1" t="s">
        <v>559</v>
      </c>
      <c r="B238" s="748"/>
      <c r="C238" s="1068">
        <v>0</v>
      </c>
      <c r="D238" s="1068">
        <v>0</v>
      </c>
      <c r="E238" s="1068">
        <v>0</v>
      </c>
      <c r="F238" s="1068">
        <v>0</v>
      </c>
      <c r="G238" s="1068">
        <v>0</v>
      </c>
      <c r="H238" s="1068">
        <v>0</v>
      </c>
      <c r="I238" s="1068">
        <v>0</v>
      </c>
    </row>
    <row r="239" spans="1:9">
      <c r="A239" s="1" t="s">
        <v>560</v>
      </c>
      <c r="B239" s="748"/>
      <c r="C239" s="1068">
        <v>0</v>
      </c>
      <c r="D239" s="1068">
        <v>0</v>
      </c>
      <c r="E239" s="1068">
        <v>0</v>
      </c>
      <c r="F239" s="1068">
        <v>0</v>
      </c>
      <c r="G239" s="1068">
        <v>0</v>
      </c>
      <c r="H239" s="1068">
        <v>0</v>
      </c>
      <c r="I239" s="1068">
        <v>0</v>
      </c>
    </row>
    <row r="240" spans="1:9">
      <c r="A240" s="1161"/>
      <c r="B240" s="748"/>
      <c r="C240" s="1068"/>
      <c r="D240" s="1068"/>
      <c r="E240" s="1068"/>
      <c r="F240" s="1068"/>
      <c r="G240" s="1068"/>
      <c r="H240" s="1068"/>
      <c r="I240" s="1068"/>
    </row>
    <row r="241" spans="1:9">
      <c r="A241" s="1161"/>
      <c r="B241" s="748"/>
      <c r="C241" s="1068"/>
      <c r="D241" s="1068"/>
      <c r="E241" s="1068"/>
      <c r="F241" s="1068"/>
      <c r="G241" s="1068"/>
      <c r="H241" s="1068"/>
      <c r="I241" s="1068"/>
    </row>
    <row r="242" spans="1:9">
      <c r="A242" s="1"/>
      <c r="B242" s="748"/>
      <c r="C242" s="892">
        <f>SUM(C236:C239)</f>
        <v>0</v>
      </c>
      <c r="D242" s="892">
        <v>0</v>
      </c>
      <c r="E242" s="892">
        <v>0</v>
      </c>
      <c r="F242" s="892">
        <v>0</v>
      </c>
      <c r="G242" s="892">
        <v>0</v>
      </c>
      <c r="H242" s="892">
        <v>0</v>
      </c>
      <c r="I242" s="892">
        <v>0</v>
      </c>
    </row>
    <row r="243" spans="1:9">
      <c r="A243" s="1"/>
      <c r="B243" s="748"/>
      <c r="C243" s="876"/>
      <c r="D243" s="876"/>
      <c r="E243" s="876"/>
      <c r="F243" s="876"/>
      <c r="G243" s="876"/>
      <c r="H243" s="876"/>
      <c r="I243" s="876"/>
    </row>
    <row r="244" spans="1:9">
      <c r="A244" s="28" t="s">
        <v>11</v>
      </c>
      <c r="B244" s="746" t="s">
        <v>265</v>
      </c>
      <c r="C244" s="875">
        <f>RHUMAH!AQ191</f>
        <v>0</v>
      </c>
      <c r="D244" s="875">
        <v>200000</v>
      </c>
      <c r="E244" s="875">
        <v>200000</v>
      </c>
      <c r="F244" s="875">
        <v>0</v>
      </c>
      <c r="G244" s="875">
        <v>0</v>
      </c>
      <c r="H244" s="875">
        <v>0</v>
      </c>
      <c r="I244" s="875">
        <v>0</v>
      </c>
    </row>
    <row r="245" spans="1:9">
      <c r="A245" s="28" t="s">
        <v>65</v>
      </c>
      <c r="B245" s="746" t="s">
        <v>264</v>
      </c>
      <c r="C245" s="875">
        <f>RHUMAH!AR191</f>
        <v>0</v>
      </c>
      <c r="D245" s="875">
        <v>0</v>
      </c>
      <c r="E245" s="875">
        <v>200000</v>
      </c>
      <c r="F245" s="875">
        <v>0</v>
      </c>
      <c r="G245" s="875">
        <v>0</v>
      </c>
      <c r="H245" s="875">
        <v>0</v>
      </c>
      <c r="I245" s="875">
        <v>0</v>
      </c>
    </row>
    <row r="246" spans="1:9">
      <c r="A246" s="1"/>
      <c r="B246" s="748"/>
      <c r="C246" s="876"/>
      <c r="D246" s="876"/>
      <c r="E246" s="876"/>
      <c r="F246" s="876"/>
      <c r="G246" s="876"/>
      <c r="H246" s="876"/>
      <c r="I246" s="876"/>
    </row>
    <row r="247" spans="1:9" ht="15" thickBot="1">
      <c r="A247" s="4"/>
      <c r="B247" s="753"/>
      <c r="C247" s="877"/>
      <c r="D247" s="877"/>
      <c r="E247" s="877"/>
      <c r="F247" s="877"/>
      <c r="G247" s="877"/>
      <c r="H247" s="877"/>
      <c r="I247" s="877"/>
    </row>
    <row r="248" spans="1:9" s="685" customFormat="1" ht="15" thickTop="1">
      <c r="A248" s="785" t="s">
        <v>173</v>
      </c>
      <c r="B248" s="786" t="s">
        <v>491</v>
      </c>
      <c r="C248" s="878">
        <f>'AGEN BAOMEKOT'!BC193</f>
        <v>0</v>
      </c>
      <c r="D248" s="878">
        <v>241868</v>
      </c>
      <c r="E248" s="878">
        <v>640385</v>
      </c>
      <c r="F248" s="878">
        <v>287600</v>
      </c>
      <c r="G248" s="878">
        <v>332348</v>
      </c>
      <c r="H248" s="878">
        <v>387660</v>
      </c>
      <c r="I248" s="878">
        <v>0</v>
      </c>
    </row>
    <row r="249" spans="1:9" s="685" customFormat="1">
      <c r="A249" s="787"/>
      <c r="B249" s="788"/>
      <c r="C249" s="702">
        <f>D249+C248</f>
        <v>1889861</v>
      </c>
      <c r="D249" s="702">
        <v>1889861</v>
      </c>
      <c r="E249" s="702">
        <v>1647993</v>
      </c>
      <c r="F249" s="702">
        <v>1007608</v>
      </c>
      <c r="G249" s="702">
        <v>720008</v>
      </c>
      <c r="H249" s="702">
        <v>387660</v>
      </c>
      <c r="I249" s="702">
        <v>0</v>
      </c>
    </row>
    <row r="250" spans="1:9" s="685" customFormat="1">
      <c r="A250" s="789" t="s">
        <v>100</v>
      </c>
      <c r="B250" s="790"/>
      <c r="C250" s="879"/>
      <c r="D250" s="879"/>
      <c r="E250" s="879"/>
      <c r="F250" s="879"/>
      <c r="G250" s="879"/>
      <c r="H250" s="879"/>
      <c r="I250" s="879"/>
    </row>
    <row r="251" spans="1:9" s="685" customFormat="1">
      <c r="A251" s="791" t="s">
        <v>337</v>
      </c>
      <c r="B251" s="792" t="s">
        <v>492</v>
      </c>
      <c r="C251" s="880">
        <f>'AGEN BAOMEKOT'!BI26</f>
        <v>0</v>
      </c>
      <c r="D251" s="880">
        <v>0</v>
      </c>
      <c r="E251" s="880">
        <v>0</v>
      </c>
      <c r="F251" s="880">
        <v>0</v>
      </c>
      <c r="G251" s="880">
        <v>0</v>
      </c>
      <c r="H251" s="880">
        <v>0</v>
      </c>
      <c r="I251" s="880">
        <v>0</v>
      </c>
    </row>
    <row r="252" spans="1:9" s="685" customFormat="1">
      <c r="A252" s="791"/>
      <c r="B252" s="792"/>
      <c r="C252" s="702">
        <f>D252+C251</f>
        <v>0</v>
      </c>
      <c r="D252" s="702">
        <v>0</v>
      </c>
      <c r="E252" s="702">
        <v>0</v>
      </c>
      <c r="F252" s="702">
        <v>0</v>
      </c>
      <c r="G252" s="702">
        <v>0</v>
      </c>
      <c r="H252" s="702">
        <v>0</v>
      </c>
      <c r="I252" s="702">
        <v>0</v>
      </c>
    </row>
    <row r="253" spans="1:9" s="685" customFormat="1">
      <c r="A253" s="791" t="s">
        <v>353</v>
      </c>
      <c r="B253" s="792" t="s">
        <v>493</v>
      </c>
      <c r="C253" s="880">
        <f>'AGEN BAOMEKOT'!BI27</f>
        <v>0</v>
      </c>
      <c r="D253" s="880">
        <v>0</v>
      </c>
      <c r="E253" s="880">
        <v>0</v>
      </c>
      <c r="F253" s="880">
        <v>0</v>
      </c>
      <c r="G253" s="880">
        <v>0</v>
      </c>
      <c r="H253" s="880">
        <v>71000</v>
      </c>
      <c r="I253" s="880">
        <v>0</v>
      </c>
    </row>
    <row r="254" spans="1:9" s="685" customFormat="1">
      <c r="A254" s="791"/>
      <c r="B254" s="792"/>
      <c r="C254" s="702">
        <f>D254+C253</f>
        <v>71000</v>
      </c>
      <c r="D254" s="702">
        <v>71000</v>
      </c>
      <c r="E254" s="702">
        <v>71000</v>
      </c>
      <c r="F254" s="702">
        <v>71000</v>
      </c>
      <c r="G254" s="702">
        <v>71000</v>
      </c>
      <c r="H254" s="702">
        <v>71000</v>
      </c>
      <c r="I254" s="702">
        <v>0</v>
      </c>
    </row>
    <row r="255" spans="1:9" s="685" customFormat="1">
      <c r="A255" s="791" t="s">
        <v>245</v>
      </c>
      <c r="B255" s="792" t="s">
        <v>494</v>
      </c>
      <c r="C255" s="880">
        <f>'AGEN BAOMEKOT'!BI28</f>
        <v>0</v>
      </c>
      <c r="D255" s="880">
        <v>0</v>
      </c>
      <c r="E255" s="880">
        <v>0</v>
      </c>
      <c r="F255" s="880">
        <v>0</v>
      </c>
      <c r="G255" s="880">
        <v>137500</v>
      </c>
      <c r="H255" s="880">
        <v>0</v>
      </c>
      <c r="I255" s="880">
        <v>0</v>
      </c>
    </row>
    <row r="256" spans="1:9" s="685" customFormat="1">
      <c r="A256" s="791"/>
      <c r="B256" s="792"/>
      <c r="C256" s="702">
        <f>D256+C255</f>
        <v>137500</v>
      </c>
      <c r="D256" s="702">
        <v>137500</v>
      </c>
      <c r="E256" s="702">
        <v>137500</v>
      </c>
      <c r="F256" s="702">
        <v>137500</v>
      </c>
      <c r="G256" s="702">
        <v>137500</v>
      </c>
      <c r="H256" s="702">
        <v>0</v>
      </c>
      <c r="I256" s="702">
        <v>0</v>
      </c>
    </row>
    <row r="257" spans="1:9" s="685" customFormat="1">
      <c r="A257" s="791" t="s">
        <v>349</v>
      </c>
      <c r="B257" s="792" t="s">
        <v>495</v>
      </c>
      <c r="C257" s="880">
        <f>'AGEN BAOMEKOT'!BI29</f>
        <v>0</v>
      </c>
      <c r="D257" s="880">
        <v>0</v>
      </c>
      <c r="E257" s="880">
        <v>0</v>
      </c>
      <c r="F257" s="880">
        <v>0</v>
      </c>
      <c r="G257" s="880">
        <v>0</v>
      </c>
      <c r="H257" s="880">
        <v>0</v>
      </c>
      <c r="I257" s="880">
        <v>0</v>
      </c>
    </row>
    <row r="258" spans="1:9" s="685" customFormat="1">
      <c r="A258" s="791"/>
      <c r="B258" s="792"/>
      <c r="C258" s="702">
        <f>D258+C257</f>
        <v>0</v>
      </c>
      <c r="D258" s="702">
        <v>0</v>
      </c>
      <c r="E258" s="702">
        <v>0</v>
      </c>
      <c r="F258" s="702">
        <v>0</v>
      </c>
      <c r="G258" s="702">
        <v>0</v>
      </c>
      <c r="H258" s="702">
        <v>0</v>
      </c>
      <c r="I258" s="702">
        <v>0</v>
      </c>
    </row>
    <row r="259" spans="1:9" s="685" customFormat="1">
      <c r="A259" s="791" t="s">
        <v>247</v>
      </c>
      <c r="B259" s="792" t="s">
        <v>496</v>
      </c>
      <c r="C259" s="880">
        <f>'AGEN BAOMEKOT'!BI30</f>
        <v>0</v>
      </c>
      <c r="D259" s="880">
        <v>0</v>
      </c>
      <c r="E259" s="880">
        <v>0</v>
      </c>
      <c r="F259" s="880">
        <v>0</v>
      </c>
      <c r="G259" s="880">
        <v>0</v>
      </c>
      <c r="H259" s="880">
        <v>0</v>
      </c>
      <c r="I259" s="880">
        <v>0</v>
      </c>
    </row>
    <row r="260" spans="1:9" s="685" customFormat="1">
      <c r="A260" s="791"/>
      <c r="B260" s="792"/>
      <c r="C260" s="702">
        <f>D260+C259</f>
        <v>0</v>
      </c>
      <c r="D260" s="702">
        <v>0</v>
      </c>
      <c r="E260" s="702">
        <v>0</v>
      </c>
      <c r="F260" s="702">
        <v>0</v>
      </c>
      <c r="G260" s="702">
        <v>0</v>
      </c>
      <c r="H260" s="702">
        <v>0</v>
      </c>
      <c r="I260" s="702">
        <v>0</v>
      </c>
    </row>
    <row r="261" spans="1:9" s="685" customFormat="1">
      <c r="A261" s="791" t="s">
        <v>187</v>
      </c>
      <c r="B261" s="792" t="s">
        <v>497</v>
      </c>
      <c r="C261" s="880">
        <f>'AGEN BAOMEKOT'!BI31</f>
        <v>0</v>
      </c>
      <c r="D261" s="880">
        <v>0</v>
      </c>
      <c r="E261" s="880">
        <v>0</v>
      </c>
      <c r="F261" s="880">
        <v>0</v>
      </c>
      <c r="G261" s="880">
        <v>0</v>
      </c>
      <c r="H261" s="880">
        <v>0</v>
      </c>
      <c r="I261" s="880">
        <v>0</v>
      </c>
    </row>
    <row r="262" spans="1:9" s="685" customFormat="1">
      <c r="A262" s="791"/>
      <c r="B262" s="792"/>
      <c r="C262" s="702">
        <f>D262+C261</f>
        <v>0</v>
      </c>
      <c r="D262" s="702">
        <v>0</v>
      </c>
      <c r="E262" s="702">
        <v>0</v>
      </c>
      <c r="F262" s="702">
        <v>0</v>
      </c>
      <c r="G262" s="702">
        <v>0</v>
      </c>
      <c r="H262" s="702">
        <v>0</v>
      </c>
      <c r="I262" s="702">
        <v>0</v>
      </c>
    </row>
    <row r="263" spans="1:9" s="685" customFormat="1">
      <c r="A263" s="791" t="s">
        <v>246</v>
      </c>
      <c r="B263" s="792" t="s">
        <v>498</v>
      </c>
      <c r="C263" s="880">
        <f>'AGEN BAOMEKOT'!BI32</f>
        <v>0</v>
      </c>
      <c r="D263" s="880">
        <v>0</v>
      </c>
      <c r="E263" s="880">
        <v>0</v>
      </c>
      <c r="F263" s="880">
        <v>0</v>
      </c>
      <c r="G263" s="880">
        <v>0</v>
      </c>
      <c r="H263" s="880">
        <v>0</v>
      </c>
      <c r="I263" s="880">
        <v>0</v>
      </c>
    </row>
    <row r="264" spans="1:9" s="685" customFormat="1">
      <c r="A264" s="791"/>
      <c r="B264" s="792"/>
      <c r="C264" s="702">
        <f>D264+C263</f>
        <v>0</v>
      </c>
      <c r="D264" s="702">
        <v>0</v>
      </c>
      <c r="E264" s="702">
        <v>0</v>
      </c>
      <c r="F264" s="702">
        <v>0</v>
      </c>
      <c r="G264" s="702">
        <v>0</v>
      </c>
      <c r="H264" s="702">
        <v>0</v>
      </c>
      <c r="I264" s="702">
        <v>0</v>
      </c>
    </row>
    <row r="265" spans="1:9" s="685" customFormat="1">
      <c r="A265" s="791" t="s">
        <v>334</v>
      </c>
      <c r="B265" s="792" t="s">
        <v>499</v>
      </c>
      <c r="C265" s="880">
        <f>'AGEN BAOMEKOT'!BI33</f>
        <v>0</v>
      </c>
      <c r="D265" s="880">
        <v>0</v>
      </c>
      <c r="E265" s="880">
        <v>0</v>
      </c>
      <c r="F265" s="880">
        <v>0</v>
      </c>
      <c r="G265" s="880">
        <v>0</v>
      </c>
      <c r="H265" s="880">
        <v>0</v>
      </c>
      <c r="I265" s="880">
        <v>0</v>
      </c>
    </row>
    <row r="266" spans="1:9" s="685" customFormat="1">
      <c r="A266" s="791"/>
      <c r="B266" s="792"/>
      <c r="C266" s="702">
        <f>D266+C265</f>
        <v>0</v>
      </c>
      <c r="D266" s="702">
        <v>0</v>
      </c>
      <c r="E266" s="702">
        <v>0</v>
      </c>
      <c r="F266" s="702">
        <v>0</v>
      </c>
      <c r="G266" s="702">
        <v>0</v>
      </c>
      <c r="H266" s="702">
        <v>0</v>
      </c>
      <c r="I266" s="702">
        <v>0</v>
      </c>
    </row>
    <row r="267" spans="1:9" s="685" customFormat="1">
      <c r="A267" s="791" t="s">
        <v>27</v>
      </c>
      <c r="B267" s="792" t="s">
        <v>500</v>
      </c>
      <c r="C267" s="880">
        <f>'AGEN BAOMEKOT'!BI34</f>
        <v>0</v>
      </c>
      <c r="D267" s="880">
        <v>0</v>
      </c>
      <c r="E267" s="880">
        <v>0</v>
      </c>
      <c r="F267" s="880">
        <v>0</v>
      </c>
      <c r="G267" s="880">
        <v>0</v>
      </c>
      <c r="H267" s="880">
        <v>62500</v>
      </c>
      <c r="I267" s="880">
        <v>0</v>
      </c>
    </row>
    <row r="268" spans="1:9" s="685" customFormat="1">
      <c r="A268" s="791"/>
      <c r="B268" s="792"/>
      <c r="C268" s="702">
        <f>D268+C267</f>
        <v>62500</v>
      </c>
      <c r="D268" s="702">
        <v>62500</v>
      </c>
      <c r="E268" s="702">
        <v>62500</v>
      </c>
      <c r="F268" s="702">
        <v>62500</v>
      </c>
      <c r="G268" s="702">
        <v>62500</v>
      </c>
      <c r="H268" s="702">
        <v>62500</v>
      </c>
      <c r="I268" s="702">
        <v>0</v>
      </c>
    </row>
    <row r="269" spans="1:9" s="685" customFormat="1">
      <c r="A269" s="791" t="s">
        <v>180</v>
      </c>
      <c r="B269" s="792"/>
      <c r="C269" s="1021">
        <f>'TABEL INPUT'!C51</f>
        <v>0</v>
      </c>
      <c r="D269" s="1021">
        <v>0</v>
      </c>
      <c r="E269" s="1021">
        <v>0</v>
      </c>
      <c r="F269" s="1021">
        <v>0</v>
      </c>
      <c r="G269" s="1021">
        <v>0</v>
      </c>
      <c r="H269" s="1021">
        <v>0</v>
      </c>
      <c r="I269" s="1021">
        <v>0</v>
      </c>
    </row>
    <row r="270" spans="1:9" s="685" customFormat="1">
      <c r="A270" s="791"/>
      <c r="B270" s="792"/>
      <c r="C270" s="702">
        <f>D270+C269</f>
        <v>0</v>
      </c>
      <c r="D270" s="702">
        <v>0</v>
      </c>
      <c r="E270" s="702">
        <v>0</v>
      </c>
      <c r="F270" s="702">
        <v>0</v>
      </c>
      <c r="G270" s="702">
        <v>0</v>
      </c>
      <c r="H270" s="702">
        <v>0</v>
      </c>
      <c r="I270" s="702">
        <v>0</v>
      </c>
    </row>
    <row r="271" spans="1:9" s="685" customFormat="1">
      <c r="A271" s="791" t="s">
        <v>59</v>
      </c>
      <c r="B271" s="792"/>
      <c r="C271" s="881">
        <f>C251+C253+C255+C257+C259+C261+C263+C265+C267+C269</f>
        <v>0</v>
      </c>
      <c r="D271" s="881">
        <v>0</v>
      </c>
      <c r="E271" s="881">
        <v>0</v>
      </c>
      <c r="F271" s="881">
        <v>0</v>
      </c>
      <c r="G271" s="881">
        <v>137500</v>
      </c>
      <c r="H271" s="881">
        <v>133500</v>
      </c>
      <c r="I271" s="881">
        <v>0</v>
      </c>
    </row>
    <row r="272" spans="1:9" s="685" customFormat="1">
      <c r="A272" s="791"/>
      <c r="B272" s="792"/>
      <c r="C272" s="702">
        <f>D272+C271</f>
        <v>271000</v>
      </c>
      <c r="D272" s="702">
        <v>271000</v>
      </c>
      <c r="E272" s="702">
        <v>271000</v>
      </c>
      <c r="F272" s="702">
        <v>271000</v>
      </c>
      <c r="G272" s="702">
        <v>271000</v>
      </c>
      <c r="H272" s="702">
        <v>133500</v>
      </c>
      <c r="I272" s="702">
        <v>0</v>
      </c>
    </row>
    <row r="273" spans="1:9" s="685" customFormat="1" ht="18" customHeight="1">
      <c r="A273" s="793" t="s">
        <v>350</v>
      </c>
      <c r="B273" s="794"/>
      <c r="C273" s="882">
        <f>C248-C271</f>
        <v>0</v>
      </c>
      <c r="D273" s="882">
        <v>241868</v>
      </c>
      <c r="E273" s="882">
        <v>640385</v>
      </c>
      <c r="F273" s="882">
        <v>287600</v>
      </c>
      <c r="G273" s="882">
        <v>194848</v>
      </c>
      <c r="H273" s="882">
        <v>254160</v>
      </c>
      <c r="I273" s="882">
        <v>0</v>
      </c>
    </row>
    <row r="274" spans="1:9" s="685" customFormat="1" ht="18" customHeight="1">
      <c r="A274" s="793"/>
      <c r="B274" s="794"/>
      <c r="C274" s="702">
        <f>D274+C273</f>
        <v>1618861</v>
      </c>
      <c r="D274" s="702">
        <v>1618861</v>
      </c>
      <c r="E274" s="702">
        <v>1376993</v>
      </c>
      <c r="F274" s="702">
        <v>736608</v>
      </c>
      <c r="G274" s="702">
        <v>449008</v>
      </c>
      <c r="H274" s="702">
        <v>254160</v>
      </c>
      <c r="I274" s="702">
        <v>0</v>
      </c>
    </row>
    <row r="275" spans="1:9" s="685" customFormat="1">
      <c r="A275" s="795"/>
      <c r="B275" s="748"/>
      <c r="C275" s="704"/>
      <c r="D275" s="704"/>
      <c r="E275" s="704"/>
      <c r="F275" s="704"/>
      <c r="G275" s="704"/>
      <c r="H275" s="704"/>
      <c r="I275" s="704"/>
    </row>
    <row r="276" spans="1:9" s="685" customFormat="1">
      <c r="A276" s="796" t="s">
        <v>174</v>
      </c>
      <c r="B276" s="788" t="s">
        <v>288</v>
      </c>
      <c r="C276" s="880">
        <f>'AGEN SIKU EHA'!BA193</f>
        <v>0</v>
      </c>
      <c r="D276" s="880">
        <v>45670</v>
      </c>
      <c r="E276" s="880">
        <v>522135</v>
      </c>
      <c r="F276" s="880">
        <v>273090</v>
      </c>
      <c r="G276" s="880">
        <v>451078</v>
      </c>
      <c r="H276" s="880">
        <v>364710</v>
      </c>
      <c r="I276" s="880">
        <v>0</v>
      </c>
    </row>
    <row r="277" spans="1:9" s="685" customFormat="1">
      <c r="A277" s="787"/>
      <c r="B277" s="788"/>
      <c r="C277" s="702">
        <f>D277+C276</f>
        <v>1656683</v>
      </c>
      <c r="D277" s="702">
        <v>1656683</v>
      </c>
      <c r="E277" s="702">
        <v>1611013</v>
      </c>
      <c r="F277" s="702">
        <v>1088878</v>
      </c>
      <c r="G277" s="702">
        <v>815788</v>
      </c>
      <c r="H277" s="702">
        <v>364710</v>
      </c>
      <c r="I277" s="702">
        <v>0</v>
      </c>
    </row>
    <row r="278" spans="1:9" s="685" customFormat="1">
      <c r="A278" s="789" t="s">
        <v>100</v>
      </c>
      <c r="B278" s="790"/>
      <c r="C278" s="704"/>
      <c r="D278" s="704"/>
      <c r="E278" s="704"/>
      <c r="F278" s="704"/>
      <c r="G278" s="704"/>
      <c r="H278" s="704"/>
      <c r="I278" s="704"/>
    </row>
    <row r="279" spans="1:9" s="685" customFormat="1">
      <c r="A279" s="791" t="s">
        <v>337</v>
      </c>
      <c r="B279" s="792" t="s">
        <v>501</v>
      </c>
      <c r="C279" s="880">
        <f>'AGEN SIKU EHA'!BG6</f>
        <v>0</v>
      </c>
      <c r="D279" s="880">
        <v>0</v>
      </c>
      <c r="E279" s="880">
        <v>0</v>
      </c>
      <c r="F279" s="880">
        <v>0</v>
      </c>
      <c r="G279" s="880">
        <v>0</v>
      </c>
      <c r="H279" s="880">
        <v>0</v>
      </c>
      <c r="I279" s="880">
        <v>0</v>
      </c>
    </row>
    <row r="280" spans="1:9" s="685" customFormat="1">
      <c r="A280" s="791"/>
      <c r="B280" s="792"/>
      <c r="C280" s="702">
        <f>D280+C279</f>
        <v>0</v>
      </c>
      <c r="D280" s="702">
        <v>0</v>
      </c>
      <c r="E280" s="702">
        <v>0</v>
      </c>
      <c r="F280" s="702">
        <v>0</v>
      </c>
      <c r="G280" s="702">
        <v>0</v>
      </c>
      <c r="H280" s="702">
        <v>0</v>
      </c>
      <c r="I280" s="702">
        <v>0</v>
      </c>
    </row>
    <row r="281" spans="1:9" s="685" customFormat="1">
      <c r="A281" s="791" t="s">
        <v>353</v>
      </c>
      <c r="B281" s="792" t="s">
        <v>502</v>
      </c>
      <c r="C281" s="880">
        <f>'AGEN SIKU EHA'!BG7</f>
        <v>0</v>
      </c>
      <c r="D281" s="880">
        <v>0</v>
      </c>
      <c r="E281" s="880">
        <v>0</v>
      </c>
      <c r="F281" s="880">
        <v>0</v>
      </c>
      <c r="G281" s="880">
        <v>0</v>
      </c>
      <c r="H281" s="880">
        <v>0</v>
      </c>
      <c r="I281" s="880">
        <v>0</v>
      </c>
    </row>
    <row r="282" spans="1:9" s="685" customFormat="1">
      <c r="A282" s="791"/>
      <c r="B282" s="792"/>
      <c r="C282" s="702">
        <f>D282+C281</f>
        <v>0</v>
      </c>
      <c r="D282" s="702">
        <v>0</v>
      </c>
      <c r="E282" s="702">
        <v>0</v>
      </c>
      <c r="F282" s="702">
        <v>0</v>
      </c>
      <c r="G282" s="702">
        <v>0</v>
      </c>
      <c r="H282" s="702">
        <v>0</v>
      </c>
      <c r="I282" s="702">
        <v>0</v>
      </c>
    </row>
    <row r="283" spans="1:9" s="685" customFormat="1">
      <c r="A283" s="791" t="s">
        <v>245</v>
      </c>
      <c r="B283" s="792" t="s">
        <v>503</v>
      </c>
      <c r="C283" s="880">
        <f>'AGEN SIKU EHA'!BG8</f>
        <v>0</v>
      </c>
      <c r="D283" s="880">
        <v>0</v>
      </c>
      <c r="E283" s="880">
        <v>0</v>
      </c>
      <c r="F283" s="880">
        <v>0</v>
      </c>
      <c r="G283" s="880">
        <v>0</v>
      </c>
      <c r="H283" s="880">
        <v>0</v>
      </c>
      <c r="I283" s="880">
        <v>0</v>
      </c>
    </row>
    <row r="284" spans="1:9" s="685" customFormat="1">
      <c r="A284" s="791"/>
      <c r="B284" s="792"/>
      <c r="C284" s="702">
        <f>D284+C283</f>
        <v>0</v>
      </c>
      <c r="D284" s="702">
        <v>0</v>
      </c>
      <c r="E284" s="702">
        <v>0</v>
      </c>
      <c r="F284" s="702">
        <v>0</v>
      </c>
      <c r="G284" s="702">
        <v>0</v>
      </c>
      <c r="H284" s="702">
        <v>0</v>
      </c>
      <c r="I284" s="702">
        <v>0</v>
      </c>
    </row>
    <row r="285" spans="1:9" s="685" customFormat="1">
      <c r="A285" s="791" t="s">
        <v>349</v>
      </c>
      <c r="B285" s="792" t="s">
        <v>504</v>
      </c>
      <c r="C285" s="880">
        <f>'AGEN SIKU EHA'!BG9</f>
        <v>0</v>
      </c>
      <c r="D285" s="880">
        <v>0</v>
      </c>
      <c r="E285" s="880">
        <v>0</v>
      </c>
      <c r="F285" s="880">
        <v>0</v>
      </c>
      <c r="G285" s="880">
        <v>0</v>
      </c>
      <c r="H285" s="880">
        <v>0</v>
      </c>
      <c r="I285" s="880">
        <v>0</v>
      </c>
    </row>
    <row r="286" spans="1:9" s="685" customFormat="1">
      <c r="A286" s="791"/>
      <c r="B286" s="792"/>
      <c r="C286" s="702">
        <f>D286+C285</f>
        <v>0</v>
      </c>
      <c r="D286" s="702">
        <v>0</v>
      </c>
      <c r="E286" s="702">
        <v>0</v>
      </c>
      <c r="F286" s="702">
        <v>0</v>
      </c>
      <c r="G286" s="702">
        <v>0</v>
      </c>
      <c r="H286" s="702">
        <v>0</v>
      </c>
      <c r="I286" s="702">
        <v>0</v>
      </c>
    </row>
    <row r="287" spans="1:9" s="685" customFormat="1">
      <c r="A287" s="791" t="s">
        <v>247</v>
      </c>
      <c r="B287" s="792" t="s">
        <v>505</v>
      </c>
      <c r="C287" s="880">
        <f>'AGEN SIKU EHA'!BG10</f>
        <v>0</v>
      </c>
      <c r="D287" s="880">
        <v>0</v>
      </c>
      <c r="E287" s="880">
        <v>0</v>
      </c>
      <c r="F287" s="880">
        <v>102400</v>
      </c>
      <c r="G287" s="880">
        <v>0</v>
      </c>
      <c r="H287" s="880">
        <v>0</v>
      </c>
      <c r="I287" s="880">
        <v>0</v>
      </c>
    </row>
    <row r="288" spans="1:9" s="685" customFormat="1">
      <c r="A288" s="791"/>
      <c r="B288" s="792"/>
      <c r="C288" s="702">
        <f>D288+C287</f>
        <v>102400</v>
      </c>
      <c r="D288" s="702">
        <v>102400</v>
      </c>
      <c r="E288" s="702">
        <v>102400</v>
      </c>
      <c r="F288" s="702">
        <v>102400</v>
      </c>
      <c r="G288" s="702">
        <v>0</v>
      </c>
      <c r="H288" s="702">
        <v>0</v>
      </c>
      <c r="I288" s="702">
        <v>0</v>
      </c>
    </row>
    <row r="289" spans="1:9" s="685" customFormat="1">
      <c r="A289" s="791" t="s">
        <v>187</v>
      </c>
      <c r="B289" s="792" t="s">
        <v>506</v>
      </c>
      <c r="C289" s="880">
        <f>'AGEN SIKU EHA'!BG11</f>
        <v>0</v>
      </c>
      <c r="D289" s="880">
        <v>0</v>
      </c>
      <c r="E289" s="880">
        <v>0</v>
      </c>
      <c r="F289" s="880">
        <v>0</v>
      </c>
      <c r="G289" s="880">
        <v>0</v>
      </c>
      <c r="H289" s="880">
        <v>0</v>
      </c>
      <c r="I289" s="880">
        <v>0</v>
      </c>
    </row>
    <row r="290" spans="1:9" s="685" customFormat="1">
      <c r="A290" s="791"/>
      <c r="B290" s="792"/>
      <c r="C290" s="702">
        <f>D290+C289</f>
        <v>0</v>
      </c>
      <c r="D290" s="702">
        <v>0</v>
      </c>
      <c r="E290" s="702">
        <v>0</v>
      </c>
      <c r="F290" s="702">
        <v>0</v>
      </c>
      <c r="G290" s="702">
        <v>0</v>
      </c>
      <c r="H290" s="702">
        <v>0</v>
      </c>
      <c r="I290" s="702">
        <v>0</v>
      </c>
    </row>
    <row r="291" spans="1:9" s="685" customFormat="1">
      <c r="A291" s="791" t="s">
        <v>246</v>
      </c>
      <c r="B291" s="792" t="s">
        <v>507</v>
      </c>
      <c r="C291" s="880">
        <f>'AGEN SIKU EHA'!BG12</f>
        <v>0</v>
      </c>
      <c r="D291" s="880">
        <v>0</v>
      </c>
      <c r="E291" s="880">
        <v>0</v>
      </c>
      <c r="F291" s="880">
        <v>0</v>
      </c>
      <c r="G291" s="880">
        <v>0</v>
      </c>
      <c r="H291" s="880">
        <v>0</v>
      </c>
      <c r="I291" s="880">
        <v>0</v>
      </c>
    </row>
    <row r="292" spans="1:9" s="685" customFormat="1">
      <c r="A292" s="791"/>
      <c r="B292" s="792"/>
      <c r="C292" s="702">
        <f>D292+C291</f>
        <v>0</v>
      </c>
      <c r="D292" s="702">
        <v>0</v>
      </c>
      <c r="E292" s="702">
        <v>0</v>
      </c>
      <c r="F292" s="702">
        <v>0</v>
      </c>
      <c r="G292" s="702">
        <v>0</v>
      </c>
      <c r="H292" s="702">
        <v>0</v>
      </c>
      <c r="I292" s="702">
        <v>0</v>
      </c>
    </row>
    <row r="293" spans="1:9" s="685" customFormat="1">
      <c r="A293" s="791" t="s">
        <v>334</v>
      </c>
      <c r="B293" s="792" t="s">
        <v>508</v>
      </c>
      <c r="C293" s="880">
        <f>'AGEN SIKU EHA'!BG13</f>
        <v>0</v>
      </c>
      <c r="D293" s="880">
        <v>0</v>
      </c>
      <c r="E293" s="880">
        <v>0</v>
      </c>
      <c r="F293" s="880">
        <v>0</v>
      </c>
      <c r="G293" s="880">
        <v>0</v>
      </c>
      <c r="H293" s="880">
        <v>0</v>
      </c>
      <c r="I293" s="880">
        <v>0</v>
      </c>
    </row>
    <row r="294" spans="1:9" s="685" customFormat="1">
      <c r="A294" s="791"/>
      <c r="B294" s="792"/>
      <c r="C294" s="702">
        <f>D294+C293</f>
        <v>0</v>
      </c>
      <c r="D294" s="702">
        <v>0</v>
      </c>
      <c r="E294" s="702">
        <v>0</v>
      </c>
      <c r="F294" s="702">
        <v>0</v>
      </c>
      <c r="G294" s="702">
        <v>0</v>
      </c>
      <c r="H294" s="702">
        <v>0</v>
      </c>
      <c r="I294" s="702">
        <v>0</v>
      </c>
    </row>
    <row r="295" spans="1:9" s="685" customFormat="1">
      <c r="A295" s="791" t="s">
        <v>27</v>
      </c>
      <c r="B295" s="792" t="s">
        <v>509</v>
      </c>
      <c r="C295" s="880">
        <f>'AGEN SIKU EHA'!BG14</f>
        <v>0</v>
      </c>
      <c r="D295" s="880">
        <v>0</v>
      </c>
      <c r="E295" s="880">
        <v>0</v>
      </c>
      <c r="F295" s="880">
        <v>0</v>
      </c>
      <c r="G295" s="880">
        <v>0</v>
      </c>
      <c r="H295" s="880">
        <v>62500</v>
      </c>
      <c r="I295" s="880">
        <v>0</v>
      </c>
    </row>
    <row r="296" spans="1:9" s="685" customFormat="1">
      <c r="A296" s="791"/>
      <c r="B296" s="792"/>
      <c r="C296" s="968">
        <f>D296+C295</f>
        <v>62500</v>
      </c>
      <c r="D296" s="968">
        <v>62500</v>
      </c>
      <c r="E296" s="968">
        <v>62500</v>
      </c>
      <c r="F296" s="968">
        <v>62500</v>
      </c>
      <c r="G296" s="968">
        <v>62500</v>
      </c>
      <c r="H296" s="968">
        <v>62500</v>
      </c>
      <c r="I296" s="968">
        <v>0</v>
      </c>
    </row>
    <row r="297" spans="1:9" s="685" customFormat="1">
      <c r="A297" s="791" t="s">
        <v>180</v>
      </c>
      <c r="B297" s="792"/>
      <c r="C297" s="1023">
        <f>'TABEL INPUT'!F51</f>
        <v>0</v>
      </c>
      <c r="D297" s="1023">
        <v>0</v>
      </c>
      <c r="E297" s="1023">
        <v>0</v>
      </c>
      <c r="F297" s="1023">
        <v>0</v>
      </c>
      <c r="G297" s="1023">
        <v>0</v>
      </c>
      <c r="H297" s="1023">
        <v>0</v>
      </c>
      <c r="I297" s="1023">
        <v>0</v>
      </c>
    </row>
    <row r="298" spans="1:9" s="685" customFormat="1">
      <c r="A298" s="791"/>
      <c r="B298" s="792"/>
      <c r="C298" s="968">
        <f>D298+C297</f>
        <v>0</v>
      </c>
      <c r="D298" s="968">
        <v>0</v>
      </c>
      <c r="E298" s="968">
        <v>0</v>
      </c>
      <c r="F298" s="968">
        <v>0</v>
      </c>
      <c r="G298" s="968">
        <v>0</v>
      </c>
      <c r="H298" s="968">
        <v>0</v>
      </c>
      <c r="I298" s="968">
        <v>0</v>
      </c>
    </row>
    <row r="299" spans="1:9" s="685" customFormat="1">
      <c r="A299" s="791" t="s">
        <v>59</v>
      </c>
      <c r="B299" s="792"/>
      <c r="C299" s="880">
        <f>C279+C281+C283+C285+C287+C289+C291+C293+C295+C297</f>
        <v>0</v>
      </c>
      <c r="D299" s="880">
        <v>0</v>
      </c>
      <c r="E299" s="880">
        <v>0</v>
      </c>
      <c r="F299" s="880">
        <v>102400</v>
      </c>
      <c r="G299" s="880">
        <v>0</v>
      </c>
      <c r="H299" s="880">
        <v>62500</v>
      </c>
      <c r="I299" s="880">
        <v>0</v>
      </c>
    </row>
    <row r="300" spans="1:9" s="685" customFormat="1">
      <c r="A300" s="791"/>
      <c r="B300" s="792"/>
      <c r="C300" s="702">
        <f>D300+C299</f>
        <v>164900</v>
      </c>
      <c r="D300" s="702">
        <v>164900</v>
      </c>
      <c r="E300" s="702">
        <v>164900</v>
      </c>
      <c r="F300" s="702">
        <v>164900</v>
      </c>
      <c r="G300" s="702">
        <v>62500</v>
      </c>
      <c r="H300" s="702">
        <v>62500</v>
      </c>
      <c r="I300" s="702">
        <v>0</v>
      </c>
    </row>
    <row r="301" spans="1:9" s="685" customFormat="1" ht="21.6" customHeight="1">
      <c r="A301" s="793" t="s">
        <v>350</v>
      </c>
      <c r="B301" s="794"/>
      <c r="C301" s="882">
        <f>C276-C299</f>
        <v>0</v>
      </c>
      <c r="D301" s="882">
        <v>45670</v>
      </c>
      <c r="E301" s="882">
        <v>522135</v>
      </c>
      <c r="F301" s="882">
        <v>170690</v>
      </c>
      <c r="G301" s="882">
        <v>451078</v>
      </c>
      <c r="H301" s="882">
        <v>302210</v>
      </c>
      <c r="I301" s="882">
        <v>0</v>
      </c>
    </row>
    <row r="302" spans="1:9" s="685" customFormat="1" ht="19.95" customHeight="1">
      <c r="A302" s="793"/>
      <c r="B302" s="794"/>
      <c r="C302" s="702">
        <f>D302+C301</f>
        <v>1491783</v>
      </c>
      <c r="D302" s="702">
        <v>1491783</v>
      </c>
      <c r="E302" s="702">
        <v>1446113</v>
      </c>
      <c r="F302" s="702">
        <v>923978</v>
      </c>
      <c r="G302" s="702">
        <v>753288</v>
      </c>
      <c r="H302" s="702">
        <v>302210</v>
      </c>
      <c r="I302" s="702">
        <v>0</v>
      </c>
    </row>
    <row r="303" spans="1:9" s="685" customFormat="1">
      <c r="A303" s="795"/>
      <c r="B303" s="748"/>
      <c r="C303" s="704"/>
      <c r="D303" s="704"/>
      <c r="E303" s="704"/>
      <c r="F303" s="704"/>
      <c r="G303" s="704"/>
      <c r="H303" s="704"/>
      <c r="I303" s="704"/>
    </row>
    <row r="304" spans="1:9" s="685" customFormat="1">
      <c r="A304" s="796" t="s">
        <v>228</v>
      </c>
      <c r="B304" s="788" t="s">
        <v>289</v>
      </c>
      <c r="C304" s="880">
        <f>'AGEN HABIBOLA'!AW193</f>
        <v>0</v>
      </c>
      <c r="D304" s="880">
        <v>47231</v>
      </c>
      <c r="E304" s="880">
        <v>679198</v>
      </c>
      <c r="F304" s="880">
        <v>756916</v>
      </c>
      <c r="G304" s="880">
        <v>474243</v>
      </c>
      <c r="H304" s="880">
        <v>464523</v>
      </c>
      <c r="I304" s="880">
        <v>0</v>
      </c>
    </row>
    <row r="305" spans="1:9" s="685" customFormat="1">
      <c r="A305" s="787"/>
      <c r="B305" s="788"/>
      <c r="C305" s="702">
        <f>D305+C304</f>
        <v>2422111</v>
      </c>
      <c r="D305" s="702">
        <v>2422111</v>
      </c>
      <c r="E305" s="702">
        <v>2374880</v>
      </c>
      <c r="F305" s="702">
        <v>1695682</v>
      </c>
      <c r="G305" s="702">
        <v>938766</v>
      </c>
      <c r="H305" s="702">
        <v>464523</v>
      </c>
      <c r="I305" s="702">
        <v>0</v>
      </c>
    </row>
    <row r="306" spans="1:9" s="685" customFormat="1">
      <c r="A306" s="789" t="s">
        <v>100</v>
      </c>
      <c r="B306" s="790"/>
      <c r="C306" s="879"/>
      <c r="D306" s="879"/>
      <c r="E306" s="879"/>
      <c r="F306" s="879"/>
      <c r="G306" s="879"/>
      <c r="H306" s="879"/>
      <c r="I306" s="879"/>
    </row>
    <row r="307" spans="1:9" s="685" customFormat="1">
      <c r="A307" s="791" t="s">
        <v>337</v>
      </c>
      <c r="B307" s="792" t="s">
        <v>510</v>
      </c>
      <c r="C307" s="880">
        <f>'AGEN HABIBOLA'!BC7</f>
        <v>0</v>
      </c>
      <c r="D307" s="880">
        <v>0</v>
      </c>
      <c r="E307" s="880">
        <v>0</v>
      </c>
      <c r="F307" s="880">
        <v>0</v>
      </c>
      <c r="G307" s="880">
        <v>0</v>
      </c>
      <c r="H307" s="880">
        <v>0</v>
      </c>
      <c r="I307" s="880">
        <v>0</v>
      </c>
    </row>
    <row r="308" spans="1:9" s="685" customFormat="1">
      <c r="A308" s="791"/>
      <c r="B308" s="792"/>
      <c r="C308" s="702">
        <f>D308+C307</f>
        <v>0</v>
      </c>
      <c r="D308" s="702">
        <v>0</v>
      </c>
      <c r="E308" s="702">
        <v>0</v>
      </c>
      <c r="F308" s="702">
        <v>0</v>
      </c>
      <c r="G308" s="702">
        <v>0</v>
      </c>
      <c r="H308" s="702">
        <v>0</v>
      </c>
      <c r="I308" s="702">
        <v>0</v>
      </c>
    </row>
    <row r="309" spans="1:9" s="685" customFormat="1">
      <c r="A309" s="791" t="s">
        <v>353</v>
      </c>
      <c r="B309" s="792" t="s">
        <v>511</v>
      </c>
      <c r="C309" s="880">
        <f>'AGEN HABIBOLA'!BC8</f>
        <v>0</v>
      </c>
      <c r="D309" s="880">
        <v>0</v>
      </c>
      <c r="E309" s="880">
        <v>0</v>
      </c>
      <c r="F309" s="880">
        <v>0</v>
      </c>
      <c r="G309" s="880">
        <v>0</v>
      </c>
      <c r="H309" s="880">
        <v>14000</v>
      </c>
      <c r="I309" s="880">
        <v>0</v>
      </c>
    </row>
    <row r="310" spans="1:9" s="685" customFormat="1">
      <c r="A310" s="791"/>
      <c r="B310" s="792"/>
      <c r="C310" s="702">
        <f>D310+C309</f>
        <v>14000</v>
      </c>
      <c r="D310" s="702">
        <v>14000</v>
      </c>
      <c r="E310" s="702">
        <v>14000</v>
      </c>
      <c r="F310" s="702">
        <v>14000</v>
      </c>
      <c r="G310" s="702">
        <v>14000</v>
      </c>
      <c r="H310" s="702">
        <v>14000</v>
      </c>
      <c r="I310" s="702">
        <v>0</v>
      </c>
    </row>
    <row r="311" spans="1:9" s="685" customFormat="1">
      <c r="A311" s="791" t="s">
        <v>245</v>
      </c>
      <c r="B311" s="792" t="s">
        <v>512</v>
      </c>
      <c r="C311" s="880">
        <f>'AGEN HABIBOLA'!BC9</f>
        <v>0</v>
      </c>
      <c r="D311" s="880">
        <v>0</v>
      </c>
      <c r="E311" s="880">
        <v>0</v>
      </c>
      <c r="F311" s="880">
        <v>0</v>
      </c>
      <c r="G311" s="880">
        <v>0</v>
      </c>
      <c r="H311" s="880">
        <v>50999</v>
      </c>
      <c r="I311" s="880">
        <v>0</v>
      </c>
    </row>
    <row r="312" spans="1:9" s="685" customFormat="1">
      <c r="A312" s="791"/>
      <c r="B312" s="792"/>
      <c r="C312" s="702">
        <f>D312+C311</f>
        <v>50999</v>
      </c>
      <c r="D312" s="702">
        <v>50999</v>
      </c>
      <c r="E312" s="702">
        <v>50999</v>
      </c>
      <c r="F312" s="702">
        <v>50999</v>
      </c>
      <c r="G312" s="702">
        <v>50999</v>
      </c>
      <c r="H312" s="702">
        <v>50999</v>
      </c>
      <c r="I312" s="702">
        <v>0</v>
      </c>
    </row>
    <row r="313" spans="1:9" s="685" customFormat="1">
      <c r="A313" s="791" t="s">
        <v>349</v>
      </c>
      <c r="B313" s="792" t="s">
        <v>513</v>
      </c>
      <c r="C313" s="880">
        <f>'AGEN HABIBOLA'!BC10</f>
        <v>0</v>
      </c>
      <c r="D313" s="880">
        <v>0</v>
      </c>
      <c r="E313" s="880">
        <v>0</v>
      </c>
      <c r="F313" s="880">
        <v>0</v>
      </c>
      <c r="G313" s="880">
        <v>0</v>
      </c>
      <c r="H313" s="880">
        <v>0</v>
      </c>
      <c r="I313" s="880">
        <v>0</v>
      </c>
    </row>
    <row r="314" spans="1:9" s="685" customFormat="1">
      <c r="A314" s="791"/>
      <c r="B314" s="792"/>
      <c r="C314" s="702">
        <f>D314+C313</f>
        <v>0</v>
      </c>
      <c r="D314" s="702">
        <v>0</v>
      </c>
      <c r="E314" s="702">
        <v>0</v>
      </c>
      <c r="F314" s="702">
        <v>0</v>
      </c>
      <c r="G314" s="702">
        <v>0</v>
      </c>
      <c r="H314" s="702">
        <v>0</v>
      </c>
      <c r="I314" s="702">
        <v>0</v>
      </c>
    </row>
    <row r="315" spans="1:9" s="685" customFormat="1">
      <c r="A315" s="791" t="s">
        <v>247</v>
      </c>
      <c r="B315" s="792" t="s">
        <v>514</v>
      </c>
      <c r="C315" s="880">
        <f>'AGEN HABIBOLA'!BC11</f>
        <v>0</v>
      </c>
      <c r="D315" s="880">
        <v>0</v>
      </c>
      <c r="E315" s="880">
        <v>0</v>
      </c>
      <c r="F315" s="880">
        <v>0</v>
      </c>
      <c r="G315" s="880">
        <v>0</v>
      </c>
      <c r="H315" s="880">
        <v>202400</v>
      </c>
      <c r="I315" s="880">
        <v>0</v>
      </c>
    </row>
    <row r="316" spans="1:9" s="685" customFormat="1">
      <c r="A316" s="791"/>
      <c r="B316" s="792"/>
      <c r="C316" s="702">
        <f>D316+C315</f>
        <v>202400</v>
      </c>
      <c r="D316" s="702">
        <v>202400</v>
      </c>
      <c r="E316" s="702">
        <v>202400</v>
      </c>
      <c r="F316" s="702">
        <v>202400</v>
      </c>
      <c r="G316" s="702">
        <v>202400</v>
      </c>
      <c r="H316" s="702">
        <v>202400</v>
      </c>
      <c r="I316" s="702">
        <v>0</v>
      </c>
    </row>
    <row r="317" spans="1:9" s="685" customFormat="1">
      <c r="A317" s="791" t="s">
        <v>187</v>
      </c>
      <c r="B317" s="792" t="s">
        <v>515</v>
      </c>
      <c r="C317" s="880">
        <f>'AGEN HABIBOLA'!BC12</f>
        <v>0</v>
      </c>
      <c r="D317" s="880">
        <v>0</v>
      </c>
      <c r="E317" s="880">
        <v>0</v>
      </c>
      <c r="F317" s="880">
        <v>0</v>
      </c>
      <c r="G317" s="880">
        <v>0</v>
      </c>
      <c r="H317" s="880">
        <v>0</v>
      </c>
      <c r="I317" s="880">
        <v>0</v>
      </c>
    </row>
    <row r="318" spans="1:9" s="685" customFormat="1">
      <c r="A318" s="791"/>
      <c r="B318" s="792"/>
      <c r="C318" s="702">
        <f>D318+C317</f>
        <v>0</v>
      </c>
      <c r="D318" s="702">
        <v>0</v>
      </c>
      <c r="E318" s="702">
        <v>0</v>
      </c>
      <c r="F318" s="702">
        <v>0</v>
      </c>
      <c r="G318" s="702">
        <v>0</v>
      </c>
      <c r="H318" s="702">
        <v>0</v>
      </c>
      <c r="I318" s="702">
        <v>0</v>
      </c>
    </row>
    <row r="319" spans="1:9" s="685" customFormat="1">
      <c r="A319" s="791" t="s">
        <v>246</v>
      </c>
      <c r="B319" s="792" t="s">
        <v>516</v>
      </c>
      <c r="C319" s="880">
        <f>'AGEN HABIBOLA'!BC13</f>
        <v>0</v>
      </c>
      <c r="D319" s="880">
        <v>0</v>
      </c>
      <c r="E319" s="880">
        <v>0</v>
      </c>
      <c r="F319" s="880">
        <v>0</v>
      </c>
      <c r="G319" s="880">
        <v>0</v>
      </c>
      <c r="H319" s="880">
        <v>0</v>
      </c>
      <c r="I319" s="880">
        <v>0</v>
      </c>
    </row>
    <row r="320" spans="1:9" s="685" customFormat="1">
      <c r="A320" s="791"/>
      <c r="B320" s="792"/>
      <c r="C320" s="702">
        <f>D320+C319</f>
        <v>0</v>
      </c>
      <c r="D320" s="702">
        <v>0</v>
      </c>
      <c r="E320" s="702">
        <v>0</v>
      </c>
      <c r="F320" s="702">
        <v>0</v>
      </c>
      <c r="G320" s="702">
        <v>0</v>
      </c>
      <c r="H320" s="702">
        <v>0</v>
      </c>
      <c r="I320" s="702">
        <v>0</v>
      </c>
    </row>
    <row r="321" spans="1:9" s="685" customFormat="1">
      <c r="A321" s="791" t="s">
        <v>334</v>
      </c>
      <c r="B321" s="792" t="s">
        <v>517</v>
      </c>
      <c r="C321" s="880">
        <f>'AGEN HABIBOLA'!BC14</f>
        <v>0</v>
      </c>
      <c r="D321" s="880">
        <v>0</v>
      </c>
      <c r="E321" s="880">
        <v>0</v>
      </c>
      <c r="F321" s="880">
        <v>0</v>
      </c>
      <c r="G321" s="880">
        <v>0</v>
      </c>
      <c r="H321" s="880">
        <v>0</v>
      </c>
      <c r="I321" s="880">
        <v>0</v>
      </c>
    </row>
    <row r="322" spans="1:9" s="685" customFormat="1">
      <c r="A322" s="791"/>
      <c r="B322" s="792"/>
      <c r="C322" s="702">
        <f>D322+C321</f>
        <v>0</v>
      </c>
      <c r="D322" s="702">
        <v>0</v>
      </c>
      <c r="E322" s="702">
        <v>0</v>
      </c>
      <c r="F322" s="702">
        <v>0</v>
      </c>
      <c r="G322" s="702">
        <v>0</v>
      </c>
      <c r="H322" s="702">
        <v>0</v>
      </c>
      <c r="I322" s="702">
        <v>0</v>
      </c>
    </row>
    <row r="323" spans="1:9" s="685" customFormat="1">
      <c r="A323" s="791" t="s">
        <v>27</v>
      </c>
      <c r="B323" s="792" t="s">
        <v>303</v>
      </c>
      <c r="C323" s="880">
        <f>'AGEN HABIBOLA'!BC15</f>
        <v>0</v>
      </c>
      <c r="D323" s="880">
        <v>0</v>
      </c>
      <c r="E323" s="880">
        <v>0</v>
      </c>
      <c r="F323" s="880">
        <v>20000</v>
      </c>
      <c r="G323" s="880">
        <v>0</v>
      </c>
      <c r="H323" s="880">
        <v>82500</v>
      </c>
      <c r="I323" s="880">
        <v>0</v>
      </c>
    </row>
    <row r="324" spans="1:9" s="685" customFormat="1">
      <c r="A324" s="791"/>
      <c r="B324" s="792"/>
      <c r="C324" s="702">
        <f>D324+C323</f>
        <v>102500</v>
      </c>
      <c r="D324" s="702">
        <v>102500</v>
      </c>
      <c r="E324" s="702">
        <v>102500</v>
      </c>
      <c r="F324" s="702">
        <v>102500</v>
      </c>
      <c r="G324" s="702">
        <v>82500</v>
      </c>
      <c r="H324" s="702">
        <v>82500</v>
      </c>
      <c r="I324" s="702">
        <v>0</v>
      </c>
    </row>
    <row r="325" spans="1:9" s="685" customFormat="1">
      <c r="A325" s="791" t="s">
        <v>180</v>
      </c>
      <c r="B325" s="792"/>
      <c r="C325" s="1021">
        <f>'TABEL INPUT'!I51</f>
        <v>0</v>
      </c>
      <c r="D325" s="1021">
        <v>0</v>
      </c>
      <c r="E325" s="1021">
        <v>0</v>
      </c>
      <c r="F325" s="1021">
        <v>0</v>
      </c>
      <c r="G325" s="1021">
        <v>0</v>
      </c>
      <c r="H325" s="1021">
        <v>0</v>
      </c>
      <c r="I325" s="1021">
        <v>0</v>
      </c>
    </row>
    <row r="326" spans="1:9" s="685" customFormat="1">
      <c r="A326" s="791"/>
      <c r="B326" s="792"/>
      <c r="C326" s="702">
        <f>D326+C325</f>
        <v>0</v>
      </c>
      <c r="D326" s="702">
        <v>0</v>
      </c>
      <c r="E326" s="702">
        <v>0</v>
      </c>
      <c r="F326" s="702">
        <v>0</v>
      </c>
      <c r="G326" s="702">
        <v>0</v>
      </c>
      <c r="H326" s="702">
        <v>0</v>
      </c>
      <c r="I326" s="702">
        <v>0</v>
      </c>
    </row>
    <row r="327" spans="1:9" s="685" customFormat="1">
      <c r="A327" s="791" t="s">
        <v>59</v>
      </c>
      <c r="B327" s="792"/>
      <c r="C327" s="880">
        <f>C307+C309+C311+C313+C315+C317+C319+C321+C323+C325</f>
        <v>0</v>
      </c>
      <c r="D327" s="880">
        <v>0</v>
      </c>
      <c r="E327" s="880">
        <v>0</v>
      </c>
      <c r="F327" s="880">
        <v>20000</v>
      </c>
      <c r="G327" s="880">
        <v>0</v>
      </c>
      <c r="H327" s="880">
        <v>349899</v>
      </c>
      <c r="I327" s="880">
        <v>0</v>
      </c>
    </row>
    <row r="328" spans="1:9" s="685" customFormat="1">
      <c r="A328" s="791"/>
      <c r="B328" s="792"/>
      <c r="C328" s="702">
        <f>D328+C327</f>
        <v>369899</v>
      </c>
      <c r="D328" s="702">
        <v>369899</v>
      </c>
      <c r="E328" s="702">
        <v>369899</v>
      </c>
      <c r="F328" s="702">
        <v>369899</v>
      </c>
      <c r="G328" s="702">
        <v>349899</v>
      </c>
      <c r="H328" s="702">
        <v>349899</v>
      </c>
      <c r="I328" s="702">
        <v>0</v>
      </c>
    </row>
    <row r="329" spans="1:9" s="685" customFormat="1" ht="20.399999999999999" customHeight="1">
      <c r="A329" s="793" t="s">
        <v>350</v>
      </c>
      <c r="B329" s="794"/>
      <c r="C329" s="882">
        <f>C304-C327</f>
        <v>0</v>
      </c>
      <c r="D329" s="882">
        <v>47231</v>
      </c>
      <c r="E329" s="882">
        <v>679198</v>
      </c>
      <c r="F329" s="882">
        <v>736916</v>
      </c>
      <c r="G329" s="882">
        <v>474243</v>
      </c>
      <c r="H329" s="882">
        <v>114624</v>
      </c>
      <c r="I329" s="882">
        <v>0</v>
      </c>
    </row>
    <row r="330" spans="1:9" s="685" customFormat="1" ht="18.600000000000001" customHeight="1">
      <c r="A330" s="793"/>
      <c r="B330" s="794"/>
      <c r="C330" s="702">
        <f>D330+C329</f>
        <v>2052212</v>
      </c>
      <c r="D330" s="702">
        <v>2052212</v>
      </c>
      <c r="E330" s="702">
        <v>2004981</v>
      </c>
      <c r="F330" s="702">
        <v>1325783</v>
      </c>
      <c r="G330" s="702">
        <v>588867</v>
      </c>
      <c r="H330" s="702">
        <v>114624</v>
      </c>
      <c r="I330" s="702">
        <v>0</v>
      </c>
    </row>
    <row r="331" spans="1:9" s="685" customFormat="1" ht="14.4" customHeight="1">
      <c r="A331" s="797"/>
      <c r="B331" s="748"/>
      <c r="C331" s="879"/>
      <c r="D331" s="879"/>
      <c r="E331" s="879"/>
      <c r="F331" s="879"/>
      <c r="G331" s="879"/>
      <c r="H331" s="879"/>
      <c r="I331" s="879"/>
    </row>
    <row r="332" spans="1:9" s="685" customFormat="1">
      <c r="A332" s="796" t="s">
        <v>345</v>
      </c>
      <c r="B332" s="788" t="s">
        <v>518</v>
      </c>
      <c r="C332" s="880">
        <f>'AGEN WATUBLAPI'!AX193</f>
        <v>0</v>
      </c>
      <c r="D332" s="880">
        <v>52200</v>
      </c>
      <c r="E332" s="880">
        <v>734546</v>
      </c>
      <c r="F332" s="880">
        <v>367724</v>
      </c>
      <c r="G332" s="880">
        <v>515525</v>
      </c>
      <c r="H332" s="880">
        <v>505445</v>
      </c>
      <c r="I332" s="880">
        <v>0</v>
      </c>
    </row>
    <row r="333" spans="1:9" s="685" customFormat="1">
      <c r="A333" s="787"/>
      <c r="B333" s="788"/>
      <c r="C333" s="702">
        <f>D333+C332</f>
        <v>2175440</v>
      </c>
      <c r="D333" s="702">
        <v>2175440</v>
      </c>
      <c r="E333" s="702">
        <v>2123240</v>
      </c>
      <c r="F333" s="702">
        <v>1388694</v>
      </c>
      <c r="G333" s="702">
        <v>1020970</v>
      </c>
      <c r="H333" s="702">
        <v>505445</v>
      </c>
      <c r="I333" s="702">
        <v>0</v>
      </c>
    </row>
    <row r="334" spans="1:9" s="685" customFormat="1">
      <c r="A334" s="789" t="s">
        <v>100</v>
      </c>
      <c r="B334" s="790"/>
      <c r="C334" s="879"/>
      <c r="D334" s="879"/>
      <c r="E334" s="879"/>
      <c r="F334" s="879"/>
      <c r="G334" s="879"/>
      <c r="H334" s="879"/>
      <c r="I334" s="879"/>
    </row>
    <row r="335" spans="1:9" s="685" customFormat="1">
      <c r="A335" s="791" t="s">
        <v>337</v>
      </c>
      <c r="B335" s="792" t="s">
        <v>519</v>
      </c>
      <c r="C335" s="880">
        <f>'AGEN WATUBLAPI'!BD6</f>
        <v>0</v>
      </c>
      <c r="D335" s="880">
        <v>0</v>
      </c>
      <c r="E335" s="880">
        <v>0</v>
      </c>
      <c r="F335" s="880">
        <v>0</v>
      </c>
      <c r="G335" s="880">
        <v>0</v>
      </c>
      <c r="H335" s="880">
        <v>0</v>
      </c>
      <c r="I335" s="880">
        <v>0</v>
      </c>
    </row>
    <row r="336" spans="1:9" s="685" customFormat="1">
      <c r="A336" s="791"/>
      <c r="B336" s="792"/>
      <c r="C336" s="702">
        <f>D336+C335</f>
        <v>0</v>
      </c>
      <c r="D336" s="702">
        <v>0</v>
      </c>
      <c r="E336" s="702">
        <v>0</v>
      </c>
      <c r="F336" s="702">
        <v>0</v>
      </c>
      <c r="G336" s="702">
        <v>0</v>
      </c>
      <c r="H336" s="702">
        <v>0</v>
      </c>
      <c r="I336" s="702">
        <v>0</v>
      </c>
    </row>
    <row r="337" spans="1:9" s="685" customFormat="1">
      <c r="A337" s="791" t="s">
        <v>353</v>
      </c>
      <c r="B337" s="792" t="s">
        <v>520</v>
      </c>
      <c r="C337" s="880">
        <f>'AGEN WATUBLAPI'!BD7</f>
        <v>0</v>
      </c>
      <c r="D337" s="880">
        <v>0</v>
      </c>
      <c r="E337" s="880">
        <v>0</v>
      </c>
      <c r="F337" s="880">
        <v>0</v>
      </c>
      <c r="G337" s="880">
        <v>0</v>
      </c>
      <c r="H337" s="880">
        <v>0</v>
      </c>
      <c r="I337" s="880">
        <v>0</v>
      </c>
    </row>
    <row r="338" spans="1:9" s="685" customFormat="1">
      <c r="A338" s="791"/>
      <c r="B338" s="792"/>
      <c r="C338" s="702">
        <f>D338+C337</f>
        <v>0</v>
      </c>
      <c r="D338" s="702">
        <v>0</v>
      </c>
      <c r="E338" s="702">
        <v>0</v>
      </c>
      <c r="F338" s="702">
        <v>0</v>
      </c>
      <c r="G338" s="702">
        <v>0</v>
      </c>
      <c r="H338" s="702">
        <v>0</v>
      </c>
      <c r="I338" s="702">
        <v>0</v>
      </c>
    </row>
    <row r="339" spans="1:9" s="685" customFormat="1">
      <c r="A339" s="791" t="s">
        <v>245</v>
      </c>
      <c r="B339" s="792" t="s">
        <v>521</v>
      </c>
      <c r="C339" s="880">
        <f>'AGEN WATUBLAPI'!BD8</f>
        <v>0</v>
      </c>
      <c r="D339" s="880">
        <v>0</v>
      </c>
      <c r="E339" s="880">
        <v>0</v>
      </c>
      <c r="F339" s="880">
        <v>0</v>
      </c>
      <c r="G339" s="880">
        <v>0</v>
      </c>
      <c r="H339" s="880">
        <v>0</v>
      </c>
      <c r="I339" s="880">
        <v>0</v>
      </c>
    </row>
    <row r="340" spans="1:9" s="685" customFormat="1">
      <c r="A340" s="791"/>
      <c r="B340" s="792"/>
      <c r="C340" s="702">
        <f>D340+C339</f>
        <v>0</v>
      </c>
      <c r="D340" s="702">
        <v>0</v>
      </c>
      <c r="E340" s="702">
        <v>0</v>
      </c>
      <c r="F340" s="702">
        <v>0</v>
      </c>
      <c r="G340" s="702">
        <v>0</v>
      </c>
      <c r="H340" s="702">
        <v>0</v>
      </c>
      <c r="I340" s="702">
        <v>0</v>
      </c>
    </row>
    <row r="341" spans="1:9" s="685" customFormat="1">
      <c r="A341" s="791" t="s">
        <v>349</v>
      </c>
      <c r="B341" s="792" t="s">
        <v>522</v>
      </c>
      <c r="C341" s="880">
        <f>'AGEN WATUBLAPI'!BD9</f>
        <v>0</v>
      </c>
      <c r="D341" s="880">
        <v>0</v>
      </c>
      <c r="E341" s="880">
        <v>0</v>
      </c>
      <c r="F341" s="880">
        <v>0</v>
      </c>
      <c r="G341" s="880">
        <v>0</v>
      </c>
      <c r="H341" s="880">
        <v>0</v>
      </c>
      <c r="I341" s="880">
        <v>0</v>
      </c>
    </row>
    <row r="342" spans="1:9" s="685" customFormat="1">
      <c r="A342" s="791"/>
      <c r="B342" s="792"/>
      <c r="C342" s="702">
        <f>D342+C341</f>
        <v>0</v>
      </c>
      <c r="D342" s="702">
        <v>0</v>
      </c>
      <c r="E342" s="702">
        <v>0</v>
      </c>
      <c r="F342" s="702">
        <v>0</v>
      </c>
      <c r="G342" s="702">
        <v>0</v>
      </c>
      <c r="H342" s="702">
        <v>0</v>
      </c>
      <c r="I342" s="702">
        <v>0</v>
      </c>
    </row>
    <row r="343" spans="1:9" s="685" customFormat="1">
      <c r="A343" s="791" t="s">
        <v>247</v>
      </c>
      <c r="B343" s="792" t="s">
        <v>523</v>
      </c>
      <c r="C343" s="880">
        <f>'AGEN WATUBLAPI'!BD10</f>
        <v>0</v>
      </c>
      <c r="D343" s="880">
        <v>0</v>
      </c>
      <c r="E343" s="880">
        <v>0</v>
      </c>
      <c r="F343" s="880">
        <v>0</v>
      </c>
      <c r="G343" s="880">
        <v>0</v>
      </c>
      <c r="H343" s="880">
        <v>99100</v>
      </c>
      <c r="I343" s="880">
        <v>0</v>
      </c>
    </row>
    <row r="344" spans="1:9" s="685" customFormat="1">
      <c r="A344" s="791"/>
      <c r="B344" s="792"/>
      <c r="C344" s="702">
        <f>D344+C343</f>
        <v>99100</v>
      </c>
      <c r="D344" s="702">
        <v>99100</v>
      </c>
      <c r="E344" s="702">
        <v>99100</v>
      </c>
      <c r="F344" s="702">
        <v>99100</v>
      </c>
      <c r="G344" s="702">
        <v>99100</v>
      </c>
      <c r="H344" s="702">
        <v>99100</v>
      </c>
      <c r="I344" s="702">
        <v>0</v>
      </c>
    </row>
    <row r="345" spans="1:9" s="685" customFormat="1">
      <c r="A345" s="791" t="s">
        <v>187</v>
      </c>
      <c r="B345" s="792" t="s">
        <v>524</v>
      </c>
      <c r="C345" s="880">
        <f>'AGEN WATUBLAPI'!BD11</f>
        <v>0</v>
      </c>
      <c r="D345" s="880">
        <v>0</v>
      </c>
      <c r="E345" s="880">
        <v>0</v>
      </c>
      <c r="F345" s="880">
        <v>0</v>
      </c>
      <c r="G345" s="880">
        <v>0</v>
      </c>
      <c r="H345" s="880">
        <v>0</v>
      </c>
      <c r="I345" s="880">
        <v>0</v>
      </c>
    </row>
    <row r="346" spans="1:9" s="685" customFormat="1">
      <c r="A346" s="791"/>
      <c r="B346" s="792"/>
      <c r="C346" s="702">
        <f>D346+C345</f>
        <v>0</v>
      </c>
      <c r="D346" s="702">
        <v>0</v>
      </c>
      <c r="E346" s="702">
        <v>0</v>
      </c>
      <c r="F346" s="702">
        <v>0</v>
      </c>
      <c r="G346" s="702">
        <v>0</v>
      </c>
      <c r="H346" s="702">
        <v>0</v>
      </c>
      <c r="I346" s="702">
        <v>0</v>
      </c>
    </row>
    <row r="347" spans="1:9" s="685" customFormat="1">
      <c r="A347" s="791" t="s">
        <v>246</v>
      </c>
      <c r="B347" s="792" t="s">
        <v>525</v>
      </c>
      <c r="C347" s="880">
        <f>'AGEN WATUBLAPI'!BD12</f>
        <v>0</v>
      </c>
      <c r="D347" s="880">
        <v>0</v>
      </c>
      <c r="E347" s="880">
        <v>0</v>
      </c>
      <c r="F347" s="880">
        <v>0</v>
      </c>
      <c r="G347" s="880">
        <v>0</v>
      </c>
      <c r="H347" s="880">
        <v>0</v>
      </c>
      <c r="I347" s="880">
        <v>0</v>
      </c>
    </row>
    <row r="348" spans="1:9" s="685" customFormat="1">
      <c r="A348" s="791"/>
      <c r="B348" s="792"/>
      <c r="C348" s="702">
        <f>D348+C347</f>
        <v>0</v>
      </c>
      <c r="D348" s="702">
        <v>0</v>
      </c>
      <c r="E348" s="702">
        <v>0</v>
      </c>
      <c r="F348" s="702">
        <v>0</v>
      </c>
      <c r="G348" s="702">
        <v>0</v>
      </c>
      <c r="H348" s="702">
        <v>0</v>
      </c>
      <c r="I348" s="702">
        <v>0</v>
      </c>
    </row>
    <row r="349" spans="1:9" s="685" customFormat="1">
      <c r="A349" s="791" t="s">
        <v>334</v>
      </c>
      <c r="B349" s="792" t="s">
        <v>526</v>
      </c>
      <c r="C349" s="880">
        <f>'AGEN WATUBLAPI'!BD13</f>
        <v>0</v>
      </c>
      <c r="D349" s="880">
        <v>0</v>
      </c>
      <c r="E349" s="880">
        <v>0</v>
      </c>
      <c r="F349" s="880">
        <v>0</v>
      </c>
      <c r="G349" s="880">
        <v>0</v>
      </c>
      <c r="H349" s="880">
        <v>0</v>
      </c>
      <c r="I349" s="880">
        <v>0</v>
      </c>
    </row>
    <row r="350" spans="1:9" s="685" customFormat="1">
      <c r="A350" s="791"/>
      <c r="B350" s="792"/>
      <c r="C350" s="702">
        <f>D350+C349</f>
        <v>0</v>
      </c>
      <c r="D350" s="702">
        <v>0</v>
      </c>
      <c r="E350" s="702">
        <v>0</v>
      </c>
      <c r="F350" s="702">
        <v>0</v>
      </c>
      <c r="G350" s="702">
        <v>0</v>
      </c>
      <c r="H350" s="702">
        <v>0</v>
      </c>
      <c r="I350" s="702">
        <v>0</v>
      </c>
    </row>
    <row r="351" spans="1:9" s="685" customFormat="1">
      <c r="A351" s="791" t="s">
        <v>27</v>
      </c>
      <c r="B351" s="792" t="s">
        <v>527</v>
      </c>
      <c r="C351" s="880">
        <f>'AGEN WATUBLAPI'!BD14</f>
        <v>0</v>
      </c>
      <c r="D351" s="880">
        <v>0</v>
      </c>
      <c r="E351" s="880">
        <v>0</v>
      </c>
      <c r="F351" s="880">
        <v>0</v>
      </c>
      <c r="G351" s="880">
        <v>0</v>
      </c>
      <c r="H351" s="880">
        <v>62500</v>
      </c>
      <c r="I351" s="880">
        <v>0</v>
      </c>
    </row>
    <row r="352" spans="1:9" s="685" customFormat="1">
      <c r="A352" s="791"/>
      <c r="B352" s="792"/>
      <c r="C352" s="702">
        <f>D352+C351</f>
        <v>62500</v>
      </c>
      <c r="D352" s="702">
        <v>62500</v>
      </c>
      <c r="E352" s="702">
        <v>62500</v>
      </c>
      <c r="F352" s="702">
        <v>62500</v>
      </c>
      <c r="G352" s="702">
        <v>62500</v>
      </c>
      <c r="H352" s="702">
        <v>62500</v>
      </c>
      <c r="I352" s="702">
        <v>0</v>
      </c>
    </row>
    <row r="353" spans="1:9" s="685" customFormat="1">
      <c r="A353" s="791" t="s">
        <v>180</v>
      </c>
      <c r="B353" s="792"/>
      <c r="C353" s="1021">
        <f>'TABEL INPUT'!L51</f>
        <v>0</v>
      </c>
      <c r="D353" s="1021">
        <v>0</v>
      </c>
      <c r="E353" s="1021">
        <v>0</v>
      </c>
      <c r="F353" s="1021">
        <v>0</v>
      </c>
      <c r="G353" s="1021">
        <v>0</v>
      </c>
      <c r="H353" s="1021">
        <v>0</v>
      </c>
      <c r="I353" s="1021">
        <v>0</v>
      </c>
    </row>
    <row r="354" spans="1:9" s="685" customFormat="1">
      <c r="A354" s="791"/>
      <c r="B354" s="792"/>
      <c r="C354" s="702">
        <f>D354+C353</f>
        <v>0</v>
      </c>
      <c r="D354" s="702">
        <v>0</v>
      </c>
      <c r="E354" s="702">
        <v>0</v>
      </c>
      <c r="F354" s="702">
        <v>0</v>
      </c>
      <c r="G354" s="702">
        <v>0</v>
      </c>
      <c r="H354" s="702">
        <v>0</v>
      </c>
      <c r="I354" s="702">
        <v>0</v>
      </c>
    </row>
    <row r="355" spans="1:9" s="685" customFormat="1">
      <c r="A355" s="791" t="s">
        <v>59</v>
      </c>
      <c r="B355" s="792"/>
      <c r="C355" s="880">
        <f>C335+C337+C339+C341+C343+C345+C347+C349+C351+C353</f>
        <v>0</v>
      </c>
      <c r="D355" s="880">
        <v>0</v>
      </c>
      <c r="E355" s="880">
        <v>0</v>
      </c>
      <c r="F355" s="880">
        <v>0</v>
      </c>
      <c r="G355" s="880">
        <v>0</v>
      </c>
      <c r="H355" s="880">
        <v>161600</v>
      </c>
      <c r="I355" s="880">
        <v>0</v>
      </c>
    </row>
    <row r="356" spans="1:9" s="685" customFormat="1">
      <c r="A356" s="791"/>
      <c r="B356" s="792"/>
      <c r="C356" s="702">
        <f>D356+C355</f>
        <v>161600</v>
      </c>
      <c r="D356" s="702">
        <v>161600</v>
      </c>
      <c r="E356" s="702">
        <v>161600</v>
      </c>
      <c r="F356" s="702">
        <v>161600</v>
      </c>
      <c r="G356" s="702">
        <v>161600</v>
      </c>
      <c r="H356" s="702">
        <v>161600</v>
      </c>
      <c r="I356" s="702">
        <v>0</v>
      </c>
    </row>
    <row r="357" spans="1:9" s="685" customFormat="1" ht="19.95" customHeight="1">
      <c r="A357" s="793" t="s">
        <v>350</v>
      </c>
      <c r="B357" s="794"/>
      <c r="C357" s="882">
        <f>C332-C355</f>
        <v>0</v>
      </c>
      <c r="D357" s="882">
        <v>52200</v>
      </c>
      <c r="E357" s="882">
        <v>734546</v>
      </c>
      <c r="F357" s="882">
        <v>367724</v>
      </c>
      <c r="G357" s="882">
        <v>515525</v>
      </c>
      <c r="H357" s="882">
        <v>343845</v>
      </c>
      <c r="I357" s="882">
        <v>0</v>
      </c>
    </row>
    <row r="358" spans="1:9" s="685" customFormat="1" ht="17.399999999999999" customHeight="1">
      <c r="A358" s="793"/>
      <c r="B358" s="794"/>
      <c r="C358" s="702">
        <f>D358+C357</f>
        <v>2013840</v>
      </c>
      <c r="D358" s="702">
        <v>2013840</v>
      </c>
      <c r="E358" s="702">
        <v>1961640</v>
      </c>
      <c r="F358" s="702">
        <v>1227094</v>
      </c>
      <c r="G358" s="702">
        <v>859370</v>
      </c>
      <c r="H358" s="702">
        <v>343845</v>
      </c>
      <c r="I358" s="702">
        <v>0</v>
      </c>
    </row>
    <row r="359" spans="1:9" s="685" customFormat="1" ht="17.399999999999999" customHeight="1">
      <c r="A359" s="797"/>
      <c r="B359" s="748"/>
      <c r="C359" s="704"/>
      <c r="D359" s="704"/>
      <c r="E359" s="704"/>
      <c r="F359" s="704"/>
      <c r="G359" s="704"/>
      <c r="H359" s="704"/>
      <c r="I359" s="704"/>
    </row>
    <row r="360" spans="1:9" s="685" customFormat="1">
      <c r="A360" s="1163" t="s">
        <v>845</v>
      </c>
      <c r="B360" s="788" t="s">
        <v>518</v>
      </c>
      <c r="C360" s="880">
        <v>0</v>
      </c>
      <c r="D360" s="880">
        <v>0</v>
      </c>
      <c r="E360" s="880">
        <v>0</v>
      </c>
      <c r="F360" s="880">
        <v>0</v>
      </c>
      <c r="G360" s="880">
        <v>0</v>
      </c>
      <c r="H360" s="880">
        <v>0</v>
      </c>
      <c r="I360" s="880">
        <v>0</v>
      </c>
    </row>
    <row r="361" spans="1:9" s="685" customFormat="1">
      <c r="A361" s="1164"/>
      <c r="B361" s="788"/>
      <c r="C361" s="702">
        <f>D361+C360</f>
        <v>0</v>
      </c>
      <c r="D361" s="702">
        <v>0</v>
      </c>
      <c r="E361" s="702">
        <v>0</v>
      </c>
      <c r="F361" s="702">
        <v>0</v>
      </c>
      <c r="G361" s="702">
        <v>0</v>
      </c>
      <c r="H361" s="702">
        <v>0</v>
      </c>
      <c r="I361" s="702">
        <v>0</v>
      </c>
    </row>
    <row r="362" spans="1:9" s="685" customFormat="1">
      <c r="A362" s="1165" t="s">
        <v>100</v>
      </c>
      <c r="B362" s="790"/>
      <c r="C362" s="879"/>
      <c r="D362" s="879"/>
      <c r="E362" s="879"/>
      <c r="F362" s="879"/>
      <c r="G362" s="879"/>
      <c r="H362" s="879"/>
      <c r="I362" s="879"/>
    </row>
    <row r="363" spans="1:9" s="685" customFormat="1">
      <c r="A363" s="1166" t="s">
        <v>337</v>
      </c>
      <c r="B363" s="792" t="s">
        <v>519</v>
      </c>
      <c r="C363" s="880">
        <v>0</v>
      </c>
      <c r="D363" s="880">
        <v>0</v>
      </c>
      <c r="E363" s="880">
        <v>0</v>
      </c>
      <c r="F363" s="880">
        <v>0</v>
      </c>
      <c r="G363" s="880">
        <v>0</v>
      </c>
      <c r="H363" s="880">
        <v>0</v>
      </c>
      <c r="I363" s="880">
        <v>0</v>
      </c>
    </row>
    <row r="364" spans="1:9" s="685" customFormat="1">
      <c r="A364" s="1166"/>
      <c r="B364" s="792"/>
      <c r="C364" s="702">
        <f>D364+C363</f>
        <v>0</v>
      </c>
      <c r="D364" s="702">
        <v>0</v>
      </c>
      <c r="E364" s="702">
        <v>0</v>
      </c>
      <c r="F364" s="702">
        <v>0</v>
      </c>
      <c r="G364" s="702">
        <v>0</v>
      </c>
      <c r="H364" s="702">
        <v>0</v>
      </c>
      <c r="I364" s="702">
        <v>0</v>
      </c>
    </row>
    <row r="365" spans="1:9" s="685" customFormat="1">
      <c r="A365" s="1166" t="s">
        <v>353</v>
      </c>
      <c r="B365" s="792" t="s">
        <v>520</v>
      </c>
      <c r="C365" s="880">
        <v>0</v>
      </c>
      <c r="D365" s="880">
        <v>0</v>
      </c>
      <c r="E365" s="880">
        <v>0</v>
      </c>
      <c r="F365" s="880">
        <v>0</v>
      </c>
      <c r="G365" s="880">
        <v>0</v>
      </c>
      <c r="H365" s="880">
        <v>0</v>
      </c>
      <c r="I365" s="880">
        <v>0</v>
      </c>
    </row>
    <row r="366" spans="1:9" s="685" customFormat="1">
      <c r="A366" s="1166"/>
      <c r="B366" s="792"/>
      <c r="C366" s="702">
        <f>D366+C365</f>
        <v>0</v>
      </c>
      <c r="D366" s="702">
        <v>0</v>
      </c>
      <c r="E366" s="702">
        <v>0</v>
      </c>
      <c r="F366" s="702">
        <v>0</v>
      </c>
      <c r="G366" s="702">
        <v>0</v>
      </c>
      <c r="H366" s="702">
        <v>0</v>
      </c>
      <c r="I366" s="702">
        <v>0</v>
      </c>
    </row>
    <row r="367" spans="1:9" s="685" customFormat="1">
      <c r="A367" s="1166" t="s">
        <v>245</v>
      </c>
      <c r="B367" s="792" t="s">
        <v>521</v>
      </c>
      <c r="C367" s="880">
        <v>0</v>
      </c>
      <c r="D367" s="880">
        <v>0</v>
      </c>
      <c r="E367" s="880">
        <v>0</v>
      </c>
      <c r="F367" s="880">
        <v>0</v>
      </c>
      <c r="G367" s="880">
        <v>0</v>
      </c>
      <c r="H367" s="880">
        <v>0</v>
      </c>
      <c r="I367" s="880">
        <v>0</v>
      </c>
    </row>
    <row r="368" spans="1:9" s="685" customFormat="1">
      <c r="A368" s="1166"/>
      <c r="B368" s="792"/>
      <c r="C368" s="702">
        <f>D368+C367</f>
        <v>0</v>
      </c>
      <c r="D368" s="702">
        <v>0</v>
      </c>
      <c r="E368" s="702">
        <v>0</v>
      </c>
      <c r="F368" s="702">
        <v>0</v>
      </c>
      <c r="G368" s="702">
        <v>0</v>
      </c>
      <c r="H368" s="702">
        <v>0</v>
      </c>
      <c r="I368" s="702">
        <v>0</v>
      </c>
    </row>
    <row r="369" spans="1:9" s="685" customFormat="1">
      <c r="A369" s="1166" t="s">
        <v>349</v>
      </c>
      <c r="B369" s="792" t="s">
        <v>522</v>
      </c>
      <c r="C369" s="880">
        <v>0</v>
      </c>
      <c r="D369" s="880">
        <v>0</v>
      </c>
      <c r="E369" s="880">
        <v>0</v>
      </c>
      <c r="F369" s="880">
        <v>0</v>
      </c>
      <c r="G369" s="880">
        <v>0</v>
      </c>
      <c r="H369" s="880">
        <v>0</v>
      </c>
      <c r="I369" s="880">
        <v>0</v>
      </c>
    </row>
    <row r="370" spans="1:9" s="685" customFormat="1">
      <c r="A370" s="1166"/>
      <c r="B370" s="792"/>
      <c r="C370" s="702">
        <f>D370+C369</f>
        <v>0</v>
      </c>
      <c r="D370" s="702">
        <v>0</v>
      </c>
      <c r="E370" s="702">
        <v>0</v>
      </c>
      <c r="F370" s="702">
        <v>0</v>
      </c>
      <c r="G370" s="702">
        <v>0</v>
      </c>
      <c r="H370" s="702">
        <v>0</v>
      </c>
      <c r="I370" s="702">
        <v>0</v>
      </c>
    </row>
    <row r="371" spans="1:9" s="685" customFormat="1">
      <c r="A371" s="1166" t="s">
        <v>247</v>
      </c>
      <c r="B371" s="792" t="s">
        <v>523</v>
      </c>
      <c r="C371" s="880">
        <v>0</v>
      </c>
      <c r="D371" s="880">
        <v>0</v>
      </c>
      <c r="E371" s="880">
        <v>0</v>
      </c>
      <c r="F371" s="880">
        <v>0</v>
      </c>
      <c r="G371" s="880">
        <v>0</v>
      </c>
      <c r="H371" s="880">
        <v>0</v>
      </c>
      <c r="I371" s="880">
        <v>0</v>
      </c>
    </row>
    <row r="372" spans="1:9" s="685" customFormat="1">
      <c r="A372" s="1166"/>
      <c r="B372" s="792"/>
      <c r="C372" s="702">
        <f>D372+C371</f>
        <v>0</v>
      </c>
      <c r="D372" s="702">
        <v>0</v>
      </c>
      <c r="E372" s="702">
        <v>0</v>
      </c>
      <c r="F372" s="702">
        <v>0</v>
      </c>
      <c r="G372" s="702">
        <v>0</v>
      </c>
      <c r="H372" s="702">
        <v>0</v>
      </c>
      <c r="I372" s="702">
        <v>0</v>
      </c>
    </row>
    <row r="373" spans="1:9" s="685" customFormat="1">
      <c r="A373" s="1166" t="s">
        <v>187</v>
      </c>
      <c r="B373" s="792" t="s">
        <v>524</v>
      </c>
      <c r="C373" s="880">
        <v>0</v>
      </c>
      <c r="D373" s="880">
        <v>0</v>
      </c>
      <c r="E373" s="880">
        <v>0</v>
      </c>
      <c r="F373" s="880">
        <v>0</v>
      </c>
      <c r="G373" s="880">
        <v>0</v>
      </c>
      <c r="H373" s="880">
        <v>0</v>
      </c>
      <c r="I373" s="880">
        <v>0</v>
      </c>
    </row>
    <row r="374" spans="1:9" s="685" customFormat="1">
      <c r="A374" s="1166"/>
      <c r="B374" s="792"/>
      <c r="C374" s="702">
        <f>D374+C373</f>
        <v>0</v>
      </c>
      <c r="D374" s="702">
        <v>0</v>
      </c>
      <c r="E374" s="702">
        <v>0</v>
      </c>
      <c r="F374" s="702">
        <v>0</v>
      </c>
      <c r="G374" s="702">
        <v>0</v>
      </c>
      <c r="H374" s="702">
        <v>0</v>
      </c>
      <c r="I374" s="702">
        <v>0</v>
      </c>
    </row>
    <row r="375" spans="1:9" s="685" customFormat="1">
      <c r="A375" s="1166" t="s">
        <v>246</v>
      </c>
      <c r="B375" s="792" t="s">
        <v>525</v>
      </c>
      <c r="C375" s="880">
        <v>0</v>
      </c>
      <c r="D375" s="880">
        <v>0</v>
      </c>
      <c r="E375" s="880">
        <v>0</v>
      </c>
      <c r="F375" s="880">
        <v>0</v>
      </c>
      <c r="G375" s="880">
        <v>0</v>
      </c>
      <c r="H375" s="880">
        <v>0</v>
      </c>
      <c r="I375" s="880">
        <v>0</v>
      </c>
    </row>
    <row r="376" spans="1:9" s="685" customFormat="1">
      <c r="A376" s="1166"/>
      <c r="B376" s="792"/>
      <c r="C376" s="702">
        <f>D376+C375</f>
        <v>0</v>
      </c>
      <c r="D376" s="702">
        <v>0</v>
      </c>
      <c r="E376" s="702">
        <v>0</v>
      </c>
      <c r="F376" s="702">
        <v>0</v>
      </c>
      <c r="G376" s="702">
        <v>0</v>
      </c>
      <c r="H376" s="702">
        <v>0</v>
      </c>
      <c r="I376" s="702">
        <v>0</v>
      </c>
    </row>
    <row r="377" spans="1:9" s="685" customFormat="1">
      <c r="A377" s="1166" t="s">
        <v>334</v>
      </c>
      <c r="B377" s="792" t="s">
        <v>526</v>
      </c>
      <c r="C377" s="880">
        <v>0</v>
      </c>
      <c r="D377" s="880">
        <v>0</v>
      </c>
      <c r="E377" s="880">
        <v>0</v>
      </c>
      <c r="F377" s="880">
        <v>0</v>
      </c>
      <c r="G377" s="880">
        <v>0</v>
      </c>
      <c r="H377" s="880">
        <v>0</v>
      </c>
      <c r="I377" s="880">
        <v>0</v>
      </c>
    </row>
    <row r="378" spans="1:9" s="685" customFormat="1">
      <c r="A378" s="1166"/>
      <c r="B378" s="792"/>
      <c r="C378" s="702">
        <f>D378+C377</f>
        <v>0</v>
      </c>
      <c r="D378" s="702">
        <v>0</v>
      </c>
      <c r="E378" s="702">
        <v>0</v>
      </c>
      <c r="F378" s="702">
        <v>0</v>
      </c>
      <c r="G378" s="702">
        <v>0</v>
      </c>
      <c r="H378" s="702">
        <v>0</v>
      </c>
      <c r="I378" s="702">
        <v>0</v>
      </c>
    </row>
    <row r="379" spans="1:9" s="685" customFormat="1">
      <c r="A379" s="1166" t="s">
        <v>27</v>
      </c>
      <c r="B379" s="792" t="s">
        <v>527</v>
      </c>
      <c r="C379" s="880">
        <v>0</v>
      </c>
      <c r="D379" s="880">
        <v>0</v>
      </c>
      <c r="E379" s="880">
        <v>0</v>
      </c>
      <c r="F379" s="880">
        <v>0</v>
      </c>
      <c r="G379" s="880">
        <v>0</v>
      </c>
      <c r="H379" s="880">
        <v>0</v>
      </c>
      <c r="I379" s="880">
        <v>0</v>
      </c>
    </row>
    <row r="380" spans="1:9" s="685" customFormat="1">
      <c r="A380" s="1166"/>
      <c r="B380" s="792"/>
      <c r="C380" s="702">
        <f>D380+C379</f>
        <v>0</v>
      </c>
      <c r="D380" s="702">
        <v>0</v>
      </c>
      <c r="E380" s="702">
        <v>0</v>
      </c>
      <c r="F380" s="702">
        <v>0</v>
      </c>
      <c r="G380" s="702">
        <v>0</v>
      </c>
      <c r="H380" s="702">
        <v>0</v>
      </c>
      <c r="I380" s="702">
        <v>0</v>
      </c>
    </row>
    <row r="381" spans="1:9" s="685" customFormat="1">
      <c r="A381" s="1166" t="s">
        <v>180</v>
      </c>
      <c r="B381" s="792"/>
      <c r="C381" s="1021">
        <v>0</v>
      </c>
      <c r="D381" s="1021">
        <v>0</v>
      </c>
      <c r="E381" s="1021">
        <v>0</v>
      </c>
      <c r="F381" s="1021">
        <v>0</v>
      </c>
      <c r="G381" s="1021">
        <v>0</v>
      </c>
      <c r="H381" s="1021">
        <v>0</v>
      </c>
      <c r="I381" s="1021">
        <v>0</v>
      </c>
    </row>
    <row r="382" spans="1:9" s="685" customFormat="1">
      <c r="A382" s="1166"/>
      <c r="B382" s="792"/>
      <c r="C382" s="702">
        <f>D382+C381</f>
        <v>0</v>
      </c>
      <c r="D382" s="702">
        <v>0</v>
      </c>
      <c r="E382" s="702">
        <v>0</v>
      </c>
      <c r="F382" s="702">
        <v>0</v>
      </c>
      <c r="G382" s="702">
        <v>0</v>
      </c>
      <c r="H382" s="702">
        <v>0</v>
      </c>
      <c r="I382" s="702">
        <v>0</v>
      </c>
    </row>
    <row r="383" spans="1:9" s="685" customFormat="1">
      <c r="A383" s="1166" t="s">
        <v>59</v>
      </c>
      <c r="B383" s="792"/>
      <c r="C383" s="880">
        <f>C363+C365+C367+C369+C371+C373+C375+C377+C379+C381</f>
        <v>0</v>
      </c>
      <c r="D383" s="880">
        <v>0</v>
      </c>
      <c r="E383" s="880">
        <v>0</v>
      </c>
      <c r="F383" s="880">
        <v>0</v>
      </c>
      <c r="G383" s="880">
        <v>0</v>
      </c>
      <c r="H383" s="880">
        <v>0</v>
      </c>
      <c r="I383" s="880">
        <v>0</v>
      </c>
    </row>
    <row r="384" spans="1:9" s="685" customFormat="1">
      <c r="A384" s="1166"/>
      <c r="B384" s="792"/>
      <c r="C384" s="702">
        <f>D384+C383</f>
        <v>0</v>
      </c>
      <c r="D384" s="702">
        <v>0</v>
      </c>
      <c r="E384" s="702">
        <v>0</v>
      </c>
      <c r="F384" s="702">
        <v>0</v>
      </c>
      <c r="G384" s="702">
        <v>0</v>
      </c>
      <c r="H384" s="702">
        <v>0</v>
      </c>
      <c r="I384" s="702">
        <v>0</v>
      </c>
    </row>
    <row r="385" spans="1:9" s="685" customFormat="1" ht="19.95" customHeight="1">
      <c r="A385" s="1167" t="s">
        <v>350</v>
      </c>
      <c r="B385" s="794"/>
      <c r="C385" s="882">
        <f>C360-C383</f>
        <v>0</v>
      </c>
      <c r="D385" s="882">
        <v>0</v>
      </c>
      <c r="E385" s="882">
        <v>0</v>
      </c>
      <c r="F385" s="882">
        <v>0</v>
      </c>
      <c r="G385" s="882">
        <v>0</v>
      </c>
      <c r="H385" s="882">
        <v>0</v>
      </c>
      <c r="I385" s="882">
        <v>0</v>
      </c>
    </row>
    <row r="386" spans="1:9" s="685" customFormat="1" ht="17.399999999999999" customHeight="1">
      <c r="A386" s="1167"/>
      <c r="B386" s="794"/>
      <c r="C386" s="702">
        <f>D386+C385</f>
        <v>0</v>
      </c>
      <c r="D386" s="702">
        <v>0</v>
      </c>
      <c r="E386" s="702">
        <v>0</v>
      </c>
      <c r="F386" s="702">
        <v>0</v>
      </c>
      <c r="G386" s="702">
        <v>0</v>
      </c>
      <c r="H386" s="702">
        <v>0</v>
      </c>
      <c r="I386" s="702">
        <v>0</v>
      </c>
    </row>
    <row r="387" spans="1:9" s="685" customFormat="1" ht="17.399999999999999" customHeight="1">
      <c r="A387" s="797"/>
      <c r="B387" s="748"/>
      <c r="C387" s="704"/>
      <c r="D387" s="704"/>
      <c r="E387" s="704"/>
      <c r="F387" s="704"/>
      <c r="G387" s="704"/>
      <c r="H387" s="704"/>
      <c r="I387" s="704"/>
    </row>
    <row r="388" spans="1:9" s="685" customFormat="1">
      <c r="A388" s="1163" t="s">
        <v>845</v>
      </c>
      <c r="B388" s="788" t="s">
        <v>518</v>
      </c>
      <c r="C388" s="880">
        <v>0</v>
      </c>
      <c r="D388" s="880">
        <v>0</v>
      </c>
      <c r="E388" s="880">
        <v>0</v>
      </c>
      <c r="F388" s="880">
        <v>0</v>
      </c>
      <c r="G388" s="880">
        <v>0</v>
      </c>
      <c r="H388" s="880">
        <v>0</v>
      </c>
      <c r="I388" s="880">
        <v>0</v>
      </c>
    </row>
    <row r="389" spans="1:9" s="685" customFormat="1">
      <c r="A389" s="1164"/>
      <c r="B389" s="788"/>
      <c r="C389" s="702">
        <f>D389+C388</f>
        <v>0</v>
      </c>
      <c r="D389" s="702">
        <v>0</v>
      </c>
      <c r="E389" s="702">
        <v>0</v>
      </c>
      <c r="F389" s="702">
        <v>0</v>
      </c>
      <c r="G389" s="702">
        <v>0</v>
      </c>
      <c r="H389" s="702">
        <v>0</v>
      </c>
      <c r="I389" s="702">
        <v>0</v>
      </c>
    </row>
    <row r="390" spans="1:9" s="685" customFormat="1">
      <c r="A390" s="1165" t="s">
        <v>100</v>
      </c>
      <c r="B390" s="790"/>
      <c r="C390" s="879"/>
      <c r="D390" s="879"/>
      <c r="E390" s="879"/>
      <c r="F390" s="879"/>
      <c r="G390" s="879"/>
      <c r="H390" s="879"/>
      <c r="I390" s="879"/>
    </row>
    <row r="391" spans="1:9" s="685" customFormat="1">
      <c r="A391" s="1166" t="s">
        <v>337</v>
      </c>
      <c r="B391" s="792" t="s">
        <v>519</v>
      </c>
      <c r="C391" s="880">
        <v>0</v>
      </c>
      <c r="D391" s="880">
        <v>0</v>
      </c>
      <c r="E391" s="880">
        <v>0</v>
      </c>
      <c r="F391" s="880">
        <v>0</v>
      </c>
      <c r="G391" s="880">
        <v>0</v>
      </c>
      <c r="H391" s="880">
        <v>0</v>
      </c>
      <c r="I391" s="880">
        <v>0</v>
      </c>
    </row>
    <row r="392" spans="1:9" s="685" customFormat="1">
      <c r="A392" s="1166"/>
      <c r="B392" s="792"/>
      <c r="C392" s="702">
        <f>D392+C391</f>
        <v>0</v>
      </c>
      <c r="D392" s="702">
        <v>0</v>
      </c>
      <c r="E392" s="702">
        <v>0</v>
      </c>
      <c r="F392" s="702">
        <v>0</v>
      </c>
      <c r="G392" s="702">
        <v>0</v>
      </c>
      <c r="H392" s="702">
        <v>0</v>
      </c>
      <c r="I392" s="702">
        <v>0</v>
      </c>
    </row>
    <row r="393" spans="1:9" s="685" customFormat="1">
      <c r="A393" s="1166" t="s">
        <v>353</v>
      </c>
      <c r="B393" s="792" t="s">
        <v>520</v>
      </c>
      <c r="C393" s="880">
        <v>0</v>
      </c>
      <c r="D393" s="880">
        <v>0</v>
      </c>
      <c r="E393" s="880">
        <v>0</v>
      </c>
      <c r="F393" s="880">
        <v>0</v>
      </c>
      <c r="G393" s="880">
        <v>0</v>
      </c>
      <c r="H393" s="880">
        <v>0</v>
      </c>
      <c r="I393" s="880">
        <v>0</v>
      </c>
    </row>
    <row r="394" spans="1:9" s="685" customFormat="1">
      <c r="A394" s="1166"/>
      <c r="B394" s="792"/>
      <c r="C394" s="702">
        <f>D394+C393</f>
        <v>0</v>
      </c>
      <c r="D394" s="702">
        <v>0</v>
      </c>
      <c r="E394" s="702">
        <v>0</v>
      </c>
      <c r="F394" s="702">
        <v>0</v>
      </c>
      <c r="G394" s="702">
        <v>0</v>
      </c>
      <c r="H394" s="702">
        <v>0</v>
      </c>
      <c r="I394" s="702">
        <v>0</v>
      </c>
    </row>
    <row r="395" spans="1:9" s="685" customFormat="1">
      <c r="A395" s="1166" t="s">
        <v>245</v>
      </c>
      <c r="B395" s="792" t="s">
        <v>521</v>
      </c>
      <c r="C395" s="880">
        <v>0</v>
      </c>
      <c r="D395" s="880">
        <v>0</v>
      </c>
      <c r="E395" s="880">
        <v>0</v>
      </c>
      <c r="F395" s="880">
        <v>0</v>
      </c>
      <c r="G395" s="880">
        <v>0</v>
      </c>
      <c r="H395" s="880">
        <v>0</v>
      </c>
      <c r="I395" s="880">
        <v>0</v>
      </c>
    </row>
    <row r="396" spans="1:9" s="685" customFormat="1">
      <c r="A396" s="1166"/>
      <c r="B396" s="792"/>
      <c r="C396" s="702">
        <f>D396+C395</f>
        <v>0</v>
      </c>
      <c r="D396" s="702">
        <v>0</v>
      </c>
      <c r="E396" s="702">
        <v>0</v>
      </c>
      <c r="F396" s="702">
        <v>0</v>
      </c>
      <c r="G396" s="702">
        <v>0</v>
      </c>
      <c r="H396" s="702">
        <v>0</v>
      </c>
      <c r="I396" s="702">
        <v>0</v>
      </c>
    </row>
    <row r="397" spans="1:9" s="685" customFormat="1">
      <c r="A397" s="1166" t="s">
        <v>349</v>
      </c>
      <c r="B397" s="792" t="s">
        <v>522</v>
      </c>
      <c r="C397" s="880">
        <v>0</v>
      </c>
      <c r="D397" s="880">
        <v>0</v>
      </c>
      <c r="E397" s="880">
        <v>0</v>
      </c>
      <c r="F397" s="880">
        <v>0</v>
      </c>
      <c r="G397" s="880">
        <v>0</v>
      </c>
      <c r="H397" s="880">
        <v>0</v>
      </c>
      <c r="I397" s="880">
        <v>0</v>
      </c>
    </row>
    <row r="398" spans="1:9" s="685" customFormat="1">
      <c r="A398" s="1166"/>
      <c r="B398" s="792"/>
      <c r="C398" s="702">
        <f>D398+C397</f>
        <v>0</v>
      </c>
      <c r="D398" s="702">
        <v>0</v>
      </c>
      <c r="E398" s="702">
        <v>0</v>
      </c>
      <c r="F398" s="702">
        <v>0</v>
      </c>
      <c r="G398" s="702">
        <v>0</v>
      </c>
      <c r="H398" s="702">
        <v>0</v>
      </c>
      <c r="I398" s="702">
        <v>0</v>
      </c>
    </row>
    <row r="399" spans="1:9" s="685" customFormat="1">
      <c r="A399" s="1166" t="s">
        <v>247</v>
      </c>
      <c r="B399" s="792" t="s">
        <v>523</v>
      </c>
      <c r="C399" s="880">
        <v>0</v>
      </c>
      <c r="D399" s="880">
        <v>0</v>
      </c>
      <c r="E399" s="880">
        <v>0</v>
      </c>
      <c r="F399" s="880">
        <v>0</v>
      </c>
      <c r="G399" s="880">
        <v>0</v>
      </c>
      <c r="H399" s="880">
        <v>0</v>
      </c>
      <c r="I399" s="880">
        <v>0</v>
      </c>
    </row>
    <row r="400" spans="1:9" s="685" customFormat="1">
      <c r="A400" s="1166"/>
      <c r="B400" s="792"/>
      <c r="C400" s="702">
        <f>D400+C399</f>
        <v>0</v>
      </c>
      <c r="D400" s="702">
        <v>0</v>
      </c>
      <c r="E400" s="702">
        <v>0</v>
      </c>
      <c r="F400" s="702">
        <v>0</v>
      </c>
      <c r="G400" s="702">
        <v>0</v>
      </c>
      <c r="H400" s="702">
        <v>0</v>
      </c>
      <c r="I400" s="702">
        <v>0</v>
      </c>
    </row>
    <row r="401" spans="1:9" s="685" customFormat="1">
      <c r="A401" s="1166" t="s">
        <v>187</v>
      </c>
      <c r="B401" s="792" t="s">
        <v>524</v>
      </c>
      <c r="C401" s="880">
        <v>0</v>
      </c>
      <c r="D401" s="880">
        <v>0</v>
      </c>
      <c r="E401" s="880">
        <v>0</v>
      </c>
      <c r="F401" s="880">
        <v>0</v>
      </c>
      <c r="G401" s="880">
        <v>0</v>
      </c>
      <c r="H401" s="880">
        <v>0</v>
      </c>
      <c r="I401" s="880">
        <v>0</v>
      </c>
    </row>
    <row r="402" spans="1:9" s="685" customFormat="1">
      <c r="A402" s="1166"/>
      <c r="B402" s="792"/>
      <c r="C402" s="702">
        <f>D402+C401</f>
        <v>0</v>
      </c>
      <c r="D402" s="702">
        <v>0</v>
      </c>
      <c r="E402" s="702">
        <v>0</v>
      </c>
      <c r="F402" s="702">
        <v>0</v>
      </c>
      <c r="G402" s="702">
        <v>0</v>
      </c>
      <c r="H402" s="702">
        <v>0</v>
      </c>
      <c r="I402" s="702">
        <v>0</v>
      </c>
    </row>
    <row r="403" spans="1:9" s="685" customFormat="1">
      <c r="A403" s="1166" t="s">
        <v>246</v>
      </c>
      <c r="B403" s="792" t="s">
        <v>525</v>
      </c>
      <c r="C403" s="880">
        <v>0</v>
      </c>
      <c r="D403" s="880">
        <v>0</v>
      </c>
      <c r="E403" s="880">
        <v>0</v>
      </c>
      <c r="F403" s="880">
        <v>0</v>
      </c>
      <c r="G403" s="880">
        <v>0</v>
      </c>
      <c r="H403" s="880">
        <v>0</v>
      </c>
      <c r="I403" s="880">
        <v>0</v>
      </c>
    </row>
    <row r="404" spans="1:9" s="685" customFormat="1">
      <c r="A404" s="1166"/>
      <c r="B404" s="792"/>
      <c r="C404" s="702">
        <f>D404+C403</f>
        <v>0</v>
      </c>
      <c r="D404" s="702">
        <v>0</v>
      </c>
      <c r="E404" s="702">
        <v>0</v>
      </c>
      <c r="F404" s="702">
        <v>0</v>
      </c>
      <c r="G404" s="702">
        <v>0</v>
      </c>
      <c r="H404" s="702">
        <v>0</v>
      </c>
      <c r="I404" s="702">
        <v>0</v>
      </c>
    </row>
    <row r="405" spans="1:9" s="685" customFormat="1">
      <c r="A405" s="1166" t="s">
        <v>334</v>
      </c>
      <c r="B405" s="792" t="s">
        <v>526</v>
      </c>
      <c r="C405" s="880">
        <v>0</v>
      </c>
      <c r="D405" s="880">
        <v>0</v>
      </c>
      <c r="E405" s="880">
        <v>0</v>
      </c>
      <c r="F405" s="880">
        <v>0</v>
      </c>
      <c r="G405" s="880">
        <v>0</v>
      </c>
      <c r="H405" s="880">
        <v>0</v>
      </c>
      <c r="I405" s="880">
        <v>0</v>
      </c>
    </row>
    <row r="406" spans="1:9" s="685" customFormat="1">
      <c r="A406" s="1166"/>
      <c r="B406" s="792"/>
      <c r="C406" s="702">
        <f>D406+C405</f>
        <v>0</v>
      </c>
      <c r="D406" s="702">
        <v>0</v>
      </c>
      <c r="E406" s="702">
        <v>0</v>
      </c>
      <c r="F406" s="702">
        <v>0</v>
      </c>
      <c r="G406" s="702">
        <v>0</v>
      </c>
      <c r="H406" s="702">
        <v>0</v>
      </c>
      <c r="I406" s="702">
        <v>0</v>
      </c>
    </row>
    <row r="407" spans="1:9" s="685" customFormat="1">
      <c r="A407" s="1166" t="s">
        <v>27</v>
      </c>
      <c r="B407" s="792" t="s">
        <v>527</v>
      </c>
      <c r="C407" s="880">
        <v>0</v>
      </c>
      <c r="D407" s="880">
        <v>0</v>
      </c>
      <c r="E407" s="880">
        <v>0</v>
      </c>
      <c r="F407" s="880">
        <v>0</v>
      </c>
      <c r="G407" s="880">
        <v>0</v>
      </c>
      <c r="H407" s="880">
        <v>0</v>
      </c>
      <c r="I407" s="880">
        <v>0</v>
      </c>
    </row>
    <row r="408" spans="1:9" s="685" customFormat="1">
      <c r="A408" s="1166"/>
      <c r="B408" s="792"/>
      <c r="C408" s="702">
        <f>D408+C407</f>
        <v>0</v>
      </c>
      <c r="D408" s="702">
        <v>0</v>
      </c>
      <c r="E408" s="702">
        <v>0</v>
      </c>
      <c r="F408" s="702">
        <v>0</v>
      </c>
      <c r="G408" s="702">
        <v>0</v>
      </c>
      <c r="H408" s="702">
        <v>0</v>
      </c>
      <c r="I408" s="702">
        <v>0</v>
      </c>
    </row>
    <row r="409" spans="1:9" s="685" customFormat="1">
      <c r="A409" s="1166" t="s">
        <v>180</v>
      </c>
      <c r="B409" s="792"/>
      <c r="C409" s="1021">
        <v>0</v>
      </c>
      <c r="D409" s="1021">
        <v>0</v>
      </c>
      <c r="E409" s="1021">
        <v>0</v>
      </c>
      <c r="F409" s="1021">
        <v>0</v>
      </c>
      <c r="G409" s="1021">
        <v>0</v>
      </c>
      <c r="H409" s="1021">
        <v>0</v>
      </c>
      <c r="I409" s="1021">
        <v>0</v>
      </c>
    </row>
    <row r="410" spans="1:9" s="685" customFormat="1">
      <c r="A410" s="1166"/>
      <c r="B410" s="792"/>
      <c r="C410" s="702">
        <f>D410+C409</f>
        <v>0</v>
      </c>
      <c r="D410" s="702">
        <v>0</v>
      </c>
      <c r="E410" s="702">
        <v>0</v>
      </c>
      <c r="F410" s="702">
        <v>0</v>
      </c>
      <c r="G410" s="702">
        <v>0</v>
      </c>
      <c r="H410" s="702">
        <v>0</v>
      </c>
      <c r="I410" s="702">
        <v>0</v>
      </c>
    </row>
    <row r="411" spans="1:9" s="685" customFormat="1">
      <c r="A411" s="1166" t="s">
        <v>59</v>
      </c>
      <c r="B411" s="792"/>
      <c r="C411" s="880">
        <f>C391+C393+C395+C397+C399+C401+C403+C405+C407+C409</f>
        <v>0</v>
      </c>
      <c r="D411" s="880">
        <v>0</v>
      </c>
      <c r="E411" s="880">
        <v>0</v>
      </c>
      <c r="F411" s="880">
        <v>0</v>
      </c>
      <c r="G411" s="880">
        <v>0</v>
      </c>
      <c r="H411" s="880">
        <v>0</v>
      </c>
      <c r="I411" s="880">
        <v>0</v>
      </c>
    </row>
    <row r="412" spans="1:9" s="685" customFormat="1">
      <c r="A412" s="1166"/>
      <c r="B412" s="792"/>
      <c r="C412" s="702">
        <f>D412+C411</f>
        <v>0</v>
      </c>
      <c r="D412" s="702">
        <v>0</v>
      </c>
      <c r="E412" s="702">
        <v>0</v>
      </c>
      <c r="F412" s="702">
        <v>0</v>
      </c>
      <c r="G412" s="702">
        <v>0</v>
      </c>
      <c r="H412" s="702">
        <v>0</v>
      </c>
      <c r="I412" s="702">
        <v>0</v>
      </c>
    </row>
    <row r="413" spans="1:9" s="685" customFormat="1" ht="19.95" customHeight="1">
      <c r="A413" s="1167" t="s">
        <v>350</v>
      </c>
      <c r="B413" s="794"/>
      <c r="C413" s="882">
        <f>C388-C411</f>
        <v>0</v>
      </c>
      <c r="D413" s="882">
        <v>0</v>
      </c>
      <c r="E413" s="882">
        <v>0</v>
      </c>
      <c r="F413" s="882">
        <v>0</v>
      </c>
      <c r="G413" s="882">
        <v>0</v>
      </c>
      <c r="H413" s="882">
        <v>0</v>
      </c>
      <c r="I413" s="882">
        <v>0</v>
      </c>
    </row>
    <row r="414" spans="1:9" s="685" customFormat="1" ht="17.399999999999999" customHeight="1">
      <c r="A414" s="1167"/>
      <c r="B414" s="794"/>
      <c r="C414" s="702">
        <f>D414+C413</f>
        <v>0</v>
      </c>
      <c r="D414" s="702">
        <v>0</v>
      </c>
      <c r="E414" s="702">
        <v>0</v>
      </c>
      <c r="F414" s="702">
        <v>0</v>
      </c>
      <c r="G414" s="702">
        <v>0</v>
      </c>
      <c r="H414" s="702">
        <v>0</v>
      </c>
      <c r="I414" s="702">
        <v>0</v>
      </c>
    </row>
    <row r="415" spans="1:9" s="685" customFormat="1" ht="17.399999999999999" customHeight="1">
      <c r="A415" s="797"/>
      <c r="B415" s="748"/>
      <c r="C415" s="704"/>
      <c r="D415" s="704"/>
      <c r="E415" s="704"/>
      <c r="F415" s="704"/>
      <c r="G415" s="704"/>
      <c r="H415" s="704"/>
      <c r="I415" s="704"/>
    </row>
    <row r="416" spans="1:9" s="685" customFormat="1" ht="17.399999999999999" customHeight="1">
      <c r="A416" s="1040" t="s">
        <v>24</v>
      </c>
      <c r="B416" s="792"/>
      <c r="C416" s="1021">
        <f>'TABEL INPUT'!O39</f>
        <v>0</v>
      </c>
      <c r="D416" s="1021">
        <v>0</v>
      </c>
      <c r="E416" s="1021">
        <v>33000</v>
      </c>
      <c r="F416" s="1021">
        <v>0</v>
      </c>
      <c r="G416" s="1021">
        <v>-2500</v>
      </c>
      <c r="H416" s="1021">
        <v>-11000</v>
      </c>
      <c r="I416" s="1021">
        <v>0</v>
      </c>
    </row>
    <row r="417" spans="1:9" s="685" customFormat="1" ht="17.399999999999999" customHeight="1">
      <c r="A417" s="1040"/>
      <c r="B417" s="792"/>
      <c r="C417" s="702">
        <f>D417+C416</f>
        <v>19500</v>
      </c>
      <c r="D417" s="702">
        <v>19500</v>
      </c>
      <c r="E417" s="702">
        <v>19500</v>
      </c>
      <c r="F417" s="702">
        <v>-13500</v>
      </c>
      <c r="G417" s="702">
        <v>-13500</v>
      </c>
      <c r="H417" s="702">
        <v>-11000</v>
      </c>
      <c r="I417" s="702">
        <v>0</v>
      </c>
    </row>
    <row r="418" spans="1:9" s="685" customFormat="1" ht="14.4" customHeight="1">
      <c r="A418" s="797"/>
      <c r="B418" s="748"/>
      <c r="C418" s="879"/>
      <c r="D418" s="879"/>
      <c r="E418" s="879"/>
      <c r="F418" s="879"/>
      <c r="G418" s="879"/>
      <c r="H418" s="879"/>
      <c r="I418" s="879"/>
    </row>
    <row r="419" spans="1:9" s="685" customFormat="1" ht="18">
      <c r="A419" s="787" t="s">
        <v>151</v>
      </c>
      <c r="B419" s="788"/>
      <c r="C419" s="883">
        <f>C248+C276+C304+C332+C416</f>
        <v>0</v>
      </c>
      <c r="D419" s="883">
        <v>386969</v>
      </c>
      <c r="E419" s="883">
        <v>2609264</v>
      </c>
      <c r="F419" s="883">
        <v>1685330</v>
      </c>
      <c r="G419" s="883">
        <v>1770694</v>
      </c>
      <c r="H419" s="883">
        <v>1711338</v>
      </c>
      <c r="I419" s="883">
        <v>0</v>
      </c>
    </row>
    <row r="420" spans="1:9" s="707" customFormat="1" ht="21.6" thickBot="1">
      <c r="A420" s="798" t="s">
        <v>48</v>
      </c>
      <c r="B420" s="799"/>
      <c r="C420" s="706">
        <f>D420+C419</f>
        <v>8163595</v>
      </c>
      <c r="D420" s="706">
        <v>8163595</v>
      </c>
      <c r="E420" s="706">
        <v>7776626</v>
      </c>
      <c r="F420" s="706">
        <v>5167362</v>
      </c>
      <c r="G420" s="706">
        <v>3482032</v>
      </c>
      <c r="H420" s="706">
        <v>1711338</v>
      </c>
      <c r="I420" s="706">
        <v>0</v>
      </c>
    </row>
    <row r="421" spans="1:9" ht="15" thickTop="1">
      <c r="A421" s="25"/>
      <c r="B421" s="735"/>
      <c r="C421" s="884"/>
      <c r="D421" s="884"/>
      <c r="E421" s="884"/>
      <c r="F421" s="884"/>
      <c r="G421" s="884"/>
      <c r="H421" s="884"/>
      <c r="I421" s="884"/>
    </row>
    <row r="422" spans="1:9">
      <c r="A422" s="800" t="s">
        <v>351</v>
      </c>
      <c r="B422" s="801"/>
      <c r="C422" s="885">
        <f>C355+C327+C299+C271</f>
        <v>0</v>
      </c>
      <c r="D422" s="885">
        <v>0</v>
      </c>
      <c r="E422" s="885">
        <v>0</v>
      </c>
      <c r="F422" s="885">
        <v>122400</v>
      </c>
      <c r="G422" s="885">
        <v>137500</v>
      </c>
      <c r="H422" s="885">
        <v>707499</v>
      </c>
      <c r="I422" s="885">
        <v>0</v>
      </c>
    </row>
    <row r="423" spans="1:9">
      <c r="A423" s="800"/>
      <c r="B423" s="801"/>
      <c r="C423" s="708">
        <f>D423+C422</f>
        <v>967399</v>
      </c>
      <c r="D423" s="708">
        <v>967399</v>
      </c>
      <c r="E423" s="708">
        <v>967399</v>
      </c>
      <c r="F423" s="708">
        <v>967399</v>
      </c>
      <c r="G423" s="708">
        <v>844999</v>
      </c>
      <c r="H423" s="708">
        <v>707499</v>
      </c>
      <c r="I423" s="708">
        <v>0</v>
      </c>
    </row>
    <row r="424" spans="1:9" ht="8.4" customHeight="1">
      <c r="A424" s="25"/>
      <c r="B424" s="735"/>
      <c r="C424" s="884"/>
      <c r="D424" s="884"/>
      <c r="E424" s="884"/>
      <c r="F424" s="884"/>
      <c r="G424" s="884"/>
      <c r="H424" s="884"/>
      <c r="I424" s="884"/>
    </row>
    <row r="425" spans="1:9" ht="25.2" customHeight="1">
      <c r="A425" s="802" t="s">
        <v>352</v>
      </c>
      <c r="B425" s="803"/>
      <c r="C425" s="886">
        <f>C419-C422</f>
        <v>0</v>
      </c>
      <c r="D425" s="886">
        <v>386969</v>
      </c>
      <c r="E425" s="886">
        <v>2609264</v>
      </c>
      <c r="F425" s="886">
        <v>1562930</v>
      </c>
      <c r="G425" s="886">
        <v>1633194</v>
      </c>
      <c r="H425" s="886">
        <v>1003839</v>
      </c>
      <c r="I425" s="886">
        <v>0</v>
      </c>
    </row>
    <row r="426" spans="1:9" ht="25.2" customHeight="1">
      <c r="A426" s="804"/>
      <c r="B426" s="803"/>
      <c r="C426" s="709">
        <f>D426+C425</f>
        <v>7196196</v>
      </c>
      <c r="D426" s="709">
        <v>7196196</v>
      </c>
      <c r="E426" s="709">
        <v>6809227</v>
      </c>
      <c r="F426" s="709">
        <v>4199963</v>
      </c>
      <c r="G426" s="709">
        <v>2637033</v>
      </c>
      <c r="H426" s="709">
        <v>1003839</v>
      </c>
      <c r="I426" s="709">
        <v>0</v>
      </c>
    </row>
    <row r="427" spans="1:9" ht="15" thickBot="1">
      <c r="A427" s="5"/>
      <c r="B427" s="16"/>
      <c r="C427" s="710"/>
      <c r="D427" s="710"/>
      <c r="E427" s="710"/>
      <c r="F427" s="710"/>
      <c r="G427" s="710"/>
      <c r="H427" s="710"/>
      <c r="I427" s="710"/>
    </row>
    <row r="428" spans="1:9" s="685" customFormat="1">
      <c r="A428" s="805" t="s">
        <v>194</v>
      </c>
      <c r="B428" s="806" t="s">
        <v>290</v>
      </c>
      <c r="C428" s="887">
        <f>'AGEN BAOMEKOT'!U191</f>
        <v>0</v>
      </c>
      <c r="D428" s="887">
        <v>0</v>
      </c>
      <c r="E428" s="887">
        <v>0</v>
      </c>
      <c r="F428" s="887">
        <v>0</v>
      </c>
      <c r="G428" s="887">
        <v>0</v>
      </c>
      <c r="H428" s="887">
        <v>0</v>
      </c>
      <c r="I428" s="887">
        <v>0</v>
      </c>
    </row>
    <row r="429" spans="1:9" s="685" customFormat="1">
      <c r="A429" s="807" t="s">
        <v>196</v>
      </c>
      <c r="B429" s="808"/>
      <c r="C429" s="705">
        <v>0</v>
      </c>
      <c r="D429" s="705">
        <v>0</v>
      </c>
      <c r="E429" s="705">
        <v>0</v>
      </c>
      <c r="F429" s="705">
        <v>0</v>
      </c>
      <c r="G429" s="705">
        <v>0</v>
      </c>
      <c r="H429" s="705">
        <v>0</v>
      </c>
      <c r="I429" s="705">
        <v>0</v>
      </c>
    </row>
    <row r="430" spans="1:9" s="712" customFormat="1" ht="15" thickBot="1">
      <c r="A430" s="809"/>
      <c r="B430" s="810"/>
      <c r="C430" s="711">
        <f>D430+C428+C429</f>
        <v>0</v>
      </c>
      <c r="D430" s="711">
        <v>0</v>
      </c>
      <c r="E430" s="711">
        <v>0</v>
      </c>
      <c r="F430" s="711">
        <v>0</v>
      </c>
      <c r="G430" s="711">
        <v>0</v>
      </c>
      <c r="H430" s="711">
        <v>0</v>
      </c>
      <c r="I430" s="711">
        <v>0</v>
      </c>
    </row>
    <row r="431" spans="1:9" s="685" customFormat="1">
      <c r="A431" s="805" t="s">
        <v>195</v>
      </c>
      <c r="B431" s="806" t="s">
        <v>277</v>
      </c>
      <c r="C431" s="887">
        <f>'AGEN SIKU EHA'!X191</f>
        <v>0</v>
      </c>
      <c r="D431" s="887">
        <v>0</v>
      </c>
      <c r="E431" s="887">
        <v>0</v>
      </c>
      <c r="F431" s="887">
        <v>0</v>
      </c>
      <c r="G431" s="887">
        <v>0</v>
      </c>
      <c r="H431" s="887">
        <v>0</v>
      </c>
      <c r="I431" s="887">
        <v>0</v>
      </c>
    </row>
    <row r="432" spans="1:9" s="685" customFormat="1">
      <c r="A432" s="807" t="s">
        <v>196</v>
      </c>
      <c r="B432" s="808"/>
      <c r="C432" s="705">
        <v>0</v>
      </c>
      <c r="D432" s="705">
        <v>0</v>
      </c>
      <c r="E432" s="705">
        <v>0</v>
      </c>
      <c r="F432" s="705">
        <v>0</v>
      </c>
      <c r="G432" s="705">
        <v>0</v>
      </c>
      <c r="H432" s="705">
        <v>0</v>
      </c>
      <c r="I432" s="705">
        <v>0</v>
      </c>
    </row>
    <row r="433" spans="1:9" s="712" customFormat="1" ht="15" thickBot="1">
      <c r="A433" s="809"/>
      <c r="B433" s="810"/>
      <c r="C433" s="711">
        <f>D433+C431+C432</f>
        <v>0</v>
      </c>
      <c r="D433" s="711">
        <v>0</v>
      </c>
      <c r="E433" s="711">
        <v>0</v>
      </c>
      <c r="F433" s="711">
        <v>0</v>
      </c>
      <c r="G433" s="711">
        <v>0</v>
      </c>
      <c r="H433" s="711">
        <v>0</v>
      </c>
      <c r="I433" s="711">
        <v>0</v>
      </c>
    </row>
    <row r="434" spans="1:9" s="712" customFormat="1">
      <c r="A434" s="1168"/>
      <c r="B434" s="1156"/>
      <c r="C434" s="1157"/>
      <c r="D434" s="1157"/>
      <c r="E434" s="1157"/>
      <c r="F434" s="1157"/>
      <c r="G434" s="1157"/>
      <c r="H434" s="1157"/>
      <c r="I434" s="1157"/>
    </row>
    <row r="435" spans="1:9" s="712" customFormat="1">
      <c r="A435" s="1169"/>
      <c r="B435" s="780"/>
      <c r="C435" s="1021"/>
      <c r="D435" s="1021"/>
      <c r="E435" s="1021"/>
      <c r="F435" s="1021"/>
      <c r="G435" s="1021"/>
      <c r="H435" s="1021"/>
      <c r="I435" s="1021"/>
    </row>
    <row r="436" spans="1:9" s="712" customFormat="1" ht="15" thickBot="1">
      <c r="A436" s="1170"/>
      <c r="B436" s="810"/>
      <c r="C436" s="711">
        <f>D436+C434+C435</f>
        <v>0</v>
      </c>
      <c r="D436" s="711">
        <v>0</v>
      </c>
      <c r="E436" s="711">
        <v>0</v>
      </c>
      <c r="F436" s="711">
        <v>0</v>
      </c>
      <c r="G436" s="711">
        <v>0</v>
      </c>
      <c r="H436" s="711">
        <v>0</v>
      </c>
      <c r="I436" s="711">
        <v>0</v>
      </c>
    </row>
    <row r="437" spans="1:9" s="685" customFormat="1">
      <c r="A437" s="811" t="s">
        <v>341</v>
      </c>
      <c r="B437" s="806" t="s">
        <v>342</v>
      </c>
      <c r="C437" s="887">
        <f>'AGEN BAOMEKOT'!BA191</f>
        <v>0</v>
      </c>
      <c r="D437" s="887">
        <v>0</v>
      </c>
      <c r="E437" s="887">
        <v>0</v>
      </c>
      <c r="F437" s="887">
        <v>0</v>
      </c>
      <c r="G437" s="887">
        <v>0</v>
      </c>
      <c r="H437" s="887">
        <v>0</v>
      </c>
      <c r="I437" s="887">
        <v>0</v>
      </c>
    </row>
    <row r="438" spans="1:9" s="685" customFormat="1">
      <c r="A438" s="807" t="s">
        <v>196</v>
      </c>
      <c r="B438" s="808"/>
      <c r="C438" s="705">
        <v>0</v>
      </c>
      <c r="D438" s="705">
        <v>0</v>
      </c>
      <c r="E438" s="705">
        <v>0</v>
      </c>
      <c r="F438" s="705">
        <v>0</v>
      </c>
      <c r="G438" s="705">
        <v>0</v>
      </c>
      <c r="H438" s="705">
        <v>0</v>
      </c>
      <c r="I438" s="705">
        <v>0</v>
      </c>
    </row>
    <row r="439" spans="1:9" s="712" customFormat="1" ht="15" thickBot="1">
      <c r="A439" s="809"/>
      <c r="B439" s="810"/>
      <c r="C439" s="711">
        <f>D439+C437+C438</f>
        <v>0</v>
      </c>
      <c r="D439" s="711">
        <v>0</v>
      </c>
      <c r="E439" s="711">
        <v>0</v>
      </c>
      <c r="F439" s="711">
        <v>0</v>
      </c>
      <c r="G439" s="711">
        <v>0</v>
      </c>
      <c r="H439" s="711">
        <v>0</v>
      </c>
      <c r="I439" s="711">
        <v>0</v>
      </c>
    </row>
    <row r="440" spans="1:9" s="712" customFormat="1">
      <c r="A440" s="1168"/>
      <c r="B440" s="1156"/>
      <c r="C440" s="1157"/>
      <c r="D440" s="1157"/>
      <c r="E440" s="1157"/>
      <c r="F440" s="1157"/>
      <c r="G440" s="1157"/>
      <c r="H440" s="1157"/>
      <c r="I440" s="1157"/>
    </row>
    <row r="441" spans="1:9" s="712" customFormat="1">
      <c r="A441" s="1169"/>
      <c r="B441" s="780"/>
      <c r="C441" s="1021"/>
      <c r="D441" s="1021"/>
      <c r="E441" s="1021"/>
      <c r="F441" s="1021"/>
      <c r="G441" s="1021"/>
      <c r="H441" s="1021"/>
      <c r="I441" s="1021"/>
    </row>
    <row r="442" spans="1:9" s="712" customFormat="1" ht="15" thickBot="1">
      <c r="A442" s="1170"/>
      <c r="B442" s="810"/>
      <c r="C442" s="711">
        <f>D442+C440+C441</f>
        <v>0</v>
      </c>
      <c r="D442" s="711">
        <v>0</v>
      </c>
      <c r="E442" s="711">
        <v>0</v>
      </c>
      <c r="F442" s="711">
        <v>0</v>
      </c>
      <c r="G442" s="711">
        <v>0</v>
      </c>
      <c r="H442" s="711">
        <v>0</v>
      </c>
      <c r="I442" s="711">
        <v>0</v>
      </c>
    </row>
    <row r="443" spans="1:9" s="712" customFormat="1">
      <c r="A443" s="1168"/>
      <c r="B443" s="1156"/>
      <c r="C443" s="1157"/>
      <c r="D443" s="1157"/>
      <c r="E443" s="1157"/>
      <c r="F443" s="1157"/>
      <c r="G443" s="1157"/>
      <c r="H443" s="1157"/>
      <c r="I443" s="1157"/>
    </row>
    <row r="444" spans="1:9" s="712" customFormat="1">
      <c r="A444" s="1169"/>
      <c r="B444" s="780"/>
      <c r="C444" s="1021"/>
      <c r="D444" s="1021"/>
      <c r="E444" s="1021"/>
      <c r="F444" s="1021"/>
      <c r="G444" s="1021"/>
      <c r="H444" s="1021"/>
      <c r="I444" s="1021"/>
    </row>
    <row r="445" spans="1:9" s="712" customFormat="1" ht="15" thickBot="1">
      <c r="A445" s="1170"/>
      <c r="B445" s="810"/>
      <c r="C445" s="711">
        <f>D445+C443+C444</f>
        <v>0</v>
      </c>
      <c r="D445" s="711">
        <v>0</v>
      </c>
      <c r="E445" s="711">
        <v>0</v>
      </c>
      <c r="F445" s="711">
        <v>0</v>
      </c>
      <c r="G445" s="711">
        <v>0</v>
      </c>
      <c r="H445" s="711">
        <v>0</v>
      </c>
      <c r="I445" s="711">
        <v>0</v>
      </c>
    </row>
    <row r="446" spans="1:9" s="713" customFormat="1" ht="22.2" customHeight="1">
      <c r="A446" s="812" t="s">
        <v>362</v>
      </c>
      <c r="B446" s="813"/>
      <c r="C446" s="958">
        <f>C428+C429+C431+C432+C437+C438</f>
        <v>0</v>
      </c>
      <c r="D446" s="958">
        <v>0</v>
      </c>
      <c r="E446" s="958">
        <v>0</v>
      </c>
      <c r="F446" s="958">
        <v>0</v>
      </c>
      <c r="G446" s="958">
        <v>0</v>
      </c>
      <c r="H446" s="958">
        <v>0</v>
      </c>
      <c r="I446" s="958">
        <v>0</v>
      </c>
    </row>
    <row r="447" spans="1:9" s="715" customFormat="1" ht="24.6" customHeight="1">
      <c r="A447" s="814" t="s">
        <v>85</v>
      </c>
      <c r="B447" s="815"/>
      <c r="C447" s="714">
        <f>D447+C446</f>
        <v>0</v>
      </c>
      <c r="D447" s="714">
        <v>0</v>
      </c>
      <c r="E447" s="714">
        <v>0</v>
      </c>
      <c r="F447" s="714">
        <v>0</v>
      </c>
      <c r="G447" s="714">
        <v>0</v>
      </c>
      <c r="H447" s="714">
        <v>0</v>
      </c>
      <c r="I447" s="714">
        <v>0</v>
      </c>
    </row>
    <row r="448" spans="1:9" s="426" customFormat="1" ht="15" thickBot="1">
      <c r="A448" s="65"/>
      <c r="B448" s="753"/>
      <c r="C448" s="971"/>
      <c r="D448" s="971"/>
      <c r="E448" s="971"/>
      <c r="F448" s="971"/>
      <c r="G448" s="971"/>
      <c r="H448" s="971"/>
      <c r="I448" s="971"/>
    </row>
    <row r="449" spans="1:9" s="426" customFormat="1">
      <c r="A449" s="3" t="s">
        <v>576</v>
      </c>
      <c r="B449" s="734"/>
      <c r="C449" s="974"/>
      <c r="D449" s="974"/>
      <c r="E449" s="974"/>
      <c r="F449" s="974"/>
      <c r="G449" s="974"/>
      <c r="H449" s="974"/>
      <c r="I449" s="974"/>
    </row>
    <row r="450" spans="1:9">
      <c r="A450" s="1" t="s">
        <v>573</v>
      </c>
      <c r="B450" s="736"/>
      <c r="C450" s="876">
        <f>'REHAB RUMAH'!A16</f>
        <v>0</v>
      </c>
      <c r="D450" s="876">
        <v>0</v>
      </c>
      <c r="E450" s="876">
        <v>0</v>
      </c>
      <c r="F450" s="876">
        <v>108000</v>
      </c>
      <c r="G450" s="876">
        <v>0</v>
      </c>
      <c r="H450" s="876">
        <v>60000</v>
      </c>
      <c r="I450" s="876">
        <v>0</v>
      </c>
    </row>
    <row r="451" spans="1:9" s="426" customFormat="1">
      <c r="A451" s="969" t="s">
        <v>13</v>
      </c>
      <c r="B451" s="748"/>
      <c r="C451" s="970">
        <f>D451+C450</f>
        <v>168000</v>
      </c>
      <c r="D451" s="970">
        <v>168000</v>
      </c>
      <c r="E451" s="970">
        <v>168000</v>
      </c>
      <c r="F451" s="970">
        <v>168000</v>
      </c>
      <c r="G451" s="970">
        <v>60000</v>
      </c>
      <c r="H451" s="970">
        <v>60000</v>
      </c>
      <c r="I451" s="970">
        <v>0</v>
      </c>
    </row>
    <row r="452" spans="1:9">
      <c r="A452" s="1" t="s">
        <v>574</v>
      </c>
      <c r="B452" s="736"/>
      <c r="C452" s="876">
        <f>'REHAB RUMAH'!B16</f>
        <v>0</v>
      </c>
      <c r="D452" s="876">
        <v>0</v>
      </c>
      <c r="E452" s="876">
        <v>0</v>
      </c>
      <c r="F452" s="876">
        <v>0</v>
      </c>
      <c r="G452" s="876">
        <v>0</v>
      </c>
      <c r="H452" s="876">
        <v>40000</v>
      </c>
      <c r="I452" s="876">
        <v>0</v>
      </c>
    </row>
    <row r="453" spans="1:9" s="426" customFormat="1">
      <c r="A453" s="969" t="s">
        <v>13</v>
      </c>
      <c r="B453" s="748"/>
      <c r="C453" s="970">
        <f>D453+C452</f>
        <v>40000</v>
      </c>
      <c r="D453" s="970">
        <v>40000</v>
      </c>
      <c r="E453" s="970">
        <v>40000</v>
      </c>
      <c r="F453" s="970">
        <v>40000</v>
      </c>
      <c r="G453" s="970">
        <v>40000</v>
      </c>
      <c r="H453" s="970">
        <v>40000</v>
      </c>
      <c r="I453" s="970">
        <v>0</v>
      </c>
    </row>
    <row r="454" spans="1:9">
      <c r="A454" s="1" t="s">
        <v>575</v>
      </c>
      <c r="B454" s="736"/>
      <c r="C454" s="876">
        <f>'REHAB RUMAH'!C16</f>
        <v>0</v>
      </c>
      <c r="D454" s="876">
        <v>0</v>
      </c>
      <c r="E454" s="876">
        <v>0</v>
      </c>
      <c r="F454" s="876">
        <v>0</v>
      </c>
      <c r="G454" s="876">
        <v>0</v>
      </c>
      <c r="H454" s="876">
        <v>0</v>
      </c>
      <c r="I454" s="876">
        <v>0</v>
      </c>
    </row>
    <row r="455" spans="1:9" s="426" customFormat="1">
      <c r="A455" s="969" t="s">
        <v>13</v>
      </c>
      <c r="B455" s="748"/>
      <c r="C455" s="970">
        <f>D455+C454</f>
        <v>0</v>
      </c>
      <c r="D455" s="970">
        <v>0</v>
      </c>
      <c r="E455" s="970">
        <v>0</v>
      </c>
      <c r="F455" s="970">
        <v>0</v>
      </c>
      <c r="G455" s="970">
        <v>0</v>
      </c>
      <c r="H455" s="970">
        <v>0</v>
      </c>
      <c r="I455" s="970">
        <v>0</v>
      </c>
    </row>
    <row r="456" spans="1:9">
      <c r="A456" s="965" t="s">
        <v>27</v>
      </c>
      <c r="B456" s="736"/>
      <c r="C456" s="876">
        <f>'REHAB RUMAH'!D16</f>
        <v>0</v>
      </c>
      <c r="D456" s="876">
        <v>0</v>
      </c>
      <c r="E456" s="876">
        <v>0</v>
      </c>
      <c r="F456" s="876">
        <v>0</v>
      </c>
      <c r="G456" s="876">
        <v>0</v>
      </c>
      <c r="H456" s="876">
        <v>100000</v>
      </c>
      <c r="I456" s="876">
        <v>0</v>
      </c>
    </row>
    <row r="457" spans="1:9" s="426" customFormat="1">
      <c r="A457" s="969" t="s">
        <v>13</v>
      </c>
      <c r="B457" s="748"/>
      <c r="C457" s="970">
        <f>D457+C456</f>
        <v>100000</v>
      </c>
      <c r="D457" s="970">
        <v>100000</v>
      </c>
      <c r="E457" s="970">
        <v>100000</v>
      </c>
      <c r="F457" s="970">
        <v>100000</v>
      </c>
      <c r="G457" s="970">
        <v>100000</v>
      </c>
      <c r="H457" s="970">
        <v>100000</v>
      </c>
      <c r="I457" s="970">
        <v>0</v>
      </c>
    </row>
    <row r="458" spans="1:9" s="426" customFormat="1">
      <c r="A458" s="965" t="s">
        <v>180</v>
      </c>
      <c r="B458" s="748"/>
      <c r="C458" s="892">
        <f>'REHAB RUMAH'!E16</f>
        <v>0</v>
      </c>
      <c r="D458" s="892">
        <v>0</v>
      </c>
      <c r="E458" s="892">
        <v>40000</v>
      </c>
      <c r="F458" s="892">
        <v>20000</v>
      </c>
      <c r="G458" s="892">
        <v>20000</v>
      </c>
      <c r="H458" s="892">
        <v>0</v>
      </c>
      <c r="I458" s="892">
        <v>0</v>
      </c>
    </row>
    <row r="459" spans="1:9" s="426" customFormat="1">
      <c r="A459" s="969" t="s">
        <v>13</v>
      </c>
      <c r="B459" s="748"/>
      <c r="C459" s="970">
        <f>D459+C458</f>
        <v>80000</v>
      </c>
      <c r="D459" s="970">
        <v>80000</v>
      </c>
      <c r="E459" s="970">
        <v>80000</v>
      </c>
      <c r="F459" s="970">
        <v>40000</v>
      </c>
      <c r="G459" s="970">
        <v>20000</v>
      </c>
      <c r="H459" s="970">
        <v>0</v>
      </c>
      <c r="I459" s="970">
        <v>0</v>
      </c>
    </row>
    <row r="460" spans="1:9" s="426" customFormat="1">
      <c r="A460" s="1171" t="s">
        <v>855</v>
      </c>
      <c r="B460" s="748"/>
      <c r="C460" s="1155"/>
      <c r="D460" s="1155"/>
      <c r="E460" s="1155"/>
      <c r="F460" s="1155"/>
      <c r="G460" s="1155"/>
      <c r="H460" s="1155"/>
      <c r="I460" s="1155"/>
    </row>
    <row r="461" spans="1:9" s="426" customFormat="1">
      <c r="A461" s="1172" t="s">
        <v>13</v>
      </c>
      <c r="B461" s="748"/>
      <c r="C461" s="970">
        <f>D461+C460</f>
        <v>0</v>
      </c>
      <c r="D461" s="970">
        <v>0</v>
      </c>
      <c r="E461" s="970">
        <v>0</v>
      </c>
      <c r="F461" s="970">
        <v>0</v>
      </c>
      <c r="G461" s="970">
        <v>0</v>
      </c>
      <c r="H461" s="970">
        <v>0</v>
      </c>
      <c r="I461" s="970">
        <v>0</v>
      </c>
    </row>
    <row r="462" spans="1:9" s="426" customFormat="1">
      <c r="A462" s="29" t="s">
        <v>151</v>
      </c>
      <c r="B462" s="748"/>
      <c r="C462" s="892">
        <f>C450+C452+C454+C456+C458</f>
        <v>0</v>
      </c>
      <c r="D462" s="892">
        <v>0</v>
      </c>
      <c r="E462" s="892">
        <v>40000</v>
      </c>
      <c r="F462" s="892">
        <v>128000</v>
      </c>
      <c r="G462" s="892">
        <v>20000</v>
      </c>
      <c r="H462" s="892">
        <v>200000</v>
      </c>
      <c r="I462" s="892">
        <v>0</v>
      </c>
    </row>
    <row r="463" spans="1:9" s="426" customFormat="1" ht="15" thickBot="1">
      <c r="A463" s="975" t="s">
        <v>13</v>
      </c>
      <c r="B463" s="976"/>
      <c r="C463" s="977">
        <f>D463+C462</f>
        <v>388000</v>
      </c>
      <c r="D463" s="977">
        <v>388000</v>
      </c>
      <c r="E463" s="977">
        <v>388000</v>
      </c>
      <c r="F463" s="977">
        <v>348000</v>
      </c>
      <c r="G463" s="977">
        <v>220000</v>
      </c>
      <c r="H463" s="977">
        <v>200000</v>
      </c>
      <c r="I463" s="977">
        <v>0</v>
      </c>
    </row>
    <row r="464" spans="1:9" s="1090" customFormat="1" ht="15" thickBot="1">
      <c r="A464" s="1087"/>
      <c r="B464" s="1088"/>
      <c r="C464" s="1089"/>
      <c r="D464" s="1089"/>
      <c r="E464" s="1089"/>
      <c r="F464" s="1089"/>
      <c r="G464" s="1089"/>
      <c r="H464" s="1089"/>
      <c r="I464" s="1089"/>
    </row>
    <row r="465" spans="1:9" s="1090" customFormat="1">
      <c r="A465" s="1106" t="s">
        <v>788</v>
      </c>
      <c r="B465" s="1094"/>
      <c r="C465" s="1095"/>
      <c r="D465" s="1095"/>
      <c r="E465" s="1095"/>
      <c r="F465" s="1095"/>
      <c r="G465" s="1095"/>
      <c r="H465" s="1095"/>
      <c r="I465" s="1095"/>
    </row>
    <row r="466" spans="1:9" s="1123" customFormat="1">
      <c r="A466" s="1120" t="s">
        <v>180</v>
      </c>
      <c r="B466" s="1121"/>
      <c r="C466" s="1122">
        <f>'PESTA RIKI'!H15</f>
        <v>0</v>
      </c>
      <c r="D466" s="1122">
        <v>0</v>
      </c>
      <c r="E466" s="1122">
        <v>0</v>
      </c>
      <c r="F466" s="1122">
        <v>0</v>
      </c>
      <c r="G466" s="1122">
        <v>0</v>
      </c>
      <c r="H466" s="1122">
        <v>0</v>
      </c>
      <c r="I466" s="1122">
        <v>0</v>
      </c>
    </row>
    <row r="467" spans="1:9" s="1090" customFormat="1">
      <c r="A467" s="1107" t="s">
        <v>13</v>
      </c>
      <c r="B467" s="1108"/>
      <c r="C467" s="1109">
        <f>D467+C466</f>
        <v>0</v>
      </c>
      <c r="D467" s="1109">
        <v>0</v>
      </c>
      <c r="E467" s="1109">
        <v>0</v>
      </c>
      <c r="F467" s="1109">
        <v>0</v>
      </c>
      <c r="G467" s="1109">
        <v>0</v>
      </c>
      <c r="H467" s="1109">
        <v>0</v>
      </c>
      <c r="I467" s="1109">
        <v>0</v>
      </c>
    </row>
    <row r="468" spans="1:9" s="1123" customFormat="1">
      <c r="A468" s="1124" t="s">
        <v>27</v>
      </c>
      <c r="B468" s="1125"/>
      <c r="C468" s="1126">
        <f>'PESTA RIKI'!B15</f>
        <v>0</v>
      </c>
      <c r="D468" s="1126">
        <v>0</v>
      </c>
      <c r="E468" s="1126">
        <v>0</v>
      </c>
      <c r="F468" s="1126">
        <v>0</v>
      </c>
      <c r="G468" s="1126">
        <v>0</v>
      </c>
      <c r="H468" s="1126">
        <v>0</v>
      </c>
      <c r="I468" s="1126">
        <v>0</v>
      </c>
    </row>
    <row r="469" spans="1:9" s="1090" customFormat="1">
      <c r="A469" s="1107" t="s">
        <v>13</v>
      </c>
      <c r="B469" s="1108"/>
      <c r="C469" s="1109">
        <f>D469+C468</f>
        <v>0</v>
      </c>
      <c r="D469" s="1109">
        <v>0</v>
      </c>
      <c r="E469" s="1109">
        <v>0</v>
      </c>
      <c r="F469" s="1109">
        <v>0</v>
      </c>
      <c r="G469" s="1109">
        <v>0</v>
      </c>
      <c r="H469" s="1109">
        <v>0</v>
      </c>
      <c r="I469" s="1109">
        <v>0</v>
      </c>
    </row>
    <row r="470" spans="1:9" s="1123" customFormat="1">
      <c r="A470" s="1120" t="s">
        <v>151</v>
      </c>
      <c r="B470" s="1121"/>
      <c r="C470" s="1122">
        <f>C466+C468</f>
        <v>0</v>
      </c>
      <c r="D470" s="1122">
        <v>0</v>
      </c>
      <c r="E470" s="1122">
        <v>0</v>
      </c>
      <c r="F470" s="1122">
        <v>0</v>
      </c>
      <c r="G470" s="1122">
        <v>0</v>
      </c>
      <c r="H470" s="1122">
        <v>0</v>
      </c>
      <c r="I470" s="1122">
        <v>0</v>
      </c>
    </row>
    <row r="471" spans="1:9" s="1090" customFormat="1" ht="15" thickBot="1">
      <c r="A471" s="1096" t="s">
        <v>13</v>
      </c>
      <c r="B471" s="1097"/>
      <c r="C471" s="977">
        <f>D471+C470</f>
        <v>0</v>
      </c>
      <c r="D471" s="977">
        <v>0</v>
      </c>
      <c r="E471" s="977">
        <v>0</v>
      </c>
      <c r="F471" s="977">
        <v>0</v>
      </c>
      <c r="G471" s="977">
        <v>0</v>
      </c>
      <c r="H471" s="977">
        <v>0</v>
      </c>
      <c r="I471" s="977">
        <v>0</v>
      </c>
    </row>
    <row r="472" spans="1:9" s="1090" customFormat="1">
      <c r="A472" s="1091"/>
      <c r="B472" s="1092"/>
      <c r="C472" s="1093"/>
      <c r="D472" s="1093"/>
      <c r="E472" s="1093"/>
      <c r="F472" s="1093"/>
      <c r="G472" s="1093"/>
      <c r="H472" s="1093"/>
      <c r="I472" s="1093"/>
    </row>
    <row r="473" spans="1:9" s="685" customFormat="1">
      <c r="A473" s="73" t="s">
        <v>49</v>
      </c>
      <c r="B473" s="808" t="s">
        <v>291</v>
      </c>
      <c r="C473" s="875">
        <f>RHUMAH!AY188</f>
        <v>0</v>
      </c>
      <c r="D473" s="875">
        <v>0</v>
      </c>
      <c r="E473" s="875">
        <v>1554000</v>
      </c>
      <c r="F473" s="875">
        <v>370000</v>
      </c>
      <c r="G473" s="875">
        <v>0</v>
      </c>
      <c r="H473" s="875">
        <v>3659843</v>
      </c>
      <c r="I473" s="875">
        <v>0</v>
      </c>
    </row>
    <row r="474" spans="1:9" s="426" customFormat="1">
      <c r="A474" s="816" t="s">
        <v>109</v>
      </c>
      <c r="B474" s="746"/>
      <c r="C474" s="702">
        <f>D474+C473</f>
        <v>5583843</v>
      </c>
      <c r="D474" s="702">
        <v>5583843</v>
      </c>
      <c r="E474" s="702">
        <v>5583843</v>
      </c>
      <c r="F474" s="702">
        <v>4029843</v>
      </c>
      <c r="G474" s="702">
        <v>3659843</v>
      </c>
      <c r="H474" s="702">
        <v>3659843</v>
      </c>
      <c r="I474" s="702">
        <v>0</v>
      </c>
    </row>
    <row r="475" spans="1:9" s="426" customFormat="1">
      <c r="A475" s="817"/>
      <c r="B475" s="748"/>
      <c r="C475" s="879"/>
      <c r="D475" s="879"/>
      <c r="E475" s="879"/>
      <c r="F475" s="879"/>
      <c r="G475" s="879"/>
      <c r="H475" s="879"/>
      <c r="I475" s="879"/>
    </row>
    <row r="476" spans="1:9" s="426" customFormat="1">
      <c r="A476" s="817" t="s">
        <v>154</v>
      </c>
      <c r="B476" s="748"/>
      <c r="C476" s="879"/>
      <c r="D476" s="879"/>
      <c r="E476" s="879"/>
      <c r="F476" s="879"/>
      <c r="G476" s="879"/>
      <c r="H476" s="879"/>
      <c r="I476" s="879"/>
    </row>
    <row r="477" spans="1:9" s="426" customFormat="1">
      <c r="A477" s="818" t="s">
        <v>138</v>
      </c>
      <c r="B477" s="746" t="s">
        <v>292</v>
      </c>
      <c r="C477" s="888">
        <f>RHUMAH!BA21</f>
        <v>0</v>
      </c>
      <c r="D477" s="888">
        <v>0</v>
      </c>
      <c r="E477" s="888">
        <v>0</v>
      </c>
      <c r="F477" s="888">
        <v>0</v>
      </c>
      <c r="G477" s="888">
        <v>0</v>
      </c>
      <c r="H477" s="888">
        <v>0</v>
      </c>
      <c r="I477" s="888">
        <v>0</v>
      </c>
    </row>
    <row r="478" spans="1:9" s="426" customFormat="1">
      <c r="A478" s="819" t="s">
        <v>13</v>
      </c>
      <c r="B478" s="746"/>
      <c r="C478" s="702">
        <f>D478+C477</f>
        <v>0</v>
      </c>
      <c r="D478" s="702">
        <v>0</v>
      </c>
      <c r="E478" s="702">
        <v>0</v>
      </c>
      <c r="F478" s="702">
        <v>0</v>
      </c>
      <c r="G478" s="702">
        <v>0</v>
      </c>
      <c r="H478" s="702">
        <v>0</v>
      </c>
      <c r="I478" s="702">
        <v>0</v>
      </c>
    </row>
    <row r="479" spans="1:9" s="426" customFormat="1">
      <c r="A479" s="818" t="s">
        <v>139</v>
      </c>
      <c r="B479" s="746" t="s">
        <v>293</v>
      </c>
      <c r="C479" s="889">
        <f>RHUMAH!BB21</f>
        <v>0</v>
      </c>
      <c r="D479" s="889">
        <v>0</v>
      </c>
      <c r="E479" s="889">
        <v>0</v>
      </c>
      <c r="F479" s="889">
        <v>0</v>
      </c>
      <c r="G479" s="889">
        <v>0</v>
      </c>
      <c r="H479" s="889">
        <v>0</v>
      </c>
      <c r="I479" s="889">
        <v>0</v>
      </c>
    </row>
    <row r="480" spans="1:9" s="426" customFormat="1">
      <c r="A480" s="819" t="s">
        <v>13</v>
      </c>
      <c r="B480" s="746"/>
      <c r="C480" s="702">
        <f>D480+C479</f>
        <v>0</v>
      </c>
      <c r="D480" s="702">
        <v>0</v>
      </c>
      <c r="E480" s="702">
        <v>0</v>
      </c>
      <c r="F480" s="702">
        <v>0</v>
      </c>
      <c r="G480" s="702">
        <v>0</v>
      </c>
      <c r="H480" s="702">
        <v>0</v>
      </c>
      <c r="I480" s="702">
        <v>0</v>
      </c>
    </row>
    <row r="481" spans="1:9" s="426" customFormat="1">
      <c r="A481" s="820" t="s">
        <v>885</v>
      </c>
      <c r="B481" s="746"/>
      <c r="C481" s="1154">
        <f>RHUMAH!BC21</f>
        <v>0</v>
      </c>
      <c r="D481" s="1154">
        <v>0</v>
      </c>
      <c r="E481" s="1154">
        <v>0</v>
      </c>
      <c r="F481" s="1154">
        <v>0</v>
      </c>
      <c r="G481" s="1154">
        <v>0</v>
      </c>
      <c r="H481" s="1154"/>
      <c r="I481" s="1154"/>
    </row>
    <row r="482" spans="1:9" s="426" customFormat="1">
      <c r="A482" s="819" t="s">
        <v>13</v>
      </c>
      <c r="B482" s="746"/>
      <c r="C482" s="702">
        <f>D482+C481</f>
        <v>0</v>
      </c>
      <c r="D482" s="702">
        <v>0</v>
      </c>
      <c r="E482" s="702">
        <v>0</v>
      </c>
      <c r="F482" s="702">
        <v>0</v>
      </c>
      <c r="G482" s="702">
        <v>0</v>
      </c>
      <c r="H482" s="702"/>
      <c r="I482" s="702"/>
    </row>
    <row r="483" spans="1:9" s="426" customFormat="1">
      <c r="A483" s="818" t="s">
        <v>27</v>
      </c>
      <c r="B483" s="746" t="s">
        <v>294</v>
      </c>
      <c r="C483" s="889">
        <f>RHUMAH!BD21</f>
        <v>0</v>
      </c>
      <c r="D483" s="889">
        <v>0</v>
      </c>
      <c r="E483" s="889">
        <v>0</v>
      </c>
      <c r="F483" s="889">
        <v>0</v>
      </c>
      <c r="G483" s="889">
        <v>0</v>
      </c>
      <c r="H483" s="889">
        <v>0</v>
      </c>
      <c r="I483" s="889">
        <v>0</v>
      </c>
    </row>
    <row r="484" spans="1:9" s="426" customFormat="1">
      <c r="A484" s="819" t="s">
        <v>13</v>
      </c>
      <c r="B484" s="746"/>
      <c r="C484" s="702">
        <f>D484+C483</f>
        <v>0</v>
      </c>
      <c r="D484" s="702">
        <v>0</v>
      </c>
      <c r="E484" s="702">
        <v>0</v>
      </c>
      <c r="F484" s="702">
        <v>0</v>
      </c>
      <c r="G484" s="702">
        <v>0</v>
      </c>
      <c r="H484" s="702">
        <v>0</v>
      </c>
      <c r="I484" s="702">
        <v>0</v>
      </c>
    </row>
    <row r="485" spans="1:9" s="426" customFormat="1">
      <c r="A485" s="820" t="s">
        <v>151</v>
      </c>
      <c r="B485" s="746"/>
      <c r="C485" s="889">
        <f>C477+C479+C481+C483</f>
        <v>0</v>
      </c>
      <c r="D485" s="889">
        <v>0</v>
      </c>
      <c r="E485" s="889">
        <v>0</v>
      </c>
      <c r="F485" s="889">
        <v>0</v>
      </c>
      <c r="G485" s="889">
        <v>0</v>
      </c>
      <c r="H485" s="889">
        <v>0</v>
      </c>
      <c r="I485" s="889">
        <v>0</v>
      </c>
    </row>
    <row r="486" spans="1:9" s="426" customFormat="1">
      <c r="A486" s="821" t="s">
        <v>13</v>
      </c>
      <c r="B486" s="792"/>
      <c r="C486" s="702">
        <f>D486+C485</f>
        <v>0</v>
      </c>
      <c r="D486" s="702">
        <v>0</v>
      </c>
      <c r="E486" s="702">
        <v>0</v>
      </c>
      <c r="F486" s="702">
        <v>0</v>
      </c>
      <c r="G486" s="702">
        <v>0</v>
      </c>
      <c r="H486" s="702">
        <v>0</v>
      </c>
      <c r="I486" s="702">
        <v>0</v>
      </c>
    </row>
    <row r="487" spans="1:9">
      <c r="A487" s="1"/>
      <c r="B487" s="748"/>
      <c r="C487" s="890"/>
      <c r="D487" s="890"/>
      <c r="E487" s="890"/>
      <c r="F487" s="890"/>
      <c r="G487" s="890"/>
      <c r="H487" s="890"/>
      <c r="I487" s="890"/>
    </row>
    <row r="488" spans="1:9">
      <c r="A488" s="822" t="s">
        <v>61</v>
      </c>
      <c r="B488" s="748"/>
      <c r="C488" s="890"/>
      <c r="D488" s="890"/>
      <c r="E488" s="890"/>
      <c r="F488" s="890"/>
      <c r="G488" s="890"/>
      <c r="H488" s="890"/>
      <c r="I488" s="890"/>
    </row>
    <row r="489" spans="1:9">
      <c r="A489" s="28" t="s">
        <v>135</v>
      </c>
      <c r="B489" s="746" t="s">
        <v>295</v>
      </c>
      <c r="C489" s="875">
        <f>RHUMAH!BA9</f>
        <v>0</v>
      </c>
      <c r="D489" s="875">
        <v>0</v>
      </c>
      <c r="E489" s="875">
        <v>0</v>
      </c>
      <c r="F489" s="875">
        <v>0</v>
      </c>
      <c r="G489" s="875">
        <v>0</v>
      </c>
      <c r="H489" s="875">
        <v>0</v>
      </c>
      <c r="I489" s="875">
        <v>0</v>
      </c>
    </row>
    <row r="490" spans="1:9" s="717" customFormat="1" ht="15.6">
      <c r="A490" s="823" t="s">
        <v>13</v>
      </c>
      <c r="B490" s="824"/>
      <c r="C490" s="716">
        <f>D490+C489</f>
        <v>0</v>
      </c>
      <c r="D490" s="716">
        <v>0</v>
      </c>
      <c r="E490" s="716">
        <v>0</v>
      </c>
      <c r="F490" s="716">
        <v>0</v>
      </c>
      <c r="G490" s="716">
        <v>0</v>
      </c>
      <c r="H490" s="716">
        <v>0</v>
      </c>
      <c r="I490" s="716">
        <v>0</v>
      </c>
    </row>
    <row r="491" spans="1:9">
      <c r="A491" s="28" t="s">
        <v>4</v>
      </c>
      <c r="B491" s="746" t="s">
        <v>296</v>
      </c>
      <c r="C491" s="875">
        <f>RHUMAH!BB9</f>
        <v>0</v>
      </c>
      <c r="D491" s="875">
        <v>0</v>
      </c>
      <c r="E491" s="875">
        <v>0</v>
      </c>
      <c r="F491" s="875">
        <v>0</v>
      </c>
      <c r="G491" s="875">
        <v>0</v>
      </c>
      <c r="H491" s="875">
        <v>200999</v>
      </c>
      <c r="I491" s="875">
        <v>0</v>
      </c>
    </row>
    <row r="492" spans="1:9" s="717" customFormat="1" ht="15.6">
      <c r="A492" s="823" t="s">
        <v>13</v>
      </c>
      <c r="B492" s="824"/>
      <c r="C492" s="716">
        <f>D492+C491</f>
        <v>200999</v>
      </c>
      <c r="D492" s="716">
        <v>200999</v>
      </c>
      <c r="E492" s="716">
        <v>200999</v>
      </c>
      <c r="F492" s="716">
        <v>200999</v>
      </c>
      <c r="G492" s="716">
        <v>200999</v>
      </c>
      <c r="H492" s="716">
        <v>200999</v>
      </c>
      <c r="I492" s="716">
        <v>0</v>
      </c>
    </row>
    <row r="493" spans="1:9">
      <c r="A493" s="28" t="s">
        <v>136</v>
      </c>
      <c r="B493" s="746" t="s">
        <v>297</v>
      </c>
      <c r="C493" s="875">
        <f>RHUMAH!BC9</f>
        <v>0</v>
      </c>
      <c r="D493" s="875">
        <v>0</v>
      </c>
      <c r="E493" s="875">
        <v>0</v>
      </c>
      <c r="F493" s="875">
        <v>0</v>
      </c>
      <c r="G493" s="875">
        <v>0</v>
      </c>
      <c r="H493" s="875">
        <v>0</v>
      </c>
      <c r="I493" s="875">
        <v>0</v>
      </c>
    </row>
    <row r="494" spans="1:9" s="717" customFormat="1" ht="15.6">
      <c r="A494" s="823" t="s">
        <v>13</v>
      </c>
      <c r="B494" s="824"/>
      <c r="C494" s="716">
        <f>D494+C493</f>
        <v>0</v>
      </c>
      <c r="D494" s="716">
        <v>0</v>
      </c>
      <c r="E494" s="716">
        <v>0</v>
      </c>
      <c r="F494" s="716">
        <v>0</v>
      </c>
      <c r="G494" s="716">
        <v>0</v>
      </c>
      <c r="H494" s="716">
        <v>0</v>
      </c>
      <c r="I494" s="716">
        <v>0</v>
      </c>
    </row>
    <row r="495" spans="1:9">
      <c r="A495" s="28" t="s">
        <v>137</v>
      </c>
      <c r="B495" s="746" t="s">
        <v>298</v>
      </c>
      <c r="C495" s="875">
        <f>RHUMAH!BD9</f>
        <v>0</v>
      </c>
      <c r="D495" s="875">
        <v>0</v>
      </c>
      <c r="E495" s="875">
        <v>0</v>
      </c>
      <c r="F495" s="875">
        <v>0</v>
      </c>
      <c r="G495" s="875">
        <v>0</v>
      </c>
      <c r="H495" s="875">
        <v>0</v>
      </c>
      <c r="I495" s="875">
        <v>0</v>
      </c>
    </row>
    <row r="496" spans="1:9" s="717" customFormat="1" ht="15.6">
      <c r="A496" s="823" t="s">
        <v>13</v>
      </c>
      <c r="B496" s="824"/>
      <c r="C496" s="716">
        <f>D496+C495</f>
        <v>0</v>
      </c>
      <c r="D496" s="716">
        <v>0</v>
      </c>
      <c r="E496" s="716">
        <v>0</v>
      </c>
      <c r="F496" s="716">
        <v>0</v>
      </c>
      <c r="G496" s="716">
        <v>0</v>
      </c>
      <c r="H496" s="716">
        <v>0</v>
      </c>
      <c r="I496" s="716">
        <v>0</v>
      </c>
    </row>
    <row r="497" spans="1:9" s="717" customFormat="1" ht="15.6">
      <c r="A497" s="1323" t="s">
        <v>138</v>
      </c>
      <c r="B497" s="824"/>
      <c r="C497" s="1322">
        <f>RHUMAH!BE9</f>
        <v>0</v>
      </c>
      <c r="D497" s="1322">
        <v>0</v>
      </c>
      <c r="E497" s="1322">
        <v>0</v>
      </c>
      <c r="F497" s="1322">
        <v>0</v>
      </c>
      <c r="G497" s="1322">
        <v>0</v>
      </c>
      <c r="H497" s="1322"/>
      <c r="I497" s="1322"/>
    </row>
    <row r="498" spans="1:9" s="717" customFormat="1" ht="15.6">
      <c r="A498" s="823" t="s">
        <v>13</v>
      </c>
      <c r="B498" s="824"/>
      <c r="C498" s="716">
        <f>D498+C497</f>
        <v>0</v>
      </c>
      <c r="D498" s="716">
        <v>0</v>
      </c>
      <c r="E498" s="716">
        <v>0</v>
      </c>
      <c r="F498" s="716">
        <v>0</v>
      </c>
      <c r="G498" s="716">
        <v>0</v>
      </c>
      <c r="H498" s="716"/>
      <c r="I498" s="716"/>
    </row>
    <row r="499" spans="1:9" s="717" customFormat="1" ht="15.6">
      <c r="A499" s="1323" t="s">
        <v>139</v>
      </c>
      <c r="B499" s="824"/>
      <c r="C499" s="1322">
        <f>RHUMAH!BF9</f>
        <v>0</v>
      </c>
      <c r="D499" s="1322">
        <v>0</v>
      </c>
      <c r="E499" s="1322">
        <v>0</v>
      </c>
      <c r="F499" s="1322">
        <v>0</v>
      </c>
      <c r="G499" s="1322">
        <v>0</v>
      </c>
      <c r="H499" s="1322"/>
      <c r="I499" s="1322"/>
    </row>
    <row r="500" spans="1:9" s="717" customFormat="1" ht="15.6">
      <c r="A500" s="823" t="s">
        <v>13</v>
      </c>
      <c r="B500" s="824"/>
      <c r="C500" s="716">
        <f>D500+C499</f>
        <v>0</v>
      </c>
      <c r="D500" s="716">
        <v>0</v>
      </c>
      <c r="E500" s="716">
        <v>0</v>
      </c>
      <c r="F500" s="716">
        <v>0</v>
      </c>
      <c r="G500" s="716">
        <v>0</v>
      </c>
      <c r="H500" s="716"/>
      <c r="I500" s="716"/>
    </row>
    <row r="501" spans="1:9">
      <c r="A501" s="28" t="s">
        <v>27</v>
      </c>
      <c r="B501" s="746" t="s">
        <v>299</v>
      </c>
      <c r="C501" s="875">
        <f>RHUMAH!BG9</f>
        <v>0</v>
      </c>
      <c r="D501" s="875">
        <v>0</v>
      </c>
      <c r="E501" s="875">
        <v>0</v>
      </c>
      <c r="F501" s="875">
        <v>0</v>
      </c>
      <c r="G501" s="875">
        <v>0</v>
      </c>
      <c r="H501" s="875">
        <v>0</v>
      </c>
      <c r="I501" s="875">
        <v>0</v>
      </c>
    </row>
    <row r="502" spans="1:9" s="717" customFormat="1" ht="15.6">
      <c r="A502" s="823" t="s">
        <v>13</v>
      </c>
      <c r="B502" s="824"/>
      <c r="C502" s="716">
        <f>D502+C501</f>
        <v>0</v>
      </c>
      <c r="D502" s="716">
        <v>0</v>
      </c>
      <c r="E502" s="716">
        <v>0</v>
      </c>
      <c r="F502" s="716">
        <v>0</v>
      </c>
      <c r="G502" s="716">
        <v>0</v>
      </c>
      <c r="H502" s="716">
        <v>0</v>
      </c>
      <c r="I502" s="716">
        <v>0</v>
      </c>
    </row>
    <row r="503" spans="1:9">
      <c r="A503" s="825" t="s">
        <v>151</v>
      </c>
      <c r="B503" s="746"/>
      <c r="C503" s="875">
        <f>C489+C491+C493+C495+C497+C499+C501</f>
        <v>0</v>
      </c>
      <c r="D503" s="875">
        <v>0</v>
      </c>
      <c r="E503" s="875">
        <v>0</v>
      </c>
      <c r="F503" s="875">
        <v>0</v>
      </c>
      <c r="G503" s="875">
        <v>0</v>
      </c>
      <c r="H503" s="875">
        <v>200999</v>
      </c>
      <c r="I503" s="875">
        <v>0</v>
      </c>
    </row>
    <row r="504" spans="1:9" s="718" customFormat="1" ht="15.6">
      <c r="A504" s="826" t="s">
        <v>13</v>
      </c>
      <c r="B504" s="827"/>
      <c r="C504" s="716">
        <f>D504+C503</f>
        <v>200999</v>
      </c>
      <c r="D504" s="716">
        <v>200999</v>
      </c>
      <c r="E504" s="716">
        <v>200999</v>
      </c>
      <c r="F504" s="716">
        <v>200999</v>
      </c>
      <c r="G504" s="716">
        <v>200999</v>
      </c>
      <c r="H504" s="716">
        <v>200999</v>
      </c>
      <c r="I504" s="716">
        <v>0</v>
      </c>
    </row>
    <row r="505" spans="1:9" s="426" customFormat="1">
      <c r="A505" s="29"/>
      <c r="B505" s="748"/>
      <c r="C505" s="719"/>
      <c r="D505" s="719"/>
      <c r="E505" s="719"/>
      <c r="F505" s="719"/>
      <c r="G505" s="719"/>
      <c r="H505" s="719"/>
      <c r="I505" s="719"/>
    </row>
    <row r="506" spans="1:9">
      <c r="A506" s="28" t="s">
        <v>107</v>
      </c>
      <c r="B506" s="746" t="s">
        <v>300</v>
      </c>
      <c r="C506" s="875">
        <f>RHUMAH!BA26</f>
        <v>0</v>
      </c>
      <c r="D506" s="875">
        <v>250000</v>
      </c>
      <c r="E506" s="875">
        <v>0</v>
      </c>
      <c r="F506" s="875">
        <v>0</v>
      </c>
      <c r="G506" s="875">
        <v>0</v>
      </c>
      <c r="H506" s="875">
        <v>0</v>
      </c>
      <c r="I506" s="875">
        <v>0</v>
      </c>
    </row>
    <row r="507" spans="1:9" s="426" customFormat="1">
      <c r="A507" s="828" t="s">
        <v>108</v>
      </c>
      <c r="B507" s="792"/>
      <c r="C507" s="702">
        <f>D507+C506</f>
        <v>250000</v>
      </c>
      <c r="D507" s="702">
        <v>250000</v>
      </c>
      <c r="E507" s="702">
        <v>0</v>
      </c>
      <c r="F507" s="702">
        <v>0</v>
      </c>
      <c r="G507" s="702">
        <v>0</v>
      </c>
      <c r="H507" s="702">
        <v>0</v>
      </c>
      <c r="I507" s="702">
        <v>0</v>
      </c>
    </row>
    <row r="508" spans="1:9" s="426" customFormat="1">
      <c r="A508" s="29"/>
      <c r="B508" s="748"/>
      <c r="C508" s="891"/>
      <c r="D508" s="891"/>
      <c r="E508" s="891"/>
      <c r="F508" s="891"/>
      <c r="G508" s="891"/>
      <c r="H508" s="891"/>
      <c r="I508" s="891"/>
    </row>
    <row r="509" spans="1:9" s="426" customFormat="1">
      <c r="A509" s="29" t="s">
        <v>97</v>
      </c>
      <c r="B509" s="748"/>
      <c r="C509" s="891"/>
      <c r="D509" s="891"/>
      <c r="E509" s="891"/>
      <c r="F509" s="891"/>
      <c r="G509" s="891"/>
      <c r="H509" s="891"/>
      <c r="I509" s="891"/>
    </row>
    <row r="510" spans="1:9">
      <c r="A510" s="28" t="s">
        <v>901</v>
      </c>
      <c r="B510" s="746" t="s">
        <v>301</v>
      </c>
      <c r="C510" s="875">
        <f>RHUMAH!BA15</f>
        <v>0</v>
      </c>
      <c r="D510" s="875">
        <v>0</v>
      </c>
      <c r="E510" s="875">
        <v>0</v>
      </c>
      <c r="F510" s="875">
        <v>102400</v>
      </c>
      <c r="G510" s="875">
        <v>0</v>
      </c>
      <c r="H510" s="875">
        <v>0</v>
      </c>
      <c r="I510" s="875">
        <v>0</v>
      </c>
    </row>
    <row r="511" spans="1:9" s="712" customFormat="1">
      <c r="A511" s="819" t="s">
        <v>13</v>
      </c>
      <c r="B511" s="780"/>
      <c r="C511" s="702">
        <f>D511+C510</f>
        <v>102400</v>
      </c>
      <c r="D511" s="702">
        <v>102400</v>
      </c>
      <c r="E511" s="702">
        <v>102400</v>
      </c>
      <c r="F511" s="702">
        <v>102400</v>
      </c>
      <c r="G511" s="702">
        <v>0</v>
      </c>
      <c r="H511" s="702">
        <v>0</v>
      </c>
      <c r="I511" s="702">
        <v>0</v>
      </c>
    </row>
    <row r="512" spans="1:9">
      <c r="A512" s="28" t="s">
        <v>902</v>
      </c>
      <c r="B512" s="746" t="s">
        <v>302</v>
      </c>
      <c r="C512" s="875">
        <f>RHUMAH!BB15</f>
        <v>0</v>
      </c>
      <c r="D512" s="875">
        <v>0</v>
      </c>
      <c r="E512" s="875">
        <v>0</v>
      </c>
      <c r="F512" s="875">
        <v>0</v>
      </c>
      <c r="G512" s="875">
        <v>0</v>
      </c>
      <c r="H512" s="875">
        <v>0</v>
      </c>
      <c r="I512" s="875">
        <v>0</v>
      </c>
    </row>
    <row r="513" spans="1:9" s="712" customFormat="1">
      <c r="A513" s="819" t="s">
        <v>13</v>
      </c>
      <c r="B513" s="780"/>
      <c r="C513" s="702">
        <f>D513+C512</f>
        <v>0</v>
      </c>
      <c r="D513" s="702">
        <v>0</v>
      </c>
      <c r="E513" s="702">
        <v>0</v>
      </c>
      <c r="F513" s="702">
        <v>0</v>
      </c>
      <c r="G513" s="702">
        <v>0</v>
      </c>
      <c r="H513" s="702">
        <v>0</v>
      </c>
      <c r="I513" s="702">
        <v>0</v>
      </c>
    </row>
    <row r="514" spans="1:9" s="712" customFormat="1">
      <c r="A514" s="820" t="s">
        <v>139</v>
      </c>
      <c r="B514" s="780"/>
      <c r="C514" s="1154">
        <f>RHUMAH!BC15</f>
        <v>0</v>
      </c>
      <c r="D514" s="1154">
        <v>0</v>
      </c>
      <c r="E514" s="1154">
        <v>0</v>
      </c>
      <c r="F514" s="1154">
        <v>0</v>
      </c>
      <c r="G514" s="1154">
        <v>0</v>
      </c>
      <c r="H514" s="1154"/>
      <c r="I514" s="1154"/>
    </row>
    <row r="515" spans="1:9" s="712" customFormat="1">
      <c r="A515" s="819" t="s">
        <v>13</v>
      </c>
      <c r="B515" s="780"/>
      <c r="C515" s="702">
        <f>D515+C514</f>
        <v>0</v>
      </c>
      <c r="D515" s="702">
        <v>0</v>
      </c>
      <c r="E515" s="702">
        <v>0</v>
      </c>
      <c r="F515" s="702">
        <v>0</v>
      </c>
      <c r="G515" s="702">
        <v>0</v>
      </c>
      <c r="H515" s="702">
        <v>0</v>
      </c>
      <c r="I515" s="702">
        <v>0</v>
      </c>
    </row>
    <row r="516" spans="1:9">
      <c r="A516" s="28" t="s">
        <v>173</v>
      </c>
      <c r="B516" s="746" t="s">
        <v>303</v>
      </c>
      <c r="C516" s="875">
        <f>RHUMAH!BD15</f>
        <v>0</v>
      </c>
      <c r="D516" s="875">
        <v>0</v>
      </c>
      <c r="E516" s="875">
        <v>0</v>
      </c>
      <c r="F516" s="875">
        <v>0</v>
      </c>
      <c r="G516" s="875">
        <v>0</v>
      </c>
      <c r="H516" s="875">
        <v>0</v>
      </c>
      <c r="I516" s="875">
        <v>0</v>
      </c>
    </row>
    <row r="517" spans="1:9" s="712" customFormat="1">
      <c r="A517" s="819" t="s">
        <v>13</v>
      </c>
      <c r="B517" s="780"/>
      <c r="C517" s="702">
        <f>D517+C516</f>
        <v>0</v>
      </c>
      <c r="D517" s="702">
        <v>0</v>
      </c>
      <c r="E517" s="702">
        <v>0</v>
      </c>
      <c r="F517" s="702">
        <v>0</v>
      </c>
      <c r="G517" s="702">
        <v>0</v>
      </c>
      <c r="H517" s="702">
        <v>0</v>
      </c>
      <c r="I517" s="702">
        <v>0</v>
      </c>
    </row>
    <row r="518" spans="1:9" s="712" customFormat="1">
      <c r="A518" s="820" t="s">
        <v>174</v>
      </c>
      <c r="B518" s="780" t="s">
        <v>304</v>
      </c>
      <c r="C518" s="889">
        <f>RHUMAH!BE15</f>
        <v>0</v>
      </c>
      <c r="D518" s="889">
        <v>0</v>
      </c>
      <c r="E518" s="889">
        <v>0</v>
      </c>
      <c r="F518" s="889">
        <v>0</v>
      </c>
      <c r="G518" s="889">
        <v>0</v>
      </c>
      <c r="H518" s="889">
        <v>0</v>
      </c>
      <c r="I518" s="889">
        <v>0</v>
      </c>
    </row>
    <row r="519" spans="1:9" s="712" customFormat="1">
      <c r="A519" s="819" t="s">
        <v>13</v>
      </c>
      <c r="B519" s="780"/>
      <c r="C519" s="702">
        <f>D519+C518</f>
        <v>0</v>
      </c>
      <c r="D519" s="702">
        <v>0</v>
      </c>
      <c r="E519" s="702">
        <v>0</v>
      </c>
      <c r="F519" s="702">
        <v>0</v>
      </c>
      <c r="G519" s="702">
        <v>0</v>
      </c>
      <c r="H519" s="702">
        <v>0</v>
      </c>
      <c r="I519" s="702">
        <v>0</v>
      </c>
    </row>
    <row r="520" spans="1:9" s="712" customFormat="1">
      <c r="A520" s="820" t="s">
        <v>193</v>
      </c>
      <c r="B520" s="780" t="s">
        <v>305</v>
      </c>
      <c r="C520" s="889">
        <f>RHUMAH!BF15</f>
        <v>0</v>
      </c>
      <c r="D520" s="889">
        <v>0</v>
      </c>
      <c r="E520" s="889">
        <v>0</v>
      </c>
      <c r="F520" s="889">
        <v>0</v>
      </c>
      <c r="G520" s="889">
        <v>0</v>
      </c>
      <c r="H520" s="889">
        <v>0</v>
      </c>
      <c r="I520" s="889">
        <v>0</v>
      </c>
    </row>
    <row r="521" spans="1:9" s="712" customFormat="1">
      <c r="A521" s="819" t="s">
        <v>13</v>
      </c>
      <c r="B521" s="780"/>
      <c r="C521" s="702">
        <f>D521+C520</f>
        <v>0</v>
      </c>
      <c r="D521" s="702">
        <v>0</v>
      </c>
      <c r="E521" s="702">
        <v>0</v>
      </c>
      <c r="F521" s="702">
        <v>0</v>
      </c>
      <c r="G521" s="702">
        <v>0</v>
      </c>
      <c r="H521" s="702">
        <v>0</v>
      </c>
      <c r="I521" s="702">
        <v>0</v>
      </c>
    </row>
    <row r="522" spans="1:9" s="712" customFormat="1">
      <c r="A522" s="820" t="s">
        <v>345</v>
      </c>
      <c r="B522" s="780"/>
      <c r="C522" s="1154">
        <f>RHUMAH!BG15</f>
        <v>0</v>
      </c>
      <c r="D522" s="1154">
        <v>0</v>
      </c>
      <c r="E522" s="1154">
        <v>0</v>
      </c>
      <c r="F522" s="1154">
        <v>0</v>
      </c>
      <c r="G522" s="1154">
        <v>0</v>
      </c>
      <c r="H522" s="1154"/>
      <c r="I522" s="1154"/>
    </row>
    <row r="523" spans="1:9" s="712" customFormat="1">
      <c r="A523" s="819" t="s">
        <v>13</v>
      </c>
      <c r="B523" s="780"/>
      <c r="C523" s="702">
        <f>D523+C522</f>
        <v>0</v>
      </c>
      <c r="D523" s="702">
        <v>0</v>
      </c>
      <c r="E523" s="702">
        <v>0</v>
      </c>
      <c r="F523" s="702">
        <v>0</v>
      </c>
      <c r="G523" s="702">
        <v>0</v>
      </c>
      <c r="H523" s="702">
        <v>0</v>
      </c>
      <c r="I523" s="702">
        <v>0</v>
      </c>
    </row>
    <row r="524" spans="1:9" s="712" customFormat="1">
      <c r="A524" s="1173"/>
      <c r="B524" s="780"/>
      <c r="C524" s="1154">
        <f>RHUMAH!BH15</f>
        <v>0</v>
      </c>
      <c r="D524" s="1154">
        <v>0</v>
      </c>
      <c r="E524" s="1154">
        <v>0</v>
      </c>
      <c r="F524" s="1154">
        <v>0</v>
      </c>
      <c r="G524" s="1154">
        <v>0</v>
      </c>
      <c r="H524" s="1154"/>
      <c r="I524" s="1154"/>
    </row>
    <row r="525" spans="1:9" s="712" customFormat="1">
      <c r="A525" s="1173"/>
      <c r="B525" s="780"/>
      <c r="C525" s="702">
        <f>D525+C524</f>
        <v>0</v>
      </c>
      <c r="D525" s="702">
        <v>0</v>
      </c>
      <c r="E525" s="702">
        <v>0</v>
      </c>
      <c r="F525" s="702">
        <v>0</v>
      </c>
      <c r="G525" s="702">
        <v>0</v>
      </c>
      <c r="H525" s="702">
        <v>0</v>
      </c>
      <c r="I525" s="702">
        <v>0</v>
      </c>
    </row>
    <row r="526" spans="1:9" s="712" customFormat="1">
      <c r="A526" s="1173"/>
      <c r="B526" s="780"/>
      <c r="C526" s="1154">
        <f>RHUMAH!BI15</f>
        <v>0</v>
      </c>
      <c r="D526" s="1154">
        <v>0</v>
      </c>
      <c r="E526" s="1154">
        <v>0</v>
      </c>
      <c r="F526" s="1154">
        <v>0</v>
      </c>
      <c r="G526" s="1154">
        <v>0</v>
      </c>
      <c r="H526" s="1154"/>
      <c r="I526" s="1154"/>
    </row>
    <row r="527" spans="1:9" s="712" customFormat="1">
      <c r="A527" s="1173"/>
      <c r="B527" s="780"/>
      <c r="C527" s="702">
        <f>D527+C526</f>
        <v>0</v>
      </c>
      <c r="D527" s="702">
        <v>0</v>
      </c>
      <c r="E527" s="702">
        <v>0</v>
      </c>
      <c r="F527" s="702">
        <v>0</v>
      </c>
      <c r="G527" s="702">
        <v>0</v>
      </c>
      <c r="H527" s="702">
        <v>0</v>
      </c>
      <c r="I527" s="702">
        <v>0</v>
      </c>
    </row>
    <row r="528" spans="1:9">
      <c r="A528" s="825" t="s">
        <v>151</v>
      </c>
      <c r="B528" s="746"/>
      <c r="C528" s="875">
        <f>C510+C512+C514+C516+C518+C520+C522+C524+C526</f>
        <v>0</v>
      </c>
      <c r="D528" s="875">
        <v>0</v>
      </c>
      <c r="E528" s="875">
        <v>0</v>
      </c>
      <c r="F528" s="875">
        <v>102400</v>
      </c>
      <c r="G528" s="875">
        <v>0</v>
      </c>
      <c r="H528" s="875">
        <v>0</v>
      </c>
      <c r="I528" s="875">
        <v>0</v>
      </c>
    </row>
    <row r="529" spans="1:9" s="426" customFormat="1">
      <c r="A529" s="821" t="s">
        <v>13</v>
      </c>
      <c r="B529" s="792"/>
      <c r="C529" s="702">
        <f>D529+C528</f>
        <v>102400</v>
      </c>
      <c r="D529" s="702">
        <v>102400</v>
      </c>
      <c r="E529" s="702">
        <v>102400</v>
      </c>
      <c r="F529" s="702">
        <v>102400</v>
      </c>
      <c r="G529" s="702">
        <v>0</v>
      </c>
      <c r="H529" s="702">
        <v>0</v>
      </c>
      <c r="I529" s="702">
        <v>0</v>
      </c>
    </row>
    <row r="530" spans="1:9" s="426" customFormat="1">
      <c r="A530" s="817"/>
      <c r="B530" s="748"/>
      <c r="C530" s="879"/>
      <c r="D530" s="879"/>
      <c r="E530" s="879"/>
      <c r="F530" s="879"/>
      <c r="G530" s="879"/>
      <c r="H530" s="879"/>
      <c r="I530" s="879"/>
    </row>
    <row r="531" spans="1:9" s="426" customFormat="1">
      <c r="A531" s="817" t="s">
        <v>140</v>
      </c>
      <c r="B531" s="748"/>
      <c r="C531" s="879"/>
      <c r="D531" s="879"/>
      <c r="E531" s="879"/>
      <c r="F531" s="879"/>
      <c r="G531" s="879"/>
      <c r="H531" s="879"/>
      <c r="I531" s="879"/>
    </row>
    <row r="532" spans="1:9" s="426" customFormat="1">
      <c r="A532" s="818" t="s">
        <v>141</v>
      </c>
      <c r="B532" s="746" t="s">
        <v>306</v>
      </c>
      <c r="C532" s="888">
        <f>RHUMAH!BG31</f>
        <v>0</v>
      </c>
      <c r="D532" s="888">
        <v>0</v>
      </c>
      <c r="E532" s="888">
        <v>0</v>
      </c>
      <c r="F532" s="888">
        <v>0</v>
      </c>
      <c r="G532" s="888">
        <v>0</v>
      </c>
      <c r="H532" s="888">
        <v>0</v>
      </c>
      <c r="I532" s="888">
        <v>0</v>
      </c>
    </row>
    <row r="533" spans="1:9" s="426" customFormat="1">
      <c r="A533" s="829" t="s">
        <v>13</v>
      </c>
      <c r="B533" s="746"/>
      <c r="C533" s="702">
        <f>D533+C532</f>
        <v>0</v>
      </c>
      <c r="D533" s="702">
        <v>0</v>
      </c>
      <c r="E533" s="702">
        <v>0</v>
      </c>
      <c r="F533" s="702">
        <v>0</v>
      </c>
      <c r="G533" s="702">
        <v>0</v>
      </c>
      <c r="H533" s="702">
        <v>0</v>
      </c>
      <c r="I533" s="702">
        <v>0</v>
      </c>
    </row>
    <row r="534" spans="1:9" s="426" customFormat="1">
      <c r="A534" s="818" t="s">
        <v>142</v>
      </c>
      <c r="B534" s="746" t="s">
        <v>307</v>
      </c>
      <c r="C534" s="888">
        <f>RHUMAH!BG32</f>
        <v>0</v>
      </c>
      <c r="D534" s="888">
        <v>0</v>
      </c>
      <c r="E534" s="888">
        <v>0</v>
      </c>
      <c r="F534" s="888">
        <v>0</v>
      </c>
      <c r="G534" s="888">
        <v>0</v>
      </c>
      <c r="H534" s="888">
        <v>0</v>
      </c>
      <c r="I534" s="888">
        <v>0</v>
      </c>
    </row>
    <row r="535" spans="1:9" s="426" customFormat="1">
      <c r="A535" s="829" t="s">
        <v>13</v>
      </c>
      <c r="B535" s="746"/>
      <c r="C535" s="702">
        <f>D535+C534</f>
        <v>0</v>
      </c>
      <c r="D535" s="702">
        <v>0</v>
      </c>
      <c r="E535" s="702">
        <v>0</v>
      </c>
      <c r="F535" s="702">
        <v>0</v>
      </c>
      <c r="G535" s="702">
        <v>0</v>
      </c>
      <c r="H535" s="702">
        <v>0</v>
      </c>
      <c r="I535" s="702">
        <v>0</v>
      </c>
    </row>
    <row r="536" spans="1:9" s="426" customFormat="1">
      <c r="A536" s="818" t="s">
        <v>143</v>
      </c>
      <c r="B536" s="746" t="s">
        <v>308</v>
      </c>
      <c r="C536" s="888">
        <f>RHUMAH!BG33</f>
        <v>0</v>
      </c>
      <c r="D536" s="888">
        <v>0</v>
      </c>
      <c r="E536" s="888">
        <v>0</v>
      </c>
      <c r="F536" s="888">
        <v>0</v>
      </c>
      <c r="G536" s="888">
        <v>0</v>
      </c>
      <c r="H536" s="888">
        <v>0</v>
      </c>
      <c r="I536" s="888">
        <v>0</v>
      </c>
    </row>
    <row r="537" spans="1:9" s="426" customFormat="1">
      <c r="A537" s="829" t="s">
        <v>13</v>
      </c>
      <c r="B537" s="746"/>
      <c r="C537" s="702">
        <f>D537+C536</f>
        <v>0</v>
      </c>
      <c r="D537" s="702">
        <v>0</v>
      </c>
      <c r="E537" s="702">
        <v>0</v>
      </c>
      <c r="F537" s="702">
        <v>0</v>
      </c>
      <c r="G537" s="702">
        <v>0</v>
      </c>
      <c r="H537" s="702">
        <v>0</v>
      </c>
      <c r="I537" s="702">
        <v>0</v>
      </c>
    </row>
    <row r="538" spans="1:9" s="426" customFormat="1">
      <c r="A538" s="820" t="s">
        <v>766</v>
      </c>
      <c r="B538" s="746"/>
      <c r="C538" s="1154">
        <f>RHUMAH!BG34</f>
        <v>0</v>
      </c>
      <c r="D538" s="1154">
        <v>0</v>
      </c>
      <c r="E538" s="1154">
        <v>0</v>
      </c>
      <c r="F538" s="1154">
        <v>0</v>
      </c>
      <c r="G538" s="1154">
        <v>0</v>
      </c>
      <c r="H538" s="1154"/>
      <c r="I538" s="1154"/>
    </row>
    <row r="539" spans="1:9" s="426" customFormat="1">
      <c r="A539" s="829" t="s">
        <v>13</v>
      </c>
      <c r="B539" s="746"/>
      <c r="C539" s="702">
        <f>D539+C538</f>
        <v>0</v>
      </c>
      <c r="D539" s="702">
        <v>0</v>
      </c>
      <c r="E539" s="702">
        <v>0</v>
      </c>
      <c r="F539" s="702">
        <v>0</v>
      </c>
      <c r="G539" s="702">
        <v>0</v>
      </c>
      <c r="H539" s="702">
        <v>0</v>
      </c>
      <c r="I539" s="702">
        <v>0</v>
      </c>
    </row>
    <row r="540" spans="1:9" s="426" customFormat="1">
      <c r="A540" s="1324" t="s">
        <v>767</v>
      </c>
      <c r="B540" s="746"/>
      <c r="C540" s="1154">
        <f>RHUMAH!BG35</f>
        <v>0</v>
      </c>
      <c r="D540" s="1154">
        <v>0</v>
      </c>
      <c r="E540" s="1154">
        <v>0</v>
      </c>
      <c r="F540" s="1154">
        <v>0</v>
      </c>
      <c r="G540" s="1154">
        <v>0</v>
      </c>
      <c r="H540" s="1154"/>
      <c r="I540" s="1154"/>
    </row>
    <row r="541" spans="1:9" s="426" customFormat="1">
      <c r="A541" s="1174" t="s">
        <v>13</v>
      </c>
      <c r="B541" s="746"/>
      <c r="C541" s="702">
        <f>D541+C540</f>
        <v>0</v>
      </c>
      <c r="D541" s="702">
        <v>0</v>
      </c>
      <c r="E541" s="702">
        <v>0</v>
      </c>
      <c r="F541" s="702">
        <v>0</v>
      </c>
      <c r="G541" s="702">
        <v>0</v>
      </c>
      <c r="H541" s="702">
        <v>0</v>
      </c>
      <c r="I541" s="702">
        <v>0</v>
      </c>
    </row>
    <row r="542" spans="1:9" s="426" customFormat="1">
      <c r="A542" s="1324" t="s">
        <v>853</v>
      </c>
      <c r="B542" s="746"/>
      <c r="C542" s="1154">
        <f>RHUMAH!BG36</f>
        <v>0</v>
      </c>
      <c r="D542" s="1154">
        <v>0</v>
      </c>
      <c r="E542" s="1154">
        <v>0</v>
      </c>
      <c r="F542" s="1154">
        <v>0</v>
      </c>
      <c r="G542" s="1154">
        <v>0</v>
      </c>
      <c r="H542" s="1154"/>
      <c r="I542" s="1154"/>
    </row>
    <row r="543" spans="1:9" s="426" customFormat="1">
      <c r="A543" s="1174" t="s">
        <v>13</v>
      </c>
      <c r="B543" s="746"/>
      <c r="C543" s="702">
        <f>D543+C542</f>
        <v>0</v>
      </c>
      <c r="D543" s="702">
        <v>0</v>
      </c>
      <c r="E543" s="702">
        <v>0</v>
      </c>
      <c r="F543" s="702">
        <v>0</v>
      </c>
      <c r="G543" s="702">
        <v>0</v>
      </c>
      <c r="H543" s="702">
        <v>0</v>
      </c>
      <c r="I543" s="702">
        <v>0</v>
      </c>
    </row>
    <row r="544" spans="1:9" s="426" customFormat="1">
      <c r="A544" s="820" t="s">
        <v>242</v>
      </c>
      <c r="B544" s="746" t="s">
        <v>309</v>
      </c>
      <c r="C544" s="889">
        <f>RHUMAH!BG37</f>
        <v>0</v>
      </c>
      <c r="D544" s="889">
        <v>0</v>
      </c>
      <c r="E544" s="889">
        <v>0</v>
      </c>
      <c r="F544" s="889">
        <v>0</v>
      </c>
      <c r="G544" s="889">
        <v>0</v>
      </c>
      <c r="H544" s="889">
        <v>0</v>
      </c>
      <c r="I544" s="889">
        <v>0</v>
      </c>
    </row>
    <row r="545" spans="1:9" s="426" customFormat="1">
      <c r="A545" s="829" t="s">
        <v>13</v>
      </c>
      <c r="B545" s="746"/>
      <c r="C545" s="702">
        <f>D545+C544</f>
        <v>0</v>
      </c>
      <c r="D545" s="702">
        <v>0</v>
      </c>
      <c r="E545" s="702">
        <v>0</v>
      </c>
      <c r="F545" s="702">
        <v>0</v>
      </c>
      <c r="G545" s="702">
        <v>0</v>
      </c>
      <c r="H545" s="702">
        <v>0</v>
      </c>
      <c r="I545" s="702">
        <v>0</v>
      </c>
    </row>
    <row r="546" spans="1:9" s="426" customFormat="1">
      <c r="A546" s="820" t="s">
        <v>241</v>
      </c>
      <c r="B546" s="746" t="s">
        <v>310</v>
      </c>
      <c r="C546" s="889">
        <f>RHUMAH!BG38</f>
        <v>0</v>
      </c>
      <c r="D546" s="889">
        <v>0</v>
      </c>
      <c r="E546" s="889">
        <v>0</v>
      </c>
      <c r="F546" s="889">
        <v>0</v>
      </c>
      <c r="G546" s="889">
        <v>0</v>
      </c>
      <c r="H546" s="889">
        <v>0</v>
      </c>
      <c r="I546" s="889">
        <v>0</v>
      </c>
    </row>
    <row r="547" spans="1:9" s="426" customFormat="1">
      <c r="A547" s="829" t="s">
        <v>13</v>
      </c>
      <c r="B547" s="746"/>
      <c r="C547" s="702">
        <f>D547+C546</f>
        <v>0</v>
      </c>
      <c r="D547" s="702">
        <v>0</v>
      </c>
      <c r="E547" s="702">
        <v>0</v>
      </c>
      <c r="F547" s="702">
        <v>0</v>
      </c>
      <c r="G547" s="702">
        <v>0</v>
      </c>
      <c r="H547" s="702">
        <v>0</v>
      </c>
      <c r="I547" s="702">
        <v>0</v>
      </c>
    </row>
    <row r="548" spans="1:9" s="426" customFormat="1">
      <c r="A548" s="818" t="s">
        <v>144</v>
      </c>
      <c r="B548" s="746" t="s">
        <v>311</v>
      </c>
      <c r="C548" s="875">
        <f>RHUMAH!BG39</f>
        <v>0</v>
      </c>
      <c r="D548" s="875">
        <v>0</v>
      </c>
      <c r="E548" s="875">
        <v>0</v>
      </c>
      <c r="F548" s="875">
        <v>0</v>
      </c>
      <c r="G548" s="875">
        <v>0</v>
      </c>
      <c r="H548" s="875">
        <v>0</v>
      </c>
      <c r="I548" s="875">
        <v>0</v>
      </c>
    </row>
    <row r="549" spans="1:9" s="426" customFormat="1">
      <c r="A549" s="829" t="s">
        <v>13</v>
      </c>
      <c r="B549" s="746"/>
      <c r="C549" s="702">
        <f>D549+C548</f>
        <v>0</v>
      </c>
      <c r="D549" s="702">
        <v>0</v>
      </c>
      <c r="E549" s="702">
        <v>0</v>
      </c>
      <c r="F549" s="702">
        <v>0</v>
      </c>
      <c r="G549" s="702">
        <v>0</v>
      </c>
      <c r="H549" s="702">
        <v>0</v>
      </c>
      <c r="I549" s="702">
        <v>0</v>
      </c>
    </row>
    <row r="550" spans="1:9" s="426" customFormat="1">
      <c r="A550" s="818" t="s">
        <v>145</v>
      </c>
      <c r="B550" s="746" t="s">
        <v>312</v>
      </c>
      <c r="C550" s="875">
        <f>RHUMAH!BG40</f>
        <v>0</v>
      </c>
      <c r="D550" s="875">
        <v>0</v>
      </c>
      <c r="E550" s="875">
        <v>0</v>
      </c>
      <c r="F550" s="875">
        <v>0</v>
      </c>
      <c r="G550" s="875">
        <v>0</v>
      </c>
      <c r="H550" s="875">
        <v>0</v>
      </c>
      <c r="I550" s="875">
        <v>0</v>
      </c>
    </row>
    <row r="551" spans="1:9" s="426" customFormat="1">
      <c r="A551" s="829" t="s">
        <v>13</v>
      </c>
      <c r="B551" s="746"/>
      <c r="C551" s="702">
        <f>D551+C550</f>
        <v>0</v>
      </c>
      <c r="D551" s="702">
        <v>0</v>
      </c>
      <c r="E551" s="702">
        <v>0</v>
      </c>
      <c r="F551" s="702">
        <v>0</v>
      </c>
      <c r="G551" s="702">
        <v>0</v>
      </c>
      <c r="H551" s="702">
        <v>0</v>
      </c>
      <c r="I551" s="702">
        <v>0</v>
      </c>
    </row>
    <row r="552" spans="1:9" s="426" customFormat="1">
      <c r="A552" s="820" t="s">
        <v>346</v>
      </c>
      <c r="B552" s="746" t="s">
        <v>528</v>
      </c>
      <c r="C552" s="875">
        <f>RHUMAH!BG41</f>
        <v>0</v>
      </c>
      <c r="D552" s="875">
        <v>0</v>
      </c>
      <c r="E552" s="875">
        <v>0</v>
      </c>
      <c r="F552" s="875">
        <v>0</v>
      </c>
      <c r="G552" s="875">
        <v>0</v>
      </c>
      <c r="H552" s="875">
        <v>0</v>
      </c>
      <c r="I552" s="875">
        <v>0</v>
      </c>
    </row>
    <row r="553" spans="1:9" s="426" customFormat="1">
      <c r="A553" s="829" t="s">
        <v>13</v>
      </c>
      <c r="B553" s="746"/>
      <c r="C553" s="702">
        <f>D553+C552</f>
        <v>0</v>
      </c>
      <c r="D553" s="702">
        <v>0</v>
      </c>
      <c r="E553" s="702">
        <v>0</v>
      </c>
      <c r="F553" s="702">
        <v>0</v>
      </c>
      <c r="G553" s="702">
        <v>0</v>
      </c>
      <c r="H553" s="702">
        <v>0</v>
      </c>
      <c r="I553" s="702">
        <v>0</v>
      </c>
    </row>
    <row r="554" spans="1:9" s="426" customFormat="1">
      <c r="A554" s="820" t="s">
        <v>764</v>
      </c>
      <c r="B554" s="746"/>
      <c r="C554" s="1154">
        <f>RHUMAH!BG42</f>
        <v>0</v>
      </c>
      <c r="D554" s="1154">
        <v>0</v>
      </c>
      <c r="E554" s="1154">
        <v>0</v>
      </c>
      <c r="F554" s="1154">
        <v>0</v>
      </c>
      <c r="G554" s="1154">
        <v>0</v>
      </c>
      <c r="H554" s="1154"/>
      <c r="I554" s="1154"/>
    </row>
    <row r="555" spans="1:9" s="426" customFormat="1">
      <c r="A555" s="829" t="s">
        <v>13</v>
      </c>
      <c r="B555" s="746"/>
      <c r="C555" s="702">
        <f>D555+C554</f>
        <v>0</v>
      </c>
      <c r="D555" s="702">
        <v>0</v>
      </c>
      <c r="E555" s="702">
        <v>0</v>
      </c>
      <c r="F555" s="702">
        <v>0</v>
      </c>
      <c r="G555" s="702">
        <v>0</v>
      </c>
      <c r="H555" s="702">
        <v>0</v>
      </c>
      <c r="I555" s="702">
        <v>0</v>
      </c>
    </row>
    <row r="556" spans="1:9" s="426" customFormat="1">
      <c r="A556" s="1324" t="s">
        <v>765</v>
      </c>
      <c r="B556" s="746"/>
      <c r="C556" s="1154">
        <f>RHUMAH!BG43</f>
        <v>0</v>
      </c>
      <c r="D556" s="1154">
        <v>0</v>
      </c>
      <c r="E556" s="1154">
        <v>0</v>
      </c>
      <c r="F556" s="1154">
        <v>0</v>
      </c>
      <c r="G556" s="1154">
        <v>0</v>
      </c>
      <c r="H556" s="1154"/>
      <c r="I556" s="1154"/>
    </row>
    <row r="557" spans="1:9" s="426" customFormat="1">
      <c r="A557" s="1174" t="s">
        <v>13</v>
      </c>
      <c r="B557" s="746"/>
      <c r="C557" s="702">
        <f>D557+C556</f>
        <v>0</v>
      </c>
      <c r="D557" s="702">
        <v>0</v>
      </c>
      <c r="E557" s="702">
        <v>0</v>
      </c>
      <c r="F557" s="702">
        <v>0</v>
      </c>
      <c r="G557" s="702">
        <v>0</v>
      </c>
      <c r="H557" s="702">
        <v>0</v>
      </c>
      <c r="I557" s="702">
        <v>0</v>
      </c>
    </row>
    <row r="558" spans="1:9" s="426" customFormat="1">
      <c r="A558" s="1324" t="s">
        <v>854</v>
      </c>
      <c r="B558" s="746"/>
      <c r="C558" s="1154">
        <f>RHUMAH!BG44</f>
        <v>0</v>
      </c>
      <c r="D558" s="1154">
        <v>0</v>
      </c>
      <c r="E558" s="1154">
        <v>0</v>
      </c>
      <c r="F558" s="1154">
        <v>0</v>
      </c>
      <c r="G558" s="1154">
        <v>0</v>
      </c>
      <c r="H558" s="1154"/>
      <c r="I558" s="1154"/>
    </row>
    <row r="559" spans="1:9" s="426" customFormat="1">
      <c r="A559" s="1174" t="s">
        <v>13</v>
      </c>
      <c r="B559" s="746"/>
      <c r="C559" s="702">
        <f>D559+C558</f>
        <v>0</v>
      </c>
      <c r="D559" s="702">
        <v>0</v>
      </c>
      <c r="E559" s="702">
        <v>0</v>
      </c>
      <c r="F559" s="702">
        <v>0</v>
      </c>
      <c r="G559" s="702">
        <v>0</v>
      </c>
      <c r="H559" s="702">
        <v>0</v>
      </c>
      <c r="I559" s="702">
        <v>0</v>
      </c>
    </row>
    <row r="560" spans="1:9" s="426" customFormat="1">
      <c r="A560" s="818" t="s">
        <v>146</v>
      </c>
      <c r="B560" s="746" t="s">
        <v>313</v>
      </c>
      <c r="C560" s="875">
        <f>RHUMAH!BG45</f>
        <v>0</v>
      </c>
      <c r="D560" s="875">
        <v>0</v>
      </c>
      <c r="E560" s="875">
        <v>0</v>
      </c>
      <c r="F560" s="875">
        <v>0</v>
      </c>
      <c r="G560" s="875">
        <v>0</v>
      </c>
      <c r="H560" s="875">
        <v>0</v>
      </c>
      <c r="I560" s="875">
        <v>0</v>
      </c>
    </row>
    <row r="561" spans="1:9" s="426" customFormat="1">
      <c r="A561" s="830" t="s">
        <v>13</v>
      </c>
      <c r="B561" s="746"/>
      <c r="C561" s="720">
        <f>D561+C560</f>
        <v>0</v>
      </c>
      <c r="D561" s="720">
        <v>0</v>
      </c>
      <c r="E561" s="720">
        <v>0</v>
      </c>
      <c r="F561" s="720">
        <v>0</v>
      </c>
      <c r="G561" s="720">
        <v>0</v>
      </c>
      <c r="H561" s="720">
        <v>0</v>
      </c>
      <c r="I561" s="720">
        <v>0</v>
      </c>
    </row>
    <row r="562" spans="1:9">
      <c r="A562" s="28" t="s">
        <v>147</v>
      </c>
      <c r="B562" s="746" t="s">
        <v>314</v>
      </c>
      <c r="C562" s="875">
        <f>RHUMAH!BG46</f>
        <v>0</v>
      </c>
      <c r="D562" s="875">
        <v>0</v>
      </c>
      <c r="E562" s="875">
        <v>0</v>
      </c>
      <c r="F562" s="875">
        <v>0</v>
      </c>
      <c r="G562" s="875">
        <v>0</v>
      </c>
      <c r="H562" s="875">
        <v>0</v>
      </c>
      <c r="I562" s="875">
        <v>0</v>
      </c>
    </row>
    <row r="563" spans="1:9" s="426" customFormat="1">
      <c r="A563" s="830" t="s">
        <v>13</v>
      </c>
      <c r="B563" s="746"/>
      <c r="C563" s="702">
        <f>D563+C562</f>
        <v>0</v>
      </c>
      <c r="D563" s="702">
        <v>0</v>
      </c>
      <c r="E563" s="702">
        <v>0</v>
      </c>
      <c r="F563" s="702">
        <v>0</v>
      </c>
      <c r="G563" s="702">
        <v>0</v>
      </c>
      <c r="H563" s="702">
        <v>0</v>
      </c>
      <c r="I563" s="702">
        <v>0</v>
      </c>
    </row>
    <row r="564" spans="1:9" s="426" customFormat="1">
      <c r="A564" s="825" t="s">
        <v>886</v>
      </c>
      <c r="B564" s="746" t="s">
        <v>315</v>
      </c>
      <c r="C564" s="875">
        <f>RHUMAH!BG47</f>
        <v>0</v>
      </c>
      <c r="D564" s="875">
        <v>0</v>
      </c>
      <c r="E564" s="875">
        <v>0</v>
      </c>
      <c r="F564" s="875">
        <v>0</v>
      </c>
      <c r="G564" s="875">
        <v>0</v>
      </c>
      <c r="H564" s="875">
        <v>0</v>
      </c>
      <c r="I564" s="875">
        <v>0</v>
      </c>
    </row>
    <row r="565" spans="1:9" s="426" customFormat="1">
      <c r="A565" s="830" t="s">
        <v>13</v>
      </c>
      <c r="B565" s="746"/>
      <c r="C565" s="702">
        <f>D565+C564</f>
        <v>0</v>
      </c>
      <c r="D565" s="702">
        <v>0</v>
      </c>
      <c r="E565" s="702">
        <v>0</v>
      </c>
      <c r="F565" s="702">
        <v>0</v>
      </c>
      <c r="G565" s="702">
        <v>0</v>
      </c>
      <c r="H565" s="702">
        <v>0</v>
      </c>
      <c r="I565" s="702">
        <v>0</v>
      </c>
    </row>
    <row r="566" spans="1:9" s="426" customFormat="1">
      <c r="A566" s="825" t="s">
        <v>889</v>
      </c>
      <c r="B566" s="746" t="s">
        <v>316</v>
      </c>
      <c r="C566" s="875">
        <f>RHUMAH!BG50</f>
        <v>0</v>
      </c>
      <c r="D566" s="875">
        <v>0</v>
      </c>
      <c r="E566" s="875">
        <v>0</v>
      </c>
      <c r="F566" s="875">
        <v>0</v>
      </c>
      <c r="G566" s="875">
        <v>0</v>
      </c>
      <c r="H566" s="875">
        <v>0</v>
      </c>
      <c r="I566" s="875">
        <v>0</v>
      </c>
    </row>
    <row r="567" spans="1:9" s="426" customFormat="1">
      <c r="A567" s="830" t="s">
        <v>13</v>
      </c>
      <c r="B567" s="746"/>
      <c r="C567" s="702">
        <f>D567+C566</f>
        <v>0</v>
      </c>
      <c r="D567" s="702">
        <v>0</v>
      </c>
      <c r="E567" s="702">
        <v>0</v>
      </c>
      <c r="F567" s="702">
        <v>0</v>
      </c>
      <c r="G567" s="702">
        <v>0</v>
      </c>
      <c r="H567" s="702">
        <v>0</v>
      </c>
      <c r="I567" s="702">
        <v>0</v>
      </c>
    </row>
    <row r="568" spans="1:9" s="426" customFormat="1">
      <c r="A568" s="825" t="s">
        <v>232</v>
      </c>
      <c r="B568" s="746" t="s">
        <v>317</v>
      </c>
      <c r="C568" s="875">
        <f>RHUMAH!BG53</f>
        <v>0</v>
      </c>
      <c r="D568" s="875">
        <v>0</v>
      </c>
      <c r="E568" s="875">
        <v>0</v>
      </c>
      <c r="F568" s="875">
        <v>0</v>
      </c>
      <c r="G568" s="875">
        <v>0</v>
      </c>
      <c r="H568" s="875">
        <v>0</v>
      </c>
      <c r="I568" s="875">
        <v>0</v>
      </c>
    </row>
    <row r="569" spans="1:9" s="426" customFormat="1">
      <c r="A569" s="830" t="s">
        <v>13</v>
      </c>
      <c r="B569" s="746"/>
      <c r="C569" s="702">
        <f>D569+C568</f>
        <v>0</v>
      </c>
      <c r="D569" s="702">
        <v>0</v>
      </c>
      <c r="E569" s="702">
        <v>0</v>
      </c>
      <c r="F569" s="702">
        <v>0</v>
      </c>
      <c r="G569" s="702">
        <v>0</v>
      </c>
      <c r="H569" s="702">
        <v>0</v>
      </c>
      <c r="I569" s="702">
        <v>0</v>
      </c>
    </row>
    <row r="570" spans="1:9" s="426" customFormat="1">
      <c r="A570" s="825" t="s">
        <v>233</v>
      </c>
      <c r="B570" s="746" t="s">
        <v>318</v>
      </c>
      <c r="C570" s="875">
        <f>RHUMAH!BG54</f>
        <v>0</v>
      </c>
      <c r="D570" s="875">
        <v>0</v>
      </c>
      <c r="E570" s="875">
        <v>0</v>
      </c>
      <c r="F570" s="875">
        <v>0</v>
      </c>
      <c r="G570" s="875">
        <v>0</v>
      </c>
      <c r="H570" s="875">
        <v>0</v>
      </c>
      <c r="I570" s="875">
        <v>0</v>
      </c>
    </row>
    <row r="571" spans="1:9" s="426" customFormat="1">
      <c r="A571" s="830" t="s">
        <v>13</v>
      </c>
      <c r="B571" s="746"/>
      <c r="C571" s="702">
        <f>D571+C570</f>
        <v>0</v>
      </c>
      <c r="D571" s="702">
        <v>0</v>
      </c>
      <c r="E571" s="702">
        <v>0</v>
      </c>
      <c r="F571" s="702">
        <v>0</v>
      </c>
      <c r="G571" s="702">
        <v>0</v>
      </c>
      <c r="H571" s="702">
        <v>0</v>
      </c>
      <c r="I571" s="702">
        <v>0</v>
      </c>
    </row>
    <row r="572" spans="1:9" s="426" customFormat="1">
      <c r="A572" s="825" t="s">
        <v>234</v>
      </c>
      <c r="B572" s="746" t="s">
        <v>319</v>
      </c>
      <c r="C572" s="875">
        <f>RHUMAH!BG61</f>
        <v>0</v>
      </c>
      <c r="D572" s="875">
        <v>0</v>
      </c>
      <c r="E572" s="875">
        <v>0</v>
      </c>
      <c r="F572" s="875">
        <v>0</v>
      </c>
      <c r="G572" s="875">
        <v>0</v>
      </c>
      <c r="H572" s="875">
        <v>0</v>
      </c>
      <c r="I572" s="875">
        <v>0</v>
      </c>
    </row>
    <row r="573" spans="1:9" s="426" customFormat="1">
      <c r="A573" s="830" t="s">
        <v>13</v>
      </c>
      <c r="B573" s="746"/>
      <c r="C573" s="702">
        <f>D573+C572</f>
        <v>0</v>
      </c>
      <c r="D573" s="702">
        <v>0</v>
      </c>
      <c r="E573" s="702">
        <v>0</v>
      </c>
      <c r="F573" s="702">
        <v>0</v>
      </c>
      <c r="G573" s="702">
        <v>0</v>
      </c>
      <c r="H573" s="702">
        <v>0</v>
      </c>
      <c r="I573" s="702">
        <v>0</v>
      </c>
    </row>
    <row r="574" spans="1:9" s="426" customFormat="1">
      <c r="A574" s="825" t="s">
        <v>235</v>
      </c>
      <c r="B574" s="746" t="s">
        <v>320</v>
      </c>
      <c r="C574" s="875">
        <f>RHUMAH!BG62</f>
        <v>0</v>
      </c>
      <c r="D574" s="875">
        <v>0</v>
      </c>
      <c r="E574" s="875">
        <v>0</v>
      </c>
      <c r="F574" s="875">
        <v>0</v>
      </c>
      <c r="G574" s="875">
        <v>0</v>
      </c>
      <c r="H574" s="875">
        <v>0</v>
      </c>
      <c r="I574" s="875">
        <v>0</v>
      </c>
    </row>
    <row r="575" spans="1:9" s="426" customFormat="1">
      <c r="A575" s="830" t="s">
        <v>13</v>
      </c>
      <c r="B575" s="746"/>
      <c r="C575" s="702">
        <f>D575+C574</f>
        <v>0</v>
      </c>
      <c r="D575" s="702">
        <v>0</v>
      </c>
      <c r="E575" s="702">
        <v>0</v>
      </c>
      <c r="F575" s="702">
        <v>0</v>
      </c>
      <c r="G575" s="702">
        <v>0</v>
      </c>
      <c r="H575" s="702">
        <v>0</v>
      </c>
      <c r="I575" s="702">
        <v>0</v>
      </c>
    </row>
    <row r="576" spans="1:9" s="426" customFormat="1">
      <c r="A576" s="825" t="s">
        <v>236</v>
      </c>
      <c r="B576" s="746" t="s">
        <v>321</v>
      </c>
      <c r="C576" s="875"/>
      <c r="D576" s="875"/>
      <c r="E576" s="875"/>
      <c r="F576" s="875"/>
      <c r="G576" s="875"/>
      <c r="H576" s="875">
        <v>0</v>
      </c>
      <c r="I576" s="875">
        <v>0</v>
      </c>
    </row>
    <row r="577" spans="1:9" s="426" customFormat="1">
      <c r="A577" s="830" t="s">
        <v>13</v>
      </c>
      <c r="B577" s="746"/>
      <c r="C577" s="702">
        <f>D577+C576</f>
        <v>0</v>
      </c>
      <c r="D577" s="702">
        <v>0</v>
      </c>
      <c r="E577" s="702">
        <v>0</v>
      </c>
      <c r="F577" s="702">
        <v>0</v>
      </c>
      <c r="G577" s="702">
        <v>0</v>
      </c>
      <c r="H577" s="702">
        <v>0</v>
      </c>
      <c r="I577" s="702">
        <v>0</v>
      </c>
    </row>
    <row r="578" spans="1:9" s="426" customFormat="1">
      <c r="A578" s="1325" t="s">
        <v>887</v>
      </c>
      <c r="B578" s="746"/>
      <c r="C578" s="1154">
        <f>RHUMAH!BG48</f>
        <v>0</v>
      </c>
      <c r="D578" s="1154">
        <v>0</v>
      </c>
      <c r="E578" s="1154">
        <v>0</v>
      </c>
      <c r="F578" s="1154">
        <v>0</v>
      </c>
      <c r="G578" s="1154">
        <v>0</v>
      </c>
      <c r="H578" s="1154"/>
      <c r="I578" s="1154"/>
    </row>
    <row r="579" spans="1:9" s="426" customFormat="1">
      <c r="A579" s="1175" t="s">
        <v>13</v>
      </c>
      <c r="B579" s="746"/>
      <c r="C579" s="702">
        <f>D579+C578</f>
        <v>0</v>
      </c>
      <c r="D579" s="702">
        <v>0</v>
      </c>
      <c r="E579" s="702">
        <v>0</v>
      </c>
      <c r="F579" s="702">
        <v>0</v>
      </c>
      <c r="G579" s="702">
        <v>0</v>
      </c>
      <c r="H579" s="702">
        <v>0</v>
      </c>
      <c r="I579" s="702">
        <v>0</v>
      </c>
    </row>
    <row r="580" spans="1:9" s="426" customFormat="1">
      <c r="A580" s="1325" t="s">
        <v>888</v>
      </c>
      <c r="B580" s="746"/>
      <c r="C580" s="1154">
        <f>RHUMAH!BG49</f>
        <v>0</v>
      </c>
      <c r="D580" s="1154">
        <v>0</v>
      </c>
      <c r="E580" s="1154">
        <v>0</v>
      </c>
      <c r="F580" s="1154">
        <v>0</v>
      </c>
      <c r="G580" s="1154">
        <v>0</v>
      </c>
      <c r="H580" s="1154"/>
      <c r="I580" s="1154"/>
    </row>
    <row r="581" spans="1:9" s="426" customFormat="1">
      <c r="A581" s="1175" t="s">
        <v>13</v>
      </c>
      <c r="B581" s="746"/>
      <c r="C581" s="702">
        <f>D581+C580</f>
        <v>0</v>
      </c>
      <c r="D581" s="702">
        <v>0</v>
      </c>
      <c r="E581" s="702">
        <v>0</v>
      </c>
      <c r="F581" s="702">
        <v>0</v>
      </c>
      <c r="G581" s="702">
        <v>0</v>
      </c>
      <c r="H581" s="702">
        <v>0</v>
      </c>
      <c r="I581" s="702">
        <v>0</v>
      </c>
    </row>
    <row r="582" spans="1:9" s="426" customFormat="1">
      <c r="A582" s="1325" t="s">
        <v>890</v>
      </c>
      <c r="B582" s="746"/>
      <c r="C582" s="1154">
        <f>RHUMAH!BG51</f>
        <v>0</v>
      </c>
      <c r="D582" s="1154">
        <v>0</v>
      </c>
      <c r="E582" s="1154">
        <v>0</v>
      </c>
      <c r="F582" s="1154">
        <v>0</v>
      </c>
      <c r="G582" s="1154">
        <v>0</v>
      </c>
      <c r="H582" s="1154"/>
      <c r="I582" s="1154"/>
    </row>
    <row r="583" spans="1:9" s="426" customFormat="1">
      <c r="A583" s="1175" t="s">
        <v>13</v>
      </c>
      <c r="B583" s="746"/>
      <c r="C583" s="702">
        <f>D583+C582</f>
        <v>0</v>
      </c>
      <c r="D583" s="702">
        <v>0</v>
      </c>
      <c r="E583" s="702">
        <v>0</v>
      </c>
      <c r="F583" s="702">
        <v>0</v>
      </c>
      <c r="G583" s="702">
        <v>0</v>
      </c>
      <c r="H583" s="702">
        <v>0</v>
      </c>
      <c r="I583" s="702">
        <v>0</v>
      </c>
    </row>
    <row r="584" spans="1:9" s="426" customFormat="1">
      <c r="A584" s="1325" t="s">
        <v>891</v>
      </c>
      <c r="B584" s="746"/>
      <c r="C584" s="1154">
        <f>RHUMAH!BG52</f>
        <v>0</v>
      </c>
      <c r="D584" s="1154">
        <v>0</v>
      </c>
      <c r="E584" s="1154">
        <v>0</v>
      </c>
      <c r="F584" s="1154">
        <v>0</v>
      </c>
      <c r="G584" s="1154">
        <v>0</v>
      </c>
      <c r="H584" s="1154"/>
      <c r="I584" s="1154"/>
    </row>
    <row r="585" spans="1:9" s="426" customFormat="1">
      <c r="A585" s="1175" t="s">
        <v>13</v>
      </c>
      <c r="B585" s="746"/>
      <c r="C585" s="702">
        <f>D585+C584</f>
        <v>0</v>
      </c>
      <c r="D585" s="702">
        <v>0</v>
      </c>
      <c r="E585" s="702">
        <v>0</v>
      </c>
      <c r="F585" s="702">
        <v>0</v>
      </c>
      <c r="G585" s="702">
        <v>0</v>
      </c>
      <c r="H585" s="702">
        <v>0</v>
      </c>
      <c r="I585" s="702">
        <v>0</v>
      </c>
    </row>
    <row r="586" spans="1:9" s="426" customFormat="1">
      <c r="A586" s="1326" t="s">
        <v>895</v>
      </c>
      <c r="B586" s="746"/>
      <c r="C586" s="1154">
        <f>RHUMAH!BG55</f>
        <v>0</v>
      </c>
      <c r="D586" s="1154">
        <v>0</v>
      </c>
      <c r="E586" s="1154">
        <v>0</v>
      </c>
      <c r="F586" s="1154">
        <v>0</v>
      </c>
      <c r="G586" s="1154">
        <v>0</v>
      </c>
      <c r="H586" s="1154"/>
      <c r="I586" s="1154"/>
    </row>
    <row r="587" spans="1:9" s="426" customFormat="1">
      <c r="A587" s="830" t="s">
        <v>13</v>
      </c>
      <c r="B587" s="746"/>
      <c r="C587" s="702">
        <f>D587+C586</f>
        <v>0</v>
      </c>
      <c r="D587" s="702">
        <v>0</v>
      </c>
      <c r="E587" s="702">
        <v>0</v>
      </c>
      <c r="F587" s="702">
        <v>0</v>
      </c>
      <c r="G587" s="702">
        <v>0</v>
      </c>
      <c r="H587" s="702"/>
      <c r="I587" s="702"/>
    </row>
    <row r="588" spans="1:9" s="426" customFormat="1">
      <c r="A588" s="1326" t="s">
        <v>903</v>
      </c>
      <c r="B588" s="746"/>
      <c r="C588" s="1154">
        <f>RHUMAH!BG56</f>
        <v>0</v>
      </c>
      <c r="D588" s="1154">
        <v>0</v>
      </c>
      <c r="E588" s="1154">
        <v>0</v>
      </c>
      <c r="F588" s="1154">
        <v>0</v>
      </c>
      <c r="G588" s="1154">
        <v>0</v>
      </c>
      <c r="H588" s="1154"/>
      <c r="I588" s="1154"/>
    </row>
    <row r="589" spans="1:9" s="426" customFormat="1">
      <c r="A589" s="830" t="s">
        <v>13</v>
      </c>
      <c r="B589" s="746"/>
      <c r="C589" s="702">
        <f>D589+C588</f>
        <v>0</v>
      </c>
      <c r="D589" s="702">
        <v>0</v>
      </c>
      <c r="E589" s="702">
        <v>0</v>
      </c>
      <c r="F589" s="702">
        <v>0</v>
      </c>
      <c r="G589" s="702">
        <v>0</v>
      </c>
      <c r="H589" s="702"/>
      <c r="I589" s="702"/>
    </row>
    <row r="590" spans="1:9" s="426" customFormat="1">
      <c r="A590" s="1326" t="s">
        <v>897</v>
      </c>
      <c r="B590" s="746"/>
      <c r="C590" s="1154">
        <f>RHUMAH!BG57</f>
        <v>0</v>
      </c>
      <c r="D590" s="1154">
        <v>0</v>
      </c>
      <c r="E590" s="1154">
        <v>0</v>
      </c>
      <c r="F590" s="1154">
        <v>0</v>
      </c>
      <c r="G590" s="1154">
        <v>0</v>
      </c>
      <c r="H590" s="1154"/>
      <c r="I590" s="1154"/>
    </row>
    <row r="591" spans="1:9" s="426" customFormat="1">
      <c r="A591" s="830" t="s">
        <v>13</v>
      </c>
      <c r="B591" s="746"/>
      <c r="C591" s="702">
        <f>D591+C590</f>
        <v>0</v>
      </c>
      <c r="D591" s="702">
        <v>0</v>
      </c>
      <c r="E591" s="702">
        <v>0</v>
      </c>
      <c r="F591" s="702">
        <v>0</v>
      </c>
      <c r="G591" s="702">
        <v>0</v>
      </c>
      <c r="H591" s="702"/>
      <c r="I591" s="702"/>
    </row>
    <row r="592" spans="1:9" s="426" customFormat="1">
      <c r="A592" s="1326" t="s">
        <v>898</v>
      </c>
      <c r="B592" s="746"/>
      <c r="C592" s="1154">
        <f>RHUMAH!BG58</f>
        <v>0</v>
      </c>
      <c r="D592" s="1154">
        <v>0</v>
      </c>
      <c r="E592" s="1154">
        <v>0</v>
      </c>
      <c r="F592" s="1154">
        <v>0</v>
      </c>
      <c r="G592" s="1154">
        <v>0</v>
      </c>
      <c r="H592" s="1154"/>
      <c r="I592" s="1154"/>
    </row>
    <row r="593" spans="1:9" s="426" customFormat="1">
      <c r="A593" s="830" t="s">
        <v>13</v>
      </c>
      <c r="B593" s="746"/>
      <c r="C593" s="702">
        <f>D593+C592</f>
        <v>0</v>
      </c>
      <c r="D593" s="702">
        <v>0</v>
      </c>
      <c r="E593" s="702">
        <v>0</v>
      </c>
      <c r="F593" s="702">
        <v>0</v>
      </c>
      <c r="G593" s="702">
        <v>0</v>
      </c>
      <c r="H593" s="702"/>
      <c r="I593" s="702"/>
    </row>
    <row r="594" spans="1:9" s="426" customFormat="1">
      <c r="A594" s="1326" t="s">
        <v>899</v>
      </c>
      <c r="B594" s="746"/>
      <c r="C594" s="1154">
        <f>RHUMAH!BG59</f>
        <v>0</v>
      </c>
      <c r="D594" s="1154">
        <v>0</v>
      </c>
      <c r="E594" s="1154">
        <v>0</v>
      </c>
      <c r="F594" s="1154">
        <v>0</v>
      </c>
      <c r="G594" s="1154">
        <v>0</v>
      </c>
      <c r="H594" s="1154"/>
      <c r="I594" s="1154"/>
    </row>
    <row r="595" spans="1:9" s="426" customFormat="1">
      <c r="A595" s="830" t="s">
        <v>13</v>
      </c>
      <c r="B595" s="746"/>
      <c r="C595" s="702">
        <f>D595+C594</f>
        <v>0</v>
      </c>
      <c r="D595" s="702">
        <v>0</v>
      </c>
      <c r="E595" s="702">
        <v>0</v>
      </c>
      <c r="F595" s="702">
        <v>0</v>
      </c>
      <c r="G595" s="702">
        <v>0</v>
      </c>
      <c r="H595" s="702"/>
      <c r="I595" s="702"/>
    </row>
    <row r="596" spans="1:9" s="426" customFormat="1">
      <c r="A596" s="1326" t="s">
        <v>832</v>
      </c>
      <c r="B596" s="746"/>
      <c r="C596" s="1154">
        <f>RHUMAH!BG60</f>
        <v>0</v>
      </c>
      <c r="D596" s="1154">
        <v>0</v>
      </c>
      <c r="E596" s="1154">
        <v>0</v>
      </c>
      <c r="F596" s="1154">
        <v>0</v>
      </c>
      <c r="G596" s="1154">
        <v>0</v>
      </c>
      <c r="H596" s="1154"/>
      <c r="I596" s="1154"/>
    </row>
    <row r="597" spans="1:9" s="426" customFormat="1">
      <c r="A597" s="830" t="s">
        <v>13</v>
      </c>
      <c r="B597" s="746"/>
      <c r="C597" s="702">
        <f>D597+C596</f>
        <v>0</v>
      </c>
      <c r="D597" s="702">
        <v>0</v>
      </c>
      <c r="E597" s="702">
        <v>0</v>
      </c>
      <c r="F597" s="702">
        <v>0</v>
      </c>
      <c r="G597" s="702">
        <v>0</v>
      </c>
      <c r="H597" s="702"/>
      <c r="I597" s="702"/>
    </row>
    <row r="598" spans="1:9" s="426" customFormat="1">
      <c r="A598" s="1175"/>
      <c r="B598" s="746"/>
      <c r="C598" s="1154"/>
      <c r="D598" s="1154"/>
      <c r="E598" s="1154"/>
      <c r="F598" s="1154"/>
      <c r="G598" s="1154"/>
      <c r="H598" s="1154"/>
      <c r="I598" s="1154"/>
    </row>
    <row r="599" spans="1:9" s="426" customFormat="1">
      <c r="A599" s="1175" t="s">
        <v>13</v>
      </c>
      <c r="B599" s="746"/>
      <c r="C599" s="702">
        <f>D599+C598</f>
        <v>0</v>
      </c>
      <c r="D599" s="702">
        <v>0</v>
      </c>
      <c r="E599" s="702">
        <v>0</v>
      </c>
      <c r="F599" s="702">
        <v>0</v>
      </c>
      <c r="G599" s="702">
        <v>0</v>
      </c>
      <c r="H599" s="702"/>
      <c r="I599" s="702"/>
    </row>
    <row r="600" spans="1:9">
      <c r="A600" s="825" t="s">
        <v>151</v>
      </c>
      <c r="B600" s="746"/>
      <c r="C600" s="875">
        <f>C532+C534+C536+C538+C540+C542+C544+C546+C548+C550+C552+C554+C556+C558+C560+C562+C564+C566+C568+C570+C572+C574+C576+C578+C580+C582+C584+C586+C588+C590+C592+C594+C596+C598</f>
        <v>0</v>
      </c>
      <c r="D600" s="875">
        <v>0</v>
      </c>
      <c r="E600" s="875">
        <v>0</v>
      </c>
      <c r="F600" s="875">
        <v>0</v>
      </c>
      <c r="G600" s="875">
        <v>0</v>
      </c>
      <c r="H600" s="875">
        <v>0</v>
      </c>
      <c r="I600" s="875">
        <v>0</v>
      </c>
    </row>
    <row r="601" spans="1:9" s="426" customFormat="1">
      <c r="A601" s="831" t="s">
        <v>13</v>
      </c>
      <c r="B601" s="792"/>
      <c r="C601" s="702">
        <f>D601+C600</f>
        <v>0</v>
      </c>
      <c r="D601" s="702">
        <v>0</v>
      </c>
      <c r="E601" s="702">
        <v>0</v>
      </c>
      <c r="F601" s="702">
        <v>0</v>
      </c>
      <c r="G601" s="702">
        <v>0</v>
      </c>
      <c r="H601" s="702">
        <v>0</v>
      </c>
      <c r="I601" s="702">
        <v>0</v>
      </c>
    </row>
    <row r="602" spans="1:9">
      <c r="A602" s="1"/>
      <c r="B602" s="748"/>
      <c r="C602" s="890"/>
      <c r="D602" s="890"/>
      <c r="E602" s="890"/>
      <c r="F602" s="890"/>
      <c r="G602" s="890"/>
      <c r="H602" s="890"/>
      <c r="I602" s="890"/>
    </row>
    <row r="603" spans="1:9" s="426" customFormat="1">
      <c r="A603" s="29" t="s">
        <v>156</v>
      </c>
      <c r="B603" s="748"/>
      <c r="C603" s="891"/>
      <c r="D603" s="891"/>
      <c r="E603" s="891"/>
      <c r="F603" s="891"/>
      <c r="G603" s="891"/>
      <c r="H603" s="891"/>
      <c r="I603" s="891"/>
    </row>
    <row r="604" spans="1:9">
      <c r="A604" s="28" t="s">
        <v>157</v>
      </c>
      <c r="B604" s="746"/>
      <c r="C604" s="875"/>
      <c r="D604" s="875"/>
      <c r="E604" s="875"/>
      <c r="F604" s="875"/>
      <c r="G604" s="875"/>
      <c r="H604" s="875"/>
      <c r="I604" s="875"/>
    </row>
    <row r="605" spans="1:9">
      <c r="A605" s="28" t="s">
        <v>158</v>
      </c>
      <c r="B605" s="746" t="s">
        <v>322</v>
      </c>
      <c r="C605" s="875">
        <f>RHUMAH!BA83</f>
        <v>0</v>
      </c>
      <c r="D605" s="875">
        <v>0</v>
      </c>
      <c r="E605" s="875">
        <v>0</v>
      </c>
      <c r="F605" s="875">
        <v>0</v>
      </c>
      <c r="G605" s="875">
        <v>0</v>
      </c>
      <c r="H605" s="875">
        <v>0</v>
      </c>
      <c r="I605" s="875">
        <v>0</v>
      </c>
    </row>
    <row r="606" spans="1:9" s="712" customFormat="1">
      <c r="A606" s="829" t="s">
        <v>13</v>
      </c>
      <c r="B606" s="780"/>
      <c r="C606" s="702">
        <f>D606+C605</f>
        <v>0</v>
      </c>
      <c r="D606" s="702">
        <v>0</v>
      </c>
      <c r="E606" s="702">
        <v>0</v>
      </c>
      <c r="F606" s="702">
        <v>0</v>
      </c>
      <c r="G606" s="702">
        <v>0</v>
      </c>
      <c r="H606" s="702">
        <v>0</v>
      </c>
      <c r="I606" s="702">
        <v>0</v>
      </c>
    </row>
    <row r="607" spans="1:9">
      <c r="A607" s="28" t="s">
        <v>159</v>
      </c>
      <c r="B607" s="746" t="s">
        <v>323</v>
      </c>
      <c r="C607" s="875">
        <f>RHUMAH!BB83</f>
        <v>0</v>
      </c>
      <c r="D607" s="875">
        <v>0</v>
      </c>
      <c r="E607" s="875">
        <v>0</v>
      </c>
      <c r="F607" s="875">
        <v>0</v>
      </c>
      <c r="G607" s="875">
        <v>0</v>
      </c>
      <c r="H607" s="875">
        <v>0</v>
      </c>
      <c r="I607" s="875">
        <v>0</v>
      </c>
    </row>
    <row r="608" spans="1:9" s="712" customFormat="1">
      <c r="A608" s="829" t="s">
        <v>13</v>
      </c>
      <c r="B608" s="780"/>
      <c r="C608" s="702">
        <f>D608+C607</f>
        <v>0</v>
      </c>
      <c r="D608" s="702">
        <v>0</v>
      </c>
      <c r="E608" s="702">
        <v>0</v>
      </c>
      <c r="F608" s="702">
        <v>0</v>
      </c>
      <c r="G608" s="702">
        <v>0</v>
      </c>
      <c r="H608" s="702">
        <v>0</v>
      </c>
      <c r="I608" s="702">
        <v>0</v>
      </c>
    </row>
    <row r="609" spans="1:9" s="265" customFormat="1">
      <c r="A609" s="820" t="s">
        <v>151</v>
      </c>
      <c r="B609" s="832"/>
      <c r="C609" s="875">
        <f>C605+C607</f>
        <v>0</v>
      </c>
      <c r="D609" s="875">
        <v>0</v>
      </c>
      <c r="E609" s="875">
        <v>0</v>
      </c>
      <c r="F609" s="875">
        <v>0</v>
      </c>
      <c r="G609" s="875">
        <v>0</v>
      </c>
      <c r="H609" s="875">
        <v>0</v>
      </c>
      <c r="I609" s="875">
        <v>0</v>
      </c>
    </row>
    <row r="610" spans="1:9">
      <c r="A610" s="830" t="s">
        <v>13</v>
      </c>
      <c r="B610" s="746"/>
      <c r="C610" s="720">
        <f>D610+C609</f>
        <v>0</v>
      </c>
      <c r="D610" s="720">
        <v>0</v>
      </c>
      <c r="E610" s="720">
        <v>0</v>
      </c>
      <c r="F610" s="720">
        <v>0</v>
      </c>
      <c r="G610" s="720">
        <v>0</v>
      </c>
      <c r="H610" s="720">
        <v>0</v>
      </c>
      <c r="I610" s="720">
        <v>0</v>
      </c>
    </row>
    <row r="611" spans="1:9">
      <c r="A611" s="833" t="s">
        <v>167</v>
      </c>
      <c r="B611" s="746"/>
      <c r="C611" s="720">
        <f>D611-C605</f>
        <v>0</v>
      </c>
      <c r="D611" s="720">
        <v>0</v>
      </c>
      <c r="E611" s="720">
        <v>0</v>
      </c>
      <c r="F611" s="720">
        <v>0</v>
      </c>
      <c r="G611" s="720">
        <v>0</v>
      </c>
      <c r="H611" s="720">
        <v>0</v>
      </c>
      <c r="I611" s="720">
        <v>0</v>
      </c>
    </row>
    <row r="612" spans="1:9">
      <c r="A612" s="834"/>
      <c r="B612" s="748"/>
      <c r="C612" s="892"/>
      <c r="D612" s="892"/>
      <c r="E612" s="892"/>
      <c r="F612" s="892"/>
      <c r="G612" s="892"/>
      <c r="H612" s="892"/>
      <c r="I612" s="892"/>
    </row>
    <row r="613" spans="1:9">
      <c r="A613" s="1176" t="s">
        <v>843</v>
      </c>
      <c r="B613" s="748"/>
      <c r="C613" s="1153">
        <f>RHUMAH!BG83</f>
        <v>0</v>
      </c>
      <c r="D613" s="1153">
        <v>0</v>
      </c>
      <c r="E613" s="1153">
        <v>0</v>
      </c>
      <c r="F613" s="1153">
        <v>0</v>
      </c>
      <c r="G613" s="1153">
        <v>0</v>
      </c>
      <c r="H613" s="1153"/>
      <c r="I613" s="1153"/>
    </row>
    <row r="614" spans="1:9">
      <c r="A614" s="1176" t="s">
        <v>13</v>
      </c>
      <c r="B614" s="748"/>
      <c r="C614" s="970">
        <f>D614+C613</f>
        <v>0</v>
      </c>
      <c r="D614" s="970">
        <v>0</v>
      </c>
      <c r="E614" s="970">
        <v>0</v>
      </c>
      <c r="F614" s="970">
        <v>0</v>
      </c>
      <c r="G614" s="970">
        <v>0</v>
      </c>
      <c r="H614" s="970">
        <v>0</v>
      </c>
      <c r="I614" s="970">
        <v>0</v>
      </c>
    </row>
    <row r="615" spans="1:9">
      <c r="A615" s="1176" t="s">
        <v>844</v>
      </c>
      <c r="B615" s="748"/>
      <c r="C615" s="1153">
        <f>I615-C614</f>
        <v>0</v>
      </c>
      <c r="D615" s="1153">
        <v>0</v>
      </c>
      <c r="E615" s="1153">
        <v>0</v>
      </c>
      <c r="F615" s="1153">
        <v>0</v>
      </c>
      <c r="G615" s="1153">
        <v>0</v>
      </c>
      <c r="H615" s="1153">
        <v>0</v>
      </c>
      <c r="I615" s="1153">
        <v>0</v>
      </c>
    </row>
    <row r="616" spans="1:9">
      <c r="A616" s="834"/>
      <c r="B616" s="748"/>
      <c r="C616" s="892"/>
      <c r="D616" s="892"/>
      <c r="E616" s="892"/>
      <c r="F616" s="892"/>
      <c r="G616" s="892"/>
      <c r="H616" s="892"/>
      <c r="I616" s="892"/>
    </row>
    <row r="617" spans="1:9">
      <c r="A617" s="834" t="s">
        <v>364</v>
      </c>
      <c r="B617" s="748"/>
      <c r="C617" s="892">
        <f>C619+C621+C623+C625+C627</f>
        <v>0</v>
      </c>
      <c r="D617" s="892">
        <v>0</v>
      </c>
      <c r="E617" s="892">
        <v>0</v>
      </c>
      <c r="F617" s="892">
        <v>0</v>
      </c>
      <c r="G617" s="892">
        <v>0</v>
      </c>
      <c r="H617" s="892">
        <v>0</v>
      </c>
      <c r="I617" s="892">
        <v>0</v>
      </c>
    </row>
    <row r="618" spans="1:9">
      <c r="A618" s="835" t="s">
        <v>13</v>
      </c>
      <c r="B618" s="748"/>
      <c r="C618" s="720">
        <f>D618+C617</f>
        <v>0</v>
      </c>
      <c r="D618" s="720">
        <v>0</v>
      </c>
      <c r="E618" s="720">
        <v>0</v>
      </c>
      <c r="F618" s="720">
        <v>0</v>
      </c>
      <c r="G618" s="720">
        <v>0</v>
      </c>
      <c r="H618" s="720">
        <v>0</v>
      </c>
      <c r="I618" s="720">
        <v>0</v>
      </c>
    </row>
    <row r="619" spans="1:9">
      <c r="A619" s="836" t="s">
        <v>365</v>
      </c>
      <c r="B619" s="748" t="s">
        <v>529</v>
      </c>
      <c r="C619" s="892">
        <f>RHUMAH!BF69</f>
        <v>0</v>
      </c>
      <c r="D619" s="892">
        <v>0</v>
      </c>
      <c r="E619" s="892">
        <v>0</v>
      </c>
      <c r="F619" s="892">
        <v>0</v>
      </c>
      <c r="G619" s="892">
        <v>0</v>
      </c>
      <c r="H619" s="892">
        <v>0</v>
      </c>
      <c r="I619" s="892">
        <v>0</v>
      </c>
    </row>
    <row r="620" spans="1:9">
      <c r="A620" s="835" t="s">
        <v>13</v>
      </c>
      <c r="B620" s="748"/>
      <c r="C620" s="720">
        <f>D620+C619</f>
        <v>0</v>
      </c>
      <c r="D620" s="720">
        <v>0</v>
      </c>
      <c r="E620" s="720">
        <v>0</v>
      </c>
      <c r="F620" s="720">
        <v>0</v>
      </c>
      <c r="G620" s="720">
        <v>0</v>
      </c>
      <c r="H620" s="720">
        <v>0</v>
      </c>
      <c r="I620" s="720">
        <v>0</v>
      </c>
    </row>
    <row r="621" spans="1:9">
      <c r="A621" s="836" t="s">
        <v>366</v>
      </c>
      <c r="B621" s="748" t="s">
        <v>530</v>
      </c>
      <c r="C621" s="892">
        <f>RHUMAH!BF70</f>
        <v>0</v>
      </c>
      <c r="D621" s="892">
        <v>0</v>
      </c>
      <c r="E621" s="892">
        <v>0</v>
      </c>
      <c r="F621" s="892">
        <v>0</v>
      </c>
      <c r="G621" s="892">
        <v>0</v>
      </c>
      <c r="H621" s="892">
        <v>0</v>
      </c>
      <c r="I621" s="892">
        <v>0</v>
      </c>
    </row>
    <row r="622" spans="1:9">
      <c r="A622" s="835" t="s">
        <v>13</v>
      </c>
      <c r="B622" s="748"/>
      <c r="C622" s="720">
        <f>D622+C621</f>
        <v>0</v>
      </c>
      <c r="D622" s="720">
        <v>0</v>
      </c>
      <c r="E622" s="720">
        <v>0</v>
      </c>
      <c r="F622" s="720">
        <v>0</v>
      </c>
      <c r="G622" s="720">
        <v>0</v>
      </c>
      <c r="H622" s="720">
        <v>0</v>
      </c>
      <c r="I622" s="720">
        <v>0</v>
      </c>
    </row>
    <row r="623" spans="1:9" s="1178" customFormat="1">
      <c r="A623" s="1175"/>
      <c r="B623" s="1177"/>
      <c r="C623" s="1142">
        <f>RHUMAH!BF71</f>
        <v>0</v>
      </c>
      <c r="D623" s="1142">
        <v>0</v>
      </c>
      <c r="E623" s="1142">
        <v>0</v>
      </c>
      <c r="F623" s="1142">
        <v>0</v>
      </c>
      <c r="G623" s="1142">
        <v>0</v>
      </c>
      <c r="H623" s="1142"/>
      <c r="I623" s="1142"/>
    </row>
    <row r="624" spans="1:9">
      <c r="A624" s="1175"/>
      <c r="B624" s="748"/>
      <c r="C624" s="720">
        <f>D624+C623</f>
        <v>0</v>
      </c>
      <c r="D624" s="720">
        <v>0</v>
      </c>
      <c r="E624" s="720">
        <v>0</v>
      </c>
      <c r="F624" s="720">
        <v>0</v>
      </c>
      <c r="G624" s="720">
        <v>0</v>
      </c>
      <c r="H624" s="720">
        <v>0</v>
      </c>
      <c r="I624" s="720">
        <v>0</v>
      </c>
    </row>
    <row r="625" spans="1:9" s="1178" customFormat="1">
      <c r="A625" s="1175"/>
      <c r="B625" s="1177"/>
      <c r="C625" s="1142">
        <f>RHUMAH!BF72</f>
        <v>0</v>
      </c>
      <c r="D625" s="1142">
        <v>0</v>
      </c>
      <c r="E625" s="1142">
        <v>0</v>
      </c>
      <c r="F625" s="1142">
        <v>0</v>
      </c>
      <c r="G625" s="1142">
        <v>0</v>
      </c>
      <c r="H625" s="1142"/>
      <c r="I625" s="1142"/>
    </row>
    <row r="626" spans="1:9">
      <c r="A626" s="1175"/>
      <c r="B626" s="748"/>
      <c r="C626" s="720">
        <f>D626+C625</f>
        <v>0</v>
      </c>
      <c r="D626" s="720">
        <v>0</v>
      </c>
      <c r="E626" s="720">
        <v>0</v>
      </c>
      <c r="F626" s="720">
        <v>0</v>
      </c>
      <c r="G626" s="720">
        <v>0</v>
      </c>
      <c r="H626" s="720">
        <v>0</v>
      </c>
      <c r="I626" s="720">
        <v>0</v>
      </c>
    </row>
    <row r="627" spans="1:9" s="1178" customFormat="1">
      <c r="A627" s="1175"/>
      <c r="B627" s="1177"/>
      <c r="C627" s="1142">
        <f>RHUMAH!BF73</f>
        <v>0</v>
      </c>
      <c r="D627" s="1142">
        <v>0</v>
      </c>
      <c r="E627" s="1142">
        <v>0</v>
      </c>
      <c r="F627" s="1142">
        <v>0</v>
      </c>
      <c r="G627" s="1142">
        <v>0</v>
      </c>
      <c r="H627" s="1142"/>
      <c r="I627" s="1142"/>
    </row>
    <row r="628" spans="1:9">
      <c r="A628" s="1175"/>
      <c r="B628" s="748"/>
      <c r="C628" s="720">
        <f>D628+C627</f>
        <v>0</v>
      </c>
      <c r="D628" s="720">
        <v>0</v>
      </c>
      <c r="E628" s="720">
        <v>0</v>
      </c>
      <c r="F628" s="720">
        <v>0</v>
      </c>
      <c r="G628" s="720">
        <v>0</v>
      </c>
      <c r="H628" s="720">
        <v>0</v>
      </c>
      <c r="I628" s="720">
        <v>0</v>
      </c>
    </row>
    <row r="629" spans="1:9">
      <c r="A629" s="834"/>
      <c r="B629" s="748"/>
      <c r="C629" s="892"/>
      <c r="D629" s="892"/>
      <c r="E629" s="892"/>
      <c r="F629" s="892"/>
      <c r="G629" s="892"/>
      <c r="H629" s="892"/>
      <c r="I629" s="892"/>
    </row>
    <row r="630" spans="1:9">
      <c r="A630" s="834" t="s">
        <v>187</v>
      </c>
      <c r="B630" s="748" t="s">
        <v>531</v>
      </c>
      <c r="C630" s="892">
        <f>C261+C289+C317+C345</f>
        <v>0</v>
      </c>
      <c r="D630" s="892">
        <v>0</v>
      </c>
      <c r="E630" s="892">
        <v>0</v>
      </c>
      <c r="F630" s="892">
        <v>0</v>
      </c>
      <c r="G630" s="892">
        <v>0</v>
      </c>
      <c r="H630" s="892">
        <v>0</v>
      </c>
      <c r="I630" s="892">
        <v>0</v>
      </c>
    </row>
    <row r="631" spans="1:9">
      <c r="A631" s="834" t="s">
        <v>13</v>
      </c>
      <c r="B631" s="748"/>
      <c r="C631" s="720">
        <f>D631+C630</f>
        <v>0</v>
      </c>
      <c r="D631" s="720">
        <v>0</v>
      </c>
      <c r="E631" s="720">
        <v>0</v>
      </c>
      <c r="F631" s="720">
        <v>0</v>
      </c>
      <c r="G631" s="720">
        <v>0</v>
      </c>
      <c r="H631" s="720">
        <v>0</v>
      </c>
      <c r="I631" s="720">
        <v>0</v>
      </c>
    </row>
    <row r="632" spans="1:9">
      <c r="A632" s="1"/>
      <c r="B632" s="748"/>
      <c r="C632" s="890"/>
      <c r="D632" s="890"/>
      <c r="E632" s="890"/>
      <c r="F632" s="890"/>
      <c r="G632" s="890"/>
      <c r="H632" s="890"/>
      <c r="I632" s="890"/>
    </row>
    <row r="633" spans="1:9">
      <c r="A633" s="11" t="s">
        <v>100</v>
      </c>
      <c r="B633" s="792"/>
      <c r="C633" s="880">
        <f>C473+C485+C503+C506+C528+C600+C609+C217+C422+C617+C462+C470-C458-C269-C297-C325-C353-C466</f>
        <v>0</v>
      </c>
      <c r="D633" s="880">
        <v>300000</v>
      </c>
      <c r="E633" s="880">
        <v>1694000</v>
      </c>
      <c r="F633" s="880">
        <v>792800</v>
      </c>
      <c r="G633" s="880">
        <v>227500</v>
      </c>
      <c r="H633" s="880">
        <v>4868341</v>
      </c>
      <c r="I633" s="880">
        <v>0</v>
      </c>
    </row>
    <row r="634" spans="1:9" s="426" customFormat="1">
      <c r="A634" s="828" t="s">
        <v>59</v>
      </c>
      <c r="B634" s="792"/>
      <c r="C634" s="720">
        <f>D634+C633</f>
        <v>7882641</v>
      </c>
      <c r="D634" s="720">
        <v>7882641</v>
      </c>
      <c r="E634" s="720">
        <v>7582641</v>
      </c>
      <c r="F634" s="720">
        <v>5888641</v>
      </c>
      <c r="G634" s="720">
        <v>5095841</v>
      </c>
      <c r="H634" s="720">
        <v>4868341</v>
      </c>
      <c r="I634" s="720">
        <v>0</v>
      </c>
    </row>
    <row r="635" spans="1:9">
      <c r="A635" s="11"/>
      <c r="B635" s="837"/>
      <c r="C635" s="893"/>
      <c r="D635" s="893"/>
      <c r="E635" s="893"/>
      <c r="F635" s="893"/>
      <c r="G635" s="893"/>
      <c r="H635" s="893"/>
      <c r="I635" s="893"/>
    </row>
    <row r="636" spans="1:9" s="722" customFormat="1" ht="21">
      <c r="A636" s="838" t="s">
        <v>60</v>
      </c>
      <c r="B636" s="839"/>
      <c r="C636" s="894">
        <f>C420-C634</f>
        <v>280954</v>
      </c>
      <c r="D636" s="894">
        <v>280954</v>
      </c>
      <c r="E636" s="894">
        <v>193985</v>
      </c>
      <c r="F636" s="894">
        <v>-721279</v>
      </c>
      <c r="G636" s="894">
        <v>-1613809</v>
      </c>
      <c r="H636" s="894">
        <v>-3157003</v>
      </c>
      <c r="I636" s="894">
        <v>0</v>
      </c>
    </row>
    <row r="637" spans="1:9">
      <c r="A637" s="1"/>
      <c r="B637" s="736"/>
      <c r="C637" s="736"/>
      <c r="D637" s="736"/>
      <c r="E637" s="736"/>
      <c r="F637" s="736"/>
      <c r="G637" s="736"/>
      <c r="H637" s="736"/>
      <c r="I637" s="736"/>
    </row>
    <row r="638" spans="1:9">
      <c r="A638" s="1"/>
      <c r="B638" s="736"/>
      <c r="C638" s="736"/>
      <c r="D638" s="736"/>
      <c r="E638" s="736"/>
      <c r="F638" s="736"/>
      <c r="G638" s="736"/>
      <c r="H638" s="736"/>
      <c r="I638" s="736"/>
    </row>
    <row r="639" spans="1:9" s="723" customFormat="1" ht="21">
      <c r="A639" s="840" t="s">
        <v>117</v>
      </c>
      <c r="B639" s="841" t="s">
        <v>532</v>
      </c>
      <c r="C639" s="895">
        <f>C206</f>
        <v>257132281</v>
      </c>
      <c r="D639" s="895">
        <v>257132281</v>
      </c>
      <c r="E639" s="895">
        <v>256280312</v>
      </c>
      <c r="F639" s="895">
        <v>264700548</v>
      </c>
      <c r="G639" s="895">
        <v>265475518</v>
      </c>
      <c r="H639" s="895">
        <v>264577324</v>
      </c>
      <c r="I639" s="895">
        <v>267179827</v>
      </c>
    </row>
    <row r="640" spans="1:9" s="724" customFormat="1" ht="18">
      <c r="A640" s="842" t="s">
        <v>21</v>
      </c>
      <c r="B640" s="843" t="s">
        <v>533</v>
      </c>
      <c r="C640" s="896">
        <f>C156</f>
        <v>10445333</v>
      </c>
      <c r="D640" s="896">
        <v>10445333</v>
      </c>
      <c r="E640" s="896">
        <v>10445333</v>
      </c>
      <c r="F640" s="896">
        <v>10745333</v>
      </c>
      <c r="G640" s="896">
        <v>10445333</v>
      </c>
      <c r="H640" s="896">
        <v>10445333</v>
      </c>
      <c r="I640" s="896">
        <v>10445333</v>
      </c>
    </row>
    <row r="641" spans="1:9" s="724" customFormat="1" ht="18">
      <c r="A641" s="842" t="s">
        <v>11</v>
      </c>
      <c r="B641" s="843" t="s">
        <v>534</v>
      </c>
      <c r="C641" s="896">
        <f>C200</f>
        <v>63375000</v>
      </c>
      <c r="D641" s="896">
        <v>63375000</v>
      </c>
      <c r="E641" s="896">
        <v>63175000</v>
      </c>
      <c r="F641" s="896">
        <v>63175000</v>
      </c>
      <c r="G641" s="896">
        <v>63175000</v>
      </c>
      <c r="H641" s="896">
        <v>63175000</v>
      </c>
      <c r="I641" s="896">
        <v>64050000</v>
      </c>
    </row>
    <row r="642" spans="1:9" s="725" customFormat="1" ht="23.4">
      <c r="A642" s="844" t="s">
        <v>162</v>
      </c>
      <c r="B642" s="845"/>
      <c r="C642" s="897">
        <f>C639+C640-C641</f>
        <v>204202614</v>
      </c>
      <c r="D642" s="897">
        <v>204202614</v>
      </c>
      <c r="E642" s="897">
        <v>203550645</v>
      </c>
      <c r="F642" s="897">
        <v>212270881</v>
      </c>
      <c r="G642" s="897">
        <v>212745851</v>
      </c>
      <c r="H642" s="897">
        <v>211847657</v>
      </c>
      <c r="I642" s="897">
        <v>213575160</v>
      </c>
    </row>
    <row r="643" spans="1:9">
      <c r="A643" s="1"/>
      <c r="B643" s="736"/>
      <c r="C643" s="736"/>
      <c r="D643" s="736"/>
      <c r="E643" s="736"/>
      <c r="F643" s="736"/>
      <c r="G643" s="736"/>
      <c r="H643" s="736"/>
      <c r="I643" s="736"/>
    </row>
    <row r="644" spans="1:9" s="724" customFormat="1" ht="18">
      <c r="A644" s="842" t="s">
        <v>24</v>
      </c>
      <c r="B644" s="843" t="s">
        <v>210</v>
      </c>
      <c r="C644" s="896">
        <f>C223</f>
        <v>-10528500</v>
      </c>
      <c r="D644" s="896">
        <v>-10528500</v>
      </c>
      <c r="E644" s="896">
        <v>-11093500</v>
      </c>
      <c r="F644" s="896">
        <v>-1458000</v>
      </c>
      <c r="G644" s="896">
        <v>209500</v>
      </c>
      <c r="H644" s="896">
        <v>554500</v>
      </c>
      <c r="I644" s="896">
        <v>-2325941</v>
      </c>
    </row>
    <row r="645" spans="1:9" s="724" customFormat="1" ht="18">
      <c r="A645" s="846" t="s">
        <v>46</v>
      </c>
      <c r="B645" s="847"/>
      <c r="C645" s="898">
        <f>C642-C644</f>
        <v>214731114</v>
      </c>
      <c r="D645" s="898">
        <v>214731114</v>
      </c>
      <c r="E645" s="898">
        <v>214644145</v>
      </c>
      <c r="F645" s="898">
        <v>213728881</v>
      </c>
      <c r="G645" s="898">
        <v>212536351</v>
      </c>
      <c r="H645" s="898">
        <v>211293157</v>
      </c>
      <c r="I645" s="898">
        <v>215901101</v>
      </c>
    </row>
    <row r="646" spans="1:9">
      <c r="A646" s="5"/>
      <c r="B646"/>
      <c r="C646"/>
      <c r="D646"/>
      <c r="E646"/>
      <c r="F646"/>
      <c r="G646"/>
      <c r="H646"/>
      <c r="I646"/>
    </row>
    <row r="647" spans="1:9" ht="15" thickBot="1">
      <c r="A647" s="9"/>
      <c r="B647" s="10"/>
      <c r="C647" s="10"/>
      <c r="D647" s="10"/>
      <c r="E647" s="10"/>
      <c r="F647" s="10"/>
      <c r="G647" s="10"/>
      <c r="H647" s="10"/>
      <c r="I647" s="10"/>
    </row>
    <row r="648" spans="1:9" ht="15" thickBot="1">
      <c r="A648" s="5"/>
      <c r="B648"/>
      <c r="C648"/>
      <c r="D648"/>
      <c r="E648"/>
      <c r="F648"/>
      <c r="G648"/>
      <c r="H648"/>
      <c r="I648"/>
    </row>
    <row r="649" spans="1:9">
      <c r="A649" s="606"/>
      <c r="B649" s="607"/>
      <c r="C649" s="607"/>
      <c r="D649" s="607"/>
      <c r="E649" s="607"/>
      <c r="F649" s="607"/>
      <c r="G649" s="607"/>
      <c r="H649" s="607"/>
      <c r="I649" s="607"/>
    </row>
  </sheetData>
  <sheetProtection insertColumns="0" insertRows="0"/>
  <mergeCells count="9">
    <mergeCell ref="A228:B228"/>
    <mergeCell ref="A229:B229"/>
    <mergeCell ref="A33:B33"/>
    <mergeCell ref="A48:B48"/>
    <mergeCell ref="A60:B60"/>
    <mergeCell ref="A73:B73"/>
    <mergeCell ref="A125:B125"/>
    <mergeCell ref="A129:B129"/>
    <mergeCell ref="A86:B86"/>
  </mergeCells>
  <pageMargins left="0.7" right="0.7" top="0.75" bottom="0.75" header="0.3" footer="0.3"/>
  <pageSetup paperSize="256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0000"/>
  </sheetPr>
  <dimension ref="B2:Q57"/>
  <sheetViews>
    <sheetView zoomScale="70" zoomScaleNormal="70" workbookViewId="0">
      <selection activeCell="O34" sqref="O34"/>
    </sheetView>
  </sheetViews>
  <sheetFormatPr defaultRowHeight="14.4"/>
  <cols>
    <col min="2" max="2" width="18" customWidth="1"/>
    <col min="3" max="3" width="17.6640625" customWidth="1"/>
    <col min="4" max="4" width="3.44140625" customWidth="1"/>
    <col min="5" max="5" width="16.88671875" customWidth="1"/>
    <col min="6" max="6" width="18.109375" customWidth="1"/>
    <col min="7" max="7" width="2" customWidth="1"/>
    <col min="8" max="8" width="17.33203125" customWidth="1"/>
    <col min="9" max="9" width="16" customWidth="1"/>
    <col min="10" max="10" width="3.109375" customWidth="1"/>
    <col min="11" max="11" width="19.33203125" customWidth="1"/>
    <col min="12" max="12" width="16" customWidth="1"/>
    <col min="13" max="13" width="3.109375" customWidth="1"/>
    <col min="14" max="14" width="18.5546875" customWidth="1"/>
    <col min="15" max="15" width="17" customWidth="1"/>
    <col min="16" max="16" width="4" customWidth="1"/>
    <col min="17" max="17" width="17.44140625" customWidth="1"/>
    <col min="18" max="18" width="10" bestFit="1" customWidth="1"/>
  </cols>
  <sheetData>
    <row r="2" spans="2:15" ht="15" thickBot="1"/>
    <row r="3" spans="2:15" ht="19.95" customHeight="1" thickBot="1">
      <c r="B3" s="1456" t="s">
        <v>173</v>
      </c>
      <c r="C3" s="1457"/>
      <c r="E3" s="1454" t="s">
        <v>332</v>
      </c>
      <c r="F3" s="1455"/>
      <c r="H3" s="1456" t="s">
        <v>333</v>
      </c>
      <c r="I3" s="1457"/>
      <c r="J3" s="13"/>
      <c r="K3" s="1454" t="s">
        <v>345</v>
      </c>
      <c r="L3" s="1455"/>
      <c r="N3" s="1454" t="s">
        <v>545</v>
      </c>
      <c r="O3" s="1455"/>
    </row>
    <row r="4" spans="2:15" ht="19.95" customHeight="1">
      <c r="B4" s="899" t="s">
        <v>1</v>
      </c>
      <c r="C4" s="901">
        <v>337945</v>
      </c>
      <c r="E4" s="899" t="s">
        <v>1</v>
      </c>
      <c r="F4" s="901">
        <v>341717</v>
      </c>
      <c r="H4" s="900" t="s">
        <v>548</v>
      </c>
      <c r="I4" s="957">
        <v>0</v>
      </c>
      <c r="K4" s="899" t="s">
        <v>811</v>
      </c>
      <c r="L4" s="901">
        <v>5000000</v>
      </c>
      <c r="N4" s="1063" t="s">
        <v>549</v>
      </c>
      <c r="O4" s="1062">
        <v>26905055</v>
      </c>
    </row>
    <row r="5" spans="2:15" ht="19.95" customHeight="1">
      <c r="B5" s="6" t="s">
        <v>808</v>
      </c>
      <c r="C5" s="902">
        <v>14081391</v>
      </c>
      <c r="E5" s="6" t="s">
        <v>809</v>
      </c>
      <c r="F5" s="902">
        <v>5000000</v>
      </c>
      <c r="H5" s="6" t="s">
        <v>1</v>
      </c>
      <c r="I5" s="902">
        <v>856669</v>
      </c>
      <c r="K5" s="6" t="s">
        <v>1</v>
      </c>
      <c r="L5" s="902">
        <v>140185</v>
      </c>
      <c r="N5" s="6"/>
      <c r="O5" s="1061"/>
    </row>
    <row r="6" spans="2:15" ht="19.95" customHeight="1">
      <c r="B6" s="6" t="s">
        <v>548</v>
      </c>
      <c r="C6" s="902">
        <v>0</v>
      </c>
      <c r="E6" s="6" t="s">
        <v>548</v>
      </c>
      <c r="F6" s="902">
        <v>0</v>
      </c>
      <c r="H6" s="6" t="s">
        <v>39</v>
      </c>
      <c r="I6" s="902">
        <v>26290</v>
      </c>
      <c r="K6" s="6" t="s">
        <v>548</v>
      </c>
      <c r="L6" s="902">
        <v>0</v>
      </c>
      <c r="N6" s="1064" t="s">
        <v>551</v>
      </c>
      <c r="O6" s="1065">
        <v>160754000</v>
      </c>
    </row>
    <row r="7" spans="2:15" ht="19.95" customHeight="1">
      <c r="B7" s="6" t="s">
        <v>212</v>
      </c>
      <c r="C7" s="902">
        <v>941317</v>
      </c>
      <c r="E7" s="6" t="s">
        <v>9</v>
      </c>
      <c r="F7" s="902">
        <v>208871</v>
      </c>
      <c r="H7" s="6" t="s">
        <v>200</v>
      </c>
      <c r="I7" s="902">
        <v>21907</v>
      </c>
      <c r="K7" s="6" t="s">
        <v>536</v>
      </c>
      <c r="L7" s="902">
        <v>202452</v>
      </c>
      <c r="N7" s="6" t="s">
        <v>552</v>
      </c>
      <c r="O7" s="1061">
        <v>200000</v>
      </c>
    </row>
    <row r="8" spans="2:15" ht="19.95" customHeight="1">
      <c r="B8" s="6" t="s">
        <v>9</v>
      </c>
      <c r="C8" s="902">
        <v>199895</v>
      </c>
      <c r="E8" s="6" t="s">
        <v>536</v>
      </c>
      <c r="F8" s="902">
        <v>528915</v>
      </c>
      <c r="H8" s="6" t="s">
        <v>201</v>
      </c>
      <c r="I8" s="902">
        <v>82000</v>
      </c>
      <c r="K8" s="6" t="s">
        <v>537</v>
      </c>
      <c r="L8" s="902">
        <v>466700</v>
      </c>
      <c r="N8" s="6" t="s">
        <v>553</v>
      </c>
      <c r="O8" s="1061">
        <v>200000</v>
      </c>
    </row>
    <row r="9" spans="2:15" ht="19.95" customHeight="1">
      <c r="B9" s="6" t="s">
        <v>536</v>
      </c>
      <c r="C9" s="902">
        <v>638</v>
      </c>
      <c r="E9" s="6" t="s">
        <v>212</v>
      </c>
      <c r="F9" s="902">
        <v>975218</v>
      </c>
      <c r="H9" s="6" t="s">
        <v>202</v>
      </c>
      <c r="I9" s="902">
        <v>46000</v>
      </c>
      <c r="K9" s="6" t="s">
        <v>9</v>
      </c>
      <c r="L9" s="902">
        <v>827481</v>
      </c>
      <c r="N9" s="6" t="s">
        <v>54</v>
      </c>
      <c r="O9" s="1061">
        <v>42002</v>
      </c>
    </row>
    <row r="10" spans="2:15" ht="19.95" customHeight="1">
      <c r="B10" s="6" t="s">
        <v>537</v>
      </c>
      <c r="C10" s="902">
        <v>320270</v>
      </c>
      <c r="E10" s="6" t="s">
        <v>537</v>
      </c>
      <c r="F10" s="902">
        <v>376533</v>
      </c>
      <c r="H10" s="6" t="s">
        <v>213</v>
      </c>
      <c r="I10" s="902">
        <v>69862</v>
      </c>
      <c r="K10" s="6" t="s">
        <v>212</v>
      </c>
      <c r="L10" s="902">
        <v>1066262</v>
      </c>
      <c r="N10" s="6" t="s">
        <v>543</v>
      </c>
      <c r="O10" s="1061">
        <v>69222</v>
      </c>
    </row>
    <row r="11" spans="2:15" ht="19.2" customHeight="1">
      <c r="B11" s="6" t="s">
        <v>819</v>
      </c>
      <c r="C11" s="902">
        <v>3615</v>
      </c>
      <c r="E11" s="6" t="s">
        <v>564</v>
      </c>
      <c r="F11" s="902">
        <v>4634</v>
      </c>
      <c r="H11" s="6" t="s">
        <v>212</v>
      </c>
      <c r="I11" s="902">
        <v>36916</v>
      </c>
      <c r="K11" s="6"/>
      <c r="L11" s="902"/>
      <c r="N11" s="6" t="s">
        <v>544</v>
      </c>
      <c r="O11" s="1061">
        <v>63999</v>
      </c>
    </row>
    <row r="12" spans="2:15">
      <c r="B12" s="6" t="s">
        <v>828</v>
      </c>
      <c r="C12" s="902">
        <v>496187</v>
      </c>
      <c r="E12" s="6"/>
      <c r="F12" s="902"/>
      <c r="H12" s="6" t="s">
        <v>9</v>
      </c>
      <c r="I12" s="902">
        <v>159814</v>
      </c>
      <c r="K12" s="6"/>
      <c r="L12" s="902"/>
      <c r="N12" s="1064" t="s">
        <v>554</v>
      </c>
      <c r="O12" s="1065">
        <v>77984</v>
      </c>
    </row>
    <row r="13" spans="2:15">
      <c r="B13" s="6" t="s">
        <v>550</v>
      </c>
      <c r="C13" s="902">
        <v>83840</v>
      </c>
      <c r="E13" s="6"/>
      <c r="F13" s="902"/>
      <c r="H13" s="6" t="s">
        <v>535</v>
      </c>
      <c r="I13" s="902">
        <v>0</v>
      </c>
      <c r="K13" s="6"/>
      <c r="L13" s="902"/>
      <c r="N13" s="6" t="s">
        <v>101</v>
      </c>
      <c r="O13" s="902">
        <v>671000</v>
      </c>
    </row>
    <row r="14" spans="2:15">
      <c r="B14" s="6"/>
      <c r="C14" s="902"/>
      <c r="E14" s="6"/>
      <c r="F14" s="902"/>
      <c r="H14" s="6" t="s">
        <v>810</v>
      </c>
      <c r="I14" s="902">
        <v>5047231</v>
      </c>
      <c r="K14" s="6"/>
      <c r="L14" s="902"/>
      <c r="N14" s="6" t="s">
        <v>336</v>
      </c>
      <c r="O14" s="902">
        <v>1615000</v>
      </c>
    </row>
    <row r="15" spans="2:15">
      <c r="B15" s="6"/>
      <c r="C15" s="902"/>
      <c r="E15" s="6"/>
      <c r="F15" s="902"/>
      <c r="H15" s="6"/>
      <c r="I15" s="902"/>
      <c r="K15" s="6"/>
      <c r="L15" s="902"/>
      <c r="N15" s="6" t="s">
        <v>555</v>
      </c>
      <c r="O15" s="902">
        <v>45000</v>
      </c>
    </row>
    <row r="16" spans="2:15">
      <c r="B16" s="14"/>
      <c r="C16" s="959"/>
      <c r="E16" s="14"/>
      <c r="F16" s="959"/>
      <c r="H16" s="14"/>
      <c r="I16" s="959"/>
      <c r="K16" s="14"/>
      <c r="L16" s="959"/>
      <c r="N16" s="1081" t="s">
        <v>562</v>
      </c>
      <c r="O16" s="1082">
        <v>0</v>
      </c>
    </row>
    <row r="17" spans="2:17">
      <c r="B17" s="14"/>
      <c r="C17" s="959"/>
      <c r="E17" s="14"/>
      <c r="F17" s="959"/>
      <c r="H17" s="14"/>
      <c r="I17" s="959"/>
      <c r="K17" s="14"/>
      <c r="L17" s="959"/>
      <c r="N17" s="1081" t="s">
        <v>563</v>
      </c>
      <c r="O17" s="1082">
        <v>0</v>
      </c>
    </row>
    <row r="18" spans="2:17">
      <c r="B18" s="14"/>
      <c r="C18" s="959"/>
      <c r="E18" s="14"/>
      <c r="F18" s="959"/>
      <c r="H18" s="14"/>
      <c r="I18" s="959"/>
      <c r="K18" s="14"/>
      <c r="L18" s="959"/>
      <c r="N18" s="14" t="s">
        <v>720</v>
      </c>
      <c r="O18" s="959">
        <v>2000</v>
      </c>
    </row>
    <row r="19" spans="2:17">
      <c r="B19" s="14"/>
      <c r="C19" s="959"/>
      <c r="E19" s="14"/>
      <c r="F19" s="959"/>
      <c r="H19" s="14"/>
      <c r="I19" s="959"/>
      <c r="K19" s="14"/>
      <c r="L19" s="959"/>
      <c r="N19" s="14" t="s">
        <v>566</v>
      </c>
      <c r="O19" s="959">
        <v>877</v>
      </c>
    </row>
    <row r="20" spans="2:17">
      <c r="B20" s="14"/>
      <c r="C20" s="959"/>
      <c r="E20" s="14"/>
      <c r="F20" s="959"/>
      <c r="H20" s="14"/>
      <c r="I20" s="959"/>
      <c r="K20" s="14"/>
      <c r="L20" s="959"/>
      <c r="N20" s="14" t="s">
        <v>567</v>
      </c>
      <c r="O20" s="959">
        <v>1345</v>
      </c>
    </row>
    <row r="21" spans="2:17">
      <c r="B21" s="14"/>
      <c r="C21" s="959"/>
      <c r="E21" s="14"/>
      <c r="F21" s="959"/>
      <c r="H21" s="14"/>
      <c r="I21" s="959"/>
      <c r="K21" s="14"/>
      <c r="L21" s="959"/>
      <c r="N21" s="14" t="s">
        <v>568</v>
      </c>
      <c r="O21" s="959">
        <v>3500</v>
      </c>
    </row>
    <row r="22" spans="2:17">
      <c r="B22" s="14"/>
      <c r="C22" s="959"/>
      <c r="E22" s="14"/>
      <c r="F22" s="959"/>
      <c r="H22" s="14"/>
      <c r="I22" s="959"/>
      <c r="K22" s="14"/>
      <c r="L22" s="959"/>
      <c r="N22" s="1072" t="s">
        <v>764</v>
      </c>
      <c r="O22" s="1073">
        <v>28477542</v>
      </c>
    </row>
    <row r="23" spans="2:17">
      <c r="B23" s="14"/>
      <c r="C23" s="959"/>
      <c r="E23" s="14"/>
      <c r="F23" s="959"/>
      <c r="H23" s="14"/>
      <c r="I23" s="959"/>
      <c r="K23" s="14"/>
      <c r="L23" s="959"/>
      <c r="N23" s="14" t="s">
        <v>832</v>
      </c>
      <c r="O23" s="959">
        <v>53000</v>
      </c>
    </row>
    <row r="24" spans="2:17">
      <c r="B24" s="14"/>
      <c r="C24" s="959"/>
      <c r="E24" s="14"/>
      <c r="F24" s="959"/>
      <c r="H24" s="14"/>
      <c r="I24" s="959"/>
      <c r="K24" s="14"/>
      <c r="L24" s="959"/>
      <c r="N24" s="1140"/>
      <c r="O24" s="1141">
        <v>0</v>
      </c>
    </row>
    <row r="25" spans="2:17">
      <c r="B25" s="14"/>
      <c r="C25" s="959"/>
      <c r="E25" s="14"/>
      <c r="F25" s="959"/>
      <c r="H25" s="14"/>
      <c r="I25" s="959"/>
      <c r="K25" s="14"/>
      <c r="L25" s="959"/>
      <c r="N25" s="14"/>
      <c r="O25" s="959"/>
    </row>
    <row r="26" spans="2:17">
      <c r="B26" s="14"/>
      <c r="C26" s="959"/>
      <c r="E26" s="14"/>
      <c r="F26" s="959"/>
      <c r="H26" s="14"/>
      <c r="I26" s="959"/>
      <c r="K26" s="14"/>
      <c r="L26" s="959"/>
      <c r="N26" s="14" t="s">
        <v>10</v>
      </c>
      <c r="O26" s="959">
        <v>0</v>
      </c>
      <c r="Q26">
        <v>0</v>
      </c>
    </row>
    <row r="27" spans="2:17">
      <c r="B27" s="14"/>
      <c r="C27" s="959"/>
      <c r="E27" s="14"/>
      <c r="F27" s="959"/>
      <c r="H27" s="14"/>
      <c r="I27" s="959"/>
      <c r="K27" s="14"/>
      <c r="L27" s="959"/>
      <c r="N27" s="14"/>
      <c r="O27" s="959"/>
    </row>
    <row r="28" spans="2:17" s="16" customFormat="1" ht="15" thickBot="1">
      <c r="B28" s="961" t="s">
        <v>226</v>
      </c>
      <c r="C28" s="962">
        <f>SUM(C4:C15)</f>
        <v>16465098</v>
      </c>
      <c r="E28" s="961"/>
      <c r="F28" s="962">
        <f>SUM(F4:F15)</f>
        <v>7435888</v>
      </c>
      <c r="H28" s="961"/>
      <c r="I28" s="962">
        <f>SUM(I4:I17)</f>
        <v>6346689</v>
      </c>
      <c r="K28" s="961"/>
      <c r="L28" s="962">
        <f>SUM(L4:L15)</f>
        <v>7703080</v>
      </c>
      <c r="N28" s="961"/>
      <c r="O28" s="962">
        <f>SUM(O4:O27)</f>
        <v>219181526</v>
      </c>
      <c r="Q28" s="536">
        <f>C28+F28+I28+L28+O28</f>
        <v>257132281</v>
      </c>
    </row>
    <row r="29" spans="2:17" ht="15" thickBot="1"/>
    <row r="30" spans="2:17">
      <c r="B30" s="1450" t="s">
        <v>237</v>
      </c>
      <c r="C30" s="1451"/>
      <c r="E30" s="1450" t="s">
        <v>237</v>
      </c>
      <c r="F30" s="1451"/>
      <c r="H30" s="1450" t="s">
        <v>237</v>
      </c>
      <c r="I30" s="1451"/>
      <c r="K30" s="1450" t="s">
        <v>237</v>
      </c>
      <c r="L30" s="1451"/>
      <c r="N30" s="1450" t="s">
        <v>237</v>
      </c>
      <c r="O30" s="1451"/>
    </row>
    <row r="31" spans="2:17" ht="15" thickBot="1">
      <c r="B31" s="1452" t="s">
        <v>173</v>
      </c>
      <c r="C31" s="1453"/>
      <c r="E31" s="1452" t="s">
        <v>332</v>
      </c>
      <c r="F31" s="1453"/>
      <c r="H31" s="1452" t="s">
        <v>333</v>
      </c>
      <c r="I31" s="1453"/>
      <c r="K31" s="1452" t="s">
        <v>345</v>
      </c>
      <c r="L31" s="1453"/>
      <c r="N31" s="1452" t="s">
        <v>688</v>
      </c>
      <c r="O31" s="1453"/>
    </row>
    <row r="32" spans="2:17">
      <c r="B32" s="900" t="s">
        <v>538</v>
      </c>
      <c r="C32" s="1030"/>
      <c r="E32" s="900" t="s">
        <v>538</v>
      </c>
      <c r="F32" s="1030"/>
      <c r="H32" s="739" t="s">
        <v>538</v>
      </c>
      <c r="I32" s="1030"/>
      <c r="K32" s="900" t="s">
        <v>538</v>
      </c>
      <c r="L32" s="1030"/>
      <c r="N32" s="900" t="s">
        <v>538</v>
      </c>
      <c r="O32" s="1030"/>
      <c r="Q32" s="8">
        <f>C32+F32+I32+L32+O32</f>
        <v>0</v>
      </c>
    </row>
    <row r="33" spans="2:17">
      <c r="B33" s="6" t="s">
        <v>539</v>
      </c>
      <c r="C33" s="1029"/>
      <c r="E33" s="6" t="s">
        <v>539</v>
      </c>
      <c r="F33" s="1029"/>
      <c r="H33" s="1" t="s">
        <v>539</v>
      </c>
      <c r="I33" s="1029"/>
      <c r="K33" s="6" t="s">
        <v>539</v>
      </c>
      <c r="L33" s="1029"/>
      <c r="N33" s="6" t="s">
        <v>539</v>
      </c>
      <c r="O33" s="1029"/>
      <c r="Q33" s="8">
        <f t="shared" ref="Q33:Q39" si="0">C33+F33+I33+L33+O33</f>
        <v>0</v>
      </c>
    </row>
    <row r="34" spans="2:17">
      <c r="B34" s="6" t="s">
        <v>540</v>
      </c>
      <c r="C34" s="1029"/>
      <c r="E34" s="6" t="s">
        <v>540</v>
      </c>
      <c r="F34" s="1029"/>
      <c r="H34" s="1" t="s">
        <v>540</v>
      </c>
      <c r="I34" s="1029"/>
      <c r="K34" s="6" t="s">
        <v>540</v>
      </c>
      <c r="L34" s="1029"/>
      <c r="N34" s="6" t="s">
        <v>540</v>
      </c>
      <c r="O34" s="1029"/>
      <c r="Q34" s="8">
        <f t="shared" si="0"/>
        <v>0</v>
      </c>
    </row>
    <row r="35" spans="2:17">
      <c r="B35" s="6" t="s">
        <v>541</v>
      </c>
      <c r="C35" s="1029"/>
      <c r="E35" s="6" t="s">
        <v>541</v>
      </c>
      <c r="F35" s="1029"/>
      <c r="H35" s="1" t="s">
        <v>541</v>
      </c>
      <c r="I35" s="1029"/>
      <c r="K35" s="6" t="s">
        <v>541</v>
      </c>
      <c r="L35" s="1029"/>
      <c r="N35" s="6" t="s">
        <v>541</v>
      </c>
      <c r="O35" s="1029"/>
      <c r="Q35" s="8">
        <f t="shared" si="0"/>
        <v>0</v>
      </c>
    </row>
    <row r="36" spans="2:17">
      <c r="B36" s="6" t="s">
        <v>542</v>
      </c>
      <c r="C36" s="902"/>
      <c r="E36" s="6" t="s">
        <v>542</v>
      </c>
      <c r="F36" s="902"/>
      <c r="H36" s="6" t="s">
        <v>542</v>
      </c>
      <c r="I36" s="902"/>
      <c r="K36" s="6" t="s">
        <v>542</v>
      </c>
      <c r="L36" s="902"/>
      <c r="N36" s="6" t="s">
        <v>542</v>
      </c>
      <c r="O36" s="902"/>
      <c r="Q36" s="8">
        <f t="shared" si="0"/>
        <v>0</v>
      </c>
    </row>
    <row r="37" spans="2:17">
      <c r="B37" s="6" t="s">
        <v>678</v>
      </c>
      <c r="C37" s="1015"/>
      <c r="E37" s="6" t="s">
        <v>678</v>
      </c>
      <c r="F37" s="902"/>
      <c r="H37" s="25" t="s">
        <v>678</v>
      </c>
      <c r="I37" s="902"/>
      <c r="K37" s="899" t="s">
        <v>678</v>
      </c>
      <c r="L37" s="902"/>
      <c r="N37" s="899" t="s">
        <v>678</v>
      </c>
      <c r="O37" s="902"/>
      <c r="Q37" s="8">
        <f t="shared" si="0"/>
        <v>0</v>
      </c>
    </row>
    <row r="38" spans="2:17" ht="15" thickBot="1">
      <c r="B38" s="7" t="s">
        <v>679</v>
      </c>
      <c r="C38" s="1031"/>
      <c r="E38" s="7" t="s">
        <v>679</v>
      </c>
      <c r="F38" s="903"/>
      <c r="H38" s="737" t="s">
        <v>679</v>
      </c>
      <c r="I38" s="903"/>
      <c r="K38" s="7" t="s">
        <v>679</v>
      </c>
      <c r="L38" s="903"/>
      <c r="N38" s="7" t="s">
        <v>679</v>
      </c>
      <c r="O38" s="903"/>
      <c r="Q38" s="8">
        <f t="shared" si="0"/>
        <v>0</v>
      </c>
    </row>
    <row r="39" spans="2:17">
      <c r="C39" s="8">
        <f>SUM(C32:C38)</f>
        <v>0</v>
      </c>
      <c r="F39" s="8">
        <f>SUM(F32:F38)</f>
        <v>0</v>
      </c>
      <c r="I39" s="8">
        <f>SUM(I32:I38)</f>
        <v>0</v>
      </c>
      <c r="L39" s="8">
        <f>SUM(L32:L38)</f>
        <v>0</v>
      </c>
      <c r="O39" s="8">
        <f>SUM(O32:O38)</f>
        <v>0</v>
      </c>
      <c r="Q39" s="536">
        <f t="shared" si="0"/>
        <v>0</v>
      </c>
    </row>
    <row r="40" spans="2:17" ht="15" thickBot="1"/>
    <row r="41" spans="2:17">
      <c r="B41" s="1460" t="s">
        <v>100</v>
      </c>
      <c r="C41" s="1461"/>
      <c r="E41" s="1460" t="s">
        <v>100</v>
      </c>
      <c r="F41" s="1461"/>
      <c r="H41" s="1460" t="s">
        <v>100</v>
      </c>
      <c r="I41" s="1461"/>
      <c r="K41" s="1460" t="s">
        <v>100</v>
      </c>
      <c r="L41" s="1461"/>
    </row>
    <row r="42" spans="2:17" ht="15" thickBot="1">
      <c r="B42" s="1458" t="s">
        <v>173</v>
      </c>
      <c r="C42" s="1459"/>
      <c r="E42" s="1452" t="s">
        <v>332</v>
      </c>
      <c r="F42" s="1453"/>
      <c r="H42" s="1452" t="s">
        <v>333</v>
      </c>
      <c r="I42" s="1453"/>
      <c r="K42" s="1452" t="s">
        <v>345</v>
      </c>
      <c r="L42" s="1453"/>
    </row>
    <row r="43" spans="2:17">
      <c r="B43" s="899" t="s">
        <v>337</v>
      </c>
      <c r="C43" s="901"/>
      <c r="E43" s="899" t="s">
        <v>337</v>
      </c>
      <c r="F43" s="901"/>
      <c r="H43" s="899" t="s">
        <v>337</v>
      </c>
      <c r="I43" s="901"/>
      <c r="K43" s="899" t="s">
        <v>337</v>
      </c>
      <c r="L43" s="901"/>
    </row>
    <row r="44" spans="2:17">
      <c r="B44" s="6" t="s">
        <v>353</v>
      </c>
      <c r="C44" s="902"/>
      <c r="E44" s="6" t="s">
        <v>353</v>
      </c>
      <c r="F44" s="902"/>
      <c r="H44" s="6" t="s">
        <v>353</v>
      </c>
      <c r="I44" s="1015"/>
      <c r="K44" s="6" t="s">
        <v>353</v>
      </c>
      <c r="L44" s="902"/>
    </row>
    <row r="45" spans="2:17">
      <c r="B45" s="6" t="s">
        <v>245</v>
      </c>
      <c r="C45" s="902"/>
      <c r="E45" s="6" t="s">
        <v>245</v>
      </c>
      <c r="F45" s="902"/>
      <c r="H45" s="6" t="s">
        <v>245</v>
      </c>
      <c r="I45" s="902"/>
      <c r="K45" s="6" t="s">
        <v>245</v>
      </c>
      <c r="L45" s="1015"/>
    </row>
    <row r="46" spans="2:17">
      <c r="B46" s="6" t="s">
        <v>349</v>
      </c>
      <c r="C46" s="902"/>
      <c r="E46" s="6" t="s">
        <v>349</v>
      </c>
      <c r="F46" s="902"/>
      <c r="H46" s="6" t="s">
        <v>349</v>
      </c>
      <c r="I46" s="902"/>
      <c r="K46" s="6" t="s">
        <v>349</v>
      </c>
      <c r="L46" s="902"/>
    </row>
    <row r="47" spans="2:17">
      <c r="B47" s="6" t="s">
        <v>247</v>
      </c>
      <c r="C47" s="902"/>
      <c r="E47" s="6" t="s">
        <v>247</v>
      </c>
      <c r="F47" s="902"/>
      <c r="H47" s="6" t="s">
        <v>247</v>
      </c>
      <c r="I47" s="902"/>
      <c r="K47" s="6" t="s">
        <v>247</v>
      </c>
      <c r="L47" s="902"/>
    </row>
    <row r="48" spans="2:17">
      <c r="B48" s="6" t="s">
        <v>187</v>
      </c>
      <c r="C48" s="902"/>
      <c r="E48" s="6" t="s">
        <v>187</v>
      </c>
      <c r="F48" s="902"/>
      <c r="H48" s="6" t="s">
        <v>187</v>
      </c>
      <c r="I48" s="902"/>
      <c r="K48" s="6" t="s">
        <v>187</v>
      </c>
      <c r="L48" s="902"/>
    </row>
    <row r="49" spans="2:12">
      <c r="B49" s="6" t="s">
        <v>246</v>
      </c>
      <c r="C49" s="902"/>
      <c r="E49" s="6" t="s">
        <v>246</v>
      </c>
      <c r="F49" s="902"/>
      <c r="H49" s="6" t="s">
        <v>246</v>
      </c>
      <c r="I49" s="902"/>
      <c r="K49" s="6" t="s">
        <v>246</v>
      </c>
      <c r="L49" s="902"/>
    </row>
    <row r="50" spans="2:12">
      <c r="B50" s="6" t="s">
        <v>334</v>
      </c>
      <c r="C50" s="959"/>
      <c r="E50" s="6" t="s">
        <v>334</v>
      </c>
      <c r="F50" s="902"/>
      <c r="H50" s="6" t="s">
        <v>334</v>
      </c>
      <c r="I50" s="902"/>
      <c r="K50" s="6" t="s">
        <v>334</v>
      </c>
      <c r="L50" s="902"/>
    </row>
    <row r="51" spans="2:12" ht="15" thickBot="1">
      <c r="B51" s="1027" t="s">
        <v>637</v>
      </c>
      <c r="C51" s="903"/>
      <c r="E51" s="7" t="s">
        <v>637</v>
      </c>
      <c r="F51" s="903"/>
      <c r="H51" s="7" t="s">
        <v>637</v>
      </c>
      <c r="I51" s="903"/>
      <c r="K51" s="7" t="s">
        <v>637</v>
      </c>
      <c r="L51" s="903"/>
    </row>
    <row r="52" spans="2:12" s="16" customFormat="1">
      <c r="B52" s="963" t="s">
        <v>27</v>
      </c>
      <c r="C52" s="964">
        <f>SUM(C53:C57)</f>
        <v>0</v>
      </c>
      <c r="E52" s="963" t="s">
        <v>27</v>
      </c>
      <c r="F52" s="964">
        <f>SUM(F53:F57)</f>
        <v>0</v>
      </c>
      <c r="H52" s="963" t="s">
        <v>27</v>
      </c>
      <c r="I52" s="964">
        <f>SUM(I53:I57)</f>
        <v>0</v>
      </c>
      <c r="K52" s="963" t="s">
        <v>27</v>
      </c>
      <c r="L52" s="964">
        <f>SUM(L53:L57)</f>
        <v>0</v>
      </c>
    </row>
    <row r="53" spans="2:12">
      <c r="B53" s="14" t="s">
        <v>680</v>
      </c>
      <c r="C53" s="959"/>
      <c r="E53" s="14" t="s">
        <v>680</v>
      </c>
      <c r="F53" s="959"/>
      <c r="H53" s="14" t="s">
        <v>680</v>
      </c>
      <c r="I53" s="959"/>
      <c r="K53" s="14" t="s">
        <v>680</v>
      </c>
      <c r="L53" s="959"/>
    </row>
    <row r="54" spans="2:12">
      <c r="B54" s="14" t="s">
        <v>681</v>
      </c>
      <c r="C54" s="959"/>
      <c r="E54" s="14" t="s">
        <v>681</v>
      </c>
      <c r="F54" s="959"/>
      <c r="H54" s="1032" t="s">
        <v>681</v>
      </c>
      <c r="I54" s="1016"/>
      <c r="K54" s="1032" t="s">
        <v>806</v>
      </c>
      <c r="L54" s="1016"/>
    </row>
    <row r="55" spans="2:12">
      <c r="B55" s="14" t="s">
        <v>659</v>
      </c>
      <c r="C55" s="959"/>
      <c r="E55" s="14" t="s">
        <v>659</v>
      </c>
      <c r="F55" s="959"/>
      <c r="H55" s="14" t="s">
        <v>659</v>
      </c>
      <c r="I55" s="959"/>
      <c r="K55" s="14" t="s">
        <v>659</v>
      </c>
      <c r="L55" s="959"/>
    </row>
    <row r="56" spans="2:12">
      <c r="B56" s="14" t="s">
        <v>639</v>
      </c>
      <c r="C56" s="959"/>
      <c r="E56" s="14" t="s">
        <v>639</v>
      </c>
      <c r="F56" s="959"/>
      <c r="H56" s="14" t="s">
        <v>639</v>
      </c>
      <c r="I56" s="959"/>
      <c r="K56" s="14" t="s">
        <v>639</v>
      </c>
      <c r="L56" s="959"/>
    </row>
    <row r="57" spans="2:12" ht="15" thickBot="1">
      <c r="B57" s="7" t="s">
        <v>851</v>
      </c>
      <c r="C57" s="903"/>
      <c r="E57" s="7" t="s">
        <v>27</v>
      </c>
      <c r="F57" s="903"/>
      <c r="H57" s="7" t="s">
        <v>27</v>
      </c>
      <c r="I57" s="903"/>
      <c r="K57" s="7" t="s">
        <v>851</v>
      </c>
      <c r="L57" s="903"/>
    </row>
  </sheetData>
  <mergeCells count="23">
    <mergeCell ref="B42:C42"/>
    <mergeCell ref="E42:F42"/>
    <mergeCell ref="H42:I42"/>
    <mergeCell ref="K42:L42"/>
    <mergeCell ref="B41:C41"/>
    <mergeCell ref="E41:F41"/>
    <mergeCell ref="H41:I41"/>
    <mergeCell ref="K41:L41"/>
    <mergeCell ref="K30:L30"/>
    <mergeCell ref="K31:L31"/>
    <mergeCell ref="N3:O3"/>
    <mergeCell ref="E3:F3"/>
    <mergeCell ref="B3:C3"/>
    <mergeCell ref="H3:I3"/>
    <mergeCell ref="K3:L3"/>
    <mergeCell ref="B30:C30"/>
    <mergeCell ref="B31:C31"/>
    <mergeCell ref="E30:F30"/>
    <mergeCell ref="E31:F31"/>
    <mergeCell ref="H30:I30"/>
    <mergeCell ref="H31:I31"/>
    <mergeCell ref="N30:O30"/>
    <mergeCell ref="N31:O31"/>
  </mergeCells>
  <pageMargins left="0.7" right="0.7" top="0.75" bottom="0.75" header="0.3" footer="0.3"/>
  <pageSetup paperSize="256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0000"/>
  </sheetPr>
  <dimension ref="A1:L197"/>
  <sheetViews>
    <sheetView topLeftCell="B1" zoomScale="80" zoomScaleNormal="80" workbookViewId="0">
      <selection activeCell="N7" sqref="N7"/>
    </sheetView>
  </sheetViews>
  <sheetFormatPr defaultColWidth="8.88671875" defaultRowHeight="14.4"/>
  <cols>
    <col min="1" max="1" width="22.109375" style="614" customWidth="1"/>
    <col min="2" max="2" width="19.88671875" style="614" customWidth="1"/>
    <col min="3" max="3" width="23" style="614" customWidth="1"/>
    <col min="4" max="4" width="0.6640625" style="263" customWidth="1"/>
    <col min="5" max="5" width="33.109375" style="578" customWidth="1"/>
    <col min="6" max="6" width="12.6640625" style="267" customWidth="1"/>
    <col min="7" max="7" width="13.88671875" style="578" customWidth="1"/>
    <col min="8" max="8" width="14.109375" style="263" customWidth="1"/>
    <col min="9" max="9" width="1.5546875" style="263" customWidth="1"/>
    <col min="10" max="10" width="10.6640625" style="263" customWidth="1"/>
    <col min="11" max="11" width="18.33203125" style="263" customWidth="1"/>
    <col min="12" max="12" width="14" style="263" customWidth="1"/>
    <col min="13" max="16384" width="8.88671875" style="263"/>
  </cols>
  <sheetData>
    <row r="1" spans="1:12">
      <c r="A1" s="263"/>
      <c r="B1" s="263"/>
      <c r="C1" s="263"/>
    </row>
    <row r="2" spans="1:12" ht="15" thickBot="1">
      <c r="A2" s="267"/>
      <c r="B2" s="267"/>
      <c r="C2" s="267"/>
      <c r="D2" s="267"/>
      <c r="E2" s="324"/>
      <c r="G2" s="324"/>
      <c r="H2" s="267"/>
      <c r="I2" s="267"/>
      <c r="J2" s="267"/>
      <c r="K2" s="267"/>
      <c r="L2" s="267"/>
    </row>
    <row r="3" spans="1:12" ht="63.75" customHeight="1">
      <c r="A3" s="1472" t="s">
        <v>12</v>
      </c>
      <c r="B3" s="1473"/>
      <c r="C3" s="1474"/>
      <c r="D3" s="274"/>
      <c r="E3" s="1475" t="s">
        <v>99</v>
      </c>
      <c r="F3" s="1476"/>
      <c r="G3" s="1476"/>
      <c r="H3" s="1477"/>
      <c r="I3" s="579"/>
      <c r="J3" s="1462" t="s">
        <v>180</v>
      </c>
      <c r="K3" s="1463"/>
      <c r="L3" s="1464"/>
    </row>
    <row r="4" spans="1:12" ht="15.75" customHeight="1" thickBot="1">
      <c r="A4" s="615" t="s">
        <v>66</v>
      </c>
      <c r="B4" s="616" t="s">
        <v>67</v>
      </c>
      <c r="C4" s="617" t="s">
        <v>68</v>
      </c>
      <c r="D4" s="290"/>
      <c r="E4" s="1478"/>
      <c r="F4" s="1479"/>
      <c r="G4" s="1479"/>
      <c r="H4" s="1480"/>
      <c r="I4" s="290"/>
      <c r="J4" s="1465"/>
      <c r="K4" s="1466"/>
      <c r="L4" s="1467"/>
    </row>
    <row r="5" spans="1:12">
      <c r="A5" s="580"/>
      <c r="B5" s="581"/>
      <c r="C5" s="582"/>
      <c r="D5" s="267"/>
      <c r="E5" s="583"/>
      <c r="F5" s="584"/>
      <c r="G5" s="585"/>
      <c r="H5" s="586"/>
      <c r="I5" s="267"/>
      <c r="J5" s="587"/>
      <c r="K5" s="588"/>
      <c r="L5" s="404"/>
    </row>
    <row r="6" spans="1:12">
      <c r="A6" s="589"/>
      <c r="B6" s="590"/>
      <c r="C6" s="591"/>
      <c r="E6" s="592"/>
      <c r="F6" s="588"/>
      <c r="G6" s="593"/>
      <c r="H6" s="594"/>
      <c r="J6" s="595"/>
      <c r="K6" s="596"/>
      <c r="L6" s="594"/>
    </row>
    <row r="7" spans="1:12">
      <c r="A7" s="589"/>
      <c r="B7" s="590"/>
      <c r="C7" s="591"/>
      <c r="E7" s="597"/>
      <c r="F7" s="588"/>
      <c r="G7" s="593"/>
      <c r="H7" s="594"/>
      <c r="J7" s="595"/>
      <c r="K7" s="596"/>
      <c r="L7" s="594"/>
    </row>
    <row r="8" spans="1:12">
      <c r="A8" s="589"/>
      <c r="B8" s="590"/>
      <c r="C8" s="591"/>
      <c r="E8" s="592"/>
      <c r="F8" s="598"/>
      <c r="G8" s="593"/>
      <c r="H8" s="594"/>
      <c r="J8" s="595"/>
      <c r="K8" s="596"/>
      <c r="L8" s="594"/>
    </row>
    <row r="9" spans="1:12">
      <c r="A9" s="589"/>
      <c r="B9" s="590"/>
      <c r="C9" s="591"/>
      <c r="E9" s="592"/>
      <c r="F9" s="588"/>
      <c r="G9" s="593"/>
      <c r="H9" s="594"/>
      <c r="J9" s="595"/>
      <c r="K9" s="596"/>
      <c r="L9" s="594"/>
    </row>
    <row r="10" spans="1:12">
      <c r="A10" s="589"/>
      <c r="B10" s="590"/>
      <c r="C10" s="591"/>
      <c r="E10" s="597"/>
      <c r="F10" s="588"/>
      <c r="G10" s="593"/>
      <c r="H10" s="594"/>
      <c r="J10" s="595"/>
      <c r="K10" s="596"/>
      <c r="L10" s="594"/>
    </row>
    <row r="11" spans="1:12">
      <c r="A11" s="589"/>
      <c r="B11" s="590"/>
      <c r="C11" s="591"/>
      <c r="E11" s="592"/>
      <c r="F11" s="588"/>
      <c r="G11" s="593"/>
      <c r="H11" s="594"/>
      <c r="J11" s="595"/>
      <c r="K11" s="596"/>
      <c r="L11" s="594"/>
    </row>
    <row r="12" spans="1:12">
      <c r="A12" s="589"/>
      <c r="B12" s="590"/>
      <c r="C12" s="591"/>
      <c r="E12" s="592"/>
      <c r="F12" s="599"/>
      <c r="G12" s="593"/>
      <c r="H12" s="594"/>
      <c r="J12" s="595"/>
      <c r="K12" s="596"/>
      <c r="L12" s="594"/>
    </row>
    <row r="13" spans="1:12">
      <c r="A13" s="589"/>
      <c r="B13" s="590"/>
      <c r="C13" s="591"/>
      <c r="E13" s="592"/>
      <c r="F13" s="588"/>
      <c r="G13" s="593"/>
      <c r="H13" s="594"/>
      <c r="J13" s="595"/>
      <c r="K13" s="596"/>
      <c r="L13" s="594"/>
    </row>
    <row r="14" spans="1:12">
      <c r="A14" s="589"/>
      <c r="B14" s="590"/>
      <c r="C14" s="591"/>
      <c r="E14" s="592"/>
      <c r="F14" s="588"/>
      <c r="G14" s="593"/>
      <c r="H14" s="594"/>
      <c r="J14" s="595"/>
      <c r="K14" s="596"/>
      <c r="L14" s="594"/>
    </row>
    <row r="15" spans="1:12">
      <c r="A15" s="589"/>
      <c r="B15" s="590"/>
      <c r="C15" s="591"/>
      <c r="E15" s="597"/>
      <c r="F15" s="588"/>
      <c r="G15" s="593"/>
      <c r="H15" s="594"/>
      <c r="J15" s="595"/>
      <c r="K15" s="596"/>
      <c r="L15" s="594"/>
    </row>
    <row r="16" spans="1:12">
      <c r="A16" s="589"/>
      <c r="B16" s="590"/>
      <c r="C16" s="591"/>
      <c r="E16" s="592"/>
      <c r="F16" s="588"/>
      <c r="G16" s="593"/>
      <c r="H16" s="594"/>
      <c r="J16" s="595"/>
      <c r="K16" s="596"/>
      <c r="L16" s="594"/>
    </row>
    <row r="17" spans="1:12">
      <c r="A17" s="589"/>
      <c r="B17" s="590"/>
      <c r="C17" s="591"/>
      <c r="E17" s="592"/>
      <c r="F17" s="588"/>
      <c r="G17" s="593"/>
      <c r="H17" s="594"/>
      <c r="J17" s="595"/>
      <c r="K17" s="596"/>
      <c r="L17" s="594"/>
    </row>
    <row r="18" spans="1:12">
      <c r="A18" s="589"/>
      <c r="B18" s="590"/>
      <c r="C18" s="591"/>
      <c r="E18" s="592"/>
      <c r="F18" s="588"/>
      <c r="G18" s="593"/>
      <c r="H18" s="594"/>
      <c r="J18" s="595"/>
      <c r="K18" s="596"/>
      <c r="L18" s="594"/>
    </row>
    <row r="19" spans="1:12">
      <c r="A19" s="589"/>
      <c r="B19" s="590"/>
      <c r="C19" s="591"/>
      <c r="E19" s="592"/>
      <c r="F19" s="588"/>
      <c r="G19" s="593"/>
      <c r="H19" s="594"/>
      <c r="J19" s="595"/>
      <c r="K19" s="596"/>
      <c r="L19" s="594"/>
    </row>
    <row r="20" spans="1:12">
      <c r="A20" s="589"/>
      <c r="B20" s="590"/>
      <c r="C20" s="591"/>
      <c r="E20" s="592"/>
      <c r="F20" s="588"/>
      <c r="G20" s="593"/>
      <c r="H20" s="594"/>
      <c r="J20" s="595"/>
      <c r="K20" s="596"/>
      <c r="L20" s="594"/>
    </row>
    <row r="21" spans="1:12">
      <c r="A21" s="589"/>
      <c r="B21" s="590"/>
      <c r="C21" s="591"/>
      <c r="E21" s="592"/>
      <c r="F21" s="588"/>
      <c r="G21" s="593"/>
      <c r="H21" s="594"/>
      <c r="J21" s="595"/>
      <c r="K21" s="596"/>
      <c r="L21" s="594"/>
    </row>
    <row r="22" spans="1:12">
      <c r="A22" s="589"/>
      <c r="B22" s="590"/>
      <c r="C22" s="591"/>
      <c r="E22" s="592"/>
      <c r="F22" s="588"/>
      <c r="G22" s="593"/>
      <c r="H22" s="594"/>
      <c r="J22" s="595"/>
      <c r="K22" s="596"/>
      <c r="L22" s="594"/>
    </row>
    <row r="23" spans="1:12">
      <c r="A23" s="589"/>
      <c r="B23" s="590"/>
      <c r="C23" s="591"/>
      <c r="E23" s="592"/>
      <c r="F23" s="588"/>
      <c r="G23" s="593"/>
      <c r="H23" s="594"/>
      <c r="J23" s="595"/>
      <c r="K23" s="596"/>
      <c r="L23" s="594"/>
    </row>
    <row r="24" spans="1:12">
      <c r="A24" s="589"/>
      <c r="B24" s="590"/>
      <c r="C24" s="591"/>
      <c r="E24" s="592"/>
      <c r="F24" s="588"/>
      <c r="G24" s="593"/>
      <c r="H24" s="594"/>
      <c r="J24" s="595"/>
      <c r="K24" s="596"/>
      <c r="L24" s="594"/>
    </row>
    <row r="25" spans="1:12">
      <c r="A25" s="589"/>
      <c r="B25" s="590"/>
      <c r="C25" s="591"/>
      <c r="E25" s="592"/>
      <c r="F25" s="588"/>
      <c r="G25" s="593"/>
      <c r="H25" s="594"/>
      <c r="J25" s="595"/>
      <c r="K25" s="596"/>
      <c r="L25" s="594"/>
    </row>
    <row r="26" spans="1:12">
      <c r="A26" s="589"/>
      <c r="B26" s="590"/>
      <c r="C26" s="591"/>
      <c r="E26" s="592"/>
      <c r="F26" s="588"/>
      <c r="G26" s="593"/>
      <c r="H26" s="594"/>
      <c r="J26" s="595"/>
      <c r="K26" s="596"/>
      <c r="L26" s="594"/>
    </row>
    <row r="27" spans="1:12">
      <c r="A27" s="589"/>
      <c r="B27" s="590"/>
      <c r="C27" s="591"/>
      <c r="E27" s="592"/>
      <c r="F27" s="588"/>
      <c r="G27" s="593"/>
      <c r="H27" s="594"/>
      <c r="J27" s="595"/>
      <c r="K27" s="596"/>
      <c r="L27" s="594"/>
    </row>
    <row r="28" spans="1:12">
      <c r="A28" s="589"/>
      <c r="B28" s="590"/>
      <c r="C28" s="591"/>
      <c r="E28" s="592"/>
      <c r="F28" s="588"/>
      <c r="G28" s="593"/>
      <c r="H28" s="594"/>
      <c r="J28" s="595"/>
      <c r="K28" s="596"/>
      <c r="L28" s="594"/>
    </row>
    <row r="29" spans="1:12">
      <c r="A29" s="589"/>
      <c r="B29" s="590"/>
      <c r="C29" s="591"/>
      <c r="E29" s="592"/>
      <c r="F29" s="588"/>
      <c r="G29" s="593"/>
      <c r="H29" s="594"/>
      <c r="J29" s="595"/>
      <c r="K29" s="596"/>
      <c r="L29" s="594"/>
    </row>
    <row r="30" spans="1:12">
      <c r="A30" s="589"/>
      <c r="B30" s="590"/>
      <c r="C30" s="591"/>
      <c r="E30" s="592"/>
      <c r="F30" s="588"/>
      <c r="G30" s="593"/>
      <c r="H30" s="594"/>
      <c r="J30" s="595"/>
      <c r="K30" s="596"/>
      <c r="L30" s="594"/>
    </row>
    <row r="31" spans="1:12">
      <c r="A31" s="589"/>
      <c r="B31" s="590"/>
      <c r="C31" s="591"/>
      <c r="E31" s="592"/>
      <c r="F31" s="588"/>
      <c r="G31" s="593"/>
      <c r="H31" s="594"/>
      <c r="J31" s="595"/>
      <c r="K31" s="596"/>
      <c r="L31" s="594"/>
    </row>
    <row r="32" spans="1:12">
      <c r="A32" s="589"/>
      <c r="B32" s="590"/>
      <c r="C32" s="591"/>
      <c r="E32" s="592"/>
      <c r="F32" s="588"/>
      <c r="G32" s="593"/>
      <c r="H32" s="594"/>
      <c r="J32" s="595"/>
      <c r="K32" s="596"/>
      <c r="L32" s="594"/>
    </row>
    <row r="33" spans="1:12">
      <c r="A33" s="589"/>
      <c r="B33" s="590"/>
      <c r="C33" s="591"/>
      <c r="E33" s="592"/>
      <c r="F33" s="588"/>
      <c r="G33" s="593"/>
      <c r="H33" s="594"/>
      <c r="J33" s="595"/>
      <c r="K33" s="596"/>
      <c r="L33" s="594"/>
    </row>
    <row r="34" spans="1:12">
      <c r="A34" s="589"/>
      <c r="B34" s="590"/>
      <c r="C34" s="591"/>
      <c r="E34" s="592"/>
      <c r="F34" s="588"/>
      <c r="G34" s="593"/>
      <c r="H34" s="594"/>
      <c r="J34" s="595"/>
      <c r="K34" s="596"/>
      <c r="L34" s="594"/>
    </row>
    <row r="35" spans="1:12">
      <c r="A35" s="589"/>
      <c r="B35" s="590"/>
      <c r="C35" s="591"/>
      <c r="E35" s="592"/>
      <c r="F35" s="588"/>
      <c r="G35" s="593"/>
      <c r="H35" s="594"/>
      <c r="J35" s="595"/>
      <c r="K35" s="596"/>
      <c r="L35" s="594"/>
    </row>
    <row r="36" spans="1:12">
      <c r="A36" s="589"/>
      <c r="B36" s="590"/>
      <c r="C36" s="591"/>
      <c r="E36" s="592"/>
      <c r="F36" s="588"/>
      <c r="G36" s="593"/>
      <c r="H36" s="594"/>
      <c r="J36" s="595"/>
      <c r="K36" s="596"/>
      <c r="L36" s="594"/>
    </row>
    <row r="37" spans="1:12">
      <c r="A37" s="589"/>
      <c r="B37" s="590"/>
      <c r="C37" s="591"/>
      <c r="E37" s="592"/>
      <c r="F37" s="588"/>
      <c r="G37" s="593"/>
      <c r="H37" s="594"/>
      <c r="J37" s="595"/>
      <c r="K37" s="596"/>
      <c r="L37" s="594"/>
    </row>
    <row r="38" spans="1:12">
      <c r="A38" s="589"/>
      <c r="B38" s="590"/>
      <c r="C38" s="591"/>
      <c r="E38" s="592"/>
      <c r="F38" s="588"/>
      <c r="G38" s="593"/>
      <c r="H38" s="594"/>
      <c r="J38" s="595"/>
      <c r="K38" s="596"/>
      <c r="L38" s="594"/>
    </row>
    <row r="39" spans="1:12">
      <c r="A39" s="589"/>
      <c r="B39" s="590"/>
      <c r="C39" s="591"/>
      <c r="E39" s="592"/>
      <c r="F39" s="588"/>
      <c r="G39" s="593"/>
      <c r="H39" s="594"/>
      <c r="J39" s="595"/>
      <c r="K39" s="596"/>
      <c r="L39" s="594"/>
    </row>
    <row r="40" spans="1:12">
      <c r="A40" s="589"/>
      <c r="B40" s="590"/>
      <c r="C40" s="591"/>
      <c r="E40" s="592"/>
      <c r="F40" s="588"/>
      <c r="G40" s="593"/>
      <c r="H40" s="594"/>
      <c r="J40" s="595"/>
      <c r="K40" s="596"/>
      <c r="L40" s="594"/>
    </row>
    <row r="41" spans="1:12">
      <c r="A41" s="589"/>
      <c r="B41" s="590"/>
      <c r="C41" s="591"/>
      <c r="E41" s="592"/>
      <c r="F41" s="588"/>
      <c r="G41" s="593"/>
      <c r="H41" s="594"/>
      <c r="J41" s="595"/>
      <c r="K41" s="596"/>
      <c r="L41" s="594"/>
    </row>
    <row r="42" spans="1:12">
      <c r="A42" s="589"/>
      <c r="B42" s="590"/>
      <c r="C42" s="591"/>
      <c r="E42" s="592"/>
      <c r="F42" s="588"/>
      <c r="G42" s="593"/>
      <c r="H42" s="594"/>
      <c r="J42" s="595"/>
      <c r="K42" s="596"/>
      <c r="L42" s="594"/>
    </row>
    <row r="43" spans="1:12">
      <c r="A43" s="589"/>
      <c r="B43" s="590"/>
      <c r="C43" s="591"/>
      <c r="E43" s="592"/>
      <c r="F43" s="588"/>
      <c r="G43" s="593"/>
      <c r="H43" s="594"/>
      <c r="J43" s="595"/>
      <c r="K43" s="596"/>
      <c r="L43" s="594"/>
    </row>
    <row r="44" spans="1:12">
      <c r="A44" s="589"/>
      <c r="B44" s="590"/>
      <c r="C44" s="591"/>
      <c r="E44" s="592"/>
      <c r="F44" s="588"/>
      <c r="G44" s="593"/>
      <c r="H44" s="594"/>
      <c r="J44" s="595"/>
      <c r="K44" s="596"/>
      <c r="L44" s="594"/>
    </row>
    <row r="45" spans="1:12">
      <c r="A45" s="589"/>
      <c r="B45" s="590"/>
      <c r="C45" s="591"/>
      <c r="E45" s="592"/>
      <c r="F45" s="588"/>
      <c r="G45" s="593"/>
      <c r="H45" s="594"/>
      <c r="J45" s="595"/>
      <c r="K45" s="596"/>
      <c r="L45" s="594"/>
    </row>
    <row r="46" spans="1:12">
      <c r="A46" s="589"/>
      <c r="B46" s="590"/>
      <c r="C46" s="591"/>
      <c r="E46" s="592"/>
      <c r="F46" s="588"/>
      <c r="G46" s="593"/>
      <c r="H46" s="594"/>
      <c r="J46" s="595"/>
      <c r="K46" s="596"/>
      <c r="L46" s="594"/>
    </row>
    <row r="47" spans="1:12">
      <c r="A47" s="589"/>
      <c r="B47" s="590"/>
      <c r="C47" s="591"/>
      <c r="E47" s="592"/>
      <c r="F47" s="588"/>
      <c r="G47" s="593"/>
      <c r="H47" s="594"/>
      <c r="J47" s="595"/>
      <c r="K47" s="596"/>
      <c r="L47" s="594"/>
    </row>
    <row r="48" spans="1:12">
      <c r="A48" s="589"/>
      <c r="B48" s="590"/>
      <c r="C48" s="591"/>
      <c r="E48" s="592"/>
      <c r="F48" s="588"/>
      <c r="G48" s="593"/>
      <c r="H48" s="594"/>
      <c r="J48" s="595"/>
      <c r="K48" s="596"/>
      <c r="L48" s="594"/>
    </row>
    <row r="49" spans="1:12">
      <c r="A49" s="589"/>
      <c r="B49" s="590"/>
      <c r="C49" s="591"/>
      <c r="E49" s="592"/>
      <c r="F49" s="588"/>
      <c r="G49" s="593"/>
      <c r="H49" s="594"/>
      <c r="J49" s="595"/>
      <c r="K49" s="596"/>
      <c r="L49" s="594"/>
    </row>
    <row r="50" spans="1:12">
      <c r="A50" s="589"/>
      <c r="B50" s="590"/>
      <c r="C50" s="591"/>
      <c r="E50" s="592"/>
      <c r="F50" s="588"/>
      <c r="G50" s="593"/>
      <c r="H50" s="594"/>
      <c r="J50" s="595"/>
      <c r="K50" s="596"/>
      <c r="L50" s="594"/>
    </row>
    <row r="51" spans="1:12">
      <c r="A51" s="589"/>
      <c r="B51" s="590"/>
      <c r="C51" s="591"/>
      <c r="E51" s="592"/>
      <c r="F51" s="588"/>
      <c r="G51" s="593"/>
      <c r="H51" s="594"/>
      <c r="J51" s="595"/>
      <c r="K51" s="596"/>
      <c r="L51" s="594"/>
    </row>
    <row r="52" spans="1:12">
      <c r="A52" s="589"/>
      <c r="B52" s="590"/>
      <c r="C52" s="591"/>
      <c r="E52" s="592"/>
      <c r="F52" s="588"/>
      <c r="G52" s="593"/>
      <c r="H52" s="594"/>
      <c r="J52" s="595"/>
      <c r="K52" s="596"/>
      <c r="L52" s="594"/>
    </row>
    <row r="53" spans="1:12">
      <c r="A53" s="589"/>
      <c r="B53" s="590"/>
      <c r="C53" s="591"/>
      <c r="E53" s="592"/>
      <c r="F53" s="588"/>
      <c r="G53" s="593"/>
      <c r="H53" s="594"/>
      <c r="J53" s="595"/>
      <c r="K53" s="596"/>
      <c r="L53" s="594"/>
    </row>
    <row r="54" spans="1:12">
      <c r="A54" s="589"/>
      <c r="B54" s="590"/>
      <c r="C54" s="591"/>
      <c r="E54" s="592"/>
      <c r="F54" s="588"/>
      <c r="G54" s="593"/>
      <c r="H54" s="594"/>
      <c r="J54" s="595"/>
      <c r="K54" s="596"/>
      <c r="L54" s="594"/>
    </row>
    <row r="55" spans="1:12">
      <c r="A55" s="589"/>
      <c r="B55" s="590"/>
      <c r="C55" s="591"/>
      <c r="E55" s="592"/>
      <c r="F55" s="588"/>
      <c r="G55" s="593"/>
      <c r="H55" s="594"/>
      <c r="J55" s="595"/>
      <c r="K55" s="596"/>
      <c r="L55" s="594"/>
    </row>
    <row r="56" spans="1:12">
      <c r="A56" s="589"/>
      <c r="B56" s="590"/>
      <c r="C56" s="591"/>
      <c r="E56" s="592"/>
      <c r="F56" s="588"/>
      <c r="G56" s="593"/>
      <c r="H56" s="594"/>
      <c r="J56" s="595"/>
      <c r="K56" s="596"/>
      <c r="L56" s="594"/>
    </row>
    <row r="57" spans="1:12">
      <c r="A57" s="589"/>
      <c r="B57" s="590"/>
      <c r="C57" s="591"/>
      <c r="E57" s="592"/>
      <c r="F57" s="588"/>
      <c r="G57" s="593"/>
      <c r="H57" s="594"/>
      <c r="J57" s="595"/>
      <c r="K57" s="596"/>
      <c r="L57" s="594"/>
    </row>
    <row r="58" spans="1:12">
      <c r="A58" s="589"/>
      <c r="B58" s="590"/>
      <c r="C58" s="591"/>
      <c r="E58" s="592"/>
      <c r="F58" s="588"/>
      <c r="G58" s="593"/>
      <c r="H58" s="594"/>
      <c r="J58" s="595"/>
      <c r="K58" s="596"/>
      <c r="L58" s="594"/>
    </row>
    <row r="59" spans="1:12">
      <c r="A59" s="589"/>
      <c r="B59" s="590"/>
      <c r="C59" s="591"/>
      <c r="E59" s="592"/>
      <c r="F59" s="588"/>
      <c r="G59" s="593"/>
      <c r="H59" s="594"/>
      <c r="J59" s="595"/>
      <c r="K59" s="596"/>
      <c r="L59" s="594"/>
    </row>
    <row r="60" spans="1:12">
      <c r="A60" s="589"/>
      <c r="B60" s="590"/>
      <c r="C60" s="591"/>
      <c r="E60" s="592"/>
      <c r="F60" s="588"/>
      <c r="G60" s="593"/>
      <c r="H60" s="594"/>
      <c r="J60" s="595"/>
      <c r="K60" s="596"/>
      <c r="L60" s="594"/>
    </row>
    <row r="61" spans="1:12">
      <c r="A61" s="589"/>
      <c r="B61" s="590"/>
      <c r="C61" s="591"/>
      <c r="E61" s="592"/>
      <c r="F61" s="588"/>
      <c r="G61" s="593"/>
      <c r="H61" s="594"/>
      <c r="J61" s="595"/>
      <c r="K61" s="596"/>
      <c r="L61" s="594"/>
    </row>
    <row r="62" spans="1:12">
      <c r="A62" s="589"/>
      <c r="B62" s="590"/>
      <c r="C62" s="591"/>
      <c r="E62" s="592"/>
      <c r="F62" s="588"/>
      <c r="G62" s="593"/>
      <c r="H62" s="594"/>
      <c r="J62" s="595"/>
      <c r="K62" s="596"/>
      <c r="L62" s="594"/>
    </row>
    <row r="63" spans="1:12">
      <c r="A63" s="589"/>
      <c r="B63" s="590"/>
      <c r="C63" s="591"/>
      <c r="E63" s="592"/>
      <c r="F63" s="588"/>
      <c r="G63" s="593"/>
      <c r="H63" s="594"/>
      <c r="J63" s="595"/>
      <c r="K63" s="596"/>
      <c r="L63" s="594"/>
    </row>
    <row r="64" spans="1:12">
      <c r="A64" s="589"/>
      <c r="B64" s="590"/>
      <c r="C64" s="591"/>
      <c r="E64" s="592"/>
      <c r="F64" s="588"/>
      <c r="G64" s="593"/>
      <c r="H64" s="594"/>
      <c r="J64" s="595"/>
      <c r="K64" s="596"/>
      <c r="L64" s="594"/>
    </row>
    <row r="65" spans="1:12">
      <c r="A65" s="589"/>
      <c r="B65" s="590"/>
      <c r="C65" s="591"/>
      <c r="E65" s="592"/>
      <c r="F65" s="588"/>
      <c r="G65" s="593"/>
      <c r="H65" s="594"/>
      <c r="J65" s="595"/>
      <c r="K65" s="596"/>
      <c r="L65" s="594"/>
    </row>
    <row r="66" spans="1:12">
      <c r="A66" s="589"/>
      <c r="B66" s="590"/>
      <c r="C66" s="591"/>
      <c r="E66" s="592"/>
      <c r="F66" s="588"/>
      <c r="G66" s="593"/>
      <c r="H66" s="594"/>
      <c r="J66" s="595"/>
      <c r="K66" s="596"/>
      <c r="L66" s="594"/>
    </row>
    <row r="67" spans="1:12">
      <c r="A67" s="589"/>
      <c r="B67" s="590"/>
      <c r="C67" s="591"/>
      <c r="E67" s="592"/>
      <c r="F67" s="588"/>
      <c r="G67" s="593"/>
      <c r="H67" s="594"/>
      <c r="J67" s="595"/>
      <c r="K67" s="596"/>
      <c r="L67" s="594"/>
    </row>
    <row r="68" spans="1:12">
      <c r="A68" s="589"/>
      <c r="B68" s="590"/>
      <c r="C68" s="591"/>
      <c r="E68" s="592"/>
      <c r="F68" s="588"/>
      <c r="G68" s="593"/>
      <c r="H68" s="594"/>
      <c r="J68" s="595"/>
      <c r="K68" s="596"/>
      <c r="L68" s="594"/>
    </row>
    <row r="69" spans="1:12">
      <c r="A69" s="589"/>
      <c r="B69" s="590"/>
      <c r="C69" s="591"/>
      <c r="E69" s="592"/>
      <c r="F69" s="588"/>
      <c r="G69" s="593"/>
      <c r="H69" s="594"/>
      <c r="J69" s="595"/>
      <c r="K69" s="596"/>
      <c r="L69" s="594"/>
    </row>
    <row r="70" spans="1:12">
      <c r="A70" s="589"/>
      <c r="B70" s="590"/>
      <c r="C70" s="591"/>
      <c r="E70" s="592"/>
      <c r="F70" s="588"/>
      <c r="G70" s="593"/>
      <c r="H70" s="594"/>
      <c r="J70" s="595"/>
      <c r="K70" s="596"/>
      <c r="L70" s="594"/>
    </row>
    <row r="71" spans="1:12">
      <c r="A71" s="589"/>
      <c r="B71" s="590"/>
      <c r="C71" s="591"/>
      <c r="E71" s="592"/>
      <c r="F71" s="588"/>
      <c r="G71" s="593"/>
      <c r="H71" s="594"/>
      <c r="J71" s="595"/>
      <c r="K71" s="596"/>
      <c r="L71" s="594"/>
    </row>
    <row r="72" spans="1:12">
      <c r="A72" s="589"/>
      <c r="B72" s="590"/>
      <c r="C72" s="591"/>
      <c r="E72" s="592"/>
      <c r="F72" s="588"/>
      <c r="G72" s="593"/>
      <c r="H72" s="594"/>
      <c r="J72" s="595"/>
      <c r="K72" s="596"/>
      <c r="L72" s="594"/>
    </row>
    <row r="73" spans="1:12">
      <c r="A73" s="589"/>
      <c r="B73" s="590"/>
      <c r="C73" s="591"/>
      <c r="E73" s="592"/>
      <c r="F73" s="588"/>
      <c r="G73" s="593"/>
      <c r="H73" s="594"/>
      <c r="J73" s="595"/>
      <c r="K73" s="596"/>
      <c r="L73" s="594"/>
    </row>
    <row r="74" spans="1:12">
      <c r="A74" s="589"/>
      <c r="B74" s="590"/>
      <c r="C74" s="591"/>
      <c r="E74" s="592"/>
      <c r="F74" s="588"/>
      <c r="G74" s="593"/>
      <c r="H74" s="594"/>
      <c r="J74" s="595"/>
      <c r="K74" s="596"/>
      <c r="L74" s="594"/>
    </row>
    <row r="75" spans="1:12">
      <c r="A75" s="589"/>
      <c r="B75" s="590"/>
      <c r="C75" s="591"/>
      <c r="E75" s="592"/>
      <c r="F75" s="588"/>
      <c r="G75" s="593"/>
      <c r="H75" s="594"/>
      <c r="J75" s="595"/>
      <c r="K75" s="596"/>
      <c r="L75" s="594"/>
    </row>
    <row r="76" spans="1:12">
      <c r="A76" s="589"/>
      <c r="B76" s="590"/>
      <c r="C76" s="591"/>
      <c r="E76" s="592"/>
      <c r="F76" s="588"/>
      <c r="G76" s="593"/>
      <c r="H76" s="594"/>
      <c r="J76" s="595"/>
      <c r="K76" s="596"/>
      <c r="L76" s="594"/>
    </row>
    <row r="77" spans="1:12">
      <c r="A77" s="589"/>
      <c r="B77" s="590"/>
      <c r="C77" s="591"/>
      <c r="E77" s="592"/>
      <c r="F77" s="588"/>
      <c r="G77" s="593"/>
      <c r="H77" s="594"/>
      <c r="J77" s="595"/>
      <c r="K77" s="596"/>
      <c r="L77" s="594"/>
    </row>
    <row r="78" spans="1:12">
      <c r="A78" s="589"/>
      <c r="B78" s="590"/>
      <c r="C78" s="591"/>
      <c r="E78" s="592"/>
      <c r="F78" s="588"/>
      <c r="G78" s="593"/>
      <c r="H78" s="594"/>
      <c r="J78" s="595"/>
      <c r="K78" s="596"/>
      <c r="L78" s="594"/>
    </row>
    <row r="79" spans="1:12">
      <c r="A79" s="589"/>
      <c r="B79" s="590"/>
      <c r="C79" s="591"/>
      <c r="E79" s="592"/>
      <c r="F79" s="588"/>
      <c r="G79" s="593"/>
      <c r="H79" s="594"/>
      <c r="J79" s="595"/>
      <c r="K79" s="596"/>
      <c r="L79" s="594"/>
    </row>
    <row r="80" spans="1:12">
      <c r="A80" s="589"/>
      <c r="B80" s="590"/>
      <c r="C80" s="591"/>
      <c r="E80" s="592"/>
      <c r="F80" s="588"/>
      <c r="G80" s="593"/>
      <c r="H80" s="594"/>
      <c r="J80" s="595"/>
      <c r="K80" s="596"/>
      <c r="L80" s="594"/>
    </row>
    <row r="81" spans="1:12">
      <c r="A81" s="589"/>
      <c r="B81" s="590"/>
      <c r="C81" s="591"/>
      <c r="E81" s="592"/>
      <c r="F81" s="588"/>
      <c r="G81" s="593"/>
      <c r="H81" s="594"/>
      <c r="J81" s="595"/>
      <c r="K81" s="596"/>
      <c r="L81" s="594"/>
    </row>
    <row r="82" spans="1:12">
      <c r="A82" s="589"/>
      <c r="B82" s="590"/>
      <c r="C82" s="591"/>
      <c r="E82" s="592"/>
      <c r="F82" s="588"/>
      <c r="G82" s="593"/>
      <c r="H82" s="594"/>
      <c r="J82" s="595"/>
      <c r="K82" s="596"/>
      <c r="L82" s="594"/>
    </row>
    <row r="83" spans="1:12">
      <c r="A83" s="589"/>
      <c r="B83" s="590"/>
      <c r="C83" s="591"/>
      <c r="E83" s="592"/>
      <c r="F83" s="588"/>
      <c r="G83" s="593"/>
      <c r="H83" s="594"/>
      <c r="J83" s="595"/>
      <c r="K83" s="596"/>
      <c r="L83" s="594"/>
    </row>
    <row r="84" spans="1:12">
      <c r="A84" s="589"/>
      <c r="B84" s="590"/>
      <c r="C84" s="591"/>
      <c r="E84" s="592"/>
      <c r="F84" s="588"/>
      <c r="G84" s="593"/>
      <c r="H84" s="594"/>
      <c r="J84" s="595"/>
      <c r="K84" s="596"/>
      <c r="L84" s="594"/>
    </row>
    <row r="85" spans="1:12">
      <c r="A85" s="589"/>
      <c r="B85" s="590"/>
      <c r="C85" s="591"/>
      <c r="E85" s="592"/>
      <c r="F85" s="588"/>
      <c r="G85" s="593"/>
      <c r="H85" s="594"/>
      <c r="J85" s="595"/>
      <c r="K85" s="596"/>
      <c r="L85" s="594"/>
    </row>
    <row r="86" spans="1:12">
      <c r="A86" s="589"/>
      <c r="B86" s="590"/>
      <c r="C86" s="591"/>
      <c r="E86" s="592"/>
      <c r="F86" s="588"/>
      <c r="G86" s="593"/>
      <c r="H86" s="594"/>
      <c r="J86" s="595"/>
      <c r="K86" s="596"/>
      <c r="L86" s="594"/>
    </row>
    <row r="87" spans="1:12">
      <c r="A87" s="589"/>
      <c r="B87" s="590"/>
      <c r="C87" s="591"/>
      <c r="E87" s="592"/>
      <c r="F87" s="588"/>
      <c r="G87" s="593"/>
      <c r="H87" s="594"/>
      <c r="J87" s="595"/>
      <c r="K87" s="596"/>
      <c r="L87" s="594"/>
    </row>
    <row r="88" spans="1:12">
      <c r="A88" s="589"/>
      <c r="B88" s="590"/>
      <c r="C88" s="591"/>
      <c r="E88" s="592"/>
      <c r="F88" s="588"/>
      <c r="G88" s="593"/>
      <c r="H88" s="594"/>
      <c r="J88" s="595"/>
      <c r="K88" s="596"/>
      <c r="L88" s="594"/>
    </row>
    <row r="89" spans="1:12">
      <c r="A89" s="589"/>
      <c r="B89" s="590"/>
      <c r="C89" s="591"/>
      <c r="E89" s="592"/>
      <c r="F89" s="588"/>
      <c r="G89" s="593"/>
      <c r="H89" s="594"/>
      <c r="J89" s="595"/>
      <c r="K89" s="596"/>
      <c r="L89" s="594"/>
    </row>
    <row r="90" spans="1:12">
      <c r="A90" s="589"/>
      <c r="B90" s="590"/>
      <c r="C90" s="591"/>
      <c r="E90" s="592"/>
      <c r="F90" s="588"/>
      <c r="G90" s="593"/>
      <c r="H90" s="594"/>
      <c r="J90" s="595"/>
      <c r="K90" s="596"/>
      <c r="L90" s="594"/>
    </row>
    <row r="91" spans="1:12">
      <c r="A91" s="589"/>
      <c r="B91" s="590"/>
      <c r="C91" s="591"/>
      <c r="E91" s="592"/>
      <c r="F91" s="588"/>
      <c r="G91" s="593"/>
      <c r="H91" s="594"/>
      <c r="J91" s="595"/>
      <c r="K91" s="596"/>
      <c r="L91" s="594"/>
    </row>
    <row r="92" spans="1:12">
      <c r="A92" s="589"/>
      <c r="B92" s="590"/>
      <c r="C92" s="591"/>
      <c r="E92" s="592"/>
      <c r="F92" s="588"/>
      <c r="G92" s="593"/>
      <c r="H92" s="594"/>
      <c r="J92" s="595"/>
      <c r="K92" s="596"/>
      <c r="L92" s="594"/>
    </row>
    <row r="93" spans="1:12">
      <c r="A93" s="589"/>
      <c r="B93" s="590"/>
      <c r="C93" s="591"/>
      <c r="E93" s="592"/>
      <c r="F93" s="588"/>
      <c r="G93" s="593"/>
      <c r="H93" s="594"/>
      <c r="J93" s="595"/>
      <c r="K93" s="596"/>
      <c r="L93" s="594"/>
    </row>
    <row r="94" spans="1:12">
      <c r="A94" s="589"/>
      <c r="B94" s="590"/>
      <c r="C94" s="591"/>
      <c r="E94" s="592"/>
      <c r="F94" s="588"/>
      <c r="G94" s="593"/>
      <c r="H94" s="594"/>
      <c r="J94" s="595"/>
      <c r="K94" s="596"/>
      <c r="L94" s="594"/>
    </row>
    <row r="95" spans="1:12">
      <c r="A95" s="589"/>
      <c r="B95" s="590"/>
      <c r="C95" s="591"/>
      <c r="E95" s="592"/>
      <c r="F95" s="588"/>
      <c r="G95" s="593"/>
      <c r="H95" s="594"/>
      <c r="J95" s="595"/>
      <c r="K95" s="596"/>
      <c r="L95" s="594"/>
    </row>
    <row r="96" spans="1:12">
      <c r="A96" s="589"/>
      <c r="B96" s="590"/>
      <c r="C96" s="591"/>
      <c r="E96" s="592"/>
      <c r="F96" s="588"/>
      <c r="G96" s="593"/>
      <c r="H96" s="594"/>
      <c r="J96" s="595"/>
      <c r="K96" s="596"/>
      <c r="L96" s="594"/>
    </row>
    <row r="97" spans="1:12">
      <c r="A97" s="589"/>
      <c r="B97" s="590"/>
      <c r="C97" s="591"/>
      <c r="E97" s="592"/>
      <c r="F97" s="588"/>
      <c r="G97" s="593"/>
      <c r="H97" s="594"/>
      <c r="J97" s="595"/>
      <c r="K97" s="596"/>
      <c r="L97" s="594"/>
    </row>
    <row r="98" spans="1:12">
      <c r="A98" s="589"/>
      <c r="B98" s="590"/>
      <c r="C98" s="591"/>
      <c r="E98" s="592"/>
      <c r="F98" s="588"/>
      <c r="G98" s="593"/>
      <c r="H98" s="594"/>
      <c r="J98" s="595"/>
      <c r="K98" s="596"/>
      <c r="L98" s="594"/>
    </row>
    <row r="99" spans="1:12">
      <c r="A99" s="589"/>
      <c r="B99" s="590"/>
      <c r="C99" s="591"/>
      <c r="E99" s="592"/>
      <c r="F99" s="588"/>
      <c r="G99" s="593"/>
      <c r="H99" s="594"/>
      <c r="J99" s="595"/>
      <c r="K99" s="596"/>
      <c r="L99" s="594"/>
    </row>
    <row r="100" spans="1:12">
      <c r="A100" s="589"/>
      <c r="B100" s="590"/>
      <c r="C100" s="591"/>
      <c r="E100" s="592"/>
      <c r="F100" s="588"/>
      <c r="G100" s="593"/>
      <c r="H100" s="594"/>
      <c r="J100" s="595"/>
      <c r="K100" s="596"/>
      <c r="L100" s="594"/>
    </row>
    <row r="101" spans="1:12">
      <c r="A101" s="589"/>
      <c r="B101" s="590"/>
      <c r="C101" s="591"/>
      <c r="E101" s="592"/>
      <c r="F101" s="588"/>
      <c r="G101" s="593"/>
      <c r="H101" s="594"/>
      <c r="J101" s="595"/>
      <c r="K101" s="596"/>
      <c r="L101" s="594"/>
    </row>
    <row r="102" spans="1:12">
      <c r="A102" s="589"/>
      <c r="B102" s="590"/>
      <c r="C102" s="591"/>
      <c r="E102" s="592"/>
      <c r="F102" s="588"/>
      <c r="G102" s="593"/>
      <c r="H102" s="594"/>
      <c r="J102" s="595"/>
      <c r="K102" s="596"/>
      <c r="L102" s="594"/>
    </row>
    <row r="103" spans="1:12">
      <c r="A103" s="589"/>
      <c r="B103" s="590"/>
      <c r="C103" s="591"/>
      <c r="E103" s="592"/>
      <c r="F103" s="588"/>
      <c r="G103" s="593"/>
      <c r="H103" s="594"/>
      <c r="J103" s="595"/>
      <c r="K103" s="596"/>
      <c r="L103" s="594"/>
    </row>
    <row r="104" spans="1:12">
      <c r="A104" s="589"/>
      <c r="B104" s="590"/>
      <c r="C104" s="591"/>
      <c r="E104" s="592"/>
      <c r="F104" s="588"/>
      <c r="G104" s="593"/>
      <c r="H104" s="594"/>
      <c r="J104" s="595"/>
      <c r="K104" s="596"/>
      <c r="L104" s="594"/>
    </row>
    <row r="105" spans="1:12">
      <c r="A105" s="589"/>
      <c r="B105" s="590"/>
      <c r="C105" s="591"/>
      <c r="E105" s="592"/>
      <c r="F105" s="588"/>
      <c r="G105" s="593"/>
      <c r="H105" s="594"/>
      <c r="J105" s="595"/>
      <c r="K105" s="596"/>
      <c r="L105" s="594"/>
    </row>
    <row r="106" spans="1:12">
      <c r="A106" s="589"/>
      <c r="B106" s="590"/>
      <c r="C106" s="591"/>
      <c r="E106" s="592"/>
      <c r="F106" s="588"/>
      <c r="G106" s="593"/>
      <c r="H106" s="594"/>
      <c r="J106" s="595"/>
      <c r="K106" s="596"/>
      <c r="L106" s="594"/>
    </row>
    <row r="107" spans="1:12">
      <c r="A107" s="589"/>
      <c r="B107" s="590"/>
      <c r="C107" s="591"/>
      <c r="E107" s="592"/>
      <c r="F107" s="588"/>
      <c r="G107" s="593"/>
      <c r="H107" s="594"/>
      <c r="J107" s="595"/>
      <c r="K107" s="596"/>
      <c r="L107" s="594"/>
    </row>
    <row r="108" spans="1:12">
      <c r="A108" s="589"/>
      <c r="B108" s="590"/>
      <c r="C108" s="591"/>
      <c r="E108" s="592"/>
      <c r="F108" s="588"/>
      <c r="G108" s="593"/>
      <c r="H108" s="594"/>
      <c r="J108" s="595"/>
      <c r="K108" s="596"/>
      <c r="L108" s="594"/>
    </row>
    <row r="109" spans="1:12">
      <c r="A109" s="589"/>
      <c r="B109" s="590"/>
      <c r="C109" s="591"/>
      <c r="E109" s="592"/>
      <c r="F109" s="588"/>
      <c r="G109" s="593"/>
      <c r="H109" s="594"/>
      <c r="J109" s="595"/>
      <c r="K109" s="596"/>
      <c r="L109" s="594"/>
    </row>
    <row r="110" spans="1:12">
      <c r="A110" s="589"/>
      <c r="B110" s="590"/>
      <c r="C110" s="591"/>
      <c r="E110" s="592"/>
      <c r="F110" s="588"/>
      <c r="G110" s="593"/>
      <c r="H110" s="594"/>
      <c r="J110" s="595"/>
      <c r="K110" s="596"/>
      <c r="L110" s="594"/>
    </row>
    <row r="111" spans="1:12">
      <c r="A111" s="589"/>
      <c r="B111" s="590"/>
      <c r="C111" s="591"/>
      <c r="E111" s="592"/>
      <c r="F111" s="588"/>
      <c r="G111" s="593"/>
      <c r="H111" s="594"/>
      <c r="J111" s="595"/>
      <c r="K111" s="596"/>
      <c r="L111" s="594"/>
    </row>
    <row r="112" spans="1:12">
      <c r="A112" s="589"/>
      <c r="B112" s="590"/>
      <c r="C112" s="591"/>
      <c r="E112" s="592"/>
      <c r="F112" s="588"/>
      <c r="G112" s="593"/>
      <c r="H112" s="594"/>
      <c r="J112" s="595"/>
      <c r="K112" s="596"/>
      <c r="L112" s="594"/>
    </row>
    <row r="113" spans="1:12">
      <c r="A113" s="589"/>
      <c r="B113" s="590"/>
      <c r="C113" s="591"/>
      <c r="E113" s="592"/>
      <c r="F113" s="588"/>
      <c r="G113" s="593"/>
      <c r="H113" s="594"/>
      <c r="J113" s="595"/>
      <c r="K113" s="596"/>
      <c r="L113" s="594"/>
    </row>
    <row r="114" spans="1:12">
      <c r="A114" s="589"/>
      <c r="B114" s="590"/>
      <c r="C114" s="591"/>
      <c r="E114" s="592"/>
      <c r="F114" s="588"/>
      <c r="G114" s="593"/>
      <c r="H114" s="594"/>
      <c r="J114" s="595"/>
      <c r="K114" s="596"/>
      <c r="L114" s="594"/>
    </row>
    <row r="115" spans="1:12">
      <c r="A115" s="589"/>
      <c r="B115" s="590"/>
      <c r="C115" s="591"/>
      <c r="E115" s="592"/>
      <c r="F115" s="588"/>
      <c r="G115" s="593"/>
      <c r="H115" s="594"/>
      <c r="J115" s="595"/>
      <c r="K115" s="596"/>
      <c r="L115" s="594"/>
    </row>
    <row r="116" spans="1:12">
      <c r="A116" s="589"/>
      <c r="B116" s="590"/>
      <c r="C116" s="591"/>
      <c r="E116" s="592"/>
      <c r="F116" s="588"/>
      <c r="G116" s="593"/>
      <c r="H116" s="594"/>
      <c r="J116" s="595"/>
      <c r="K116" s="596"/>
      <c r="L116" s="594"/>
    </row>
    <row r="117" spans="1:12">
      <c r="A117" s="589"/>
      <c r="B117" s="590"/>
      <c r="C117" s="591"/>
      <c r="E117" s="592"/>
      <c r="F117" s="588"/>
      <c r="G117" s="593"/>
      <c r="H117" s="594"/>
      <c r="J117" s="595"/>
      <c r="K117" s="596"/>
      <c r="L117" s="594"/>
    </row>
    <row r="118" spans="1:12">
      <c r="A118" s="589"/>
      <c r="B118" s="590"/>
      <c r="C118" s="591"/>
      <c r="E118" s="592"/>
      <c r="F118" s="588"/>
      <c r="G118" s="593"/>
      <c r="H118" s="594"/>
      <c r="J118" s="595"/>
      <c r="K118" s="596"/>
      <c r="L118" s="594"/>
    </row>
    <row r="119" spans="1:12">
      <c r="A119" s="589"/>
      <c r="B119" s="590"/>
      <c r="C119" s="591"/>
      <c r="E119" s="592"/>
      <c r="F119" s="588"/>
      <c r="G119" s="593"/>
      <c r="H119" s="594"/>
      <c r="J119" s="595"/>
      <c r="K119" s="596"/>
      <c r="L119" s="594"/>
    </row>
    <row r="120" spans="1:12">
      <c r="A120" s="589"/>
      <c r="B120" s="590"/>
      <c r="C120" s="591"/>
      <c r="E120" s="592"/>
      <c r="F120" s="588"/>
      <c r="G120" s="593"/>
      <c r="H120" s="594"/>
      <c r="J120" s="595"/>
      <c r="K120" s="596"/>
      <c r="L120" s="594"/>
    </row>
    <row r="121" spans="1:12">
      <c r="A121" s="589"/>
      <c r="B121" s="590"/>
      <c r="C121" s="591"/>
      <c r="E121" s="592"/>
      <c r="F121" s="588"/>
      <c r="G121" s="593"/>
      <c r="H121" s="594"/>
      <c r="J121" s="595"/>
      <c r="K121" s="596"/>
      <c r="L121" s="594"/>
    </row>
    <row r="122" spans="1:12">
      <c r="A122" s="589"/>
      <c r="B122" s="590"/>
      <c r="C122" s="591"/>
      <c r="E122" s="592"/>
      <c r="F122" s="588"/>
      <c r="G122" s="593"/>
      <c r="H122" s="594"/>
      <c r="J122" s="595"/>
      <c r="K122" s="596"/>
      <c r="L122" s="594"/>
    </row>
    <row r="123" spans="1:12">
      <c r="A123" s="589"/>
      <c r="B123" s="590"/>
      <c r="C123" s="591"/>
      <c r="E123" s="592"/>
      <c r="F123" s="588"/>
      <c r="G123" s="593"/>
      <c r="H123" s="594"/>
      <c r="J123" s="595"/>
      <c r="K123" s="596"/>
      <c r="L123" s="594"/>
    </row>
    <row r="124" spans="1:12">
      <c r="A124" s="589"/>
      <c r="B124" s="590"/>
      <c r="C124" s="591"/>
      <c r="E124" s="592"/>
      <c r="F124" s="588"/>
      <c r="G124" s="593"/>
      <c r="H124" s="594"/>
      <c r="J124" s="595"/>
      <c r="K124" s="596"/>
      <c r="L124" s="594"/>
    </row>
    <row r="125" spans="1:12">
      <c r="A125" s="589"/>
      <c r="B125" s="590"/>
      <c r="C125" s="591"/>
      <c r="E125" s="592"/>
      <c r="F125" s="588"/>
      <c r="G125" s="593"/>
      <c r="H125" s="594"/>
      <c r="J125" s="595"/>
      <c r="K125" s="596"/>
      <c r="L125" s="594"/>
    </row>
    <row r="126" spans="1:12">
      <c r="A126" s="589"/>
      <c r="B126" s="590"/>
      <c r="C126" s="591"/>
      <c r="E126" s="592"/>
      <c r="F126" s="588"/>
      <c r="G126" s="593"/>
      <c r="H126" s="594"/>
      <c r="J126" s="595"/>
      <c r="K126" s="596"/>
      <c r="L126" s="594"/>
    </row>
    <row r="127" spans="1:12">
      <c r="A127" s="589"/>
      <c r="B127" s="590"/>
      <c r="C127" s="591"/>
      <c r="E127" s="592"/>
      <c r="F127" s="588"/>
      <c r="G127" s="593"/>
      <c r="H127" s="594"/>
      <c r="J127" s="595"/>
      <c r="K127" s="596"/>
      <c r="L127" s="594"/>
    </row>
    <row r="128" spans="1:12">
      <c r="A128" s="589"/>
      <c r="B128" s="590"/>
      <c r="C128" s="591"/>
      <c r="E128" s="592"/>
      <c r="F128" s="588"/>
      <c r="G128" s="593"/>
      <c r="H128" s="594"/>
      <c r="J128" s="595"/>
      <c r="K128" s="596"/>
      <c r="L128" s="594"/>
    </row>
    <row r="129" spans="1:12">
      <c r="A129" s="589"/>
      <c r="B129" s="590"/>
      <c r="C129" s="591"/>
      <c r="E129" s="592"/>
      <c r="F129" s="588"/>
      <c r="G129" s="593"/>
      <c r="H129" s="594"/>
      <c r="J129" s="595"/>
      <c r="K129" s="596"/>
      <c r="L129" s="594"/>
    </row>
    <row r="130" spans="1:12">
      <c r="A130" s="589"/>
      <c r="B130" s="590"/>
      <c r="C130" s="591"/>
      <c r="E130" s="592"/>
      <c r="F130" s="588"/>
      <c r="G130" s="593"/>
      <c r="H130" s="594"/>
      <c r="J130" s="595"/>
      <c r="K130" s="596"/>
      <c r="L130" s="594"/>
    </row>
    <row r="131" spans="1:12">
      <c r="A131" s="589"/>
      <c r="B131" s="590"/>
      <c r="C131" s="591"/>
      <c r="E131" s="592"/>
      <c r="F131" s="588"/>
      <c r="G131" s="593"/>
      <c r="H131" s="594"/>
      <c r="J131" s="595"/>
      <c r="K131" s="596"/>
      <c r="L131" s="594"/>
    </row>
    <row r="132" spans="1:12">
      <c r="A132" s="589"/>
      <c r="B132" s="590"/>
      <c r="C132" s="591"/>
      <c r="E132" s="592"/>
      <c r="F132" s="588"/>
      <c r="G132" s="593"/>
      <c r="H132" s="594"/>
      <c r="J132" s="595"/>
      <c r="K132" s="596"/>
      <c r="L132" s="594"/>
    </row>
    <row r="133" spans="1:12">
      <c r="A133" s="589"/>
      <c r="B133" s="590"/>
      <c r="C133" s="591"/>
      <c r="E133" s="592"/>
      <c r="F133" s="588"/>
      <c r="G133" s="593"/>
      <c r="H133" s="594"/>
      <c r="J133" s="595"/>
      <c r="K133" s="596"/>
      <c r="L133" s="594"/>
    </row>
    <row r="134" spans="1:12">
      <c r="A134" s="589"/>
      <c r="B134" s="590"/>
      <c r="C134" s="591"/>
      <c r="E134" s="592"/>
      <c r="F134" s="588"/>
      <c r="G134" s="593"/>
      <c r="H134" s="594"/>
      <c r="J134" s="595"/>
      <c r="K134" s="596"/>
      <c r="L134" s="594"/>
    </row>
    <row r="135" spans="1:12">
      <c r="A135" s="589"/>
      <c r="B135" s="590"/>
      <c r="C135" s="591"/>
      <c r="E135" s="592"/>
      <c r="F135" s="588"/>
      <c r="G135" s="593"/>
      <c r="H135" s="594"/>
      <c r="J135" s="595"/>
      <c r="K135" s="596"/>
      <c r="L135" s="594"/>
    </row>
    <row r="136" spans="1:12">
      <c r="A136" s="589"/>
      <c r="B136" s="590"/>
      <c r="C136" s="591"/>
      <c r="E136" s="592"/>
      <c r="F136" s="588"/>
      <c r="G136" s="593"/>
      <c r="H136" s="594"/>
      <c r="J136" s="595"/>
      <c r="K136" s="596"/>
      <c r="L136" s="594"/>
    </row>
    <row r="137" spans="1:12">
      <c r="A137" s="589"/>
      <c r="B137" s="590"/>
      <c r="C137" s="591"/>
      <c r="E137" s="592"/>
      <c r="F137" s="588"/>
      <c r="G137" s="593"/>
      <c r="H137" s="594"/>
      <c r="J137" s="595"/>
      <c r="K137" s="596"/>
      <c r="L137" s="594"/>
    </row>
    <row r="138" spans="1:12">
      <c r="A138" s="589"/>
      <c r="B138" s="590"/>
      <c r="C138" s="591"/>
      <c r="E138" s="592"/>
      <c r="F138" s="588"/>
      <c r="G138" s="593"/>
      <c r="H138" s="594"/>
      <c r="J138" s="595"/>
      <c r="K138" s="596"/>
      <c r="L138" s="594"/>
    </row>
    <row r="139" spans="1:12">
      <c r="A139" s="589"/>
      <c r="B139" s="590"/>
      <c r="C139" s="591"/>
      <c r="E139" s="592"/>
      <c r="F139" s="588"/>
      <c r="G139" s="593"/>
      <c r="H139" s="594"/>
      <c r="J139" s="595"/>
      <c r="K139" s="596"/>
      <c r="L139" s="594"/>
    </row>
    <row r="140" spans="1:12">
      <c r="A140" s="589"/>
      <c r="B140" s="590"/>
      <c r="C140" s="591"/>
      <c r="E140" s="592"/>
      <c r="F140" s="588"/>
      <c r="G140" s="593"/>
      <c r="H140" s="594"/>
      <c r="J140" s="595"/>
      <c r="K140" s="596"/>
      <c r="L140" s="594"/>
    </row>
    <row r="141" spans="1:12">
      <c r="A141" s="589"/>
      <c r="B141" s="590"/>
      <c r="C141" s="591"/>
      <c r="E141" s="592"/>
      <c r="F141" s="588"/>
      <c r="G141" s="593"/>
      <c r="H141" s="594"/>
      <c r="J141" s="595"/>
      <c r="K141" s="596"/>
      <c r="L141" s="594"/>
    </row>
    <row r="142" spans="1:12">
      <c r="A142" s="589"/>
      <c r="B142" s="590"/>
      <c r="C142" s="591"/>
      <c r="E142" s="592"/>
      <c r="F142" s="588"/>
      <c r="G142" s="593"/>
      <c r="H142" s="594"/>
      <c r="J142" s="595"/>
      <c r="K142" s="596"/>
      <c r="L142" s="594"/>
    </row>
    <row r="143" spans="1:12">
      <c r="A143" s="589"/>
      <c r="B143" s="590"/>
      <c r="C143" s="591"/>
      <c r="E143" s="592"/>
      <c r="F143" s="588"/>
      <c r="G143" s="593"/>
      <c r="H143" s="594"/>
      <c r="J143" s="595"/>
      <c r="K143" s="596"/>
      <c r="L143" s="594"/>
    </row>
    <row r="144" spans="1:12">
      <c r="A144" s="589"/>
      <c r="B144" s="590"/>
      <c r="C144" s="591"/>
      <c r="E144" s="592"/>
      <c r="F144" s="588"/>
      <c r="G144" s="593"/>
      <c r="H144" s="594"/>
      <c r="J144" s="595"/>
      <c r="K144" s="596"/>
      <c r="L144" s="594"/>
    </row>
    <row r="145" spans="1:12">
      <c r="A145" s="589"/>
      <c r="B145" s="590"/>
      <c r="C145" s="591"/>
      <c r="E145" s="592"/>
      <c r="F145" s="588"/>
      <c r="G145" s="593"/>
      <c r="H145" s="594"/>
      <c r="J145" s="595"/>
      <c r="K145" s="596"/>
      <c r="L145" s="594"/>
    </row>
    <row r="146" spans="1:12">
      <c r="A146" s="589"/>
      <c r="B146" s="590"/>
      <c r="C146" s="591"/>
      <c r="E146" s="592"/>
      <c r="F146" s="588"/>
      <c r="G146" s="593"/>
      <c r="H146" s="594"/>
      <c r="J146" s="595"/>
      <c r="K146" s="596"/>
      <c r="L146" s="594"/>
    </row>
    <row r="147" spans="1:12">
      <c r="A147" s="589"/>
      <c r="B147" s="590"/>
      <c r="C147" s="591"/>
      <c r="E147" s="592"/>
      <c r="F147" s="588"/>
      <c r="G147" s="593"/>
      <c r="H147" s="594"/>
      <c r="J147" s="595"/>
      <c r="K147" s="596"/>
      <c r="L147" s="594"/>
    </row>
    <row r="148" spans="1:12">
      <c r="A148" s="589"/>
      <c r="B148" s="590"/>
      <c r="C148" s="591"/>
      <c r="E148" s="592"/>
      <c r="F148" s="588"/>
      <c r="G148" s="593"/>
      <c r="H148" s="594"/>
      <c r="J148" s="595"/>
      <c r="K148" s="596"/>
      <c r="L148" s="594"/>
    </row>
    <row r="149" spans="1:12">
      <c r="A149" s="589"/>
      <c r="B149" s="590"/>
      <c r="C149" s="591"/>
      <c r="E149" s="592"/>
      <c r="F149" s="588"/>
      <c r="G149" s="593"/>
      <c r="H149" s="594"/>
      <c r="J149" s="595"/>
      <c r="K149" s="596"/>
      <c r="L149" s="594"/>
    </row>
    <row r="150" spans="1:12">
      <c r="A150" s="589"/>
      <c r="B150" s="590"/>
      <c r="C150" s="591"/>
      <c r="E150" s="592"/>
      <c r="F150" s="588"/>
      <c r="G150" s="593"/>
      <c r="H150" s="594"/>
      <c r="J150" s="595"/>
      <c r="K150" s="596"/>
      <c r="L150" s="594"/>
    </row>
    <row r="151" spans="1:12">
      <c r="A151" s="589"/>
      <c r="B151" s="590"/>
      <c r="C151" s="591"/>
      <c r="E151" s="592"/>
      <c r="F151" s="588"/>
      <c r="G151" s="593"/>
      <c r="H151" s="594"/>
      <c r="J151" s="595"/>
      <c r="K151" s="596"/>
      <c r="L151" s="594"/>
    </row>
    <row r="152" spans="1:12">
      <c r="A152" s="589"/>
      <c r="B152" s="590"/>
      <c r="C152" s="591"/>
      <c r="E152" s="592"/>
      <c r="F152" s="588"/>
      <c r="G152" s="593"/>
      <c r="H152" s="594"/>
      <c r="J152" s="595"/>
      <c r="K152" s="596"/>
      <c r="L152" s="594"/>
    </row>
    <row r="153" spans="1:12">
      <c r="A153" s="589"/>
      <c r="B153" s="590"/>
      <c r="C153" s="591"/>
      <c r="E153" s="592"/>
      <c r="F153" s="588"/>
      <c r="G153" s="593"/>
      <c r="H153" s="594"/>
      <c r="J153" s="595"/>
      <c r="K153" s="596"/>
      <c r="L153" s="594"/>
    </row>
    <row r="154" spans="1:12">
      <c r="A154" s="589"/>
      <c r="B154" s="590"/>
      <c r="C154" s="591"/>
      <c r="E154" s="592"/>
      <c r="F154" s="588"/>
      <c r="G154" s="593"/>
      <c r="H154" s="594"/>
      <c r="J154" s="595"/>
      <c r="K154" s="596"/>
      <c r="L154" s="594"/>
    </row>
    <row r="155" spans="1:12">
      <c r="A155" s="589"/>
      <c r="B155" s="590"/>
      <c r="C155" s="591"/>
      <c r="E155" s="592"/>
      <c r="F155" s="588"/>
      <c r="G155" s="593"/>
      <c r="H155" s="594"/>
      <c r="J155" s="595"/>
      <c r="K155" s="596"/>
      <c r="L155" s="594"/>
    </row>
    <row r="156" spans="1:12">
      <c r="A156" s="589"/>
      <c r="B156" s="590"/>
      <c r="C156" s="591"/>
      <c r="E156" s="592"/>
      <c r="F156" s="588"/>
      <c r="G156" s="593"/>
      <c r="H156" s="594"/>
      <c r="J156" s="595"/>
      <c r="K156" s="596"/>
      <c r="L156" s="594"/>
    </row>
    <row r="157" spans="1:12">
      <c r="A157" s="589"/>
      <c r="B157" s="590"/>
      <c r="C157" s="591"/>
      <c r="E157" s="592"/>
      <c r="F157" s="588"/>
      <c r="G157" s="593"/>
      <c r="H157" s="594"/>
      <c r="J157" s="595"/>
      <c r="K157" s="596"/>
      <c r="L157" s="594"/>
    </row>
    <row r="158" spans="1:12">
      <c r="A158" s="589"/>
      <c r="B158" s="590"/>
      <c r="C158" s="591"/>
      <c r="E158" s="592"/>
      <c r="F158" s="588"/>
      <c r="G158" s="593"/>
      <c r="H158" s="594"/>
      <c r="J158" s="595"/>
      <c r="K158" s="596"/>
      <c r="L158" s="594"/>
    </row>
    <row r="159" spans="1:12">
      <c r="A159" s="589"/>
      <c r="B159" s="590"/>
      <c r="C159" s="591"/>
      <c r="E159" s="592"/>
      <c r="F159" s="588"/>
      <c r="G159" s="593"/>
      <c r="H159" s="594"/>
      <c r="J159" s="595"/>
      <c r="K159" s="596"/>
      <c r="L159" s="594"/>
    </row>
    <row r="160" spans="1:12">
      <c r="A160" s="589"/>
      <c r="B160" s="590"/>
      <c r="C160" s="591"/>
      <c r="E160" s="592"/>
      <c r="F160" s="588"/>
      <c r="G160" s="593"/>
      <c r="H160" s="594"/>
      <c r="J160" s="595"/>
      <c r="K160" s="596"/>
      <c r="L160" s="594"/>
    </row>
    <row r="161" spans="1:12">
      <c r="A161" s="589"/>
      <c r="B161" s="590"/>
      <c r="C161" s="591"/>
      <c r="E161" s="592"/>
      <c r="F161" s="588"/>
      <c r="G161" s="593"/>
      <c r="H161" s="594"/>
      <c r="J161" s="595"/>
      <c r="K161" s="596"/>
      <c r="L161" s="594"/>
    </row>
    <row r="162" spans="1:12">
      <c r="A162" s="589"/>
      <c r="B162" s="590"/>
      <c r="C162" s="591"/>
      <c r="E162" s="592"/>
      <c r="F162" s="588"/>
      <c r="G162" s="593"/>
      <c r="H162" s="594"/>
      <c r="J162" s="595"/>
      <c r="K162" s="596"/>
      <c r="L162" s="594"/>
    </row>
    <row r="163" spans="1:12">
      <c r="A163" s="589"/>
      <c r="B163" s="590"/>
      <c r="C163" s="591"/>
      <c r="E163" s="592"/>
      <c r="F163" s="588"/>
      <c r="G163" s="593"/>
      <c r="H163" s="594"/>
      <c r="J163" s="595"/>
      <c r="K163" s="596"/>
      <c r="L163" s="594"/>
    </row>
    <row r="164" spans="1:12">
      <c r="A164" s="589"/>
      <c r="B164" s="590"/>
      <c r="C164" s="591"/>
      <c r="E164" s="592"/>
      <c r="F164" s="588"/>
      <c r="G164" s="593"/>
      <c r="H164" s="594"/>
      <c r="J164" s="595"/>
      <c r="K164" s="596"/>
      <c r="L164" s="594"/>
    </row>
    <row r="165" spans="1:12">
      <c r="A165" s="589"/>
      <c r="B165" s="590"/>
      <c r="C165" s="591"/>
      <c r="E165" s="592"/>
      <c r="F165" s="588"/>
      <c r="G165" s="593"/>
      <c r="H165" s="594"/>
      <c r="J165" s="595"/>
      <c r="K165" s="596"/>
      <c r="L165" s="594"/>
    </row>
    <row r="166" spans="1:12">
      <c r="A166" s="589"/>
      <c r="B166" s="590"/>
      <c r="C166" s="591"/>
      <c r="E166" s="592"/>
      <c r="F166" s="588"/>
      <c r="G166" s="593"/>
      <c r="H166" s="594"/>
      <c r="J166" s="595"/>
      <c r="K166" s="596"/>
      <c r="L166" s="594"/>
    </row>
    <row r="167" spans="1:12">
      <c r="A167" s="589"/>
      <c r="B167" s="590"/>
      <c r="C167" s="591"/>
      <c r="E167" s="592"/>
      <c r="F167" s="588"/>
      <c r="G167" s="593"/>
      <c r="H167" s="594"/>
      <c r="J167" s="595"/>
      <c r="K167" s="596"/>
      <c r="L167" s="594"/>
    </row>
    <row r="168" spans="1:12">
      <c r="A168" s="589"/>
      <c r="B168" s="590"/>
      <c r="C168" s="591"/>
      <c r="E168" s="592"/>
      <c r="F168" s="588"/>
      <c r="G168" s="593"/>
      <c r="H168" s="594"/>
      <c r="J168" s="595"/>
      <c r="K168" s="596"/>
      <c r="L168" s="594"/>
    </row>
    <row r="169" spans="1:12">
      <c r="A169" s="589"/>
      <c r="B169" s="590"/>
      <c r="C169" s="591"/>
      <c r="E169" s="592"/>
      <c r="F169" s="588"/>
      <c r="G169" s="593"/>
      <c r="H169" s="594"/>
      <c r="J169" s="595"/>
      <c r="K169" s="596"/>
      <c r="L169" s="594"/>
    </row>
    <row r="170" spans="1:12">
      <c r="A170" s="589"/>
      <c r="B170" s="590"/>
      <c r="C170" s="591"/>
      <c r="E170" s="592"/>
      <c r="F170" s="588"/>
      <c r="G170" s="593"/>
      <c r="H170" s="594"/>
      <c r="J170" s="595"/>
      <c r="K170" s="596"/>
      <c r="L170" s="594"/>
    </row>
    <row r="171" spans="1:12">
      <c r="A171" s="589"/>
      <c r="B171" s="590"/>
      <c r="C171" s="591"/>
      <c r="E171" s="592"/>
      <c r="F171" s="588"/>
      <c r="G171" s="593"/>
      <c r="H171" s="594"/>
      <c r="J171" s="595"/>
      <c r="K171" s="596"/>
      <c r="L171" s="594"/>
    </row>
    <row r="172" spans="1:12">
      <c r="A172" s="589"/>
      <c r="B172" s="590"/>
      <c r="C172" s="591"/>
      <c r="E172" s="592"/>
      <c r="F172" s="588"/>
      <c r="G172" s="593"/>
      <c r="H172" s="594"/>
      <c r="J172" s="595"/>
      <c r="K172" s="596"/>
      <c r="L172" s="594"/>
    </row>
    <row r="173" spans="1:12">
      <c r="A173" s="589"/>
      <c r="B173" s="590"/>
      <c r="C173" s="591"/>
      <c r="E173" s="592"/>
      <c r="F173" s="588"/>
      <c r="G173" s="593"/>
      <c r="H173" s="594"/>
      <c r="J173" s="595"/>
      <c r="K173" s="596"/>
      <c r="L173" s="594"/>
    </row>
    <row r="174" spans="1:12">
      <c r="A174" s="589"/>
      <c r="B174" s="590"/>
      <c r="C174" s="591"/>
      <c r="E174" s="592"/>
      <c r="F174" s="588"/>
      <c r="G174" s="593"/>
      <c r="H174" s="594"/>
      <c r="J174" s="595"/>
      <c r="K174" s="596"/>
      <c r="L174" s="594"/>
    </row>
    <row r="175" spans="1:12">
      <c r="A175" s="589"/>
      <c r="B175" s="590"/>
      <c r="C175" s="591"/>
      <c r="E175" s="592"/>
      <c r="F175" s="588"/>
      <c r="G175" s="593"/>
      <c r="H175" s="594"/>
      <c r="J175" s="595"/>
      <c r="K175" s="596"/>
      <c r="L175" s="594"/>
    </row>
    <row r="176" spans="1:12">
      <c r="A176" s="589"/>
      <c r="B176" s="590"/>
      <c r="C176" s="591"/>
      <c r="E176" s="592"/>
      <c r="F176" s="588"/>
      <c r="G176" s="593"/>
      <c r="H176" s="594"/>
      <c r="J176" s="595"/>
      <c r="K176" s="596"/>
      <c r="L176" s="594"/>
    </row>
    <row r="177" spans="1:12">
      <c r="A177" s="589"/>
      <c r="B177" s="590"/>
      <c r="C177" s="591"/>
      <c r="E177" s="592"/>
      <c r="F177" s="588"/>
      <c r="G177" s="593"/>
      <c r="H177" s="594"/>
      <c r="J177" s="595"/>
      <c r="K177" s="596"/>
      <c r="L177" s="594"/>
    </row>
    <row r="178" spans="1:12">
      <c r="A178" s="589"/>
      <c r="B178" s="590"/>
      <c r="C178" s="591"/>
      <c r="E178" s="592"/>
      <c r="F178" s="588"/>
      <c r="G178" s="593"/>
      <c r="H178" s="594"/>
      <c r="J178" s="595"/>
      <c r="K178" s="596"/>
      <c r="L178" s="594"/>
    </row>
    <row r="179" spans="1:12">
      <c r="A179" s="589"/>
      <c r="B179" s="590"/>
      <c r="C179" s="591"/>
      <c r="E179" s="592"/>
      <c r="F179" s="588"/>
      <c r="G179" s="593"/>
      <c r="H179" s="594"/>
      <c r="J179" s="595"/>
      <c r="K179" s="596"/>
      <c r="L179" s="594"/>
    </row>
    <row r="180" spans="1:12">
      <c r="A180" s="589"/>
      <c r="B180" s="590"/>
      <c r="C180" s="591"/>
      <c r="E180" s="592"/>
      <c r="F180" s="588"/>
      <c r="G180" s="593"/>
      <c r="H180" s="594"/>
      <c r="J180" s="595"/>
      <c r="K180" s="596"/>
      <c r="L180" s="594"/>
    </row>
    <row r="181" spans="1:12">
      <c r="A181" s="589"/>
      <c r="B181" s="590"/>
      <c r="C181" s="591"/>
      <c r="E181" s="592"/>
      <c r="F181" s="588"/>
      <c r="G181" s="593"/>
      <c r="H181" s="594"/>
      <c r="J181" s="595"/>
      <c r="K181" s="596"/>
      <c r="L181" s="594"/>
    </row>
    <row r="182" spans="1:12">
      <c r="A182" s="589"/>
      <c r="B182" s="590"/>
      <c r="C182" s="591"/>
      <c r="E182" s="592"/>
      <c r="F182" s="588"/>
      <c r="G182" s="593"/>
      <c r="H182" s="594"/>
      <c r="J182" s="595"/>
      <c r="K182" s="596"/>
      <c r="L182" s="594"/>
    </row>
    <row r="183" spans="1:12">
      <c r="A183" s="589"/>
      <c r="B183" s="590"/>
      <c r="C183" s="591"/>
      <c r="E183" s="592"/>
      <c r="F183" s="588"/>
      <c r="G183" s="593"/>
      <c r="H183" s="594"/>
      <c r="J183" s="595"/>
      <c r="K183" s="596"/>
      <c r="L183" s="594"/>
    </row>
    <row r="184" spans="1:12">
      <c r="A184" s="589"/>
      <c r="B184" s="590"/>
      <c r="C184" s="591"/>
      <c r="E184" s="592"/>
      <c r="F184" s="588"/>
      <c r="G184" s="593"/>
      <c r="H184" s="594"/>
      <c r="J184" s="595"/>
      <c r="K184" s="596"/>
      <c r="L184" s="594"/>
    </row>
    <row r="185" spans="1:12">
      <c r="A185" s="589"/>
      <c r="B185" s="590"/>
      <c r="C185" s="591"/>
      <c r="E185" s="592"/>
      <c r="F185" s="588"/>
      <c r="G185" s="593"/>
      <c r="H185" s="594"/>
      <c r="J185" s="595"/>
      <c r="K185" s="596"/>
      <c r="L185" s="594"/>
    </row>
    <row r="186" spans="1:12">
      <c r="A186" s="589"/>
      <c r="B186" s="590"/>
      <c r="C186" s="591"/>
      <c r="E186" s="592"/>
      <c r="F186" s="588"/>
      <c r="G186" s="593"/>
      <c r="H186" s="594"/>
      <c r="J186" s="595"/>
      <c r="K186" s="596"/>
      <c r="L186" s="594"/>
    </row>
    <row r="187" spans="1:12" ht="15" thickBot="1">
      <c r="A187" s="589"/>
      <c r="B187" s="590"/>
      <c r="C187" s="591"/>
      <c r="E187" s="592"/>
      <c r="F187" s="588"/>
      <c r="G187" s="593"/>
      <c r="H187" s="594"/>
      <c r="J187" s="600"/>
      <c r="K187" s="601"/>
      <c r="L187" s="602"/>
    </row>
    <row r="188" spans="1:12">
      <c r="A188" s="589"/>
      <c r="B188" s="590"/>
      <c r="C188" s="591"/>
      <c r="E188" s="603"/>
      <c r="F188" s="604"/>
      <c r="G188" s="605"/>
      <c r="H188" s="618">
        <f>SUM(H5:H187)</f>
        <v>0</v>
      </c>
      <c r="J188" s="606"/>
      <c r="K188" s="607"/>
      <c r="L188" s="619">
        <f>SUM(L5:L187)</f>
        <v>0</v>
      </c>
    </row>
    <row r="189" spans="1:12">
      <c r="A189" s="589"/>
      <c r="B189" s="590"/>
      <c r="C189" s="591"/>
      <c r="E189" s="608"/>
      <c r="H189" s="609"/>
      <c r="J189" s="610"/>
      <c r="L189" s="609"/>
    </row>
    <row r="190" spans="1:12" ht="15" thickBot="1">
      <c r="A190" s="589"/>
      <c r="B190" s="590"/>
      <c r="C190" s="591"/>
      <c r="E190" s="1468" t="s">
        <v>19</v>
      </c>
      <c r="F190" s="1469"/>
      <c r="G190" s="1469"/>
      <c r="H190" s="1470"/>
      <c r="J190" s="611"/>
      <c r="K190" s="612"/>
      <c r="L190" s="613"/>
    </row>
    <row r="191" spans="1:12">
      <c r="B191" s="620">
        <f>SUM(B5:B190)</f>
        <v>0</v>
      </c>
      <c r="C191" s="620">
        <f>SUM(C5:C190)</f>
        <v>0</v>
      </c>
    </row>
    <row r="194" spans="1:8">
      <c r="E194" s="1357" t="s">
        <v>43</v>
      </c>
      <c r="F194" s="1357"/>
      <c r="G194" s="1357"/>
      <c r="H194" s="1357"/>
    </row>
    <row r="197" spans="1:8">
      <c r="A197" s="1471" t="s">
        <v>12</v>
      </c>
      <c r="B197" s="1471"/>
      <c r="C197" s="1471"/>
      <c r="D197" s="426"/>
    </row>
  </sheetData>
  <sheetProtection password="DC1E" sheet="1" objects="1" scenarios="1"/>
  <mergeCells count="6">
    <mergeCell ref="J3:L4"/>
    <mergeCell ref="E190:H190"/>
    <mergeCell ref="E194:H194"/>
    <mergeCell ref="A197:C197"/>
    <mergeCell ref="A3:C3"/>
    <mergeCell ref="E3:H4"/>
  </mergeCells>
  <pageMargins left="0.7" right="0.7" top="0.75" bottom="0.75" header="0.3" footer="0.3"/>
  <pageSetup paperSize="9" orientation="portrait" horizontalDpi="4294967293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O197"/>
  <sheetViews>
    <sheetView topLeftCell="AU16" zoomScale="80" zoomScaleNormal="80" workbookViewId="0">
      <selection activeCell="BB26" sqref="BB26"/>
    </sheetView>
  </sheetViews>
  <sheetFormatPr defaultColWidth="8.88671875" defaultRowHeight="14.4"/>
  <cols>
    <col min="1" max="1" width="13.33203125" style="359" customWidth="1"/>
    <col min="2" max="2" width="13" style="359" customWidth="1"/>
    <col min="3" max="3" width="14.109375" style="359" customWidth="1"/>
    <col min="4" max="4" width="11" style="359" customWidth="1"/>
    <col min="5" max="5" width="0.5546875" style="263" customWidth="1"/>
    <col min="6" max="6" width="0.44140625" style="263" customWidth="1"/>
    <col min="7" max="7" width="14.5546875" style="518" customWidth="1"/>
    <col min="8" max="8" width="14.44140625" style="518" customWidth="1"/>
    <col min="9" max="9" width="15.5546875" style="518" customWidth="1"/>
    <col min="10" max="10" width="11" style="518" customWidth="1"/>
    <col min="11" max="11" width="1" style="263" customWidth="1"/>
    <col min="12" max="12" width="14" style="520" customWidth="1"/>
    <col min="13" max="13" width="13.6640625" style="520" customWidth="1"/>
    <col min="14" max="14" width="14.109375" style="520" customWidth="1"/>
    <col min="15" max="15" width="11" style="520" customWidth="1"/>
    <col min="16" max="16" width="1.6640625" style="263" customWidth="1"/>
    <col min="17" max="17" width="13.33203125" style="522" customWidth="1"/>
    <col min="18" max="18" width="13" style="522" customWidth="1"/>
    <col min="19" max="19" width="14.109375" style="522" customWidth="1"/>
    <col min="20" max="20" width="11" style="522" customWidth="1"/>
    <col min="21" max="21" width="1.109375" style="263" customWidth="1"/>
    <col min="22" max="22" width="13.33203125" style="523" customWidth="1"/>
    <col min="23" max="23" width="13" style="523" customWidth="1"/>
    <col min="24" max="24" width="14.109375" style="523" customWidth="1"/>
    <col min="25" max="25" width="11" style="523" customWidth="1"/>
    <col min="26" max="26" width="1.44140625" style="263" customWidth="1"/>
    <col min="27" max="27" width="15.109375" style="524" customWidth="1"/>
    <col min="28" max="28" width="15.44140625" style="524" customWidth="1"/>
    <col min="29" max="29" width="16" style="524" customWidth="1"/>
    <col min="30" max="30" width="12.109375" style="524" customWidth="1"/>
    <col min="31" max="31" width="1.44140625" style="263" customWidth="1"/>
    <col min="32" max="32" width="13.33203125" style="525" customWidth="1"/>
    <col min="33" max="33" width="13" style="525" customWidth="1"/>
    <col min="34" max="34" width="14.109375" style="525" customWidth="1"/>
    <col min="35" max="35" width="15.33203125" style="525" customWidth="1"/>
    <col min="36" max="36" width="1" style="263" customWidth="1"/>
    <col min="37" max="37" width="13.33203125" style="525" customWidth="1"/>
    <col min="38" max="38" width="13" style="525" customWidth="1"/>
    <col min="39" max="39" width="14.109375" style="525" customWidth="1"/>
    <col min="40" max="40" width="15.33203125" style="525" customWidth="1"/>
    <col min="41" max="41" width="2.6640625" style="263" customWidth="1"/>
    <col min="42" max="42" width="20.6640625" style="650" customWidth="1"/>
    <col min="43" max="44" width="17.6640625" style="650" customWidth="1"/>
    <col min="45" max="45" width="3.33203125" style="263" customWidth="1"/>
    <col min="46" max="48" width="17.6640625" style="363" customWidth="1"/>
    <col min="49" max="49" width="1.33203125" style="263" customWidth="1"/>
    <col min="50" max="50" width="23.109375" style="263" customWidth="1"/>
    <col min="51" max="51" width="17.109375" style="263" customWidth="1"/>
    <col min="52" max="52" width="1.5546875" style="263" customWidth="1"/>
    <col min="53" max="56" width="15.6640625" style="263" customWidth="1"/>
    <col min="57" max="57" width="14.44140625" style="263" customWidth="1"/>
    <col min="58" max="58" width="15.6640625" style="263" customWidth="1"/>
    <col min="59" max="59" width="16.109375" style="263" customWidth="1"/>
    <col min="60" max="60" width="12.88671875" style="263" customWidth="1"/>
    <col min="61" max="61" width="11.6640625" style="263" customWidth="1"/>
    <col min="62" max="62" width="12.21875" style="263" customWidth="1"/>
    <col min="63" max="63" width="10.109375" style="263" customWidth="1"/>
    <col min="64" max="65" width="8.88671875" style="263"/>
    <col min="66" max="66" width="10.44140625" style="263" customWidth="1"/>
    <col min="67" max="16384" width="8.88671875" style="263"/>
  </cols>
  <sheetData>
    <row r="1" spans="1:62">
      <c r="A1" s="263"/>
      <c r="B1" s="263"/>
      <c r="C1" s="263"/>
      <c r="D1" s="263"/>
      <c r="G1" s="263"/>
      <c r="H1" s="263"/>
      <c r="I1" s="263"/>
      <c r="J1" s="263"/>
      <c r="L1" s="263"/>
      <c r="M1" s="263"/>
      <c r="N1" s="263"/>
      <c r="O1" s="263"/>
      <c r="Q1" s="263"/>
      <c r="R1" s="263"/>
      <c r="S1" s="263"/>
      <c r="T1" s="263"/>
      <c r="V1" s="263"/>
      <c r="W1" s="263"/>
      <c r="X1" s="263"/>
      <c r="Y1" s="263"/>
      <c r="AA1" s="263"/>
      <c r="AB1" s="263"/>
      <c r="AC1" s="263"/>
      <c r="AD1" s="263"/>
      <c r="AF1" s="263"/>
      <c r="AG1" s="263"/>
      <c r="AH1" s="263"/>
      <c r="AI1" s="263"/>
      <c r="AK1" s="263"/>
      <c r="AL1" s="263"/>
      <c r="AM1" s="263"/>
      <c r="AN1" s="263"/>
      <c r="AP1" s="263"/>
      <c r="AQ1" s="263"/>
      <c r="AR1" s="263"/>
      <c r="AT1" s="263"/>
      <c r="AU1" s="263"/>
      <c r="AV1" s="263"/>
    </row>
    <row r="2" spans="1:62" ht="15" thickBot="1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AA2" s="268"/>
      <c r="AB2" s="268"/>
      <c r="AC2" s="268"/>
      <c r="AD2" s="268"/>
      <c r="AE2" s="267"/>
      <c r="AF2" s="268"/>
      <c r="AG2" s="268"/>
      <c r="AH2" s="268"/>
      <c r="AI2" s="268"/>
      <c r="AJ2" s="267"/>
      <c r="AK2" s="268"/>
      <c r="AL2" s="268"/>
      <c r="AM2" s="268"/>
      <c r="AN2" s="268"/>
      <c r="AO2" s="267"/>
      <c r="AP2" s="267"/>
      <c r="AQ2" s="267"/>
      <c r="AR2" s="267"/>
      <c r="AS2" s="267"/>
      <c r="AT2" s="267"/>
      <c r="AU2" s="267"/>
      <c r="AV2" s="267"/>
      <c r="AX2" s="267"/>
      <c r="AY2" s="267"/>
      <c r="AZ2" s="267"/>
      <c r="BA2" s="267"/>
      <c r="BB2" s="267"/>
      <c r="BC2" s="267"/>
      <c r="BD2" s="267"/>
      <c r="BE2" s="267"/>
      <c r="BF2" s="267"/>
      <c r="BG2" s="267"/>
    </row>
    <row r="3" spans="1:62" ht="21">
      <c r="A3" s="1406" t="s">
        <v>41</v>
      </c>
      <c r="B3" s="1407"/>
      <c r="C3" s="1407"/>
      <c r="D3" s="1408"/>
      <c r="E3" s="274"/>
      <c r="F3" s="274"/>
      <c r="G3" s="1409" t="s">
        <v>91</v>
      </c>
      <c r="H3" s="1410"/>
      <c r="I3" s="1410"/>
      <c r="J3" s="1411"/>
      <c r="K3" s="1192"/>
      <c r="L3" s="1412" t="s">
        <v>92</v>
      </c>
      <c r="M3" s="1413"/>
      <c r="N3" s="1413"/>
      <c r="O3" s="1414"/>
      <c r="P3" s="1192"/>
      <c r="Q3" s="1415" t="s">
        <v>93</v>
      </c>
      <c r="R3" s="1416"/>
      <c r="S3" s="1416"/>
      <c r="T3" s="1417"/>
      <c r="U3" s="274"/>
      <c r="V3" s="1418" t="s">
        <v>102</v>
      </c>
      <c r="W3" s="1419"/>
      <c r="X3" s="1419"/>
      <c r="Y3" s="1420"/>
      <c r="AA3" s="1397" t="s">
        <v>40</v>
      </c>
      <c r="AB3" s="1398"/>
      <c r="AC3" s="1398"/>
      <c r="AD3" s="1399"/>
      <c r="AE3" s="472"/>
      <c r="AF3" s="1400" t="s">
        <v>219</v>
      </c>
      <c r="AG3" s="1401"/>
      <c r="AH3" s="1401"/>
      <c r="AI3" s="1402"/>
      <c r="AJ3" s="472"/>
      <c r="AK3" s="1400" t="s">
        <v>222</v>
      </c>
      <c r="AL3" s="1401"/>
      <c r="AM3" s="1401"/>
      <c r="AN3" s="1402"/>
      <c r="AO3" s="1192"/>
      <c r="AP3" s="1542" t="s">
        <v>11</v>
      </c>
      <c r="AQ3" s="1543"/>
      <c r="AR3" s="1544"/>
      <c r="AS3" s="274"/>
      <c r="AT3" s="1545" t="s">
        <v>21</v>
      </c>
      <c r="AU3" s="1546"/>
      <c r="AV3" s="1547"/>
      <c r="AX3" s="1548" t="s">
        <v>100</v>
      </c>
      <c r="AY3" s="1548"/>
      <c r="AZ3" s="1548"/>
      <c r="BA3" s="1548"/>
      <c r="BB3" s="1548"/>
      <c r="BC3" s="1548"/>
      <c r="BD3" s="1548"/>
      <c r="BE3" s="1548"/>
      <c r="BF3" s="274"/>
      <c r="BG3" s="274"/>
    </row>
    <row r="4" spans="1:62" ht="29.4" thickBot="1">
      <c r="A4" s="531" t="s">
        <v>33</v>
      </c>
      <c r="B4" s="532" t="s">
        <v>34</v>
      </c>
      <c r="C4" s="532" t="s">
        <v>29</v>
      </c>
      <c r="D4" s="533" t="s">
        <v>20</v>
      </c>
      <c r="E4" s="1191"/>
      <c r="F4" s="1191"/>
      <c r="G4" s="537" t="s">
        <v>33</v>
      </c>
      <c r="H4" s="538" t="s">
        <v>34</v>
      </c>
      <c r="I4" s="538" t="s">
        <v>29</v>
      </c>
      <c r="J4" s="540" t="s">
        <v>20</v>
      </c>
      <c r="K4" s="1191"/>
      <c r="L4" s="545" t="s">
        <v>33</v>
      </c>
      <c r="M4" s="546" t="s">
        <v>34</v>
      </c>
      <c r="N4" s="546" t="s">
        <v>29</v>
      </c>
      <c r="O4" s="548" t="s">
        <v>20</v>
      </c>
      <c r="P4" s="1191"/>
      <c r="Q4" s="553" t="s">
        <v>33</v>
      </c>
      <c r="R4" s="554" t="s">
        <v>34</v>
      </c>
      <c r="S4" s="554" t="s">
        <v>29</v>
      </c>
      <c r="T4" s="555" t="s">
        <v>20</v>
      </c>
      <c r="U4" s="1191"/>
      <c r="V4" s="557" t="s">
        <v>33</v>
      </c>
      <c r="W4" s="558" t="s">
        <v>34</v>
      </c>
      <c r="X4" s="558" t="s">
        <v>29</v>
      </c>
      <c r="Y4" s="559" t="s">
        <v>20</v>
      </c>
      <c r="AA4" s="561" t="s">
        <v>33</v>
      </c>
      <c r="AB4" s="562" t="s">
        <v>34</v>
      </c>
      <c r="AC4" s="562" t="s">
        <v>29</v>
      </c>
      <c r="AD4" s="563" t="s">
        <v>20</v>
      </c>
      <c r="AE4" s="474"/>
      <c r="AF4" s="565" t="s">
        <v>33</v>
      </c>
      <c r="AG4" s="566" t="s">
        <v>34</v>
      </c>
      <c r="AH4" s="566" t="s">
        <v>29</v>
      </c>
      <c r="AI4" s="567" t="s">
        <v>20</v>
      </c>
      <c r="AJ4" s="474"/>
      <c r="AK4" s="565" t="s">
        <v>33</v>
      </c>
      <c r="AL4" s="566" t="s">
        <v>34</v>
      </c>
      <c r="AM4" s="566" t="s">
        <v>29</v>
      </c>
      <c r="AN4" s="567" t="s">
        <v>20</v>
      </c>
      <c r="AO4" s="1191"/>
      <c r="AP4" s="652" t="s">
        <v>66</v>
      </c>
      <c r="AQ4" s="653" t="s">
        <v>11</v>
      </c>
      <c r="AR4" s="654" t="s">
        <v>68</v>
      </c>
      <c r="AS4" s="1191"/>
      <c r="AT4" s="464" t="s">
        <v>66</v>
      </c>
      <c r="AU4" s="465" t="s">
        <v>21</v>
      </c>
      <c r="AV4" s="467" t="s">
        <v>68</v>
      </c>
      <c r="AX4" s="1540" t="s">
        <v>27</v>
      </c>
      <c r="AY4" s="1541"/>
      <c r="AZ4" s="1191"/>
      <c r="BA4" s="1356"/>
      <c r="BB4" s="1356"/>
      <c r="BC4" s="1356"/>
      <c r="BD4" s="1356"/>
      <c r="BE4" s="1356"/>
      <c r="BF4" s="1191"/>
      <c r="BG4" s="1191"/>
    </row>
    <row r="5" spans="1:62" ht="15.6" thickTop="1" thickBot="1">
      <c r="A5" s="309"/>
      <c r="B5" s="311"/>
      <c r="C5" s="311">
        <f>'TABEL INPUT'!O9</f>
        <v>42002</v>
      </c>
      <c r="D5" s="312"/>
      <c r="E5" s="267"/>
      <c r="F5" s="267"/>
      <c r="G5" s="475"/>
      <c r="H5" s="476"/>
      <c r="I5" s="476">
        <f>'TABEL INPUT'!O4</f>
        <v>26905055</v>
      </c>
      <c r="J5" s="478"/>
      <c r="K5" s="325"/>
      <c r="L5" s="479"/>
      <c r="M5" s="480"/>
      <c r="N5" s="480">
        <f>'TABEL INPUT'!O5</f>
        <v>0</v>
      </c>
      <c r="O5" s="482"/>
      <c r="P5" s="325"/>
      <c r="Q5" s="483"/>
      <c r="R5" s="484"/>
      <c r="S5" s="484">
        <f>'TABEL INPUT'!O7</f>
        <v>200000</v>
      </c>
      <c r="T5" s="485"/>
      <c r="U5" s="267"/>
      <c r="V5" s="486"/>
      <c r="W5" s="487"/>
      <c r="X5" s="487">
        <f>'TABEL INPUT'!O8</f>
        <v>200000</v>
      </c>
      <c r="Y5" s="488"/>
      <c r="AA5" s="489"/>
      <c r="AB5" s="490"/>
      <c r="AC5" s="490">
        <f>'TABEL INPUT'!O12</f>
        <v>77984</v>
      </c>
      <c r="AD5" s="491"/>
      <c r="AE5" s="492"/>
      <c r="AF5" s="493"/>
      <c r="AG5" s="494"/>
      <c r="AH5" s="494">
        <f>'TABEL INPUT'!O10</f>
        <v>69222</v>
      </c>
      <c r="AI5" s="495"/>
      <c r="AJ5" s="492"/>
      <c r="AK5" s="493"/>
      <c r="AL5" s="494"/>
      <c r="AM5" s="494">
        <f>'TABEL INPUT'!O11</f>
        <v>63999</v>
      </c>
      <c r="AN5" s="495"/>
      <c r="AO5" s="325"/>
      <c r="AP5" s="621"/>
      <c r="AQ5" s="622"/>
      <c r="AR5" s="623"/>
      <c r="AS5" s="267"/>
      <c r="AT5" s="624"/>
      <c r="AU5" s="318"/>
      <c r="AV5" s="320"/>
      <c r="AX5" s="583"/>
      <c r="AY5" s="586"/>
      <c r="AZ5" s="267"/>
      <c r="BA5" s="1503" t="s">
        <v>62</v>
      </c>
      <c r="BB5" s="1504"/>
      <c r="BC5" s="1504"/>
      <c r="BD5" s="1504"/>
      <c r="BE5" s="1504"/>
      <c r="BF5" s="1504"/>
      <c r="BG5" s="1504"/>
      <c r="BH5" s="1510" t="s">
        <v>881</v>
      </c>
    </row>
    <row r="6" spans="1:62" ht="15" thickBot="1">
      <c r="A6" s="332"/>
      <c r="B6" s="334"/>
      <c r="C6" s="379">
        <f>C5+A6-B6</f>
        <v>42002</v>
      </c>
      <c r="D6" s="335"/>
      <c r="G6" s="496"/>
      <c r="H6" s="497"/>
      <c r="I6" s="541">
        <f>I5+G6-H6</f>
        <v>26905055</v>
      </c>
      <c r="J6" s="499"/>
      <c r="K6" s="347"/>
      <c r="L6" s="500"/>
      <c r="M6" s="501"/>
      <c r="N6" s="549">
        <f>N5+L6-M6</f>
        <v>0</v>
      </c>
      <c r="O6" s="503"/>
      <c r="P6" s="347"/>
      <c r="Q6" s="504"/>
      <c r="R6" s="505"/>
      <c r="S6" s="556">
        <f>S5+Q6-R6</f>
        <v>200000</v>
      </c>
      <c r="T6" s="506"/>
      <c r="V6" s="507"/>
      <c r="W6" s="508"/>
      <c r="X6" s="560">
        <f>X5+V6-W6</f>
        <v>200000</v>
      </c>
      <c r="Y6" s="509"/>
      <c r="AA6" s="510"/>
      <c r="AB6" s="511"/>
      <c r="AC6" s="564">
        <f>AC5+AA6-AB6</f>
        <v>77984</v>
      </c>
      <c r="AD6" s="512"/>
      <c r="AE6" s="513"/>
      <c r="AF6" s="514"/>
      <c r="AG6" s="515"/>
      <c r="AH6" s="568">
        <f>AH5+AF6-AG6</f>
        <v>69222</v>
      </c>
      <c r="AI6" s="516"/>
      <c r="AJ6" s="513"/>
      <c r="AK6" s="514"/>
      <c r="AL6" s="515"/>
      <c r="AM6" s="568">
        <f>AM5+AK6-AL6</f>
        <v>63999</v>
      </c>
      <c r="AN6" s="516"/>
      <c r="AO6" s="347"/>
      <c r="AP6" s="625"/>
      <c r="AQ6" s="626"/>
      <c r="AR6" s="626"/>
      <c r="AT6" s="627"/>
      <c r="AU6" s="341"/>
      <c r="AV6" s="628"/>
      <c r="AX6" s="595"/>
      <c r="AY6" s="594"/>
      <c r="BA6" s="1198" t="s">
        <v>135</v>
      </c>
      <c r="BB6" s="1199" t="s">
        <v>4</v>
      </c>
      <c r="BC6" s="1199" t="s">
        <v>136</v>
      </c>
      <c r="BD6" s="1199" t="s">
        <v>137</v>
      </c>
      <c r="BE6" s="1196" t="s">
        <v>138</v>
      </c>
      <c r="BF6" s="1201" t="s">
        <v>139</v>
      </c>
      <c r="BG6" s="1232" t="s">
        <v>27</v>
      </c>
      <c r="BH6" s="1511"/>
    </row>
    <row r="7" spans="1:62">
      <c r="A7" s="332"/>
      <c r="B7" s="334"/>
      <c r="C7" s="379">
        <f t="shared" ref="C7:C70" si="0">C6+A7-B7</f>
        <v>42002</v>
      </c>
      <c r="D7" s="335"/>
      <c r="G7" s="496"/>
      <c r="H7" s="497"/>
      <c r="I7" s="541">
        <f t="shared" ref="I7:I70" si="1">I6+G7-H7</f>
        <v>26905055</v>
      </c>
      <c r="J7" s="499"/>
      <c r="K7" s="347"/>
      <c r="L7" s="500"/>
      <c r="M7" s="501"/>
      <c r="N7" s="549">
        <f t="shared" ref="N7:N70" si="2">N6+L7-M7</f>
        <v>0</v>
      </c>
      <c r="O7" s="503"/>
      <c r="P7" s="347"/>
      <c r="Q7" s="504"/>
      <c r="R7" s="505"/>
      <c r="S7" s="556">
        <f t="shared" ref="S7:S70" si="3">S6+Q7-R7</f>
        <v>200000</v>
      </c>
      <c r="T7" s="506"/>
      <c r="V7" s="507"/>
      <c r="W7" s="508"/>
      <c r="X7" s="560">
        <f t="shared" ref="X7:X70" si="4">X6+V7-W7</f>
        <v>200000</v>
      </c>
      <c r="Y7" s="509"/>
      <c r="AA7" s="510"/>
      <c r="AB7" s="511"/>
      <c r="AC7" s="564">
        <f t="shared" ref="AC7:AC70" si="5">AC6+AA7-AB7</f>
        <v>77984</v>
      </c>
      <c r="AD7" s="512"/>
      <c r="AE7" s="513"/>
      <c r="AF7" s="514"/>
      <c r="AG7" s="515"/>
      <c r="AH7" s="568">
        <f t="shared" ref="AH7:AH70" si="6">AH6+AF7-AG7</f>
        <v>69222</v>
      </c>
      <c r="AI7" s="516"/>
      <c r="AJ7" s="513"/>
      <c r="AK7" s="514"/>
      <c r="AL7" s="515"/>
      <c r="AM7" s="568">
        <f t="shared" ref="AM7:AM70" si="7">AM6+AK7-AL7</f>
        <v>63999</v>
      </c>
      <c r="AN7" s="516"/>
      <c r="AO7" s="347"/>
      <c r="AP7" s="625"/>
      <c r="AQ7" s="626"/>
      <c r="AR7" s="629"/>
      <c r="AT7" s="627"/>
      <c r="AU7" s="341"/>
      <c r="AV7" s="628"/>
      <c r="AX7" s="595"/>
      <c r="AY7" s="594"/>
      <c r="BA7" s="630"/>
      <c r="BB7" s="631"/>
      <c r="BC7" s="631"/>
      <c r="BD7" s="631"/>
      <c r="BE7" s="1197"/>
      <c r="BF7" s="1200"/>
      <c r="BG7" s="1233"/>
      <c r="BH7" s="1235"/>
    </row>
    <row r="8" spans="1:62">
      <c r="A8" s="332"/>
      <c r="B8" s="334"/>
      <c r="C8" s="379">
        <f t="shared" si="0"/>
        <v>42002</v>
      </c>
      <c r="D8" s="335"/>
      <c r="G8" s="496"/>
      <c r="H8" s="497"/>
      <c r="I8" s="541">
        <f t="shared" si="1"/>
        <v>26905055</v>
      </c>
      <c r="J8" s="499"/>
      <c r="K8" s="347"/>
      <c r="L8" s="500"/>
      <c r="M8" s="501"/>
      <c r="N8" s="549">
        <f t="shared" si="2"/>
        <v>0</v>
      </c>
      <c r="O8" s="503"/>
      <c r="P8" s="347"/>
      <c r="Q8" s="504"/>
      <c r="R8" s="505"/>
      <c r="S8" s="556">
        <f t="shared" si="3"/>
        <v>200000</v>
      </c>
      <c r="T8" s="506"/>
      <c r="V8" s="507"/>
      <c r="W8" s="508"/>
      <c r="X8" s="560">
        <f t="shared" si="4"/>
        <v>200000</v>
      </c>
      <c r="Y8" s="509"/>
      <c r="AA8" s="510"/>
      <c r="AB8" s="511"/>
      <c r="AC8" s="564">
        <f t="shared" si="5"/>
        <v>77984</v>
      </c>
      <c r="AD8" s="512"/>
      <c r="AE8" s="513"/>
      <c r="AF8" s="514"/>
      <c r="AG8" s="515"/>
      <c r="AH8" s="568">
        <f t="shared" si="6"/>
        <v>69222</v>
      </c>
      <c r="AI8" s="516"/>
      <c r="AJ8" s="513"/>
      <c r="AK8" s="514"/>
      <c r="AL8" s="515"/>
      <c r="AM8" s="568">
        <f t="shared" si="7"/>
        <v>63999</v>
      </c>
      <c r="AN8" s="516"/>
      <c r="AO8" s="347"/>
      <c r="AP8" s="625"/>
      <c r="AQ8" s="626"/>
      <c r="AR8" s="629"/>
      <c r="AT8" s="627"/>
      <c r="AU8" s="341"/>
      <c r="AV8" s="628"/>
      <c r="AX8" s="595"/>
      <c r="AY8" s="594"/>
      <c r="BA8" s="632"/>
      <c r="BB8" s="352"/>
      <c r="BC8" s="352"/>
      <c r="BD8" s="352"/>
      <c r="BE8" s="571"/>
      <c r="BF8" s="596"/>
      <c r="BG8" s="1234"/>
      <c r="BH8" s="1236"/>
    </row>
    <row r="9" spans="1:62" ht="15" thickBot="1">
      <c r="A9" s="332"/>
      <c r="B9" s="334"/>
      <c r="C9" s="379">
        <f t="shared" si="0"/>
        <v>42002</v>
      </c>
      <c r="D9" s="335"/>
      <c r="G9" s="496"/>
      <c r="H9" s="497"/>
      <c r="I9" s="541">
        <f t="shared" si="1"/>
        <v>26905055</v>
      </c>
      <c r="J9" s="499"/>
      <c r="K9" s="347"/>
      <c r="L9" s="500"/>
      <c r="M9" s="501"/>
      <c r="N9" s="549">
        <f t="shared" si="2"/>
        <v>0</v>
      </c>
      <c r="O9" s="503"/>
      <c r="P9" s="347"/>
      <c r="Q9" s="504"/>
      <c r="R9" s="505"/>
      <c r="S9" s="556">
        <f t="shared" si="3"/>
        <v>200000</v>
      </c>
      <c r="T9" s="506"/>
      <c r="V9" s="507"/>
      <c r="W9" s="508"/>
      <c r="X9" s="560">
        <f t="shared" si="4"/>
        <v>200000</v>
      </c>
      <c r="Y9" s="509"/>
      <c r="AA9" s="510"/>
      <c r="AB9" s="511"/>
      <c r="AC9" s="564">
        <f t="shared" si="5"/>
        <v>77984</v>
      </c>
      <c r="AD9" s="512"/>
      <c r="AE9" s="513"/>
      <c r="AF9" s="514"/>
      <c r="AG9" s="515"/>
      <c r="AH9" s="568">
        <f t="shared" si="6"/>
        <v>69222</v>
      </c>
      <c r="AI9" s="516"/>
      <c r="AJ9" s="513"/>
      <c r="AK9" s="514"/>
      <c r="AL9" s="515"/>
      <c r="AM9" s="568">
        <f t="shared" si="7"/>
        <v>63999</v>
      </c>
      <c r="AN9" s="516"/>
      <c r="AO9" s="347"/>
      <c r="AP9" s="625"/>
      <c r="AQ9" s="626"/>
      <c r="AR9" s="629"/>
      <c r="AT9" s="627"/>
      <c r="AU9" s="341"/>
      <c r="AV9" s="628"/>
      <c r="AY9" s="594"/>
      <c r="BA9" s="1237">
        <f t="shared" ref="BA9:BF9" si="8">SUM(BA7:BA8)</f>
        <v>0</v>
      </c>
      <c r="BB9" s="1206">
        <f t="shared" si="8"/>
        <v>0</v>
      </c>
      <c r="BC9" s="1206">
        <f t="shared" si="8"/>
        <v>0</v>
      </c>
      <c r="BD9" s="1206">
        <f t="shared" si="8"/>
        <v>0</v>
      </c>
      <c r="BE9" s="1206">
        <f t="shared" si="8"/>
        <v>0</v>
      </c>
      <c r="BF9" s="1206">
        <f t="shared" si="8"/>
        <v>0</v>
      </c>
      <c r="BG9" s="1223">
        <f t="shared" ref="BG9" si="9">SUM(BG7:BG8)</f>
        <v>0</v>
      </c>
      <c r="BH9" s="1202">
        <f>SUM(BA9:BG9)</f>
        <v>0</v>
      </c>
    </row>
    <row r="10" spans="1:62" ht="15.6" thickTop="1" thickBot="1">
      <c r="A10" s="332"/>
      <c r="B10" s="334"/>
      <c r="C10" s="379">
        <f t="shared" si="0"/>
        <v>42002</v>
      </c>
      <c r="D10" s="335"/>
      <c r="G10" s="496"/>
      <c r="H10" s="497"/>
      <c r="I10" s="541">
        <f t="shared" si="1"/>
        <v>26905055</v>
      </c>
      <c r="J10" s="499"/>
      <c r="K10" s="347"/>
      <c r="L10" s="500"/>
      <c r="M10" s="501"/>
      <c r="N10" s="549">
        <f t="shared" si="2"/>
        <v>0</v>
      </c>
      <c r="O10" s="503"/>
      <c r="P10" s="347"/>
      <c r="Q10" s="504"/>
      <c r="R10" s="505"/>
      <c r="S10" s="556">
        <f t="shared" si="3"/>
        <v>200000</v>
      </c>
      <c r="T10" s="506"/>
      <c r="V10" s="507"/>
      <c r="W10" s="508"/>
      <c r="X10" s="560">
        <f t="shared" si="4"/>
        <v>200000</v>
      </c>
      <c r="Y10" s="509"/>
      <c r="AA10" s="510"/>
      <c r="AB10" s="511"/>
      <c r="AC10" s="564">
        <f t="shared" si="5"/>
        <v>77984</v>
      </c>
      <c r="AD10" s="512"/>
      <c r="AE10" s="513"/>
      <c r="AF10" s="514"/>
      <c r="AG10" s="515"/>
      <c r="AH10" s="568">
        <f t="shared" si="6"/>
        <v>69222</v>
      </c>
      <c r="AI10" s="516"/>
      <c r="AJ10" s="513"/>
      <c r="AK10" s="514"/>
      <c r="AL10" s="515"/>
      <c r="AM10" s="568">
        <f t="shared" si="7"/>
        <v>63999</v>
      </c>
      <c r="AN10" s="516"/>
      <c r="AO10" s="347"/>
      <c r="AP10" s="633"/>
      <c r="AQ10" s="626"/>
      <c r="AR10" s="629"/>
      <c r="AT10" s="627"/>
      <c r="AU10" s="341"/>
      <c r="AV10" s="628"/>
      <c r="AX10" s="595"/>
      <c r="AY10" s="594"/>
      <c r="BA10" s="634"/>
      <c r="BB10" s="634"/>
      <c r="BC10" s="634"/>
      <c r="BD10" s="634"/>
      <c r="BE10" s="634"/>
    </row>
    <row r="11" spans="1:62" ht="15.6" thickTop="1" thickBot="1">
      <c r="A11" s="332"/>
      <c r="B11" s="334"/>
      <c r="C11" s="379">
        <f t="shared" si="0"/>
        <v>42002</v>
      </c>
      <c r="D11" s="335"/>
      <c r="G11" s="496"/>
      <c r="H11" s="497"/>
      <c r="I11" s="541">
        <f t="shared" si="1"/>
        <v>26905055</v>
      </c>
      <c r="J11" s="499"/>
      <c r="K11" s="347"/>
      <c r="L11" s="500"/>
      <c r="M11" s="501"/>
      <c r="N11" s="549">
        <f t="shared" si="2"/>
        <v>0</v>
      </c>
      <c r="O11" s="503"/>
      <c r="P11" s="347"/>
      <c r="Q11" s="504"/>
      <c r="R11" s="505"/>
      <c r="S11" s="556">
        <f t="shared" si="3"/>
        <v>200000</v>
      </c>
      <c r="T11" s="506"/>
      <c r="V11" s="507"/>
      <c r="W11" s="508"/>
      <c r="X11" s="560">
        <f t="shared" si="4"/>
        <v>200000</v>
      </c>
      <c r="Y11" s="509"/>
      <c r="AA11" s="510"/>
      <c r="AB11" s="511"/>
      <c r="AC11" s="564">
        <f t="shared" si="5"/>
        <v>77984</v>
      </c>
      <c r="AD11" s="512"/>
      <c r="AE11" s="513"/>
      <c r="AF11" s="514"/>
      <c r="AG11" s="515"/>
      <c r="AH11" s="568">
        <f t="shared" si="6"/>
        <v>69222</v>
      </c>
      <c r="AI11" s="516"/>
      <c r="AJ11" s="513"/>
      <c r="AK11" s="514"/>
      <c r="AL11" s="515"/>
      <c r="AM11" s="568">
        <f t="shared" si="7"/>
        <v>63999</v>
      </c>
      <c r="AN11" s="516"/>
      <c r="AO11" s="347"/>
      <c r="AP11" s="635"/>
      <c r="AQ11" s="626"/>
      <c r="AR11" s="629"/>
      <c r="AT11" s="627"/>
      <c r="AU11" s="341"/>
      <c r="AV11" s="628"/>
      <c r="AX11" s="595"/>
      <c r="AY11" s="594"/>
      <c r="BA11" s="1505" t="s">
        <v>98</v>
      </c>
      <c r="BB11" s="1506"/>
      <c r="BC11" s="1506"/>
      <c r="BD11" s="1506"/>
      <c r="BE11" s="1506"/>
      <c r="BF11" s="1506"/>
      <c r="BG11" s="1506"/>
      <c r="BH11" s="1506"/>
      <c r="BI11" s="1507"/>
      <c r="BJ11" s="1508" t="s">
        <v>884</v>
      </c>
    </row>
    <row r="12" spans="1:62" ht="15" thickBot="1">
      <c r="A12" s="332"/>
      <c r="B12" s="334"/>
      <c r="C12" s="379">
        <f t="shared" si="0"/>
        <v>42002</v>
      </c>
      <c r="D12" s="335"/>
      <c r="G12" s="496"/>
      <c r="H12" s="497"/>
      <c r="I12" s="541">
        <f t="shared" si="1"/>
        <v>26905055</v>
      </c>
      <c r="J12" s="499"/>
      <c r="K12" s="347"/>
      <c r="L12" s="500"/>
      <c r="M12" s="501"/>
      <c r="N12" s="549">
        <f t="shared" si="2"/>
        <v>0</v>
      </c>
      <c r="O12" s="503"/>
      <c r="P12" s="347"/>
      <c r="Q12" s="504"/>
      <c r="R12" s="505"/>
      <c r="S12" s="556">
        <f t="shared" si="3"/>
        <v>200000</v>
      </c>
      <c r="T12" s="506"/>
      <c r="V12" s="507"/>
      <c r="W12" s="508"/>
      <c r="X12" s="560">
        <f t="shared" si="4"/>
        <v>200000</v>
      </c>
      <c r="Y12" s="509"/>
      <c r="AA12" s="510"/>
      <c r="AB12" s="511"/>
      <c r="AC12" s="564">
        <f t="shared" si="5"/>
        <v>77984</v>
      </c>
      <c r="AD12" s="512"/>
      <c r="AE12" s="513"/>
      <c r="AF12" s="514"/>
      <c r="AG12" s="515"/>
      <c r="AH12" s="568">
        <f t="shared" si="6"/>
        <v>69222</v>
      </c>
      <c r="AI12" s="516"/>
      <c r="AJ12" s="513"/>
      <c r="AK12" s="514"/>
      <c r="AL12" s="515"/>
      <c r="AM12" s="568">
        <f t="shared" si="7"/>
        <v>63999</v>
      </c>
      <c r="AN12" s="516"/>
      <c r="AO12" s="347"/>
      <c r="AP12" s="635"/>
      <c r="AQ12" s="626"/>
      <c r="AR12" s="629"/>
      <c r="AT12" s="627"/>
      <c r="AU12" s="341"/>
      <c r="AV12" s="628"/>
      <c r="AX12" s="595"/>
      <c r="AY12" s="594"/>
      <c r="BA12" s="1219" t="s">
        <v>882</v>
      </c>
      <c r="BB12" s="1220" t="s">
        <v>883</v>
      </c>
      <c r="BC12" s="1220" t="s">
        <v>139</v>
      </c>
      <c r="BD12" s="1220" t="s">
        <v>173</v>
      </c>
      <c r="BE12" s="1220" t="s">
        <v>174</v>
      </c>
      <c r="BF12" s="1221" t="s">
        <v>333</v>
      </c>
      <c r="BG12" s="1221" t="s">
        <v>345</v>
      </c>
      <c r="BH12" s="1221" t="s">
        <v>845</v>
      </c>
      <c r="BI12" s="1221" t="s">
        <v>845</v>
      </c>
      <c r="BJ12" s="1509"/>
    </row>
    <row r="13" spans="1:62">
      <c r="A13" s="332"/>
      <c r="B13" s="334"/>
      <c r="C13" s="379">
        <f t="shared" si="0"/>
        <v>42002</v>
      </c>
      <c r="D13" s="335"/>
      <c r="G13" s="496"/>
      <c r="H13" s="497"/>
      <c r="I13" s="541">
        <f t="shared" si="1"/>
        <v>26905055</v>
      </c>
      <c r="J13" s="499"/>
      <c r="K13" s="347"/>
      <c r="L13" s="500"/>
      <c r="M13" s="501"/>
      <c r="N13" s="549">
        <f t="shared" si="2"/>
        <v>0</v>
      </c>
      <c r="O13" s="503"/>
      <c r="P13" s="347"/>
      <c r="Q13" s="504"/>
      <c r="R13" s="505"/>
      <c r="S13" s="556">
        <f t="shared" si="3"/>
        <v>200000</v>
      </c>
      <c r="T13" s="506"/>
      <c r="V13" s="507"/>
      <c r="W13" s="508"/>
      <c r="X13" s="560">
        <f t="shared" si="4"/>
        <v>200000</v>
      </c>
      <c r="Y13" s="509"/>
      <c r="AA13" s="510"/>
      <c r="AB13" s="511"/>
      <c r="AC13" s="564">
        <f t="shared" si="5"/>
        <v>77984</v>
      </c>
      <c r="AD13" s="512"/>
      <c r="AE13" s="513"/>
      <c r="AF13" s="514"/>
      <c r="AG13" s="515"/>
      <c r="AH13" s="568">
        <f t="shared" si="6"/>
        <v>69222</v>
      </c>
      <c r="AI13" s="516"/>
      <c r="AJ13" s="513"/>
      <c r="AK13" s="514"/>
      <c r="AL13" s="515"/>
      <c r="AM13" s="568">
        <f t="shared" si="7"/>
        <v>63999</v>
      </c>
      <c r="AN13" s="516"/>
      <c r="AO13" s="347"/>
      <c r="AP13" s="636"/>
      <c r="AQ13" s="626"/>
      <c r="AR13" s="629"/>
      <c r="AT13" s="627"/>
      <c r="AU13" s="341"/>
      <c r="AV13" s="628"/>
      <c r="AX13" s="595"/>
      <c r="AY13" s="594"/>
      <c r="BA13" s="1203"/>
      <c r="BB13" s="1204"/>
      <c r="BC13" s="1204"/>
      <c r="BD13" s="1204"/>
      <c r="BE13" s="1205"/>
      <c r="BF13" s="1216"/>
      <c r="BG13" s="1216"/>
      <c r="BH13" s="1216"/>
      <c r="BI13" s="1216"/>
      <c r="BJ13" s="1207"/>
    </row>
    <row r="14" spans="1:62" ht="15" thickBot="1">
      <c r="A14" s="332"/>
      <c r="B14" s="334"/>
      <c r="C14" s="379">
        <f t="shared" si="0"/>
        <v>42002</v>
      </c>
      <c r="D14" s="335"/>
      <c r="G14" s="496"/>
      <c r="H14" s="497"/>
      <c r="I14" s="541">
        <f t="shared" si="1"/>
        <v>26905055</v>
      </c>
      <c r="J14" s="499"/>
      <c r="K14" s="347"/>
      <c r="L14" s="500"/>
      <c r="M14" s="501"/>
      <c r="N14" s="549">
        <f t="shared" si="2"/>
        <v>0</v>
      </c>
      <c r="O14" s="503"/>
      <c r="P14" s="347"/>
      <c r="Q14" s="504"/>
      <c r="R14" s="505"/>
      <c r="S14" s="556">
        <f t="shared" si="3"/>
        <v>200000</v>
      </c>
      <c r="T14" s="506"/>
      <c r="V14" s="507"/>
      <c r="W14" s="508"/>
      <c r="X14" s="560">
        <f t="shared" si="4"/>
        <v>200000</v>
      </c>
      <c r="Y14" s="509"/>
      <c r="AA14" s="510"/>
      <c r="AB14" s="511"/>
      <c r="AC14" s="564">
        <f t="shared" si="5"/>
        <v>77984</v>
      </c>
      <c r="AD14" s="512"/>
      <c r="AE14" s="513"/>
      <c r="AF14" s="514"/>
      <c r="AG14" s="515"/>
      <c r="AH14" s="568">
        <f t="shared" si="6"/>
        <v>69222</v>
      </c>
      <c r="AI14" s="516"/>
      <c r="AJ14" s="513"/>
      <c r="AK14" s="514"/>
      <c r="AL14" s="515"/>
      <c r="AM14" s="568">
        <f t="shared" si="7"/>
        <v>63999</v>
      </c>
      <c r="AN14" s="516"/>
      <c r="AO14" s="347"/>
      <c r="AP14" s="636"/>
      <c r="AQ14" s="626"/>
      <c r="AR14" s="629"/>
      <c r="AT14" s="627"/>
      <c r="AU14" s="341"/>
      <c r="AV14" s="628"/>
      <c r="AX14" s="595"/>
      <c r="AY14" s="594"/>
      <c r="BA14" s="1208"/>
      <c r="BB14" s="1209"/>
      <c r="BC14" s="1209"/>
      <c r="BD14" s="1209"/>
      <c r="BE14" s="1210"/>
      <c r="BF14" s="1217"/>
      <c r="BG14" s="1217"/>
      <c r="BH14" s="1217"/>
      <c r="BI14" s="1217"/>
      <c r="BJ14" s="1211"/>
    </row>
    <row r="15" spans="1:62" ht="15" thickBot="1">
      <c r="A15" s="332"/>
      <c r="B15" s="334"/>
      <c r="C15" s="379">
        <f t="shared" si="0"/>
        <v>42002</v>
      </c>
      <c r="D15" s="335"/>
      <c r="G15" s="496"/>
      <c r="H15" s="497"/>
      <c r="I15" s="541">
        <f t="shared" si="1"/>
        <v>26905055</v>
      </c>
      <c r="J15" s="499"/>
      <c r="K15" s="347"/>
      <c r="L15" s="500"/>
      <c r="M15" s="501"/>
      <c r="N15" s="549">
        <f t="shared" si="2"/>
        <v>0</v>
      </c>
      <c r="O15" s="503"/>
      <c r="P15" s="347"/>
      <c r="Q15" s="504"/>
      <c r="R15" s="505"/>
      <c r="S15" s="556">
        <f t="shared" si="3"/>
        <v>200000</v>
      </c>
      <c r="T15" s="506"/>
      <c r="V15" s="507"/>
      <c r="W15" s="508"/>
      <c r="X15" s="560">
        <f t="shared" si="4"/>
        <v>200000</v>
      </c>
      <c r="Y15" s="509"/>
      <c r="AA15" s="510"/>
      <c r="AB15" s="511"/>
      <c r="AC15" s="564">
        <f t="shared" si="5"/>
        <v>77984</v>
      </c>
      <c r="AD15" s="512"/>
      <c r="AE15" s="513"/>
      <c r="AF15" s="514"/>
      <c r="AG15" s="515"/>
      <c r="AH15" s="568">
        <f t="shared" si="6"/>
        <v>69222</v>
      </c>
      <c r="AI15" s="516"/>
      <c r="AJ15" s="513"/>
      <c r="AK15" s="514"/>
      <c r="AL15" s="515"/>
      <c r="AM15" s="568">
        <f t="shared" si="7"/>
        <v>63999</v>
      </c>
      <c r="AN15" s="516"/>
      <c r="AO15" s="347"/>
      <c r="AP15" s="636"/>
      <c r="AQ15" s="626"/>
      <c r="AR15" s="629"/>
      <c r="AT15" s="627"/>
      <c r="AU15" s="341"/>
      <c r="AV15" s="628"/>
      <c r="AX15" s="595"/>
      <c r="AY15" s="594"/>
      <c r="BA15" s="1212">
        <f>SUM(BA13:BA14)</f>
        <v>0</v>
      </c>
      <c r="BB15" s="1213">
        <f>SUM(BB13:BB14)</f>
        <v>0</v>
      </c>
      <c r="BC15" s="1213">
        <f>SUM(BC13:BC14)</f>
        <v>0</v>
      </c>
      <c r="BD15" s="1213">
        <f>SUM(BD13:BD14)</f>
        <v>0</v>
      </c>
      <c r="BE15" s="1214">
        <f>SUM(BE13:BE14)</f>
        <v>0</v>
      </c>
      <c r="BF15" s="1214">
        <f t="shared" ref="BF15:BI15" si="10">SUM(BF13:BF14)</f>
        <v>0</v>
      </c>
      <c r="BG15" s="1214">
        <f t="shared" si="10"/>
        <v>0</v>
      </c>
      <c r="BH15" s="1214">
        <f t="shared" si="10"/>
        <v>0</v>
      </c>
      <c r="BI15" s="1214">
        <f t="shared" si="10"/>
        <v>0</v>
      </c>
      <c r="BJ15" s="1218">
        <f>SUM(BA15:BI15)</f>
        <v>0</v>
      </c>
    </row>
    <row r="16" spans="1:62" ht="15.6" thickTop="1" thickBot="1">
      <c r="A16" s="332"/>
      <c r="B16" s="334"/>
      <c r="C16" s="379">
        <f t="shared" si="0"/>
        <v>42002</v>
      </c>
      <c r="D16" s="335"/>
      <c r="G16" s="496"/>
      <c r="H16" s="497"/>
      <c r="I16" s="541">
        <f t="shared" si="1"/>
        <v>26905055</v>
      </c>
      <c r="J16" s="499"/>
      <c r="K16" s="347"/>
      <c r="L16" s="500"/>
      <c r="M16" s="501"/>
      <c r="N16" s="549">
        <f t="shared" si="2"/>
        <v>0</v>
      </c>
      <c r="O16" s="503"/>
      <c r="P16" s="347"/>
      <c r="Q16" s="504"/>
      <c r="R16" s="505"/>
      <c r="S16" s="556">
        <f t="shared" si="3"/>
        <v>200000</v>
      </c>
      <c r="T16" s="506"/>
      <c r="V16" s="507"/>
      <c r="W16" s="508"/>
      <c r="X16" s="560">
        <f t="shared" si="4"/>
        <v>200000</v>
      </c>
      <c r="Y16" s="509"/>
      <c r="AA16" s="510"/>
      <c r="AB16" s="511"/>
      <c r="AC16" s="564">
        <f t="shared" si="5"/>
        <v>77984</v>
      </c>
      <c r="AD16" s="512"/>
      <c r="AE16" s="513"/>
      <c r="AF16" s="514"/>
      <c r="AG16" s="515"/>
      <c r="AH16" s="568">
        <f t="shared" si="6"/>
        <v>69222</v>
      </c>
      <c r="AI16" s="516"/>
      <c r="AJ16" s="513"/>
      <c r="AK16" s="514"/>
      <c r="AL16" s="515"/>
      <c r="AM16" s="568">
        <f t="shared" si="7"/>
        <v>63999</v>
      </c>
      <c r="AN16" s="516"/>
      <c r="AO16" s="347"/>
      <c r="AP16" s="636"/>
      <c r="AQ16" s="626"/>
      <c r="AR16" s="629"/>
      <c r="AT16" s="627"/>
      <c r="AU16" s="341"/>
      <c r="AV16" s="628"/>
      <c r="AX16" s="595"/>
      <c r="AY16" s="594"/>
      <c r="BA16" s="1222"/>
      <c r="BB16" s="1222"/>
      <c r="BC16" s="1222"/>
    </row>
    <row r="17" spans="1:67" ht="15.6" thickTop="1" thickBot="1">
      <c r="A17" s="332"/>
      <c r="B17" s="334"/>
      <c r="C17" s="379">
        <f t="shared" si="0"/>
        <v>42002</v>
      </c>
      <c r="D17" s="335"/>
      <c r="G17" s="496"/>
      <c r="H17" s="497"/>
      <c r="I17" s="541">
        <f t="shared" si="1"/>
        <v>26905055</v>
      </c>
      <c r="J17" s="499"/>
      <c r="K17" s="347"/>
      <c r="L17" s="500"/>
      <c r="M17" s="501"/>
      <c r="N17" s="549">
        <f t="shared" si="2"/>
        <v>0</v>
      </c>
      <c r="O17" s="503"/>
      <c r="P17" s="347"/>
      <c r="Q17" s="504"/>
      <c r="R17" s="505"/>
      <c r="S17" s="556">
        <f t="shared" si="3"/>
        <v>200000</v>
      </c>
      <c r="T17" s="506"/>
      <c r="V17" s="507"/>
      <c r="W17" s="508"/>
      <c r="X17" s="560">
        <f t="shared" si="4"/>
        <v>200000</v>
      </c>
      <c r="Y17" s="509"/>
      <c r="AA17" s="510"/>
      <c r="AB17" s="511"/>
      <c r="AC17" s="564">
        <f t="shared" si="5"/>
        <v>77984</v>
      </c>
      <c r="AD17" s="512"/>
      <c r="AE17" s="513"/>
      <c r="AF17" s="514"/>
      <c r="AG17" s="515"/>
      <c r="AH17" s="568">
        <f t="shared" si="6"/>
        <v>69222</v>
      </c>
      <c r="AI17" s="516"/>
      <c r="AJ17" s="513"/>
      <c r="AK17" s="514"/>
      <c r="AL17" s="515"/>
      <c r="AM17" s="568">
        <f t="shared" si="7"/>
        <v>63999</v>
      </c>
      <c r="AN17" s="516"/>
      <c r="AO17" s="347"/>
      <c r="AP17" s="636"/>
      <c r="AQ17" s="626"/>
      <c r="AR17" s="629"/>
      <c r="AT17" s="627"/>
      <c r="AU17" s="341"/>
      <c r="AV17" s="628"/>
      <c r="AX17" s="595"/>
      <c r="AY17" s="594"/>
      <c r="BA17" s="1512" t="s">
        <v>155</v>
      </c>
      <c r="BB17" s="1513"/>
      <c r="BC17" s="1513"/>
      <c r="BD17" s="1513"/>
      <c r="BE17" s="1514" t="s">
        <v>884</v>
      </c>
    </row>
    <row r="18" spans="1:67" ht="15" thickBot="1">
      <c r="A18" s="332"/>
      <c r="B18" s="334"/>
      <c r="C18" s="379">
        <f t="shared" si="0"/>
        <v>42002</v>
      </c>
      <c r="D18" s="335"/>
      <c r="G18" s="496"/>
      <c r="H18" s="497"/>
      <c r="I18" s="541">
        <f t="shared" si="1"/>
        <v>26905055</v>
      </c>
      <c r="J18" s="499"/>
      <c r="K18" s="347"/>
      <c r="L18" s="500"/>
      <c r="M18" s="501"/>
      <c r="N18" s="549">
        <f t="shared" si="2"/>
        <v>0</v>
      </c>
      <c r="O18" s="503"/>
      <c r="P18" s="347"/>
      <c r="Q18" s="504"/>
      <c r="R18" s="505"/>
      <c r="S18" s="556">
        <f t="shared" si="3"/>
        <v>200000</v>
      </c>
      <c r="T18" s="506"/>
      <c r="V18" s="507"/>
      <c r="W18" s="508"/>
      <c r="X18" s="560">
        <f t="shared" si="4"/>
        <v>200000</v>
      </c>
      <c r="Y18" s="509"/>
      <c r="AA18" s="510"/>
      <c r="AB18" s="511"/>
      <c r="AC18" s="564">
        <f t="shared" si="5"/>
        <v>77984</v>
      </c>
      <c r="AD18" s="512"/>
      <c r="AE18" s="513"/>
      <c r="AF18" s="514"/>
      <c r="AG18" s="515"/>
      <c r="AH18" s="568">
        <f t="shared" si="6"/>
        <v>69222</v>
      </c>
      <c r="AI18" s="516"/>
      <c r="AJ18" s="513"/>
      <c r="AK18" s="514"/>
      <c r="AL18" s="515"/>
      <c r="AM18" s="568">
        <f t="shared" si="7"/>
        <v>63999</v>
      </c>
      <c r="AN18" s="516"/>
      <c r="AO18" s="347"/>
      <c r="AP18" s="636"/>
      <c r="AQ18" s="626"/>
      <c r="AR18" s="629"/>
      <c r="AT18" s="627"/>
      <c r="AU18" s="341"/>
      <c r="AV18" s="628"/>
      <c r="AX18" s="592"/>
      <c r="AY18" s="594"/>
      <c r="BA18" s="658" t="s">
        <v>138</v>
      </c>
      <c r="BB18" s="659" t="s">
        <v>139</v>
      </c>
      <c r="BC18" s="659" t="s">
        <v>885</v>
      </c>
      <c r="BD18" s="1230" t="s">
        <v>27</v>
      </c>
      <c r="BE18" s="1515"/>
    </row>
    <row r="19" spans="1:67">
      <c r="A19" s="332"/>
      <c r="B19" s="334"/>
      <c r="C19" s="379">
        <f t="shared" si="0"/>
        <v>42002</v>
      </c>
      <c r="D19" s="335"/>
      <c r="G19" s="496"/>
      <c r="H19" s="497"/>
      <c r="I19" s="541">
        <f t="shared" si="1"/>
        <v>26905055</v>
      </c>
      <c r="J19" s="499"/>
      <c r="K19" s="347"/>
      <c r="L19" s="500"/>
      <c r="M19" s="501"/>
      <c r="N19" s="549">
        <f t="shared" si="2"/>
        <v>0</v>
      </c>
      <c r="O19" s="503"/>
      <c r="P19" s="347"/>
      <c r="Q19" s="504"/>
      <c r="R19" s="505"/>
      <c r="S19" s="556">
        <f t="shared" si="3"/>
        <v>200000</v>
      </c>
      <c r="T19" s="506"/>
      <c r="V19" s="507"/>
      <c r="W19" s="508"/>
      <c r="X19" s="560">
        <f t="shared" si="4"/>
        <v>200000</v>
      </c>
      <c r="Y19" s="509"/>
      <c r="AA19" s="510"/>
      <c r="AB19" s="511"/>
      <c r="AC19" s="564">
        <f t="shared" si="5"/>
        <v>77984</v>
      </c>
      <c r="AD19" s="512"/>
      <c r="AE19" s="513"/>
      <c r="AF19" s="514"/>
      <c r="AG19" s="515"/>
      <c r="AH19" s="568">
        <f t="shared" si="6"/>
        <v>69222</v>
      </c>
      <c r="AI19" s="516"/>
      <c r="AJ19" s="513"/>
      <c r="AK19" s="514"/>
      <c r="AL19" s="515"/>
      <c r="AM19" s="568">
        <f t="shared" si="7"/>
        <v>63999</v>
      </c>
      <c r="AN19" s="516"/>
      <c r="AO19" s="347"/>
      <c r="AP19" s="636"/>
      <c r="AQ19" s="626"/>
      <c r="AR19" s="629"/>
      <c r="AT19" s="627"/>
      <c r="AU19" s="341"/>
      <c r="AV19" s="628"/>
      <c r="AX19" s="595"/>
      <c r="AY19" s="594"/>
      <c r="BA19" s="630"/>
      <c r="BB19" s="631"/>
      <c r="BC19" s="1197"/>
      <c r="BD19" s="1224"/>
      <c r="BE19" s="1225"/>
    </row>
    <row r="20" spans="1:67" ht="15" thickBot="1">
      <c r="A20" s="332"/>
      <c r="B20" s="334"/>
      <c r="C20" s="379">
        <f t="shared" si="0"/>
        <v>42002</v>
      </c>
      <c r="D20" s="335"/>
      <c r="G20" s="496"/>
      <c r="H20" s="497"/>
      <c r="I20" s="541">
        <f t="shared" si="1"/>
        <v>26905055</v>
      </c>
      <c r="J20" s="499"/>
      <c r="K20" s="347"/>
      <c r="L20" s="500"/>
      <c r="M20" s="501"/>
      <c r="N20" s="549">
        <f t="shared" si="2"/>
        <v>0</v>
      </c>
      <c r="O20" s="503"/>
      <c r="P20" s="347"/>
      <c r="Q20" s="504"/>
      <c r="R20" s="505"/>
      <c r="S20" s="556">
        <f t="shared" si="3"/>
        <v>200000</v>
      </c>
      <c r="T20" s="506"/>
      <c r="V20" s="507"/>
      <c r="W20" s="508"/>
      <c r="X20" s="560">
        <f t="shared" si="4"/>
        <v>200000</v>
      </c>
      <c r="Y20" s="509"/>
      <c r="AA20" s="510"/>
      <c r="AB20" s="511"/>
      <c r="AC20" s="564">
        <f t="shared" si="5"/>
        <v>77984</v>
      </c>
      <c r="AD20" s="512"/>
      <c r="AE20" s="513"/>
      <c r="AF20" s="514"/>
      <c r="AG20" s="515"/>
      <c r="AH20" s="568">
        <f t="shared" si="6"/>
        <v>69222</v>
      </c>
      <c r="AI20" s="516"/>
      <c r="AJ20" s="513"/>
      <c r="AK20" s="514"/>
      <c r="AL20" s="515"/>
      <c r="AM20" s="568">
        <f t="shared" si="7"/>
        <v>63999</v>
      </c>
      <c r="AN20" s="516"/>
      <c r="AO20" s="347"/>
      <c r="AP20" s="636"/>
      <c r="AQ20" s="626"/>
      <c r="AR20" s="629"/>
      <c r="AT20" s="627"/>
      <c r="AU20" s="341"/>
      <c r="AV20" s="628"/>
      <c r="AX20" s="595"/>
      <c r="AY20" s="594"/>
      <c r="BA20" s="1227"/>
      <c r="BB20" s="1228"/>
      <c r="BC20" s="1229"/>
      <c r="BD20" s="1195"/>
      <c r="BE20" s="1226"/>
    </row>
    <row r="21" spans="1:67" ht="15" thickBot="1">
      <c r="A21" s="332"/>
      <c r="B21" s="334"/>
      <c r="C21" s="379">
        <f t="shared" si="0"/>
        <v>42002</v>
      </c>
      <c r="D21" s="335"/>
      <c r="G21" s="496"/>
      <c r="H21" s="497"/>
      <c r="I21" s="541">
        <f t="shared" si="1"/>
        <v>26905055</v>
      </c>
      <c r="J21" s="499"/>
      <c r="K21" s="347"/>
      <c r="L21" s="500"/>
      <c r="M21" s="501"/>
      <c r="N21" s="549">
        <f t="shared" si="2"/>
        <v>0</v>
      </c>
      <c r="O21" s="503"/>
      <c r="P21" s="347"/>
      <c r="Q21" s="504"/>
      <c r="R21" s="505"/>
      <c r="S21" s="556">
        <f t="shared" si="3"/>
        <v>200000</v>
      </c>
      <c r="T21" s="506"/>
      <c r="V21" s="507"/>
      <c r="W21" s="508"/>
      <c r="X21" s="560">
        <f t="shared" si="4"/>
        <v>200000</v>
      </c>
      <c r="Y21" s="509"/>
      <c r="AA21" s="510"/>
      <c r="AB21" s="511"/>
      <c r="AC21" s="564">
        <f t="shared" si="5"/>
        <v>77984</v>
      </c>
      <c r="AD21" s="512"/>
      <c r="AE21" s="513"/>
      <c r="AF21" s="514"/>
      <c r="AG21" s="515"/>
      <c r="AH21" s="568">
        <f t="shared" si="6"/>
        <v>69222</v>
      </c>
      <c r="AI21" s="516"/>
      <c r="AJ21" s="513"/>
      <c r="AK21" s="514"/>
      <c r="AL21" s="515"/>
      <c r="AM21" s="568">
        <f t="shared" si="7"/>
        <v>63999</v>
      </c>
      <c r="AN21" s="516"/>
      <c r="AO21" s="347"/>
      <c r="AP21" s="636"/>
      <c r="AQ21" s="626"/>
      <c r="AR21" s="629"/>
      <c r="AT21" s="627"/>
      <c r="AU21" s="341"/>
      <c r="AV21" s="628"/>
      <c r="AX21" s="595"/>
      <c r="AY21" s="594"/>
      <c r="BA21" s="1231">
        <f>SUM(BA19:BA20)</f>
        <v>0</v>
      </c>
      <c r="BB21" s="1215">
        <f>SUM(BB19:BB20)</f>
        <v>0</v>
      </c>
      <c r="BC21" s="1215">
        <f>SUM(BC19:BC20)</f>
        <v>0</v>
      </c>
      <c r="BD21" s="1215">
        <f>SUM(BD19:BD20)</f>
        <v>0</v>
      </c>
      <c r="BE21" s="1218">
        <f>SUM(BA21:BD21)</f>
        <v>0</v>
      </c>
    </row>
    <row r="22" spans="1:67" ht="15.6" thickTop="1" thickBot="1">
      <c r="A22" s="332"/>
      <c r="B22" s="334"/>
      <c r="C22" s="379">
        <f t="shared" si="0"/>
        <v>42002</v>
      </c>
      <c r="D22" s="335"/>
      <c r="G22" s="496"/>
      <c r="H22" s="497"/>
      <c r="I22" s="541">
        <f t="shared" si="1"/>
        <v>26905055</v>
      </c>
      <c r="J22" s="499"/>
      <c r="K22" s="347"/>
      <c r="L22" s="500"/>
      <c r="M22" s="501"/>
      <c r="N22" s="549">
        <f t="shared" si="2"/>
        <v>0</v>
      </c>
      <c r="O22" s="503"/>
      <c r="P22" s="347"/>
      <c r="Q22" s="504"/>
      <c r="R22" s="505"/>
      <c r="S22" s="556">
        <f t="shared" si="3"/>
        <v>200000</v>
      </c>
      <c r="T22" s="506"/>
      <c r="V22" s="507"/>
      <c r="W22" s="508"/>
      <c r="X22" s="560">
        <f t="shared" si="4"/>
        <v>200000</v>
      </c>
      <c r="Y22" s="509"/>
      <c r="AA22" s="510"/>
      <c r="AB22" s="511"/>
      <c r="AC22" s="564">
        <f t="shared" si="5"/>
        <v>77984</v>
      </c>
      <c r="AD22" s="512"/>
      <c r="AE22" s="513"/>
      <c r="AF22" s="514"/>
      <c r="AG22" s="515"/>
      <c r="AH22" s="568">
        <f t="shared" si="6"/>
        <v>69222</v>
      </c>
      <c r="AI22" s="516"/>
      <c r="AJ22" s="513"/>
      <c r="AK22" s="514"/>
      <c r="AL22" s="515"/>
      <c r="AM22" s="568">
        <f t="shared" si="7"/>
        <v>63999</v>
      </c>
      <c r="AN22" s="516"/>
      <c r="AO22" s="347"/>
      <c r="AP22" s="636"/>
      <c r="AQ22" s="626"/>
      <c r="AR22" s="629"/>
      <c r="AT22" s="627"/>
      <c r="AU22" s="341"/>
      <c r="AV22" s="628"/>
      <c r="AX22" s="595"/>
      <c r="AY22" s="594"/>
      <c r="BA22" s="637"/>
      <c r="BB22" s="634"/>
      <c r="BC22" s="634"/>
    </row>
    <row r="23" spans="1:67" ht="15.6" thickTop="1" thickBot="1">
      <c r="A23" s="332"/>
      <c r="B23" s="334"/>
      <c r="C23" s="379">
        <f t="shared" si="0"/>
        <v>42002</v>
      </c>
      <c r="D23" s="335"/>
      <c r="G23" s="496"/>
      <c r="H23" s="497"/>
      <c r="I23" s="541">
        <f t="shared" si="1"/>
        <v>26905055</v>
      </c>
      <c r="J23" s="499"/>
      <c r="K23" s="347"/>
      <c r="L23" s="500"/>
      <c r="M23" s="501"/>
      <c r="N23" s="549">
        <f t="shared" si="2"/>
        <v>0</v>
      </c>
      <c r="O23" s="503"/>
      <c r="P23" s="347"/>
      <c r="Q23" s="504"/>
      <c r="R23" s="505"/>
      <c r="S23" s="556">
        <f t="shared" si="3"/>
        <v>200000</v>
      </c>
      <c r="T23" s="506"/>
      <c r="V23" s="507"/>
      <c r="W23" s="508"/>
      <c r="X23" s="560">
        <f t="shared" si="4"/>
        <v>200000</v>
      </c>
      <c r="Y23" s="509"/>
      <c r="AA23" s="510"/>
      <c r="AB23" s="511"/>
      <c r="AC23" s="564">
        <f t="shared" si="5"/>
        <v>77984</v>
      </c>
      <c r="AD23" s="512"/>
      <c r="AE23" s="513"/>
      <c r="AF23" s="514"/>
      <c r="AG23" s="515"/>
      <c r="AH23" s="568">
        <f t="shared" si="6"/>
        <v>69222</v>
      </c>
      <c r="AI23" s="516"/>
      <c r="AJ23" s="513"/>
      <c r="AK23" s="514"/>
      <c r="AL23" s="515"/>
      <c r="AM23" s="568">
        <f t="shared" si="7"/>
        <v>63999</v>
      </c>
      <c r="AN23" s="516"/>
      <c r="AO23" s="347"/>
      <c r="AP23" s="636"/>
      <c r="AQ23" s="626"/>
      <c r="AR23" s="629"/>
      <c r="AT23" s="627"/>
      <c r="AU23" s="341"/>
      <c r="AV23" s="628"/>
      <c r="AX23" s="595"/>
      <c r="AY23" s="594"/>
      <c r="BA23" s="660" t="s">
        <v>106</v>
      </c>
      <c r="BB23" s="638"/>
    </row>
    <row r="24" spans="1:67">
      <c r="A24" s="332"/>
      <c r="B24" s="334"/>
      <c r="C24" s="379">
        <f t="shared" si="0"/>
        <v>42002</v>
      </c>
      <c r="D24" s="335"/>
      <c r="G24" s="496"/>
      <c r="H24" s="497"/>
      <c r="I24" s="541">
        <f t="shared" si="1"/>
        <v>26905055</v>
      </c>
      <c r="J24" s="499"/>
      <c r="K24" s="347"/>
      <c r="L24" s="500"/>
      <c r="M24" s="501"/>
      <c r="N24" s="549">
        <f t="shared" si="2"/>
        <v>0</v>
      </c>
      <c r="O24" s="503"/>
      <c r="P24" s="347"/>
      <c r="Q24" s="504"/>
      <c r="R24" s="505"/>
      <c r="S24" s="556">
        <f t="shared" si="3"/>
        <v>200000</v>
      </c>
      <c r="T24" s="506"/>
      <c r="V24" s="507"/>
      <c r="W24" s="508"/>
      <c r="X24" s="560">
        <f t="shared" si="4"/>
        <v>200000</v>
      </c>
      <c r="Y24" s="509"/>
      <c r="AA24" s="510"/>
      <c r="AB24" s="511"/>
      <c r="AC24" s="564">
        <f t="shared" si="5"/>
        <v>77984</v>
      </c>
      <c r="AD24" s="512"/>
      <c r="AE24" s="513"/>
      <c r="AF24" s="514"/>
      <c r="AG24" s="515"/>
      <c r="AH24" s="568">
        <f t="shared" si="6"/>
        <v>69222</v>
      </c>
      <c r="AI24" s="516"/>
      <c r="AJ24" s="513"/>
      <c r="AK24" s="514"/>
      <c r="AL24" s="515"/>
      <c r="AM24" s="568">
        <f t="shared" si="7"/>
        <v>63999</v>
      </c>
      <c r="AN24" s="516"/>
      <c r="AO24" s="347"/>
      <c r="AP24" s="636"/>
      <c r="AQ24" s="626"/>
      <c r="AR24" s="629"/>
      <c r="AT24" s="627"/>
      <c r="AU24" s="341"/>
      <c r="AV24" s="628"/>
      <c r="AX24" s="595"/>
      <c r="AY24" s="594"/>
      <c r="BA24" s="639"/>
    </row>
    <row r="25" spans="1:67">
      <c r="A25" s="332"/>
      <c r="B25" s="334"/>
      <c r="C25" s="379">
        <f t="shared" si="0"/>
        <v>42002</v>
      </c>
      <c r="D25" s="335"/>
      <c r="G25" s="496"/>
      <c r="H25" s="497"/>
      <c r="I25" s="541">
        <f t="shared" si="1"/>
        <v>26905055</v>
      </c>
      <c r="J25" s="499"/>
      <c r="K25" s="347"/>
      <c r="L25" s="500"/>
      <c r="M25" s="501"/>
      <c r="N25" s="549">
        <f t="shared" si="2"/>
        <v>0</v>
      </c>
      <c r="O25" s="503"/>
      <c r="P25" s="347"/>
      <c r="Q25" s="504"/>
      <c r="R25" s="505"/>
      <c r="S25" s="556">
        <f t="shared" si="3"/>
        <v>200000</v>
      </c>
      <c r="T25" s="506"/>
      <c r="V25" s="507"/>
      <c r="W25" s="508"/>
      <c r="X25" s="560">
        <f t="shared" si="4"/>
        <v>200000</v>
      </c>
      <c r="Y25" s="509"/>
      <c r="AA25" s="510"/>
      <c r="AB25" s="511"/>
      <c r="AC25" s="564">
        <f t="shared" si="5"/>
        <v>77984</v>
      </c>
      <c r="AD25" s="512"/>
      <c r="AE25" s="513"/>
      <c r="AF25" s="514"/>
      <c r="AG25" s="515"/>
      <c r="AH25" s="568">
        <f t="shared" si="6"/>
        <v>69222</v>
      </c>
      <c r="AI25" s="516"/>
      <c r="AJ25" s="513"/>
      <c r="AK25" s="514"/>
      <c r="AL25" s="515"/>
      <c r="AM25" s="568">
        <f t="shared" si="7"/>
        <v>63999</v>
      </c>
      <c r="AN25" s="516"/>
      <c r="AO25" s="347"/>
      <c r="AP25" s="636"/>
      <c r="AQ25" s="626"/>
      <c r="AR25" s="629"/>
      <c r="AT25" s="627"/>
      <c r="AU25" s="341"/>
      <c r="AV25" s="628"/>
      <c r="AX25" s="595"/>
      <c r="AY25" s="594"/>
      <c r="BA25" s="640"/>
    </row>
    <row r="26" spans="1:67" ht="15" thickBot="1">
      <c r="A26" s="332"/>
      <c r="B26" s="334"/>
      <c r="C26" s="379">
        <f t="shared" si="0"/>
        <v>42002</v>
      </c>
      <c r="D26" s="335"/>
      <c r="G26" s="496"/>
      <c r="H26" s="497"/>
      <c r="I26" s="541">
        <f t="shared" si="1"/>
        <v>26905055</v>
      </c>
      <c r="J26" s="499"/>
      <c r="K26" s="347"/>
      <c r="L26" s="500"/>
      <c r="M26" s="501"/>
      <c r="N26" s="549">
        <f t="shared" si="2"/>
        <v>0</v>
      </c>
      <c r="O26" s="503"/>
      <c r="P26" s="347"/>
      <c r="Q26" s="504"/>
      <c r="R26" s="505"/>
      <c r="S26" s="556">
        <f t="shared" si="3"/>
        <v>200000</v>
      </c>
      <c r="T26" s="506"/>
      <c r="V26" s="507"/>
      <c r="W26" s="508"/>
      <c r="X26" s="560">
        <f t="shared" si="4"/>
        <v>200000</v>
      </c>
      <c r="Y26" s="509"/>
      <c r="AA26" s="510"/>
      <c r="AB26" s="511"/>
      <c r="AC26" s="564">
        <f t="shared" si="5"/>
        <v>77984</v>
      </c>
      <c r="AD26" s="512"/>
      <c r="AE26" s="513"/>
      <c r="AF26" s="514"/>
      <c r="AG26" s="515"/>
      <c r="AH26" s="568">
        <f t="shared" si="6"/>
        <v>69222</v>
      </c>
      <c r="AI26" s="516"/>
      <c r="AJ26" s="513"/>
      <c r="AK26" s="514"/>
      <c r="AL26" s="515"/>
      <c r="AM26" s="568">
        <f t="shared" si="7"/>
        <v>63999</v>
      </c>
      <c r="AN26" s="516"/>
      <c r="AO26" s="347"/>
      <c r="AP26" s="636"/>
      <c r="AQ26" s="626"/>
      <c r="AR26" s="629"/>
      <c r="AT26" s="627"/>
      <c r="AU26" s="341"/>
      <c r="AV26" s="628"/>
      <c r="AX26" s="595"/>
      <c r="AY26" s="594"/>
      <c r="BA26" s="661">
        <f>SUM(BA24:BA25)</f>
        <v>0</v>
      </c>
    </row>
    <row r="27" spans="1:67" ht="15.6" thickTop="1" thickBot="1">
      <c r="A27" s="332"/>
      <c r="B27" s="334"/>
      <c r="C27" s="379">
        <f t="shared" si="0"/>
        <v>42002</v>
      </c>
      <c r="D27" s="335"/>
      <c r="G27" s="496"/>
      <c r="H27" s="497"/>
      <c r="I27" s="541">
        <f t="shared" si="1"/>
        <v>26905055</v>
      </c>
      <c r="J27" s="499"/>
      <c r="K27" s="347"/>
      <c r="L27" s="500"/>
      <c r="M27" s="501"/>
      <c r="N27" s="549">
        <f t="shared" si="2"/>
        <v>0</v>
      </c>
      <c r="O27" s="503"/>
      <c r="P27" s="347"/>
      <c r="Q27" s="504"/>
      <c r="R27" s="505"/>
      <c r="S27" s="556">
        <f t="shared" si="3"/>
        <v>200000</v>
      </c>
      <c r="T27" s="506"/>
      <c r="V27" s="507"/>
      <c r="W27" s="508"/>
      <c r="X27" s="560">
        <f t="shared" si="4"/>
        <v>200000</v>
      </c>
      <c r="Y27" s="509"/>
      <c r="AA27" s="510"/>
      <c r="AB27" s="511"/>
      <c r="AC27" s="564">
        <f t="shared" si="5"/>
        <v>77984</v>
      </c>
      <c r="AD27" s="512"/>
      <c r="AE27" s="513"/>
      <c r="AF27" s="514"/>
      <c r="AG27" s="515"/>
      <c r="AH27" s="568">
        <f t="shared" si="6"/>
        <v>69222</v>
      </c>
      <c r="AI27" s="516"/>
      <c r="AJ27" s="513"/>
      <c r="AK27" s="514"/>
      <c r="AL27" s="515"/>
      <c r="AM27" s="568">
        <f t="shared" si="7"/>
        <v>63999</v>
      </c>
      <c r="AN27" s="516"/>
      <c r="AO27" s="347"/>
      <c r="AP27" s="636"/>
      <c r="AQ27" s="626"/>
      <c r="AR27" s="629"/>
      <c r="AT27" s="627"/>
      <c r="AU27" s="341"/>
      <c r="AV27" s="628"/>
      <c r="AX27" s="595"/>
      <c r="AY27" s="594"/>
      <c r="BA27" s="634"/>
    </row>
    <row r="28" spans="1:67" ht="15.6" thickTop="1" thickBot="1">
      <c r="A28" s="332"/>
      <c r="B28" s="334"/>
      <c r="C28" s="379">
        <f t="shared" si="0"/>
        <v>42002</v>
      </c>
      <c r="D28" s="335"/>
      <c r="G28" s="496"/>
      <c r="H28" s="497"/>
      <c r="I28" s="541">
        <f t="shared" si="1"/>
        <v>26905055</v>
      </c>
      <c r="J28" s="499"/>
      <c r="K28" s="347"/>
      <c r="L28" s="500"/>
      <c r="M28" s="501"/>
      <c r="N28" s="549">
        <f t="shared" si="2"/>
        <v>0</v>
      </c>
      <c r="O28" s="503"/>
      <c r="P28" s="347"/>
      <c r="Q28" s="504"/>
      <c r="R28" s="505"/>
      <c r="S28" s="556">
        <f t="shared" si="3"/>
        <v>200000</v>
      </c>
      <c r="T28" s="506"/>
      <c r="V28" s="507"/>
      <c r="W28" s="508"/>
      <c r="X28" s="560">
        <f t="shared" si="4"/>
        <v>200000</v>
      </c>
      <c r="Y28" s="509"/>
      <c r="AA28" s="510"/>
      <c r="AB28" s="511"/>
      <c r="AC28" s="564">
        <f t="shared" si="5"/>
        <v>77984</v>
      </c>
      <c r="AD28" s="512"/>
      <c r="AE28" s="513"/>
      <c r="AF28" s="514"/>
      <c r="AG28" s="515"/>
      <c r="AH28" s="568">
        <f t="shared" si="6"/>
        <v>69222</v>
      </c>
      <c r="AI28" s="516"/>
      <c r="AJ28" s="513"/>
      <c r="AK28" s="514"/>
      <c r="AL28" s="515"/>
      <c r="AM28" s="568">
        <f t="shared" si="7"/>
        <v>63999</v>
      </c>
      <c r="AN28" s="516"/>
      <c r="AO28" s="347"/>
      <c r="AP28" s="636"/>
      <c r="AQ28" s="626"/>
      <c r="AR28" s="629"/>
      <c r="AT28" s="627"/>
      <c r="AU28" s="341"/>
      <c r="AV28" s="628"/>
      <c r="AX28" s="595"/>
      <c r="AY28" s="594"/>
      <c r="BA28" s="1516" t="s">
        <v>338</v>
      </c>
      <c r="BB28" s="1517"/>
      <c r="BC28" s="1517"/>
      <c r="BD28" s="1517"/>
      <c r="BE28" s="1517"/>
      <c r="BF28" s="1517"/>
      <c r="BG28" s="1518"/>
      <c r="BH28" s="1238"/>
      <c r="BI28" s="1238"/>
      <c r="BJ28" s="1238"/>
      <c r="BK28" s="1238"/>
      <c r="BL28" s="1238"/>
      <c r="BM28" s="1238"/>
      <c r="BN28" s="1238"/>
    </row>
    <row r="29" spans="1:67" ht="15" thickBot="1">
      <c r="A29" s="332"/>
      <c r="B29" s="334"/>
      <c r="C29" s="379">
        <f t="shared" si="0"/>
        <v>42002</v>
      </c>
      <c r="D29" s="335"/>
      <c r="G29" s="496"/>
      <c r="H29" s="497"/>
      <c r="I29" s="541">
        <f t="shared" si="1"/>
        <v>26905055</v>
      </c>
      <c r="J29" s="499"/>
      <c r="K29" s="347"/>
      <c r="L29" s="500"/>
      <c r="M29" s="501"/>
      <c r="N29" s="549">
        <f t="shared" si="2"/>
        <v>0</v>
      </c>
      <c r="O29" s="503"/>
      <c r="P29" s="347"/>
      <c r="Q29" s="504"/>
      <c r="R29" s="505"/>
      <c r="S29" s="556">
        <f t="shared" si="3"/>
        <v>200000</v>
      </c>
      <c r="T29" s="506"/>
      <c r="V29" s="507"/>
      <c r="W29" s="508"/>
      <c r="X29" s="560">
        <f t="shared" si="4"/>
        <v>200000</v>
      </c>
      <c r="Y29" s="509"/>
      <c r="AA29" s="510"/>
      <c r="AB29" s="511"/>
      <c r="AC29" s="564">
        <f t="shared" si="5"/>
        <v>77984</v>
      </c>
      <c r="AD29" s="512"/>
      <c r="AE29" s="513"/>
      <c r="AF29" s="514"/>
      <c r="AG29" s="515"/>
      <c r="AH29" s="568">
        <f t="shared" si="6"/>
        <v>69222</v>
      </c>
      <c r="AI29" s="516"/>
      <c r="AJ29" s="513"/>
      <c r="AK29" s="514"/>
      <c r="AL29" s="515"/>
      <c r="AM29" s="568">
        <f t="shared" si="7"/>
        <v>63999</v>
      </c>
      <c r="AN29" s="516"/>
      <c r="AO29" s="347"/>
      <c r="AP29" s="636"/>
      <c r="AQ29" s="626"/>
      <c r="AR29" s="629"/>
      <c r="AT29" s="627"/>
      <c r="AU29" s="341"/>
      <c r="AV29" s="628"/>
      <c r="AX29" s="595"/>
      <c r="AY29" s="594"/>
      <c r="BA29" s="1286" t="s">
        <v>243</v>
      </c>
      <c r="BB29" s="1537" t="s">
        <v>20</v>
      </c>
      <c r="BC29" s="1538"/>
      <c r="BD29" s="1538"/>
      <c r="BE29" s="1538"/>
      <c r="BF29" s="1539"/>
      <c r="BG29" s="1287" t="s">
        <v>13</v>
      </c>
      <c r="BH29" s="267"/>
      <c r="BI29" s="267"/>
      <c r="BJ29" s="267"/>
      <c r="BK29" s="267"/>
      <c r="BL29" s="267"/>
      <c r="BM29" s="267"/>
      <c r="BN29" s="267"/>
    </row>
    <row r="30" spans="1:67">
      <c r="A30" s="332"/>
      <c r="B30" s="334"/>
      <c r="C30" s="379">
        <f t="shared" si="0"/>
        <v>42002</v>
      </c>
      <c r="D30" s="335"/>
      <c r="G30" s="496"/>
      <c r="H30" s="497"/>
      <c r="I30" s="541">
        <f t="shared" si="1"/>
        <v>26905055</v>
      </c>
      <c r="J30" s="499"/>
      <c r="K30" s="347"/>
      <c r="L30" s="500"/>
      <c r="M30" s="501"/>
      <c r="N30" s="549">
        <f t="shared" si="2"/>
        <v>0</v>
      </c>
      <c r="O30" s="503"/>
      <c r="P30" s="347"/>
      <c r="Q30" s="504"/>
      <c r="R30" s="505"/>
      <c r="S30" s="556">
        <f t="shared" si="3"/>
        <v>200000</v>
      </c>
      <c r="T30" s="506"/>
      <c r="V30" s="507"/>
      <c r="W30" s="508"/>
      <c r="X30" s="560">
        <f t="shared" si="4"/>
        <v>200000</v>
      </c>
      <c r="Y30" s="509"/>
      <c r="AA30" s="510"/>
      <c r="AB30" s="511"/>
      <c r="AC30" s="564">
        <f t="shared" si="5"/>
        <v>77984</v>
      </c>
      <c r="AD30" s="512"/>
      <c r="AE30" s="513"/>
      <c r="AF30" s="514"/>
      <c r="AG30" s="515"/>
      <c r="AH30" s="568">
        <f t="shared" si="6"/>
        <v>69222</v>
      </c>
      <c r="AI30" s="516"/>
      <c r="AJ30" s="513"/>
      <c r="AK30" s="514"/>
      <c r="AL30" s="515"/>
      <c r="AM30" s="568">
        <f t="shared" si="7"/>
        <v>63999</v>
      </c>
      <c r="AN30" s="516"/>
      <c r="AO30" s="347"/>
      <c r="AP30" s="636"/>
      <c r="AQ30" s="626"/>
      <c r="AR30" s="629"/>
      <c r="AT30" s="627"/>
      <c r="AU30" s="341"/>
      <c r="AV30" s="628"/>
      <c r="AX30" s="595"/>
      <c r="AY30" s="594"/>
      <c r="BA30" s="1288"/>
      <c r="BB30" s="1259"/>
      <c r="BC30" s="350"/>
      <c r="BD30" s="350"/>
      <c r="BE30" s="350"/>
      <c r="BF30" s="1272"/>
      <c r="BG30" s="1292">
        <f>SUM(BB30:BF30)</f>
        <v>0</v>
      </c>
      <c r="BH30" s="347"/>
      <c r="BI30" s="347"/>
      <c r="BJ30" s="347"/>
      <c r="BK30" s="347"/>
      <c r="BL30" s="347"/>
      <c r="BM30" s="347"/>
      <c r="BN30" s="347"/>
    </row>
    <row r="31" spans="1:67">
      <c r="A31" s="332"/>
      <c r="B31" s="334"/>
      <c r="C31" s="379">
        <f t="shared" si="0"/>
        <v>42002</v>
      </c>
      <c r="D31" s="335"/>
      <c r="G31" s="496"/>
      <c r="H31" s="497"/>
      <c r="I31" s="541">
        <f t="shared" si="1"/>
        <v>26905055</v>
      </c>
      <c r="J31" s="499"/>
      <c r="K31" s="347"/>
      <c r="L31" s="500"/>
      <c r="M31" s="501"/>
      <c r="N31" s="549">
        <f t="shared" si="2"/>
        <v>0</v>
      </c>
      <c r="O31" s="503"/>
      <c r="P31" s="347"/>
      <c r="Q31" s="504"/>
      <c r="R31" s="505"/>
      <c r="S31" s="556">
        <f t="shared" si="3"/>
        <v>200000</v>
      </c>
      <c r="T31" s="506"/>
      <c r="V31" s="507"/>
      <c r="W31" s="508"/>
      <c r="X31" s="560">
        <f t="shared" si="4"/>
        <v>200000</v>
      </c>
      <c r="Y31" s="509"/>
      <c r="AA31" s="510"/>
      <c r="AB31" s="511"/>
      <c r="AC31" s="564">
        <f t="shared" si="5"/>
        <v>77984</v>
      </c>
      <c r="AD31" s="512"/>
      <c r="AE31" s="513"/>
      <c r="AF31" s="514"/>
      <c r="AG31" s="515"/>
      <c r="AH31" s="568">
        <f t="shared" si="6"/>
        <v>69222</v>
      </c>
      <c r="AI31" s="516"/>
      <c r="AJ31" s="513"/>
      <c r="AK31" s="514"/>
      <c r="AL31" s="515"/>
      <c r="AM31" s="568">
        <f t="shared" si="7"/>
        <v>63999</v>
      </c>
      <c r="AN31" s="516"/>
      <c r="AO31" s="347"/>
      <c r="AP31" s="636"/>
      <c r="AQ31" s="626"/>
      <c r="AR31" s="629"/>
      <c r="AT31" s="627"/>
      <c r="AU31" s="341"/>
      <c r="AV31" s="628"/>
      <c r="AX31" s="595"/>
      <c r="AY31" s="594"/>
      <c r="BA31" s="1289" t="s">
        <v>141</v>
      </c>
      <c r="BB31" s="413"/>
      <c r="BC31" s="352"/>
      <c r="BD31" s="352"/>
      <c r="BE31" s="352"/>
      <c r="BF31" s="594"/>
      <c r="BG31" s="1293">
        <f t="shared" ref="BG31:BG63" si="11">SUM(BB31:BF31)</f>
        <v>0</v>
      </c>
      <c r="BH31" s="347"/>
      <c r="BI31" s="347"/>
      <c r="BJ31" s="347"/>
      <c r="BK31" s="347"/>
      <c r="BL31" s="347"/>
      <c r="BM31" s="347"/>
      <c r="BN31" s="347"/>
    </row>
    <row r="32" spans="1:67">
      <c r="A32" s="332"/>
      <c r="B32" s="334"/>
      <c r="C32" s="379">
        <f t="shared" si="0"/>
        <v>42002</v>
      </c>
      <c r="D32" s="335"/>
      <c r="G32" s="496"/>
      <c r="H32" s="497"/>
      <c r="I32" s="541">
        <f t="shared" si="1"/>
        <v>26905055</v>
      </c>
      <c r="J32" s="499"/>
      <c r="K32" s="347"/>
      <c r="L32" s="500"/>
      <c r="M32" s="501"/>
      <c r="N32" s="549">
        <f t="shared" si="2"/>
        <v>0</v>
      </c>
      <c r="O32" s="503"/>
      <c r="P32" s="347"/>
      <c r="Q32" s="504"/>
      <c r="R32" s="505"/>
      <c r="S32" s="556">
        <f t="shared" si="3"/>
        <v>200000</v>
      </c>
      <c r="T32" s="506"/>
      <c r="V32" s="507"/>
      <c r="W32" s="508"/>
      <c r="X32" s="560">
        <f t="shared" si="4"/>
        <v>200000</v>
      </c>
      <c r="Y32" s="509"/>
      <c r="AA32" s="510"/>
      <c r="AB32" s="511"/>
      <c r="AC32" s="564">
        <f t="shared" si="5"/>
        <v>77984</v>
      </c>
      <c r="AD32" s="512"/>
      <c r="AE32" s="513"/>
      <c r="AF32" s="514"/>
      <c r="AG32" s="515"/>
      <c r="AH32" s="568">
        <f t="shared" si="6"/>
        <v>69222</v>
      </c>
      <c r="AI32" s="516"/>
      <c r="AJ32" s="513"/>
      <c r="AK32" s="514"/>
      <c r="AL32" s="515"/>
      <c r="AM32" s="568">
        <f t="shared" si="7"/>
        <v>63999</v>
      </c>
      <c r="AN32" s="516"/>
      <c r="AO32" s="347"/>
      <c r="AP32" s="636"/>
      <c r="AQ32" s="626"/>
      <c r="AR32" s="629"/>
      <c r="AT32" s="627"/>
      <c r="AU32" s="341"/>
      <c r="AV32" s="628"/>
      <c r="AX32" s="595"/>
      <c r="AY32" s="594"/>
      <c r="BA32" s="1289" t="s">
        <v>142</v>
      </c>
      <c r="BB32" s="413"/>
      <c r="BC32" s="352"/>
      <c r="BD32" s="352"/>
      <c r="BE32" s="352"/>
      <c r="BF32" s="594"/>
      <c r="BG32" s="1293">
        <f t="shared" si="11"/>
        <v>0</v>
      </c>
      <c r="BH32" s="347"/>
      <c r="BI32" s="347"/>
      <c r="BJ32" s="347"/>
      <c r="BK32" s="347"/>
      <c r="BL32" s="347"/>
      <c r="BM32" s="347"/>
      <c r="BN32" s="347"/>
      <c r="BO32" s="347"/>
    </row>
    <row r="33" spans="1:60">
      <c r="A33" s="332"/>
      <c r="B33" s="334"/>
      <c r="C33" s="379">
        <f t="shared" si="0"/>
        <v>42002</v>
      </c>
      <c r="D33" s="335"/>
      <c r="G33" s="496"/>
      <c r="H33" s="497"/>
      <c r="I33" s="541">
        <f t="shared" si="1"/>
        <v>26905055</v>
      </c>
      <c r="J33" s="499"/>
      <c r="K33" s="347"/>
      <c r="L33" s="500"/>
      <c r="M33" s="501"/>
      <c r="N33" s="549">
        <f t="shared" si="2"/>
        <v>0</v>
      </c>
      <c r="O33" s="503"/>
      <c r="P33" s="347"/>
      <c r="Q33" s="504"/>
      <c r="R33" s="505"/>
      <c r="S33" s="556">
        <f t="shared" si="3"/>
        <v>200000</v>
      </c>
      <c r="T33" s="506"/>
      <c r="V33" s="507"/>
      <c r="W33" s="508"/>
      <c r="X33" s="560">
        <f t="shared" si="4"/>
        <v>200000</v>
      </c>
      <c r="Y33" s="509"/>
      <c r="AA33" s="510"/>
      <c r="AB33" s="511"/>
      <c r="AC33" s="564">
        <f t="shared" si="5"/>
        <v>77984</v>
      </c>
      <c r="AD33" s="512"/>
      <c r="AE33" s="513"/>
      <c r="AF33" s="514"/>
      <c r="AG33" s="515"/>
      <c r="AH33" s="568">
        <f t="shared" si="6"/>
        <v>69222</v>
      </c>
      <c r="AI33" s="516"/>
      <c r="AJ33" s="513"/>
      <c r="AK33" s="514"/>
      <c r="AL33" s="515"/>
      <c r="AM33" s="568">
        <f t="shared" si="7"/>
        <v>63999</v>
      </c>
      <c r="AN33" s="516"/>
      <c r="AO33" s="347"/>
      <c r="AP33" s="636"/>
      <c r="AQ33" s="626"/>
      <c r="AR33" s="629"/>
      <c r="AT33" s="627"/>
      <c r="AU33" s="341"/>
      <c r="AV33" s="628"/>
      <c r="AX33" s="595"/>
      <c r="AY33" s="594"/>
      <c r="BA33" s="1290" t="s">
        <v>143</v>
      </c>
      <c r="BB33" s="413"/>
      <c r="BC33" s="352"/>
      <c r="BD33" s="352"/>
      <c r="BE33" s="352"/>
      <c r="BF33" s="594"/>
      <c r="BG33" s="1293">
        <f t="shared" si="11"/>
        <v>0</v>
      </c>
    </row>
    <row r="34" spans="1:60">
      <c r="A34" s="332"/>
      <c r="B34" s="334"/>
      <c r="C34" s="379">
        <f t="shared" si="0"/>
        <v>42002</v>
      </c>
      <c r="D34" s="335"/>
      <c r="G34" s="496"/>
      <c r="H34" s="497"/>
      <c r="I34" s="541">
        <f t="shared" si="1"/>
        <v>26905055</v>
      </c>
      <c r="J34" s="499"/>
      <c r="K34" s="347"/>
      <c r="L34" s="500"/>
      <c r="M34" s="501"/>
      <c r="N34" s="549">
        <f t="shared" si="2"/>
        <v>0</v>
      </c>
      <c r="O34" s="503"/>
      <c r="P34" s="347"/>
      <c r="Q34" s="504"/>
      <c r="R34" s="505"/>
      <c r="S34" s="556">
        <f t="shared" si="3"/>
        <v>200000</v>
      </c>
      <c r="T34" s="506"/>
      <c r="V34" s="507"/>
      <c r="W34" s="508"/>
      <c r="X34" s="560">
        <f t="shared" si="4"/>
        <v>200000</v>
      </c>
      <c r="Y34" s="509"/>
      <c r="AA34" s="510"/>
      <c r="AB34" s="511"/>
      <c r="AC34" s="564">
        <f t="shared" si="5"/>
        <v>77984</v>
      </c>
      <c r="AD34" s="512"/>
      <c r="AE34" s="513"/>
      <c r="AF34" s="514"/>
      <c r="AG34" s="515"/>
      <c r="AH34" s="568">
        <f t="shared" si="6"/>
        <v>69222</v>
      </c>
      <c r="AI34" s="516"/>
      <c r="AJ34" s="513"/>
      <c r="AK34" s="514"/>
      <c r="AL34" s="515"/>
      <c r="AM34" s="568">
        <f t="shared" si="7"/>
        <v>63999</v>
      </c>
      <c r="AN34" s="516"/>
      <c r="AO34" s="347"/>
      <c r="AP34" s="636"/>
      <c r="AQ34" s="626"/>
      <c r="AR34" s="629"/>
      <c r="AT34" s="627"/>
      <c r="AU34" s="341"/>
      <c r="AV34" s="628"/>
      <c r="AX34" s="595"/>
      <c r="AY34" s="594"/>
      <c r="BA34" s="1281" t="s">
        <v>766</v>
      </c>
      <c r="BB34" s="1273"/>
      <c r="BC34" s="1274"/>
      <c r="BD34" s="1274"/>
      <c r="BE34" s="1274"/>
      <c r="BF34" s="1275"/>
      <c r="BG34" s="1293">
        <f t="shared" si="11"/>
        <v>0</v>
      </c>
      <c r="BH34" s="265"/>
    </row>
    <row r="35" spans="1:60">
      <c r="A35" s="332"/>
      <c r="B35" s="334"/>
      <c r="C35" s="379">
        <f t="shared" si="0"/>
        <v>42002</v>
      </c>
      <c r="D35" s="335"/>
      <c r="G35" s="496"/>
      <c r="H35" s="497"/>
      <c r="I35" s="541">
        <f t="shared" si="1"/>
        <v>26905055</v>
      </c>
      <c r="J35" s="499"/>
      <c r="K35" s="347"/>
      <c r="L35" s="500"/>
      <c r="M35" s="501"/>
      <c r="N35" s="549">
        <f t="shared" si="2"/>
        <v>0</v>
      </c>
      <c r="O35" s="503"/>
      <c r="P35" s="347"/>
      <c r="Q35" s="504"/>
      <c r="R35" s="505"/>
      <c r="S35" s="556">
        <f t="shared" si="3"/>
        <v>200000</v>
      </c>
      <c r="T35" s="506"/>
      <c r="V35" s="507"/>
      <c r="W35" s="508"/>
      <c r="X35" s="560">
        <f t="shared" si="4"/>
        <v>200000</v>
      </c>
      <c r="Y35" s="509"/>
      <c r="AA35" s="510"/>
      <c r="AB35" s="511"/>
      <c r="AC35" s="564">
        <f t="shared" si="5"/>
        <v>77984</v>
      </c>
      <c r="AD35" s="512"/>
      <c r="AE35" s="513"/>
      <c r="AF35" s="514"/>
      <c r="AG35" s="515"/>
      <c r="AH35" s="568">
        <f t="shared" si="6"/>
        <v>69222</v>
      </c>
      <c r="AI35" s="516"/>
      <c r="AJ35" s="513"/>
      <c r="AK35" s="514"/>
      <c r="AL35" s="515"/>
      <c r="AM35" s="568">
        <f t="shared" si="7"/>
        <v>63999</v>
      </c>
      <c r="AN35" s="516"/>
      <c r="AO35" s="347"/>
      <c r="AP35" s="636"/>
      <c r="AQ35" s="626"/>
      <c r="AR35" s="629"/>
      <c r="AT35" s="627"/>
      <c r="AU35" s="341"/>
      <c r="AV35" s="628"/>
      <c r="AX35" s="595"/>
      <c r="AY35" s="594"/>
      <c r="BA35" s="1281" t="s">
        <v>767</v>
      </c>
      <c r="BB35" s="1295"/>
      <c r="BC35" s="1296"/>
      <c r="BD35" s="1296"/>
      <c r="BE35" s="1296"/>
      <c r="BF35" s="1297"/>
      <c r="BG35" s="1293">
        <f t="shared" si="11"/>
        <v>0</v>
      </c>
    </row>
    <row r="36" spans="1:60">
      <c r="A36" s="332"/>
      <c r="B36" s="334"/>
      <c r="C36" s="379">
        <f t="shared" si="0"/>
        <v>42002</v>
      </c>
      <c r="D36" s="335"/>
      <c r="G36" s="496"/>
      <c r="H36" s="497"/>
      <c r="I36" s="541">
        <f t="shared" si="1"/>
        <v>26905055</v>
      </c>
      <c r="J36" s="499"/>
      <c r="K36" s="347"/>
      <c r="L36" s="500"/>
      <c r="M36" s="501"/>
      <c r="N36" s="549">
        <f t="shared" si="2"/>
        <v>0</v>
      </c>
      <c r="O36" s="503"/>
      <c r="P36" s="347"/>
      <c r="Q36" s="504"/>
      <c r="R36" s="505"/>
      <c r="S36" s="556">
        <f t="shared" si="3"/>
        <v>200000</v>
      </c>
      <c r="T36" s="506"/>
      <c r="V36" s="507"/>
      <c r="W36" s="508"/>
      <c r="X36" s="560">
        <f t="shared" si="4"/>
        <v>200000</v>
      </c>
      <c r="Y36" s="509"/>
      <c r="AA36" s="510"/>
      <c r="AB36" s="511"/>
      <c r="AC36" s="564">
        <f t="shared" si="5"/>
        <v>77984</v>
      </c>
      <c r="AD36" s="512"/>
      <c r="AE36" s="513"/>
      <c r="AF36" s="514"/>
      <c r="AG36" s="515"/>
      <c r="AH36" s="568">
        <f t="shared" si="6"/>
        <v>69222</v>
      </c>
      <c r="AI36" s="516"/>
      <c r="AJ36" s="513"/>
      <c r="AK36" s="514"/>
      <c r="AL36" s="515"/>
      <c r="AM36" s="568">
        <f t="shared" si="7"/>
        <v>63999</v>
      </c>
      <c r="AN36" s="516"/>
      <c r="AO36" s="347"/>
      <c r="AP36" s="636"/>
      <c r="AQ36" s="626"/>
      <c r="AR36" s="629"/>
      <c r="AT36" s="627"/>
      <c r="AU36" s="341"/>
      <c r="AV36" s="628"/>
      <c r="AX36" s="595"/>
      <c r="AY36" s="594"/>
      <c r="BA36" s="1282" t="s">
        <v>853</v>
      </c>
      <c r="BB36" s="1298"/>
      <c r="BC36" s="1299"/>
      <c r="BD36" s="1299"/>
      <c r="BE36" s="1300"/>
      <c r="BF36" s="1301"/>
      <c r="BG36" s="1293">
        <f t="shared" si="11"/>
        <v>0</v>
      </c>
    </row>
    <row r="37" spans="1:60">
      <c r="A37" s="332"/>
      <c r="B37" s="334"/>
      <c r="C37" s="379">
        <f t="shared" si="0"/>
        <v>42002</v>
      </c>
      <c r="D37" s="335"/>
      <c r="G37" s="496"/>
      <c r="H37" s="497"/>
      <c r="I37" s="541">
        <f t="shared" si="1"/>
        <v>26905055</v>
      </c>
      <c r="J37" s="499"/>
      <c r="K37" s="347"/>
      <c r="L37" s="500"/>
      <c r="M37" s="501"/>
      <c r="N37" s="549">
        <f t="shared" si="2"/>
        <v>0</v>
      </c>
      <c r="O37" s="503"/>
      <c r="P37" s="347"/>
      <c r="Q37" s="504"/>
      <c r="R37" s="505"/>
      <c r="S37" s="556">
        <f t="shared" si="3"/>
        <v>200000</v>
      </c>
      <c r="T37" s="506"/>
      <c r="V37" s="507"/>
      <c r="W37" s="508"/>
      <c r="X37" s="560">
        <f t="shared" si="4"/>
        <v>200000</v>
      </c>
      <c r="Y37" s="509"/>
      <c r="AA37" s="510"/>
      <c r="AB37" s="511"/>
      <c r="AC37" s="564">
        <f t="shared" si="5"/>
        <v>77984</v>
      </c>
      <c r="AD37" s="512"/>
      <c r="AE37" s="513"/>
      <c r="AF37" s="514"/>
      <c r="AG37" s="515"/>
      <c r="AH37" s="568">
        <f t="shared" si="6"/>
        <v>69222</v>
      </c>
      <c r="AI37" s="516"/>
      <c r="AJ37" s="513"/>
      <c r="AK37" s="514"/>
      <c r="AL37" s="515"/>
      <c r="AM37" s="568">
        <f t="shared" si="7"/>
        <v>63999</v>
      </c>
      <c r="AN37" s="516"/>
      <c r="AO37" s="347"/>
      <c r="AP37" s="636"/>
      <c r="AQ37" s="626"/>
      <c r="AR37" s="629"/>
      <c r="AT37" s="627"/>
      <c r="AU37" s="341"/>
      <c r="AV37" s="628"/>
      <c r="AX37" s="595"/>
      <c r="AY37" s="594"/>
      <c r="BA37" s="1283" t="s">
        <v>242</v>
      </c>
      <c r="BB37" s="1260"/>
      <c r="BC37" s="1261"/>
      <c r="BD37" s="1261"/>
      <c r="BE37" s="1262"/>
      <c r="BF37" s="1263"/>
      <c r="BG37" s="1293">
        <f t="shared" si="11"/>
        <v>0</v>
      </c>
    </row>
    <row r="38" spans="1:60">
      <c r="A38" s="332"/>
      <c r="B38" s="334"/>
      <c r="C38" s="379">
        <f t="shared" si="0"/>
        <v>42002</v>
      </c>
      <c r="D38" s="335"/>
      <c r="G38" s="496"/>
      <c r="H38" s="497"/>
      <c r="I38" s="541">
        <f t="shared" si="1"/>
        <v>26905055</v>
      </c>
      <c r="J38" s="499"/>
      <c r="K38" s="347"/>
      <c r="L38" s="500"/>
      <c r="M38" s="501"/>
      <c r="N38" s="549">
        <f t="shared" si="2"/>
        <v>0</v>
      </c>
      <c r="O38" s="503"/>
      <c r="P38" s="347"/>
      <c r="Q38" s="504"/>
      <c r="R38" s="505"/>
      <c r="S38" s="556">
        <f t="shared" si="3"/>
        <v>200000</v>
      </c>
      <c r="T38" s="506"/>
      <c r="V38" s="507"/>
      <c r="W38" s="508"/>
      <c r="X38" s="560">
        <f t="shared" si="4"/>
        <v>200000</v>
      </c>
      <c r="Y38" s="509"/>
      <c r="AA38" s="510"/>
      <c r="AB38" s="511"/>
      <c r="AC38" s="564">
        <f t="shared" si="5"/>
        <v>77984</v>
      </c>
      <c r="AD38" s="512"/>
      <c r="AE38" s="513"/>
      <c r="AF38" s="514"/>
      <c r="AG38" s="515"/>
      <c r="AH38" s="568">
        <f t="shared" si="6"/>
        <v>69222</v>
      </c>
      <c r="AI38" s="516"/>
      <c r="AJ38" s="513"/>
      <c r="AK38" s="514"/>
      <c r="AL38" s="515"/>
      <c r="AM38" s="568">
        <f t="shared" si="7"/>
        <v>63999</v>
      </c>
      <c r="AN38" s="516"/>
      <c r="AO38" s="347"/>
      <c r="AP38" s="636"/>
      <c r="AQ38" s="626"/>
      <c r="AR38" s="629"/>
      <c r="AT38" s="627"/>
      <c r="AU38" s="341"/>
      <c r="AV38" s="628"/>
      <c r="AX38" s="595"/>
      <c r="AY38" s="594"/>
      <c r="BA38" s="1283" t="s">
        <v>241</v>
      </c>
      <c r="BB38" s="1260"/>
      <c r="BC38" s="1261"/>
      <c r="BD38" s="1261"/>
      <c r="BE38" s="1262"/>
      <c r="BF38" s="1263"/>
      <c r="BG38" s="1293">
        <f t="shared" si="11"/>
        <v>0</v>
      </c>
    </row>
    <row r="39" spans="1:60">
      <c r="A39" s="332"/>
      <c r="B39" s="334"/>
      <c r="C39" s="379">
        <f t="shared" si="0"/>
        <v>42002</v>
      </c>
      <c r="D39" s="335"/>
      <c r="G39" s="496"/>
      <c r="H39" s="497"/>
      <c r="I39" s="541">
        <f t="shared" si="1"/>
        <v>26905055</v>
      </c>
      <c r="J39" s="499"/>
      <c r="K39" s="347"/>
      <c r="L39" s="500"/>
      <c r="M39" s="501"/>
      <c r="N39" s="549">
        <f t="shared" si="2"/>
        <v>0</v>
      </c>
      <c r="O39" s="503"/>
      <c r="P39" s="347"/>
      <c r="Q39" s="504"/>
      <c r="R39" s="505"/>
      <c r="S39" s="556">
        <f t="shared" si="3"/>
        <v>200000</v>
      </c>
      <c r="T39" s="506"/>
      <c r="V39" s="507"/>
      <c r="W39" s="508"/>
      <c r="X39" s="560">
        <f t="shared" si="4"/>
        <v>200000</v>
      </c>
      <c r="Y39" s="509"/>
      <c r="AA39" s="510"/>
      <c r="AB39" s="511"/>
      <c r="AC39" s="564">
        <f t="shared" si="5"/>
        <v>77984</v>
      </c>
      <c r="AD39" s="512"/>
      <c r="AE39" s="513"/>
      <c r="AF39" s="514"/>
      <c r="AG39" s="515"/>
      <c r="AH39" s="568">
        <f t="shared" si="6"/>
        <v>69222</v>
      </c>
      <c r="AI39" s="516"/>
      <c r="AJ39" s="513"/>
      <c r="AK39" s="514"/>
      <c r="AL39" s="515"/>
      <c r="AM39" s="568">
        <f t="shared" si="7"/>
        <v>63999</v>
      </c>
      <c r="AN39" s="516"/>
      <c r="AO39" s="347"/>
      <c r="AP39" s="636"/>
      <c r="AQ39" s="626"/>
      <c r="AR39" s="629"/>
      <c r="AT39" s="627"/>
      <c r="AU39" s="341"/>
      <c r="AV39" s="628"/>
      <c r="AX39" s="595"/>
      <c r="AY39" s="594"/>
      <c r="BA39" s="1283" t="s">
        <v>144</v>
      </c>
      <c r="BB39" s="1260"/>
      <c r="BC39" s="1261"/>
      <c r="BD39" s="1261"/>
      <c r="BE39" s="1262"/>
      <c r="BF39" s="1263"/>
      <c r="BG39" s="1293">
        <f t="shared" si="11"/>
        <v>0</v>
      </c>
    </row>
    <row r="40" spans="1:60">
      <c r="A40" s="332"/>
      <c r="B40" s="334"/>
      <c r="C40" s="379">
        <f t="shared" si="0"/>
        <v>42002</v>
      </c>
      <c r="D40" s="335"/>
      <c r="G40" s="496"/>
      <c r="H40" s="497"/>
      <c r="I40" s="541">
        <f t="shared" si="1"/>
        <v>26905055</v>
      </c>
      <c r="J40" s="499"/>
      <c r="K40" s="347"/>
      <c r="L40" s="500"/>
      <c r="M40" s="501"/>
      <c r="N40" s="549">
        <f t="shared" si="2"/>
        <v>0</v>
      </c>
      <c r="O40" s="503"/>
      <c r="P40" s="347"/>
      <c r="Q40" s="504"/>
      <c r="R40" s="505"/>
      <c r="S40" s="556">
        <f t="shared" si="3"/>
        <v>200000</v>
      </c>
      <c r="T40" s="506"/>
      <c r="V40" s="507"/>
      <c r="W40" s="508"/>
      <c r="X40" s="560">
        <f t="shared" si="4"/>
        <v>200000</v>
      </c>
      <c r="Y40" s="509"/>
      <c r="AA40" s="510"/>
      <c r="AB40" s="511"/>
      <c r="AC40" s="564">
        <f t="shared" si="5"/>
        <v>77984</v>
      </c>
      <c r="AD40" s="512"/>
      <c r="AE40" s="513"/>
      <c r="AF40" s="514"/>
      <c r="AG40" s="515"/>
      <c r="AH40" s="568">
        <f t="shared" si="6"/>
        <v>69222</v>
      </c>
      <c r="AI40" s="516"/>
      <c r="AJ40" s="513"/>
      <c r="AK40" s="514"/>
      <c r="AL40" s="515"/>
      <c r="AM40" s="568">
        <f t="shared" si="7"/>
        <v>63999</v>
      </c>
      <c r="AN40" s="516"/>
      <c r="AO40" s="347"/>
      <c r="AP40" s="636"/>
      <c r="AQ40" s="626"/>
      <c r="AR40" s="629"/>
      <c r="AT40" s="627"/>
      <c r="AU40" s="341"/>
      <c r="AV40" s="628"/>
      <c r="AX40" s="595"/>
      <c r="AY40" s="594"/>
      <c r="BA40" s="1283" t="s">
        <v>145</v>
      </c>
      <c r="BB40" s="1260"/>
      <c r="BC40" s="1261"/>
      <c r="BD40" s="1261"/>
      <c r="BE40" s="1262"/>
      <c r="BF40" s="1263"/>
      <c r="BG40" s="1293">
        <f t="shared" si="11"/>
        <v>0</v>
      </c>
    </row>
    <row r="41" spans="1:60">
      <c r="A41" s="332"/>
      <c r="B41" s="334"/>
      <c r="C41" s="379">
        <f t="shared" si="0"/>
        <v>42002</v>
      </c>
      <c r="D41" s="335"/>
      <c r="G41" s="496"/>
      <c r="H41" s="497"/>
      <c r="I41" s="541">
        <f t="shared" si="1"/>
        <v>26905055</v>
      </c>
      <c r="J41" s="499"/>
      <c r="K41" s="347"/>
      <c r="L41" s="500"/>
      <c r="M41" s="501"/>
      <c r="N41" s="549">
        <f t="shared" si="2"/>
        <v>0</v>
      </c>
      <c r="O41" s="503"/>
      <c r="P41" s="347"/>
      <c r="Q41" s="504"/>
      <c r="R41" s="505"/>
      <c r="S41" s="556">
        <f t="shared" si="3"/>
        <v>200000</v>
      </c>
      <c r="T41" s="506"/>
      <c r="V41" s="507"/>
      <c r="W41" s="508"/>
      <c r="X41" s="560">
        <f t="shared" si="4"/>
        <v>200000</v>
      </c>
      <c r="Y41" s="509"/>
      <c r="AA41" s="510"/>
      <c r="AB41" s="511"/>
      <c r="AC41" s="564">
        <f t="shared" si="5"/>
        <v>77984</v>
      </c>
      <c r="AD41" s="512"/>
      <c r="AE41" s="513"/>
      <c r="AF41" s="514"/>
      <c r="AG41" s="515"/>
      <c r="AH41" s="568">
        <f t="shared" si="6"/>
        <v>69222</v>
      </c>
      <c r="AI41" s="516"/>
      <c r="AJ41" s="513"/>
      <c r="AK41" s="514"/>
      <c r="AL41" s="515"/>
      <c r="AM41" s="568">
        <f t="shared" si="7"/>
        <v>63999</v>
      </c>
      <c r="AN41" s="516"/>
      <c r="AO41" s="347"/>
      <c r="AP41" s="636"/>
      <c r="AQ41" s="626"/>
      <c r="AR41" s="629"/>
      <c r="AT41" s="627"/>
      <c r="AU41" s="341"/>
      <c r="AV41" s="628"/>
      <c r="AX41" s="595"/>
      <c r="AY41" s="594"/>
      <c r="BA41" s="1283" t="s">
        <v>346</v>
      </c>
      <c r="BB41" s="1260"/>
      <c r="BC41" s="1261"/>
      <c r="BD41" s="1261"/>
      <c r="BE41" s="1257"/>
      <c r="BF41" s="1263"/>
      <c r="BG41" s="1293">
        <f t="shared" si="11"/>
        <v>0</v>
      </c>
    </row>
    <row r="42" spans="1:60">
      <c r="A42" s="332"/>
      <c r="B42" s="334"/>
      <c r="C42" s="379">
        <f t="shared" si="0"/>
        <v>42002</v>
      </c>
      <c r="D42" s="335"/>
      <c r="G42" s="496"/>
      <c r="H42" s="497"/>
      <c r="I42" s="541">
        <f t="shared" si="1"/>
        <v>26905055</v>
      </c>
      <c r="J42" s="499"/>
      <c r="K42" s="347"/>
      <c r="L42" s="500"/>
      <c r="M42" s="501"/>
      <c r="N42" s="549">
        <f t="shared" si="2"/>
        <v>0</v>
      </c>
      <c r="O42" s="503"/>
      <c r="P42" s="347"/>
      <c r="Q42" s="504"/>
      <c r="R42" s="505"/>
      <c r="S42" s="556">
        <f t="shared" si="3"/>
        <v>200000</v>
      </c>
      <c r="T42" s="506"/>
      <c r="V42" s="507"/>
      <c r="W42" s="508"/>
      <c r="X42" s="560">
        <f t="shared" si="4"/>
        <v>200000</v>
      </c>
      <c r="Y42" s="509"/>
      <c r="AA42" s="510"/>
      <c r="AB42" s="511"/>
      <c r="AC42" s="564">
        <f t="shared" si="5"/>
        <v>77984</v>
      </c>
      <c r="AD42" s="512"/>
      <c r="AE42" s="513"/>
      <c r="AF42" s="514"/>
      <c r="AG42" s="515"/>
      <c r="AH42" s="568">
        <f t="shared" si="6"/>
        <v>69222</v>
      </c>
      <c r="AI42" s="516"/>
      <c r="AJ42" s="513"/>
      <c r="AK42" s="514"/>
      <c r="AL42" s="515"/>
      <c r="AM42" s="568">
        <f t="shared" si="7"/>
        <v>63999</v>
      </c>
      <c r="AN42" s="516"/>
      <c r="AO42" s="347"/>
      <c r="AP42" s="636"/>
      <c r="AQ42" s="626"/>
      <c r="AR42" s="629"/>
      <c r="AT42" s="627"/>
      <c r="AU42" s="341"/>
      <c r="AV42" s="628"/>
      <c r="AX42" s="595"/>
      <c r="AY42" s="594"/>
      <c r="BA42" s="1283" t="s">
        <v>764</v>
      </c>
      <c r="BB42" s="1264"/>
      <c r="BC42" s="1265"/>
      <c r="BD42" s="1257"/>
      <c r="BE42" s="1257"/>
      <c r="BF42" s="1263"/>
      <c r="BG42" s="1293">
        <f t="shared" si="11"/>
        <v>0</v>
      </c>
    </row>
    <row r="43" spans="1:60">
      <c r="A43" s="332"/>
      <c r="B43" s="334"/>
      <c r="C43" s="379">
        <f t="shared" si="0"/>
        <v>42002</v>
      </c>
      <c r="D43" s="335"/>
      <c r="G43" s="496"/>
      <c r="H43" s="497"/>
      <c r="I43" s="541">
        <f t="shared" si="1"/>
        <v>26905055</v>
      </c>
      <c r="J43" s="499"/>
      <c r="K43" s="347"/>
      <c r="L43" s="500"/>
      <c r="M43" s="501"/>
      <c r="N43" s="549">
        <f t="shared" si="2"/>
        <v>0</v>
      </c>
      <c r="O43" s="503"/>
      <c r="P43" s="347"/>
      <c r="Q43" s="504"/>
      <c r="R43" s="505"/>
      <c r="S43" s="556">
        <f t="shared" si="3"/>
        <v>200000</v>
      </c>
      <c r="T43" s="506"/>
      <c r="V43" s="507"/>
      <c r="W43" s="508"/>
      <c r="X43" s="560">
        <f t="shared" si="4"/>
        <v>200000</v>
      </c>
      <c r="Y43" s="509"/>
      <c r="AA43" s="510"/>
      <c r="AB43" s="511"/>
      <c r="AC43" s="564">
        <f t="shared" si="5"/>
        <v>77984</v>
      </c>
      <c r="AD43" s="512"/>
      <c r="AE43" s="513"/>
      <c r="AF43" s="514"/>
      <c r="AG43" s="515"/>
      <c r="AH43" s="568">
        <f t="shared" si="6"/>
        <v>69222</v>
      </c>
      <c r="AI43" s="516"/>
      <c r="AJ43" s="513"/>
      <c r="AK43" s="514"/>
      <c r="AL43" s="515"/>
      <c r="AM43" s="568">
        <f t="shared" si="7"/>
        <v>63999</v>
      </c>
      <c r="AN43" s="516"/>
      <c r="AO43" s="347"/>
      <c r="AP43" s="636"/>
      <c r="AQ43" s="626"/>
      <c r="AR43" s="629"/>
      <c r="AT43" s="627"/>
      <c r="AU43" s="341"/>
      <c r="AV43" s="628"/>
      <c r="AX43" s="595"/>
      <c r="AY43" s="594"/>
      <c r="BA43" s="1283" t="s">
        <v>765</v>
      </c>
      <c r="BB43" s="507"/>
      <c r="BC43" s="508"/>
      <c r="BD43" s="508"/>
      <c r="BE43" s="508"/>
      <c r="BF43" s="509"/>
      <c r="BG43" s="1293">
        <f t="shared" si="11"/>
        <v>0</v>
      </c>
    </row>
    <row r="44" spans="1:60">
      <c r="A44" s="332"/>
      <c r="B44" s="334"/>
      <c r="C44" s="379">
        <f t="shared" si="0"/>
        <v>42002</v>
      </c>
      <c r="D44" s="335"/>
      <c r="G44" s="496"/>
      <c r="H44" s="497"/>
      <c r="I44" s="541">
        <f t="shared" si="1"/>
        <v>26905055</v>
      </c>
      <c r="J44" s="499"/>
      <c r="K44" s="347"/>
      <c r="L44" s="500"/>
      <c r="M44" s="501"/>
      <c r="N44" s="549">
        <f t="shared" si="2"/>
        <v>0</v>
      </c>
      <c r="O44" s="503"/>
      <c r="P44" s="347"/>
      <c r="Q44" s="504"/>
      <c r="R44" s="505"/>
      <c r="S44" s="556">
        <f t="shared" si="3"/>
        <v>200000</v>
      </c>
      <c r="T44" s="506"/>
      <c r="V44" s="507"/>
      <c r="W44" s="508"/>
      <c r="X44" s="560">
        <f t="shared" si="4"/>
        <v>200000</v>
      </c>
      <c r="Y44" s="509"/>
      <c r="AA44" s="510"/>
      <c r="AB44" s="511"/>
      <c r="AC44" s="564">
        <f t="shared" si="5"/>
        <v>77984</v>
      </c>
      <c r="AD44" s="512"/>
      <c r="AE44" s="513"/>
      <c r="AF44" s="514"/>
      <c r="AG44" s="515"/>
      <c r="AH44" s="568">
        <f t="shared" si="6"/>
        <v>69222</v>
      </c>
      <c r="AI44" s="516"/>
      <c r="AJ44" s="513"/>
      <c r="AK44" s="514"/>
      <c r="AL44" s="515"/>
      <c r="AM44" s="568">
        <f t="shared" si="7"/>
        <v>63999</v>
      </c>
      <c r="AN44" s="516"/>
      <c r="AO44" s="347"/>
      <c r="AP44" s="636"/>
      <c r="AQ44" s="626"/>
      <c r="AR44" s="629"/>
      <c r="AT44" s="627"/>
      <c r="AU44" s="341"/>
      <c r="AV44" s="628"/>
      <c r="AX44" s="595"/>
      <c r="AY44" s="594"/>
      <c r="BA44" s="1283" t="s">
        <v>854</v>
      </c>
      <c r="BB44" s="507"/>
      <c r="BC44" s="508"/>
      <c r="BD44" s="508"/>
      <c r="BE44" s="508"/>
      <c r="BF44" s="509"/>
      <c r="BG44" s="1293">
        <f t="shared" si="11"/>
        <v>0</v>
      </c>
    </row>
    <row r="45" spans="1:60">
      <c r="A45" s="332"/>
      <c r="B45" s="334"/>
      <c r="C45" s="379">
        <f t="shared" si="0"/>
        <v>42002</v>
      </c>
      <c r="D45" s="335"/>
      <c r="G45" s="496"/>
      <c r="H45" s="497"/>
      <c r="I45" s="541">
        <f t="shared" si="1"/>
        <v>26905055</v>
      </c>
      <c r="J45" s="499"/>
      <c r="K45" s="347"/>
      <c r="L45" s="500"/>
      <c r="M45" s="501"/>
      <c r="N45" s="549">
        <f t="shared" si="2"/>
        <v>0</v>
      </c>
      <c r="O45" s="503"/>
      <c r="P45" s="347"/>
      <c r="Q45" s="504"/>
      <c r="R45" s="505"/>
      <c r="S45" s="556">
        <f t="shared" si="3"/>
        <v>200000</v>
      </c>
      <c r="T45" s="506"/>
      <c r="V45" s="507"/>
      <c r="W45" s="508"/>
      <c r="X45" s="560">
        <f t="shared" si="4"/>
        <v>200000</v>
      </c>
      <c r="Y45" s="509"/>
      <c r="AA45" s="510"/>
      <c r="AB45" s="511"/>
      <c r="AC45" s="564">
        <f t="shared" si="5"/>
        <v>77984</v>
      </c>
      <c r="AD45" s="512"/>
      <c r="AE45" s="513"/>
      <c r="AF45" s="514"/>
      <c r="AG45" s="515"/>
      <c r="AH45" s="568">
        <f t="shared" si="6"/>
        <v>69222</v>
      </c>
      <c r="AI45" s="516"/>
      <c r="AJ45" s="513"/>
      <c r="AK45" s="514"/>
      <c r="AL45" s="515"/>
      <c r="AM45" s="568">
        <f t="shared" si="7"/>
        <v>63999</v>
      </c>
      <c r="AN45" s="516"/>
      <c r="AO45" s="347"/>
      <c r="AP45" s="636"/>
      <c r="AQ45" s="626"/>
      <c r="AR45" s="629"/>
      <c r="AT45" s="627"/>
      <c r="AU45" s="341"/>
      <c r="AV45" s="628"/>
      <c r="AX45" s="595"/>
      <c r="AY45" s="594"/>
      <c r="BA45" s="1283" t="s">
        <v>146</v>
      </c>
      <c r="BB45" s="1264"/>
      <c r="BC45" s="1262"/>
      <c r="BD45" s="1262"/>
      <c r="BE45" s="1262"/>
      <c r="BF45" s="1263"/>
      <c r="BG45" s="1293">
        <f t="shared" si="11"/>
        <v>0</v>
      </c>
    </row>
    <row r="46" spans="1:60">
      <c r="A46" s="332"/>
      <c r="B46" s="334"/>
      <c r="C46" s="379">
        <f t="shared" si="0"/>
        <v>42002</v>
      </c>
      <c r="D46" s="335"/>
      <c r="G46" s="496"/>
      <c r="H46" s="497"/>
      <c r="I46" s="541">
        <f t="shared" si="1"/>
        <v>26905055</v>
      </c>
      <c r="J46" s="499"/>
      <c r="K46" s="347"/>
      <c r="L46" s="500"/>
      <c r="M46" s="501"/>
      <c r="N46" s="549">
        <f t="shared" si="2"/>
        <v>0</v>
      </c>
      <c r="O46" s="503"/>
      <c r="P46" s="347"/>
      <c r="Q46" s="504"/>
      <c r="R46" s="505"/>
      <c r="S46" s="556">
        <f t="shared" si="3"/>
        <v>200000</v>
      </c>
      <c r="T46" s="506"/>
      <c r="V46" s="507"/>
      <c r="W46" s="508"/>
      <c r="X46" s="560">
        <f t="shared" si="4"/>
        <v>200000</v>
      </c>
      <c r="Y46" s="509"/>
      <c r="AA46" s="510"/>
      <c r="AB46" s="511"/>
      <c r="AC46" s="564">
        <f t="shared" si="5"/>
        <v>77984</v>
      </c>
      <c r="AD46" s="512"/>
      <c r="AE46" s="513"/>
      <c r="AF46" s="514"/>
      <c r="AG46" s="515"/>
      <c r="AH46" s="568">
        <f t="shared" si="6"/>
        <v>69222</v>
      </c>
      <c r="AI46" s="516"/>
      <c r="AJ46" s="513"/>
      <c r="AK46" s="514"/>
      <c r="AL46" s="515"/>
      <c r="AM46" s="568">
        <f t="shared" si="7"/>
        <v>63999</v>
      </c>
      <c r="AN46" s="516"/>
      <c r="AO46" s="347"/>
      <c r="AP46" s="636"/>
      <c r="AQ46" s="626"/>
      <c r="AR46" s="629"/>
      <c r="AT46" s="627"/>
      <c r="AU46" s="341"/>
      <c r="AV46" s="628"/>
      <c r="AX46" s="595"/>
      <c r="AY46" s="594"/>
      <c r="BA46" s="1283" t="s">
        <v>147</v>
      </c>
      <c r="BB46" s="1264"/>
      <c r="BC46" s="1262"/>
      <c r="BD46" s="1262"/>
      <c r="BE46" s="1262"/>
      <c r="BF46" s="1263"/>
      <c r="BG46" s="1293">
        <f t="shared" si="11"/>
        <v>0</v>
      </c>
    </row>
    <row r="47" spans="1:60">
      <c r="A47" s="332"/>
      <c r="B47" s="334"/>
      <c r="C47" s="379">
        <f t="shared" si="0"/>
        <v>42002</v>
      </c>
      <c r="D47" s="335"/>
      <c r="G47" s="496"/>
      <c r="H47" s="497"/>
      <c r="I47" s="541">
        <f t="shared" si="1"/>
        <v>26905055</v>
      </c>
      <c r="J47" s="499"/>
      <c r="K47" s="347"/>
      <c r="L47" s="500"/>
      <c r="M47" s="501"/>
      <c r="N47" s="549">
        <f t="shared" si="2"/>
        <v>0</v>
      </c>
      <c r="O47" s="503"/>
      <c r="P47" s="347"/>
      <c r="Q47" s="504"/>
      <c r="R47" s="505"/>
      <c r="S47" s="556">
        <f t="shared" si="3"/>
        <v>200000</v>
      </c>
      <c r="T47" s="506"/>
      <c r="V47" s="507"/>
      <c r="W47" s="508"/>
      <c r="X47" s="560">
        <f t="shared" si="4"/>
        <v>200000</v>
      </c>
      <c r="Y47" s="509"/>
      <c r="AA47" s="510"/>
      <c r="AB47" s="511"/>
      <c r="AC47" s="564">
        <f t="shared" si="5"/>
        <v>77984</v>
      </c>
      <c r="AD47" s="512"/>
      <c r="AE47" s="513"/>
      <c r="AF47" s="514"/>
      <c r="AG47" s="515"/>
      <c r="AH47" s="568">
        <f t="shared" si="6"/>
        <v>69222</v>
      </c>
      <c r="AI47" s="516"/>
      <c r="AJ47" s="513"/>
      <c r="AK47" s="514"/>
      <c r="AL47" s="515"/>
      <c r="AM47" s="568">
        <f t="shared" si="7"/>
        <v>63999</v>
      </c>
      <c r="AN47" s="516"/>
      <c r="AO47" s="347"/>
      <c r="AP47" s="636"/>
      <c r="AQ47" s="626"/>
      <c r="AR47" s="629"/>
      <c r="AT47" s="627"/>
      <c r="AU47" s="341"/>
      <c r="AV47" s="628"/>
      <c r="AX47" s="595"/>
      <c r="AY47" s="594"/>
      <c r="BA47" s="1283" t="s">
        <v>886</v>
      </c>
      <c r="BB47" s="1264"/>
      <c r="BC47" s="1262"/>
      <c r="BD47" s="1262"/>
      <c r="BE47" s="1262"/>
      <c r="BF47" s="1263"/>
      <c r="BG47" s="1293">
        <f t="shared" si="11"/>
        <v>0</v>
      </c>
    </row>
    <row r="48" spans="1:60">
      <c r="A48" s="332"/>
      <c r="B48" s="334"/>
      <c r="C48" s="379">
        <f t="shared" si="0"/>
        <v>42002</v>
      </c>
      <c r="D48" s="335"/>
      <c r="G48" s="496"/>
      <c r="H48" s="497"/>
      <c r="I48" s="541">
        <f t="shared" si="1"/>
        <v>26905055</v>
      </c>
      <c r="J48" s="499"/>
      <c r="K48" s="347"/>
      <c r="L48" s="500"/>
      <c r="M48" s="501"/>
      <c r="N48" s="549">
        <f t="shared" si="2"/>
        <v>0</v>
      </c>
      <c r="O48" s="503"/>
      <c r="P48" s="347"/>
      <c r="Q48" s="504"/>
      <c r="R48" s="505"/>
      <c r="S48" s="556">
        <f t="shared" si="3"/>
        <v>200000</v>
      </c>
      <c r="T48" s="506"/>
      <c r="V48" s="507"/>
      <c r="W48" s="508"/>
      <c r="X48" s="560">
        <f t="shared" si="4"/>
        <v>200000</v>
      </c>
      <c r="Y48" s="509"/>
      <c r="AA48" s="510"/>
      <c r="AB48" s="511"/>
      <c r="AC48" s="564">
        <f t="shared" si="5"/>
        <v>77984</v>
      </c>
      <c r="AD48" s="512"/>
      <c r="AE48" s="513"/>
      <c r="AF48" s="514"/>
      <c r="AG48" s="515"/>
      <c r="AH48" s="568">
        <f t="shared" si="6"/>
        <v>69222</v>
      </c>
      <c r="AI48" s="516"/>
      <c r="AJ48" s="513"/>
      <c r="AK48" s="514"/>
      <c r="AL48" s="515"/>
      <c r="AM48" s="568">
        <f t="shared" si="7"/>
        <v>63999</v>
      </c>
      <c r="AN48" s="516"/>
      <c r="AO48" s="347"/>
      <c r="AP48" s="636"/>
      <c r="AQ48" s="626"/>
      <c r="AR48" s="629"/>
      <c r="AT48" s="627"/>
      <c r="AU48" s="341"/>
      <c r="AV48" s="628"/>
      <c r="AX48" s="595"/>
      <c r="AY48" s="594"/>
      <c r="BA48" s="1283" t="s">
        <v>887</v>
      </c>
      <c r="BB48" s="507"/>
      <c r="BC48" s="508"/>
      <c r="BD48" s="508"/>
      <c r="BE48" s="508"/>
      <c r="BF48" s="509"/>
      <c r="BG48" s="1293">
        <f t="shared" si="11"/>
        <v>0</v>
      </c>
    </row>
    <row r="49" spans="1:59">
      <c r="A49" s="332"/>
      <c r="B49" s="334"/>
      <c r="C49" s="379">
        <f t="shared" si="0"/>
        <v>42002</v>
      </c>
      <c r="D49" s="335"/>
      <c r="G49" s="496"/>
      <c r="H49" s="497"/>
      <c r="I49" s="541">
        <f t="shared" si="1"/>
        <v>26905055</v>
      </c>
      <c r="J49" s="499"/>
      <c r="K49" s="347"/>
      <c r="L49" s="500"/>
      <c r="M49" s="501"/>
      <c r="N49" s="549">
        <f t="shared" si="2"/>
        <v>0</v>
      </c>
      <c r="O49" s="503"/>
      <c r="P49" s="347"/>
      <c r="Q49" s="504"/>
      <c r="R49" s="505"/>
      <c r="S49" s="556">
        <f t="shared" si="3"/>
        <v>200000</v>
      </c>
      <c r="T49" s="506"/>
      <c r="V49" s="507"/>
      <c r="W49" s="508"/>
      <c r="X49" s="560">
        <f t="shared" si="4"/>
        <v>200000</v>
      </c>
      <c r="Y49" s="509"/>
      <c r="AA49" s="510"/>
      <c r="AB49" s="511"/>
      <c r="AC49" s="564">
        <f t="shared" si="5"/>
        <v>77984</v>
      </c>
      <c r="AD49" s="512"/>
      <c r="AE49" s="513"/>
      <c r="AF49" s="514"/>
      <c r="AG49" s="515"/>
      <c r="AH49" s="568">
        <f t="shared" si="6"/>
        <v>69222</v>
      </c>
      <c r="AI49" s="516"/>
      <c r="AJ49" s="513"/>
      <c r="AK49" s="514"/>
      <c r="AL49" s="515"/>
      <c r="AM49" s="568">
        <f t="shared" si="7"/>
        <v>63999</v>
      </c>
      <c r="AN49" s="516"/>
      <c r="AO49" s="347"/>
      <c r="AP49" s="636"/>
      <c r="AQ49" s="626"/>
      <c r="AR49" s="629"/>
      <c r="AT49" s="627"/>
      <c r="AU49" s="341"/>
      <c r="AV49" s="628"/>
      <c r="AX49" s="595"/>
      <c r="AY49" s="594"/>
      <c r="BA49" s="1283" t="s">
        <v>888</v>
      </c>
      <c r="BB49" s="507"/>
      <c r="BC49" s="508"/>
      <c r="BD49" s="508"/>
      <c r="BE49" s="508"/>
      <c r="BF49" s="509"/>
      <c r="BG49" s="1293">
        <f t="shared" si="11"/>
        <v>0</v>
      </c>
    </row>
    <row r="50" spans="1:59">
      <c r="A50" s="332"/>
      <c r="B50" s="334"/>
      <c r="C50" s="379">
        <f t="shared" si="0"/>
        <v>42002</v>
      </c>
      <c r="D50" s="335"/>
      <c r="G50" s="496"/>
      <c r="H50" s="497"/>
      <c r="I50" s="541">
        <f t="shared" si="1"/>
        <v>26905055</v>
      </c>
      <c r="J50" s="499"/>
      <c r="K50" s="347"/>
      <c r="L50" s="500"/>
      <c r="M50" s="501"/>
      <c r="N50" s="549">
        <f t="shared" si="2"/>
        <v>0</v>
      </c>
      <c r="O50" s="503"/>
      <c r="P50" s="347"/>
      <c r="Q50" s="504"/>
      <c r="R50" s="505"/>
      <c r="S50" s="556">
        <f t="shared" si="3"/>
        <v>200000</v>
      </c>
      <c r="T50" s="506"/>
      <c r="V50" s="507"/>
      <c r="W50" s="508"/>
      <c r="X50" s="560">
        <f t="shared" si="4"/>
        <v>200000</v>
      </c>
      <c r="Y50" s="509"/>
      <c r="AA50" s="510"/>
      <c r="AB50" s="511"/>
      <c r="AC50" s="564">
        <f t="shared" si="5"/>
        <v>77984</v>
      </c>
      <c r="AD50" s="512"/>
      <c r="AE50" s="513"/>
      <c r="AF50" s="514"/>
      <c r="AG50" s="515"/>
      <c r="AH50" s="568">
        <f t="shared" si="6"/>
        <v>69222</v>
      </c>
      <c r="AI50" s="516"/>
      <c r="AJ50" s="513"/>
      <c r="AK50" s="514"/>
      <c r="AL50" s="515"/>
      <c r="AM50" s="568">
        <f t="shared" si="7"/>
        <v>63999</v>
      </c>
      <c r="AN50" s="516"/>
      <c r="AO50" s="347"/>
      <c r="AP50" s="636"/>
      <c r="AQ50" s="626"/>
      <c r="AR50" s="629"/>
      <c r="AT50" s="627"/>
      <c r="AU50" s="341"/>
      <c r="AV50" s="628"/>
      <c r="AX50" s="595"/>
      <c r="AY50" s="594"/>
      <c r="BA50" s="1283" t="s">
        <v>889</v>
      </c>
      <c r="BB50" s="1264"/>
      <c r="BC50" s="1262"/>
      <c r="BD50" s="1262"/>
      <c r="BE50" s="1262"/>
      <c r="BF50" s="1263"/>
      <c r="BG50" s="1293">
        <f t="shared" si="11"/>
        <v>0</v>
      </c>
    </row>
    <row r="51" spans="1:59">
      <c r="A51" s="332"/>
      <c r="B51" s="334"/>
      <c r="C51" s="379">
        <f t="shared" si="0"/>
        <v>42002</v>
      </c>
      <c r="D51" s="335"/>
      <c r="G51" s="496"/>
      <c r="H51" s="497"/>
      <c r="I51" s="541">
        <f t="shared" si="1"/>
        <v>26905055</v>
      </c>
      <c r="J51" s="499"/>
      <c r="K51" s="347"/>
      <c r="L51" s="500"/>
      <c r="M51" s="501"/>
      <c r="N51" s="549">
        <f t="shared" si="2"/>
        <v>0</v>
      </c>
      <c r="O51" s="503"/>
      <c r="P51" s="347"/>
      <c r="Q51" s="504"/>
      <c r="R51" s="505"/>
      <c r="S51" s="556">
        <f t="shared" si="3"/>
        <v>200000</v>
      </c>
      <c r="T51" s="506"/>
      <c r="V51" s="507"/>
      <c r="W51" s="508"/>
      <c r="X51" s="560">
        <f t="shared" si="4"/>
        <v>200000</v>
      </c>
      <c r="Y51" s="509"/>
      <c r="AA51" s="510"/>
      <c r="AB51" s="511"/>
      <c r="AC51" s="564">
        <f t="shared" si="5"/>
        <v>77984</v>
      </c>
      <c r="AD51" s="512"/>
      <c r="AE51" s="513"/>
      <c r="AF51" s="514"/>
      <c r="AG51" s="515"/>
      <c r="AH51" s="568">
        <f t="shared" si="6"/>
        <v>69222</v>
      </c>
      <c r="AI51" s="516"/>
      <c r="AJ51" s="513"/>
      <c r="AK51" s="514"/>
      <c r="AL51" s="515"/>
      <c r="AM51" s="568">
        <f t="shared" si="7"/>
        <v>63999</v>
      </c>
      <c r="AN51" s="516"/>
      <c r="AO51" s="347"/>
      <c r="AP51" s="636"/>
      <c r="AQ51" s="626"/>
      <c r="AR51" s="629"/>
      <c r="AT51" s="627"/>
      <c r="AU51" s="341"/>
      <c r="AV51" s="628"/>
      <c r="AX51" s="595"/>
      <c r="AY51" s="594"/>
      <c r="BA51" s="1283" t="s">
        <v>890</v>
      </c>
      <c r="BB51" s="507"/>
      <c r="BC51" s="508"/>
      <c r="BD51" s="508"/>
      <c r="BE51" s="508"/>
      <c r="BF51" s="509"/>
      <c r="BG51" s="1293">
        <f t="shared" si="11"/>
        <v>0</v>
      </c>
    </row>
    <row r="52" spans="1:59">
      <c r="A52" s="332"/>
      <c r="B52" s="334"/>
      <c r="C52" s="379">
        <f t="shared" si="0"/>
        <v>42002</v>
      </c>
      <c r="D52" s="335"/>
      <c r="G52" s="496"/>
      <c r="H52" s="497"/>
      <c r="I52" s="541">
        <f t="shared" si="1"/>
        <v>26905055</v>
      </c>
      <c r="J52" s="499"/>
      <c r="K52" s="347"/>
      <c r="L52" s="500"/>
      <c r="M52" s="501"/>
      <c r="N52" s="549">
        <f t="shared" si="2"/>
        <v>0</v>
      </c>
      <c r="O52" s="503"/>
      <c r="P52" s="347"/>
      <c r="Q52" s="504"/>
      <c r="R52" s="505"/>
      <c r="S52" s="556">
        <f t="shared" si="3"/>
        <v>200000</v>
      </c>
      <c r="T52" s="506"/>
      <c r="V52" s="507"/>
      <c r="W52" s="508"/>
      <c r="X52" s="560">
        <f t="shared" si="4"/>
        <v>200000</v>
      </c>
      <c r="Y52" s="509"/>
      <c r="AA52" s="510"/>
      <c r="AB52" s="511"/>
      <c r="AC52" s="564">
        <f t="shared" si="5"/>
        <v>77984</v>
      </c>
      <c r="AD52" s="512"/>
      <c r="AE52" s="513"/>
      <c r="AF52" s="514"/>
      <c r="AG52" s="515"/>
      <c r="AH52" s="568">
        <f t="shared" si="6"/>
        <v>69222</v>
      </c>
      <c r="AI52" s="516"/>
      <c r="AJ52" s="513"/>
      <c r="AK52" s="514"/>
      <c r="AL52" s="515"/>
      <c r="AM52" s="568">
        <f t="shared" si="7"/>
        <v>63999</v>
      </c>
      <c r="AN52" s="516"/>
      <c r="AO52" s="347"/>
      <c r="AP52" s="636"/>
      <c r="AQ52" s="626"/>
      <c r="AR52" s="629"/>
      <c r="AT52" s="627"/>
      <c r="AU52" s="341"/>
      <c r="AV52" s="628"/>
      <c r="AX52" s="595"/>
      <c r="AY52" s="594"/>
      <c r="BA52" s="1284" t="s">
        <v>891</v>
      </c>
      <c r="BB52" s="1302"/>
      <c r="BC52" s="1303"/>
      <c r="BD52" s="1303"/>
      <c r="BE52" s="1303"/>
      <c r="BF52" s="1304"/>
      <c r="BG52" s="1293">
        <f t="shared" si="11"/>
        <v>0</v>
      </c>
    </row>
    <row r="53" spans="1:59">
      <c r="A53" s="332"/>
      <c r="B53" s="334"/>
      <c r="C53" s="379">
        <f t="shared" si="0"/>
        <v>42002</v>
      </c>
      <c r="D53" s="335"/>
      <c r="G53" s="496"/>
      <c r="H53" s="497"/>
      <c r="I53" s="541">
        <f t="shared" si="1"/>
        <v>26905055</v>
      </c>
      <c r="J53" s="499"/>
      <c r="K53" s="347"/>
      <c r="L53" s="500"/>
      <c r="M53" s="501"/>
      <c r="N53" s="549">
        <f t="shared" si="2"/>
        <v>0</v>
      </c>
      <c r="O53" s="503"/>
      <c r="P53" s="347"/>
      <c r="Q53" s="504"/>
      <c r="R53" s="505"/>
      <c r="S53" s="556">
        <f t="shared" si="3"/>
        <v>200000</v>
      </c>
      <c r="T53" s="506"/>
      <c r="V53" s="507"/>
      <c r="W53" s="508"/>
      <c r="X53" s="560">
        <f t="shared" si="4"/>
        <v>200000</v>
      </c>
      <c r="Y53" s="509"/>
      <c r="AA53" s="510"/>
      <c r="AB53" s="511"/>
      <c r="AC53" s="564">
        <f t="shared" si="5"/>
        <v>77984</v>
      </c>
      <c r="AD53" s="512"/>
      <c r="AE53" s="513"/>
      <c r="AF53" s="514"/>
      <c r="AG53" s="515"/>
      <c r="AH53" s="568">
        <f t="shared" si="6"/>
        <v>69222</v>
      </c>
      <c r="AI53" s="516"/>
      <c r="AJ53" s="513"/>
      <c r="AK53" s="514"/>
      <c r="AL53" s="515"/>
      <c r="AM53" s="568">
        <f t="shared" si="7"/>
        <v>63999</v>
      </c>
      <c r="AN53" s="516"/>
      <c r="AO53" s="347"/>
      <c r="AP53" s="636"/>
      <c r="AQ53" s="626"/>
      <c r="AR53" s="629"/>
      <c r="AT53" s="627"/>
      <c r="AU53" s="341"/>
      <c r="AV53" s="628"/>
      <c r="AX53" s="595"/>
      <c r="AY53" s="594"/>
      <c r="BA53" s="1283" t="s">
        <v>232</v>
      </c>
      <c r="BB53" s="1266"/>
      <c r="BC53" s="1267"/>
      <c r="BD53" s="1267"/>
      <c r="BE53" s="1267"/>
      <c r="BF53" s="1268"/>
      <c r="BG53" s="1293">
        <f t="shared" si="11"/>
        <v>0</v>
      </c>
    </row>
    <row r="54" spans="1:59">
      <c r="A54" s="332"/>
      <c r="B54" s="334"/>
      <c r="C54" s="379">
        <f t="shared" si="0"/>
        <v>42002</v>
      </c>
      <c r="D54" s="335"/>
      <c r="G54" s="496"/>
      <c r="H54" s="497"/>
      <c r="I54" s="541">
        <f t="shared" si="1"/>
        <v>26905055</v>
      </c>
      <c r="J54" s="499"/>
      <c r="K54" s="347"/>
      <c r="L54" s="500"/>
      <c r="M54" s="501"/>
      <c r="N54" s="549">
        <f t="shared" si="2"/>
        <v>0</v>
      </c>
      <c r="O54" s="503"/>
      <c r="P54" s="347"/>
      <c r="Q54" s="504"/>
      <c r="R54" s="505"/>
      <c r="S54" s="556">
        <f t="shared" si="3"/>
        <v>200000</v>
      </c>
      <c r="T54" s="506"/>
      <c r="V54" s="507"/>
      <c r="W54" s="508"/>
      <c r="X54" s="560">
        <f t="shared" si="4"/>
        <v>200000</v>
      </c>
      <c r="Y54" s="509"/>
      <c r="AA54" s="510"/>
      <c r="AB54" s="511"/>
      <c r="AC54" s="564">
        <f t="shared" si="5"/>
        <v>77984</v>
      </c>
      <c r="AD54" s="512"/>
      <c r="AE54" s="513"/>
      <c r="AF54" s="514"/>
      <c r="AG54" s="515"/>
      <c r="AH54" s="568">
        <f t="shared" si="6"/>
        <v>69222</v>
      </c>
      <c r="AI54" s="516"/>
      <c r="AJ54" s="513"/>
      <c r="AK54" s="514"/>
      <c r="AL54" s="515"/>
      <c r="AM54" s="568">
        <f t="shared" si="7"/>
        <v>63999</v>
      </c>
      <c r="AN54" s="516"/>
      <c r="AO54" s="347"/>
      <c r="AP54" s="636"/>
      <c r="AQ54" s="626"/>
      <c r="AR54" s="629"/>
      <c r="AT54" s="627"/>
      <c r="AU54" s="341"/>
      <c r="AV54" s="628"/>
      <c r="AX54" s="595"/>
      <c r="AY54" s="594"/>
      <c r="BA54" s="1285" t="s">
        <v>233</v>
      </c>
      <c r="BB54" s="413"/>
      <c r="BC54" s="352"/>
      <c r="BD54" s="352"/>
      <c r="BE54" s="352"/>
      <c r="BF54" s="594"/>
      <c r="BG54" s="1293">
        <f t="shared" si="11"/>
        <v>0</v>
      </c>
    </row>
    <row r="55" spans="1:59">
      <c r="A55" s="332"/>
      <c r="B55" s="334"/>
      <c r="C55" s="379">
        <f t="shared" si="0"/>
        <v>42002</v>
      </c>
      <c r="D55" s="335"/>
      <c r="G55" s="496"/>
      <c r="H55" s="497"/>
      <c r="I55" s="541">
        <f t="shared" si="1"/>
        <v>26905055</v>
      </c>
      <c r="J55" s="499"/>
      <c r="K55" s="347"/>
      <c r="L55" s="500"/>
      <c r="M55" s="501"/>
      <c r="N55" s="549">
        <f t="shared" si="2"/>
        <v>0</v>
      </c>
      <c r="O55" s="503"/>
      <c r="P55" s="347"/>
      <c r="Q55" s="504"/>
      <c r="R55" s="505"/>
      <c r="S55" s="556">
        <f t="shared" si="3"/>
        <v>200000</v>
      </c>
      <c r="T55" s="506"/>
      <c r="V55" s="507"/>
      <c r="W55" s="508"/>
      <c r="X55" s="560">
        <f t="shared" si="4"/>
        <v>200000</v>
      </c>
      <c r="Y55" s="509"/>
      <c r="AA55" s="510"/>
      <c r="AB55" s="511"/>
      <c r="AC55" s="564">
        <f t="shared" si="5"/>
        <v>77984</v>
      </c>
      <c r="AD55" s="512"/>
      <c r="AE55" s="513"/>
      <c r="AF55" s="514"/>
      <c r="AG55" s="515"/>
      <c r="AH55" s="568">
        <f t="shared" si="6"/>
        <v>69222</v>
      </c>
      <c r="AI55" s="516"/>
      <c r="AJ55" s="513"/>
      <c r="AK55" s="514"/>
      <c r="AL55" s="515"/>
      <c r="AM55" s="568">
        <f t="shared" si="7"/>
        <v>63999</v>
      </c>
      <c r="AN55" s="516"/>
      <c r="AO55" s="347"/>
      <c r="AP55" s="636"/>
      <c r="AQ55" s="626"/>
      <c r="AR55" s="629"/>
      <c r="AT55" s="627"/>
      <c r="AU55" s="341"/>
      <c r="AV55" s="628"/>
      <c r="AX55" s="595"/>
      <c r="AY55" s="594"/>
      <c r="BA55" s="1285" t="s">
        <v>895</v>
      </c>
      <c r="BB55" s="413"/>
      <c r="BC55" s="352"/>
      <c r="BD55" s="352"/>
      <c r="BE55" s="352"/>
      <c r="BF55" s="594"/>
      <c r="BG55" s="1293">
        <f t="shared" si="11"/>
        <v>0</v>
      </c>
    </row>
    <row r="56" spans="1:59">
      <c r="A56" s="332"/>
      <c r="B56" s="334"/>
      <c r="C56" s="379">
        <f t="shared" si="0"/>
        <v>42002</v>
      </c>
      <c r="D56" s="335"/>
      <c r="G56" s="496"/>
      <c r="H56" s="497"/>
      <c r="I56" s="541">
        <f t="shared" si="1"/>
        <v>26905055</v>
      </c>
      <c r="J56" s="499"/>
      <c r="K56" s="347"/>
      <c r="L56" s="500"/>
      <c r="M56" s="501"/>
      <c r="N56" s="549">
        <f t="shared" si="2"/>
        <v>0</v>
      </c>
      <c r="O56" s="503"/>
      <c r="P56" s="347"/>
      <c r="Q56" s="504"/>
      <c r="R56" s="505"/>
      <c r="S56" s="556">
        <f t="shared" si="3"/>
        <v>200000</v>
      </c>
      <c r="T56" s="506"/>
      <c r="V56" s="507"/>
      <c r="W56" s="508"/>
      <c r="X56" s="560">
        <f t="shared" si="4"/>
        <v>200000</v>
      </c>
      <c r="Y56" s="509"/>
      <c r="AA56" s="510"/>
      <c r="AB56" s="511"/>
      <c r="AC56" s="564">
        <f t="shared" si="5"/>
        <v>77984</v>
      </c>
      <c r="AD56" s="512"/>
      <c r="AE56" s="513"/>
      <c r="AF56" s="514"/>
      <c r="AG56" s="515"/>
      <c r="AH56" s="568">
        <f t="shared" si="6"/>
        <v>69222</v>
      </c>
      <c r="AI56" s="516"/>
      <c r="AJ56" s="513"/>
      <c r="AK56" s="514"/>
      <c r="AL56" s="515"/>
      <c r="AM56" s="568">
        <f t="shared" si="7"/>
        <v>63999</v>
      </c>
      <c r="AN56" s="516"/>
      <c r="AO56" s="347"/>
      <c r="AP56" s="636"/>
      <c r="AQ56" s="626"/>
      <c r="AR56" s="629"/>
      <c r="AT56" s="627"/>
      <c r="AU56" s="341"/>
      <c r="AV56" s="628"/>
      <c r="AX56" s="595"/>
      <c r="AY56" s="594"/>
      <c r="BA56" s="1279" t="s">
        <v>896</v>
      </c>
      <c r="BB56" s="1276"/>
      <c r="BC56" s="1277"/>
      <c r="BD56" s="1277"/>
      <c r="BE56" s="1277"/>
      <c r="BF56" s="1278"/>
      <c r="BG56" s="1293">
        <f t="shared" si="11"/>
        <v>0</v>
      </c>
    </row>
    <row r="57" spans="1:59">
      <c r="A57" s="332"/>
      <c r="B57" s="334"/>
      <c r="C57" s="379">
        <f t="shared" si="0"/>
        <v>42002</v>
      </c>
      <c r="D57" s="335"/>
      <c r="G57" s="496"/>
      <c r="H57" s="497"/>
      <c r="I57" s="541">
        <f t="shared" si="1"/>
        <v>26905055</v>
      </c>
      <c r="J57" s="499"/>
      <c r="K57" s="347"/>
      <c r="L57" s="500"/>
      <c r="M57" s="501"/>
      <c r="N57" s="549">
        <f t="shared" si="2"/>
        <v>0</v>
      </c>
      <c r="O57" s="503"/>
      <c r="P57" s="347"/>
      <c r="Q57" s="504"/>
      <c r="R57" s="505"/>
      <c r="S57" s="556">
        <f t="shared" si="3"/>
        <v>200000</v>
      </c>
      <c r="T57" s="506"/>
      <c r="V57" s="507"/>
      <c r="W57" s="508"/>
      <c r="X57" s="560">
        <f t="shared" si="4"/>
        <v>200000</v>
      </c>
      <c r="Y57" s="509"/>
      <c r="AA57" s="510"/>
      <c r="AB57" s="511"/>
      <c r="AC57" s="564">
        <f t="shared" si="5"/>
        <v>77984</v>
      </c>
      <c r="AD57" s="512"/>
      <c r="AE57" s="513"/>
      <c r="AF57" s="514"/>
      <c r="AG57" s="515"/>
      <c r="AH57" s="568">
        <f t="shared" si="6"/>
        <v>69222</v>
      </c>
      <c r="AI57" s="516"/>
      <c r="AJ57" s="513"/>
      <c r="AK57" s="514"/>
      <c r="AL57" s="515"/>
      <c r="AM57" s="568">
        <f t="shared" si="7"/>
        <v>63999</v>
      </c>
      <c r="AN57" s="516"/>
      <c r="AO57" s="347"/>
      <c r="AP57" s="636"/>
      <c r="AQ57" s="626"/>
      <c r="AR57" s="629"/>
      <c r="AT57" s="627"/>
      <c r="AU57" s="341"/>
      <c r="AV57" s="628"/>
      <c r="AX57" s="595"/>
      <c r="AY57" s="594"/>
      <c r="BA57" s="1279" t="s">
        <v>897</v>
      </c>
      <c r="BB57" s="1276"/>
      <c r="BC57" s="1277"/>
      <c r="BD57" s="1277"/>
      <c r="BE57" s="1277"/>
      <c r="BF57" s="1278"/>
      <c r="BG57" s="1293">
        <f t="shared" si="11"/>
        <v>0</v>
      </c>
    </row>
    <row r="58" spans="1:59">
      <c r="A58" s="332"/>
      <c r="B58" s="334"/>
      <c r="C58" s="379">
        <f t="shared" si="0"/>
        <v>42002</v>
      </c>
      <c r="D58" s="335"/>
      <c r="G58" s="496"/>
      <c r="H58" s="497"/>
      <c r="I58" s="541">
        <f t="shared" si="1"/>
        <v>26905055</v>
      </c>
      <c r="J58" s="499"/>
      <c r="K58" s="347"/>
      <c r="L58" s="500"/>
      <c r="M58" s="501"/>
      <c r="N58" s="549">
        <f t="shared" si="2"/>
        <v>0</v>
      </c>
      <c r="O58" s="503"/>
      <c r="P58" s="347"/>
      <c r="Q58" s="504"/>
      <c r="R58" s="505"/>
      <c r="S58" s="556">
        <f t="shared" si="3"/>
        <v>200000</v>
      </c>
      <c r="T58" s="506"/>
      <c r="V58" s="507"/>
      <c r="W58" s="508"/>
      <c r="X58" s="560">
        <f t="shared" si="4"/>
        <v>200000</v>
      </c>
      <c r="Y58" s="509"/>
      <c r="AA58" s="510"/>
      <c r="AB58" s="511"/>
      <c r="AC58" s="564">
        <f t="shared" si="5"/>
        <v>77984</v>
      </c>
      <c r="AD58" s="512"/>
      <c r="AE58" s="513"/>
      <c r="AF58" s="514"/>
      <c r="AG58" s="515"/>
      <c r="AH58" s="568">
        <f t="shared" si="6"/>
        <v>69222</v>
      </c>
      <c r="AI58" s="516"/>
      <c r="AJ58" s="513"/>
      <c r="AK58" s="514"/>
      <c r="AL58" s="515"/>
      <c r="AM58" s="568">
        <f t="shared" si="7"/>
        <v>63999</v>
      </c>
      <c r="AN58" s="516"/>
      <c r="AO58" s="347"/>
      <c r="AP58" s="636"/>
      <c r="AQ58" s="626"/>
      <c r="AR58" s="629"/>
      <c r="AT58" s="627"/>
      <c r="AU58" s="341"/>
      <c r="AV58" s="628"/>
      <c r="AX58" s="595"/>
      <c r="AY58" s="594"/>
      <c r="BA58" s="1279" t="s">
        <v>898</v>
      </c>
      <c r="BB58" s="1269"/>
      <c r="BC58" s="1257"/>
      <c r="BD58" s="1257"/>
      <c r="BE58" s="1257"/>
      <c r="BF58" s="1270"/>
      <c r="BG58" s="1293">
        <f t="shared" si="11"/>
        <v>0</v>
      </c>
    </row>
    <row r="59" spans="1:59">
      <c r="A59" s="332"/>
      <c r="B59" s="334"/>
      <c r="C59" s="379">
        <f t="shared" si="0"/>
        <v>42002</v>
      </c>
      <c r="D59" s="335"/>
      <c r="G59" s="496"/>
      <c r="H59" s="497"/>
      <c r="I59" s="541">
        <f t="shared" si="1"/>
        <v>26905055</v>
      </c>
      <c r="J59" s="499"/>
      <c r="K59" s="347"/>
      <c r="L59" s="500"/>
      <c r="M59" s="501"/>
      <c r="N59" s="549">
        <f t="shared" si="2"/>
        <v>0</v>
      </c>
      <c r="O59" s="503"/>
      <c r="P59" s="347"/>
      <c r="Q59" s="504"/>
      <c r="R59" s="505"/>
      <c r="S59" s="556">
        <f t="shared" si="3"/>
        <v>200000</v>
      </c>
      <c r="T59" s="506"/>
      <c r="V59" s="507"/>
      <c r="W59" s="508"/>
      <c r="X59" s="560">
        <f t="shared" si="4"/>
        <v>200000</v>
      </c>
      <c r="Y59" s="509"/>
      <c r="AA59" s="510"/>
      <c r="AB59" s="511"/>
      <c r="AC59" s="564">
        <f t="shared" si="5"/>
        <v>77984</v>
      </c>
      <c r="AD59" s="512"/>
      <c r="AE59" s="513"/>
      <c r="AF59" s="514"/>
      <c r="AG59" s="515"/>
      <c r="AH59" s="568">
        <f t="shared" si="6"/>
        <v>69222</v>
      </c>
      <c r="AI59" s="516"/>
      <c r="AJ59" s="513"/>
      <c r="AK59" s="514"/>
      <c r="AL59" s="515"/>
      <c r="AM59" s="568">
        <f t="shared" si="7"/>
        <v>63999</v>
      </c>
      <c r="AN59" s="516"/>
      <c r="AO59" s="347"/>
      <c r="AP59" s="636"/>
      <c r="AQ59" s="626"/>
      <c r="AR59" s="629"/>
      <c r="AT59" s="627"/>
      <c r="AU59" s="341"/>
      <c r="AV59" s="628"/>
      <c r="AX59" s="595"/>
      <c r="AY59" s="594"/>
      <c r="BA59" s="1280" t="s">
        <v>899</v>
      </c>
      <c r="BB59" s="1269"/>
      <c r="BC59" s="1257"/>
      <c r="BD59" s="1257"/>
      <c r="BE59" s="1257"/>
      <c r="BF59" s="1270"/>
      <c r="BG59" s="1293">
        <f t="shared" si="11"/>
        <v>0</v>
      </c>
    </row>
    <row r="60" spans="1:59">
      <c r="A60" s="332"/>
      <c r="B60" s="334"/>
      <c r="C60" s="379">
        <f t="shared" si="0"/>
        <v>42002</v>
      </c>
      <c r="D60" s="335"/>
      <c r="G60" s="496"/>
      <c r="H60" s="497"/>
      <c r="I60" s="541">
        <f t="shared" si="1"/>
        <v>26905055</v>
      </c>
      <c r="J60" s="499"/>
      <c r="K60" s="347"/>
      <c r="L60" s="500"/>
      <c r="M60" s="501"/>
      <c r="N60" s="549">
        <f t="shared" si="2"/>
        <v>0</v>
      </c>
      <c r="O60" s="503"/>
      <c r="P60" s="347"/>
      <c r="Q60" s="504"/>
      <c r="R60" s="505"/>
      <c r="S60" s="556">
        <f t="shared" si="3"/>
        <v>200000</v>
      </c>
      <c r="T60" s="506"/>
      <c r="V60" s="507"/>
      <c r="W60" s="508"/>
      <c r="X60" s="560">
        <f t="shared" si="4"/>
        <v>200000</v>
      </c>
      <c r="Y60" s="509"/>
      <c r="AA60" s="510"/>
      <c r="AB60" s="511"/>
      <c r="AC60" s="564">
        <f t="shared" si="5"/>
        <v>77984</v>
      </c>
      <c r="AD60" s="512"/>
      <c r="AE60" s="513"/>
      <c r="AF60" s="514"/>
      <c r="AG60" s="515"/>
      <c r="AH60" s="568">
        <f t="shared" si="6"/>
        <v>69222</v>
      </c>
      <c r="AI60" s="516"/>
      <c r="AJ60" s="513"/>
      <c r="AK60" s="514"/>
      <c r="AL60" s="515"/>
      <c r="AM60" s="568">
        <f t="shared" si="7"/>
        <v>63999</v>
      </c>
      <c r="AN60" s="516"/>
      <c r="AO60" s="347"/>
      <c r="AP60" s="636"/>
      <c r="AQ60" s="626"/>
      <c r="AR60" s="629"/>
      <c r="AT60" s="627"/>
      <c r="AU60" s="341"/>
      <c r="AV60" s="628"/>
      <c r="AX60" s="595"/>
      <c r="AY60" s="594"/>
      <c r="BA60" s="1279" t="s">
        <v>832</v>
      </c>
      <c r="BB60" s="1271"/>
      <c r="BC60" s="1258"/>
      <c r="BD60" s="1258"/>
      <c r="BE60" s="1258"/>
      <c r="BF60" s="1270"/>
      <c r="BG60" s="1293">
        <f t="shared" si="11"/>
        <v>0</v>
      </c>
    </row>
    <row r="61" spans="1:59">
      <c r="A61" s="332"/>
      <c r="B61" s="334"/>
      <c r="C61" s="379">
        <f t="shared" si="0"/>
        <v>42002</v>
      </c>
      <c r="D61" s="335"/>
      <c r="G61" s="496"/>
      <c r="H61" s="497"/>
      <c r="I61" s="541">
        <f t="shared" si="1"/>
        <v>26905055</v>
      </c>
      <c r="J61" s="499"/>
      <c r="K61" s="347"/>
      <c r="L61" s="500"/>
      <c r="M61" s="501"/>
      <c r="N61" s="549">
        <f t="shared" si="2"/>
        <v>0</v>
      </c>
      <c r="O61" s="503"/>
      <c r="P61" s="347"/>
      <c r="Q61" s="504"/>
      <c r="R61" s="505"/>
      <c r="S61" s="556">
        <f t="shared" si="3"/>
        <v>200000</v>
      </c>
      <c r="T61" s="506"/>
      <c r="V61" s="507"/>
      <c r="W61" s="508"/>
      <c r="X61" s="560">
        <f t="shared" si="4"/>
        <v>200000</v>
      </c>
      <c r="Y61" s="509"/>
      <c r="AA61" s="510"/>
      <c r="AB61" s="511"/>
      <c r="AC61" s="564">
        <f t="shared" si="5"/>
        <v>77984</v>
      </c>
      <c r="AD61" s="512"/>
      <c r="AE61" s="513"/>
      <c r="AF61" s="514"/>
      <c r="AG61" s="515"/>
      <c r="AH61" s="568">
        <f t="shared" si="6"/>
        <v>69222</v>
      </c>
      <c r="AI61" s="516"/>
      <c r="AJ61" s="513"/>
      <c r="AK61" s="514"/>
      <c r="AL61" s="515"/>
      <c r="AM61" s="568">
        <f t="shared" si="7"/>
        <v>63999</v>
      </c>
      <c r="AN61" s="516"/>
      <c r="AO61" s="347"/>
      <c r="AP61" s="636"/>
      <c r="AQ61" s="626"/>
      <c r="AR61" s="629"/>
      <c r="AT61" s="627"/>
      <c r="AU61" s="341"/>
      <c r="AV61" s="628"/>
      <c r="AX61" s="595"/>
      <c r="AY61" s="594"/>
      <c r="BA61" s="1309" t="s">
        <v>234</v>
      </c>
      <c r="BB61" s="1305"/>
      <c r="BC61" s="1300"/>
      <c r="BD61" s="1300"/>
      <c r="BE61" s="1300"/>
      <c r="BF61" s="1301"/>
      <c r="BG61" s="1293">
        <f t="shared" si="11"/>
        <v>0</v>
      </c>
    </row>
    <row r="62" spans="1:59">
      <c r="A62" s="332"/>
      <c r="B62" s="334"/>
      <c r="C62" s="379">
        <f t="shared" si="0"/>
        <v>42002</v>
      </c>
      <c r="D62" s="335"/>
      <c r="G62" s="496"/>
      <c r="H62" s="497"/>
      <c r="I62" s="541">
        <f t="shared" si="1"/>
        <v>26905055</v>
      </c>
      <c r="J62" s="499"/>
      <c r="K62" s="347"/>
      <c r="L62" s="500"/>
      <c r="M62" s="501"/>
      <c r="N62" s="549">
        <f t="shared" si="2"/>
        <v>0</v>
      </c>
      <c r="O62" s="503"/>
      <c r="P62" s="347"/>
      <c r="Q62" s="504"/>
      <c r="R62" s="505"/>
      <c r="S62" s="556">
        <f t="shared" si="3"/>
        <v>200000</v>
      </c>
      <c r="T62" s="506"/>
      <c r="V62" s="507"/>
      <c r="W62" s="508"/>
      <c r="X62" s="560">
        <f t="shared" si="4"/>
        <v>200000</v>
      </c>
      <c r="Y62" s="509"/>
      <c r="AA62" s="510"/>
      <c r="AB62" s="511"/>
      <c r="AC62" s="564">
        <f t="shared" si="5"/>
        <v>77984</v>
      </c>
      <c r="AD62" s="512"/>
      <c r="AE62" s="513"/>
      <c r="AF62" s="514"/>
      <c r="AG62" s="515"/>
      <c r="AH62" s="568">
        <f t="shared" si="6"/>
        <v>69222</v>
      </c>
      <c r="AI62" s="516"/>
      <c r="AJ62" s="513"/>
      <c r="AK62" s="514"/>
      <c r="AL62" s="515"/>
      <c r="AM62" s="568">
        <f t="shared" si="7"/>
        <v>63999</v>
      </c>
      <c r="AN62" s="516"/>
      <c r="AO62" s="347"/>
      <c r="AP62" s="636"/>
      <c r="AQ62" s="626"/>
      <c r="AR62" s="629"/>
      <c r="AT62" s="627"/>
      <c r="AU62" s="341"/>
      <c r="AV62" s="628"/>
      <c r="AX62" s="595"/>
      <c r="AY62" s="594"/>
      <c r="BA62" s="1310" t="s">
        <v>235</v>
      </c>
      <c r="BB62" s="507"/>
      <c r="BC62" s="508"/>
      <c r="BD62" s="508"/>
      <c r="BE62" s="508"/>
      <c r="BF62" s="509"/>
      <c r="BG62" s="1293">
        <f t="shared" si="11"/>
        <v>0</v>
      </c>
    </row>
    <row r="63" spans="1:59" ht="15" thickBot="1">
      <c r="A63" s="332"/>
      <c r="B63" s="334"/>
      <c r="C63" s="379">
        <f t="shared" si="0"/>
        <v>42002</v>
      </c>
      <c r="D63" s="335"/>
      <c r="G63" s="496"/>
      <c r="H63" s="497"/>
      <c r="I63" s="541">
        <f t="shared" si="1"/>
        <v>26905055</v>
      </c>
      <c r="J63" s="499"/>
      <c r="K63" s="347"/>
      <c r="L63" s="500"/>
      <c r="M63" s="501"/>
      <c r="N63" s="549">
        <f t="shared" si="2"/>
        <v>0</v>
      </c>
      <c r="O63" s="503"/>
      <c r="P63" s="347"/>
      <c r="Q63" s="504"/>
      <c r="R63" s="505"/>
      <c r="S63" s="556">
        <f t="shared" si="3"/>
        <v>200000</v>
      </c>
      <c r="T63" s="506"/>
      <c r="V63" s="507"/>
      <c r="W63" s="508"/>
      <c r="X63" s="560">
        <f t="shared" si="4"/>
        <v>200000</v>
      </c>
      <c r="Y63" s="509"/>
      <c r="AA63" s="510"/>
      <c r="AB63" s="511"/>
      <c r="AC63" s="564">
        <f t="shared" si="5"/>
        <v>77984</v>
      </c>
      <c r="AD63" s="512"/>
      <c r="AE63" s="513"/>
      <c r="AF63" s="514"/>
      <c r="AG63" s="515"/>
      <c r="AH63" s="568">
        <f t="shared" si="6"/>
        <v>69222</v>
      </c>
      <c r="AI63" s="516"/>
      <c r="AJ63" s="513"/>
      <c r="AK63" s="514"/>
      <c r="AL63" s="515"/>
      <c r="AM63" s="568">
        <f t="shared" si="7"/>
        <v>63999</v>
      </c>
      <c r="AN63" s="516"/>
      <c r="AO63" s="347"/>
      <c r="AP63" s="636"/>
      <c r="AQ63" s="626"/>
      <c r="AR63" s="629"/>
      <c r="AT63" s="627"/>
      <c r="AU63" s="341"/>
      <c r="AV63" s="628"/>
      <c r="AX63" s="595"/>
      <c r="AY63" s="594"/>
      <c r="BA63" s="1311"/>
      <c r="BB63" s="1306"/>
      <c r="BC63" s="1307"/>
      <c r="BD63" s="1307"/>
      <c r="BE63" s="1307"/>
      <c r="BF63" s="1308"/>
      <c r="BG63" s="1294">
        <f t="shared" si="11"/>
        <v>0</v>
      </c>
    </row>
    <row r="64" spans="1:59" ht="15" thickBot="1">
      <c r="A64" s="332"/>
      <c r="B64" s="334"/>
      <c r="C64" s="379">
        <f t="shared" si="0"/>
        <v>42002</v>
      </c>
      <c r="D64" s="335"/>
      <c r="G64" s="496"/>
      <c r="H64" s="497"/>
      <c r="I64" s="541">
        <f t="shared" si="1"/>
        <v>26905055</v>
      </c>
      <c r="J64" s="499"/>
      <c r="K64" s="347"/>
      <c r="L64" s="500"/>
      <c r="M64" s="501"/>
      <c r="N64" s="549">
        <f t="shared" si="2"/>
        <v>0</v>
      </c>
      <c r="O64" s="503"/>
      <c r="P64" s="347"/>
      <c r="Q64" s="504"/>
      <c r="R64" s="505"/>
      <c r="S64" s="556">
        <f t="shared" si="3"/>
        <v>200000</v>
      </c>
      <c r="T64" s="506"/>
      <c r="V64" s="507"/>
      <c r="W64" s="508"/>
      <c r="X64" s="560">
        <f t="shared" si="4"/>
        <v>200000</v>
      </c>
      <c r="Y64" s="509"/>
      <c r="AA64" s="510"/>
      <c r="AB64" s="511"/>
      <c r="AC64" s="564">
        <f t="shared" si="5"/>
        <v>77984</v>
      </c>
      <c r="AD64" s="512"/>
      <c r="AE64" s="513"/>
      <c r="AF64" s="514"/>
      <c r="AG64" s="515"/>
      <c r="AH64" s="568">
        <f t="shared" si="6"/>
        <v>69222</v>
      </c>
      <c r="AI64" s="516"/>
      <c r="AJ64" s="513"/>
      <c r="AK64" s="514"/>
      <c r="AL64" s="515"/>
      <c r="AM64" s="568">
        <f t="shared" si="7"/>
        <v>63999</v>
      </c>
      <c r="AN64" s="516"/>
      <c r="AO64" s="347"/>
      <c r="AP64" s="636"/>
      <c r="AQ64" s="626"/>
      <c r="AR64" s="629"/>
      <c r="AT64" s="627"/>
      <c r="AU64" s="341"/>
      <c r="AV64" s="628"/>
      <c r="AX64" s="595"/>
      <c r="AY64" s="594"/>
      <c r="BA64" s="1534"/>
      <c r="BB64" s="1535"/>
      <c r="BC64" s="1535"/>
      <c r="BD64" s="1535"/>
      <c r="BE64" s="1535"/>
      <c r="BF64" s="1536"/>
      <c r="BG64" s="1291">
        <f>SUM(BG30:BG63)</f>
        <v>0</v>
      </c>
    </row>
    <row r="65" spans="1:59" ht="15" thickTop="1">
      <c r="A65" s="332"/>
      <c r="B65" s="334"/>
      <c r="C65" s="379">
        <f t="shared" si="0"/>
        <v>42002</v>
      </c>
      <c r="D65" s="335"/>
      <c r="G65" s="496"/>
      <c r="H65" s="497"/>
      <c r="I65" s="541">
        <f t="shared" si="1"/>
        <v>26905055</v>
      </c>
      <c r="J65" s="499"/>
      <c r="K65" s="347"/>
      <c r="L65" s="500"/>
      <c r="M65" s="501"/>
      <c r="N65" s="549">
        <f t="shared" si="2"/>
        <v>0</v>
      </c>
      <c r="O65" s="503"/>
      <c r="P65" s="347"/>
      <c r="Q65" s="504"/>
      <c r="R65" s="505"/>
      <c r="S65" s="556">
        <f t="shared" si="3"/>
        <v>200000</v>
      </c>
      <c r="T65" s="506"/>
      <c r="V65" s="507"/>
      <c r="W65" s="508"/>
      <c r="X65" s="560">
        <f t="shared" si="4"/>
        <v>200000</v>
      </c>
      <c r="Y65" s="509"/>
      <c r="AA65" s="510"/>
      <c r="AB65" s="511"/>
      <c r="AC65" s="564">
        <f t="shared" si="5"/>
        <v>77984</v>
      </c>
      <c r="AD65" s="512"/>
      <c r="AE65" s="513"/>
      <c r="AF65" s="514"/>
      <c r="AG65" s="515"/>
      <c r="AH65" s="568">
        <f t="shared" si="6"/>
        <v>69222</v>
      </c>
      <c r="AI65" s="516"/>
      <c r="AJ65" s="513"/>
      <c r="AK65" s="514"/>
      <c r="AL65" s="515"/>
      <c r="AM65" s="568">
        <f t="shared" si="7"/>
        <v>63999</v>
      </c>
      <c r="AN65" s="516"/>
      <c r="AO65" s="347"/>
      <c r="AP65" s="636"/>
      <c r="AQ65" s="626"/>
      <c r="AR65" s="629"/>
      <c r="AT65" s="627"/>
      <c r="AU65" s="341"/>
      <c r="AV65" s="628"/>
      <c r="AX65" s="595"/>
      <c r="AY65" s="594"/>
    </row>
    <row r="66" spans="1:59" ht="15" thickBot="1">
      <c r="A66" s="332"/>
      <c r="B66" s="334"/>
      <c r="C66" s="379">
        <f t="shared" si="0"/>
        <v>42002</v>
      </c>
      <c r="D66" s="335"/>
      <c r="G66" s="496"/>
      <c r="H66" s="497"/>
      <c r="I66" s="541">
        <f t="shared" si="1"/>
        <v>26905055</v>
      </c>
      <c r="J66" s="499"/>
      <c r="K66" s="347"/>
      <c r="L66" s="500"/>
      <c r="M66" s="501"/>
      <c r="N66" s="549">
        <f t="shared" si="2"/>
        <v>0</v>
      </c>
      <c r="O66" s="503"/>
      <c r="P66" s="347"/>
      <c r="Q66" s="504"/>
      <c r="R66" s="505"/>
      <c r="S66" s="556">
        <f t="shared" si="3"/>
        <v>200000</v>
      </c>
      <c r="T66" s="506"/>
      <c r="V66" s="507"/>
      <c r="W66" s="508"/>
      <c r="X66" s="560">
        <f t="shared" si="4"/>
        <v>200000</v>
      </c>
      <c r="Y66" s="509"/>
      <c r="AA66" s="510"/>
      <c r="AB66" s="511"/>
      <c r="AC66" s="564">
        <f t="shared" si="5"/>
        <v>77984</v>
      </c>
      <c r="AD66" s="512"/>
      <c r="AE66" s="513"/>
      <c r="AF66" s="514"/>
      <c r="AG66" s="515"/>
      <c r="AH66" s="568">
        <f t="shared" si="6"/>
        <v>69222</v>
      </c>
      <c r="AI66" s="516"/>
      <c r="AJ66" s="513"/>
      <c r="AK66" s="514"/>
      <c r="AL66" s="515"/>
      <c r="AM66" s="568">
        <f t="shared" si="7"/>
        <v>63999</v>
      </c>
      <c r="AN66" s="516"/>
      <c r="AO66" s="347"/>
      <c r="AP66" s="636"/>
      <c r="AQ66" s="626"/>
      <c r="AR66" s="629"/>
      <c r="AT66" s="627"/>
      <c r="AU66" s="341"/>
      <c r="AV66" s="628"/>
      <c r="AX66" s="595"/>
      <c r="AY66" s="594"/>
    </row>
    <row r="67" spans="1:59" ht="15" thickTop="1">
      <c r="A67" s="332"/>
      <c r="B67" s="334"/>
      <c r="C67" s="379">
        <f t="shared" si="0"/>
        <v>42002</v>
      </c>
      <c r="D67" s="335"/>
      <c r="G67" s="496"/>
      <c r="H67" s="497"/>
      <c r="I67" s="541">
        <f t="shared" si="1"/>
        <v>26905055</v>
      </c>
      <c r="J67" s="499"/>
      <c r="K67" s="347"/>
      <c r="L67" s="500"/>
      <c r="M67" s="501"/>
      <c r="N67" s="549">
        <f t="shared" si="2"/>
        <v>0</v>
      </c>
      <c r="O67" s="503"/>
      <c r="P67" s="347"/>
      <c r="Q67" s="504"/>
      <c r="R67" s="505"/>
      <c r="S67" s="556">
        <f t="shared" si="3"/>
        <v>200000</v>
      </c>
      <c r="T67" s="506"/>
      <c r="V67" s="507"/>
      <c r="W67" s="508"/>
      <c r="X67" s="560">
        <f t="shared" si="4"/>
        <v>200000</v>
      </c>
      <c r="Y67" s="509"/>
      <c r="AA67" s="510"/>
      <c r="AB67" s="511"/>
      <c r="AC67" s="564">
        <f t="shared" si="5"/>
        <v>77984</v>
      </c>
      <c r="AD67" s="512"/>
      <c r="AE67" s="513"/>
      <c r="AF67" s="514"/>
      <c r="AG67" s="515"/>
      <c r="AH67" s="568">
        <f t="shared" si="6"/>
        <v>69222</v>
      </c>
      <c r="AI67" s="516"/>
      <c r="AJ67" s="513"/>
      <c r="AK67" s="514"/>
      <c r="AL67" s="515"/>
      <c r="AM67" s="568">
        <f t="shared" si="7"/>
        <v>63999</v>
      </c>
      <c r="AN67" s="516"/>
      <c r="AO67" s="347"/>
      <c r="AP67" s="636"/>
      <c r="AQ67" s="626"/>
      <c r="AR67" s="629"/>
      <c r="AT67" s="627"/>
      <c r="AU67" s="341"/>
      <c r="AV67" s="628"/>
      <c r="AX67" s="595"/>
      <c r="AY67" s="594"/>
      <c r="BA67" s="1525" t="s">
        <v>367</v>
      </c>
      <c r="BB67" s="1526"/>
      <c r="BC67" s="1526"/>
      <c r="BD67" s="1526"/>
      <c r="BE67" s="1526"/>
      <c r="BF67" s="1527"/>
    </row>
    <row r="68" spans="1:59" ht="15" thickBot="1">
      <c r="A68" s="332"/>
      <c r="B68" s="334"/>
      <c r="C68" s="379">
        <f t="shared" si="0"/>
        <v>42002</v>
      </c>
      <c r="D68" s="335"/>
      <c r="G68" s="496"/>
      <c r="H68" s="497"/>
      <c r="I68" s="541">
        <f t="shared" si="1"/>
        <v>26905055</v>
      </c>
      <c r="J68" s="499"/>
      <c r="K68" s="347"/>
      <c r="L68" s="500"/>
      <c r="M68" s="501"/>
      <c r="N68" s="549">
        <f t="shared" si="2"/>
        <v>0</v>
      </c>
      <c r="O68" s="503"/>
      <c r="P68" s="347"/>
      <c r="Q68" s="504"/>
      <c r="R68" s="505"/>
      <c r="S68" s="556">
        <f t="shared" si="3"/>
        <v>200000</v>
      </c>
      <c r="T68" s="506"/>
      <c r="V68" s="507"/>
      <c r="W68" s="508"/>
      <c r="X68" s="560">
        <f t="shared" si="4"/>
        <v>200000</v>
      </c>
      <c r="Y68" s="509"/>
      <c r="AA68" s="510"/>
      <c r="AB68" s="511"/>
      <c r="AC68" s="564">
        <f t="shared" si="5"/>
        <v>77984</v>
      </c>
      <c r="AD68" s="512"/>
      <c r="AE68" s="513"/>
      <c r="AF68" s="514"/>
      <c r="AG68" s="515"/>
      <c r="AH68" s="568">
        <f t="shared" si="6"/>
        <v>69222</v>
      </c>
      <c r="AI68" s="516"/>
      <c r="AJ68" s="513"/>
      <c r="AK68" s="514"/>
      <c r="AL68" s="515"/>
      <c r="AM68" s="568">
        <f t="shared" si="7"/>
        <v>63999</v>
      </c>
      <c r="AN68" s="516"/>
      <c r="AO68" s="347"/>
      <c r="AP68" s="636"/>
      <c r="AQ68" s="626"/>
      <c r="AR68" s="629"/>
      <c r="AT68" s="627"/>
      <c r="AU68" s="341"/>
      <c r="AV68" s="628"/>
      <c r="AX68" s="595"/>
      <c r="AY68" s="594"/>
      <c r="BA68" s="1248" t="s">
        <v>892</v>
      </c>
      <c r="BB68" s="1528" t="s">
        <v>893</v>
      </c>
      <c r="BC68" s="1529"/>
      <c r="BD68" s="1530"/>
      <c r="BE68" s="1249" t="s">
        <v>894</v>
      </c>
      <c r="BF68" s="1250" t="s">
        <v>884</v>
      </c>
    </row>
    <row r="69" spans="1:59">
      <c r="A69" s="332"/>
      <c r="B69" s="334"/>
      <c r="C69" s="379">
        <f t="shared" si="0"/>
        <v>42002</v>
      </c>
      <c r="D69" s="335"/>
      <c r="G69" s="496"/>
      <c r="H69" s="497"/>
      <c r="I69" s="541">
        <f t="shared" si="1"/>
        <v>26905055</v>
      </c>
      <c r="J69" s="499"/>
      <c r="K69" s="347"/>
      <c r="L69" s="500"/>
      <c r="M69" s="501"/>
      <c r="N69" s="549">
        <f t="shared" si="2"/>
        <v>0</v>
      </c>
      <c r="O69" s="503"/>
      <c r="P69" s="347"/>
      <c r="Q69" s="504"/>
      <c r="R69" s="505"/>
      <c r="S69" s="556">
        <f t="shared" si="3"/>
        <v>200000</v>
      </c>
      <c r="T69" s="506"/>
      <c r="V69" s="507"/>
      <c r="W69" s="508"/>
      <c r="X69" s="560">
        <f t="shared" si="4"/>
        <v>200000</v>
      </c>
      <c r="Y69" s="509"/>
      <c r="AA69" s="510"/>
      <c r="AB69" s="511"/>
      <c r="AC69" s="564">
        <f t="shared" si="5"/>
        <v>77984</v>
      </c>
      <c r="AD69" s="512"/>
      <c r="AE69" s="513"/>
      <c r="AF69" s="514"/>
      <c r="AG69" s="515"/>
      <c r="AH69" s="568">
        <f t="shared" si="6"/>
        <v>69222</v>
      </c>
      <c r="AI69" s="516"/>
      <c r="AJ69" s="513"/>
      <c r="AK69" s="514"/>
      <c r="AL69" s="515"/>
      <c r="AM69" s="568">
        <f t="shared" si="7"/>
        <v>63999</v>
      </c>
      <c r="AN69" s="516"/>
      <c r="AO69" s="347"/>
      <c r="AP69" s="636"/>
      <c r="AQ69" s="626"/>
      <c r="AR69" s="629"/>
      <c r="AT69" s="627"/>
      <c r="AU69" s="341"/>
      <c r="AV69" s="628"/>
      <c r="AX69" s="595"/>
      <c r="AY69" s="594"/>
      <c r="BA69" s="1251" t="s">
        <v>365</v>
      </c>
      <c r="BB69" s="1252"/>
      <c r="BC69" s="1253"/>
      <c r="BD69" s="1193"/>
      <c r="BE69" s="1254"/>
      <c r="BF69" s="1255">
        <f>SUM(BB69:BE69)</f>
        <v>0</v>
      </c>
    </row>
    <row r="70" spans="1:59">
      <c r="A70" s="332"/>
      <c r="B70" s="334"/>
      <c r="C70" s="379">
        <f t="shared" si="0"/>
        <v>42002</v>
      </c>
      <c r="D70" s="335"/>
      <c r="G70" s="496"/>
      <c r="H70" s="497"/>
      <c r="I70" s="541">
        <f t="shared" si="1"/>
        <v>26905055</v>
      </c>
      <c r="J70" s="499"/>
      <c r="K70" s="347"/>
      <c r="L70" s="500"/>
      <c r="M70" s="501"/>
      <c r="N70" s="549">
        <f t="shared" si="2"/>
        <v>0</v>
      </c>
      <c r="O70" s="503"/>
      <c r="P70" s="347"/>
      <c r="Q70" s="504"/>
      <c r="R70" s="505"/>
      <c r="S70" s="556">
        <f t="shared" si="3"/>
        <v>200000</v>
      </c>
      <c r="T70" s="506"/>
      <c r="V70" s="507"/>
      <c r="W70" s="508"/>
      <c r="X70" s="560">
        <f t="shared" si="4"/>
        <v>200000</v>
      </c>
      <c r="Y70" s="509"/>
      <c r="AA70" s="510"/>
      <c r="AB70" s="511"/>
      <c r="AC70" s="564">
        <f t="shared" si="5"/>
        <v>77984</v>
      </c>
      <c r="AD70" s="512"/>
      <c r="AE70" s="513"/>
      <c r="AF70" s="514"/>
      <c r="AG70" s="515"/>
      <c r="AH70" s="568">
        <f t="shared" si="6"/>
        <v>69222</v>
      </c>
      <c r="AI70" s="516"/>
      <c r="AJ70" s="513"/>
      <c r="AK70" s="514"/>
      <c r="AL70" s="515"/>
      <c r="AM70" s="568">
        <f t="shared" si="7"/>
        <v>63999</v>
      </c>
      <c r="AN70" s="516"/>
      <c r="AO70" s="347"/>
      <c r="AP70" s="636"/>
      <c r="AQ70" s="626"/>
      <c r="AR70" s="629"/>
      <c r="AT70" s="627"/>
      <c r="AU70" s="341"/>
      <c r="AV70" s="628"/>
      <c r="AX70" s="595"/>
      <c r="AY70" s="594"/>
      <c r="BA70" s="1239" t="s">
        <v>366</v>
      </c>
      <c r="BB70" s="595"/>
      <c r="BC70" s="596"/>
      <c r="BD70" s="1194"/>
      <c r="BE70" s="412"/>
      <c r="BF70" s="1240">
        <f>SUM(BB70:BE70)</f>
        <v>0</v>
      </c>
    </row>
    <row r="71" spans="1:59">
      <c r="A71" s="332"/>
      <c r="B71" s="334"/>
      <c r="C71" s="379">
        <f t="shared" ref="C71:C134" si="12">C70+A71-B71</f>
        <v>42002</v>
      </c>
      <c r="D71" s="335"/>
      <c r="G71" s="496"/>
      <c r="H71" s="497"/>
      <c r="I71" s="541">
        <f t="shared" ref="I71:I134" si="13">I70+G71-H71</f>
        <v>26905055</v>
      </c>
      <c r="J71" s="499"/>
      <c r="K71" s="347"/>
      <c r="L71" s="500"/>
      <c r="M71" s="501"/>
      <c r="N71" s="549">
        <f t="shared" ref="N71:N134" si="14">N70+L71-M71</f>
        <v>0</v>
      </c>
      <c r="O71" s="503"/>
      <c r="P71" s="347"/>
      <c r="Q71" s="504"/>
      <c r="R71" s="505"/>
      <c r="S71" s="556">
        <f t="shared" ref="S71:S134" si="15">S70+Q71-R71</f>
        <v>200000</v>
      </c>
      <c r="T71" s="506"/>
      <c r="V71" s="507"/>
      <c r="W71" s="508"/>
      <c r="X71" s="560">
        <f t="shared" ref="X71:X134" si="16">X70+V71-W71</f>
        <v>200000</v>
      </c>
      <c r="Y71" s="509"/>
      <c r="AA71" s="510"/>
      <c r="AB71" s="511"/>
      <c r="AC71" s="564">
        <f t="shared" ref="AC71:AC134" si="17">AC70+AA71-AB71</f>
        <v>77984</v>
      </c>
      <c r="AD71" s="512"/>
      <c r="AE71" s="513"/>
      <c r="AF71" s="514"/>
      <c r="AG71" s="515"/>
      <c r="AH71" s="568">
        <f t="shared" ref="AH71:AH134" si="18">AH70+AF71-AG71</f>
        <v>69222</v>
      </c>
      <c r="AI71" s="516"/>
      <c r="AJ71" s="513"/>
      <c r="AK71" s="514"/>
      <c r="AL71" s="515"/>
      <c r="AM71" s="568">
        <f t="shared" ref="AM71:AM134" si="19">AM70+AK71-AL71</f>
        <v>63999</v>
      </c>
      <c r="AN71" s="516"/>
      <c r="AO71" s="347"/>
      <c r="AP71" s="636"/>
      <c r="AQ71" s="626"/>
      <c r="AR71" s="629"/>
      <c r="AT71" s="627"/>
      <c r="AU71" s="341"/>
      <c r="AV71" s="628"/>
      <c r="AX71" s="595"/>
      <c r="AY71" s="594"/>
      <c r="BA71" s="1239"/>
      <c r="BB71" s="595"/>
      <c r="BC71" s="596"/>
      <c r="BD71" s="1194"/>
      <c r="BE71" s="412"/>
      <c r="BF71" s="1240">
        <f t="shared" ref="BF71:BF72" si="20">SUM(BB71:BE71)</f>
        <v>0</v>
      </c>
    </row>
    <row r="72" spans="1:59">
      <c r="A72" s="332"/>
      <c r="B72" s="334"/>
      <c r="C72" s="379">
        <f t="shared" si="12"/>
        <v>42002</v>
      </c>
      <c r="D72" s="335"/>
      <c r="G72" s="496"/>
      <c r="H72" s="497"/>
      <c r="I72" s="541">
        <f t="shared" si="13"/>
        <v>26905055</v>
      </c>
      <c r="J72" s="499"/>
      <c r="K72" s="347"/>
      <c r="L72" s="500"/>
      <c r="M72" s="501"/>
      <c r="N72" s="549">
        <f t="shared" si="14"/>
        <v>0</v>
      </c>
      <c r="O72" s="503"/>
      <c r="P72" s="347"/>
      <c r="Q72" s="504"/>
      <c r="R72" s="505"/>
      <c r="S72" s="556">
        <f t="shared" si="15"/>
        <v>200000</v>
      </c>
      <c r="T72" s="506"/>
      <c r="V72" s="507"/>
      <c r="W72" s="508"/>
      <c r="X72" s="560">
        <f t="shared" si="16"/>
        <v>200000</v>
      </c>
      <c r="Y72" s="509"/>
      <c r="AA72" s="510"/>
      <c r="AB72" s="511"/>
      <c r="AC72" s="564">
        <f t="shared" si="17"/>
        <v>77984</v>
      </c>
      <c r="AD72" s="512"/>
      <c r="AE72" s="513"/>
      <c r="AF72" s="514"/>
      <c r="AG72" s="515"/>
      <c r="AH72" s="568">
        <f t="shared" si="18"/>
        <v>69222</v>
      </c>
      <c r="AI72" s="516"/>
      <c r="AJ72" s="513"/>
      <c r="AK72" s="514"/>
      <c r="AL72" s="515"/>
      <c r="AM72" s="568">
        <f t="shared" si="19"/>
        <v>63999</v>
      </c>
      <c r="AN72" s="516"/>
      <c r="AO72" s="347"/>
      <c r="AP72" s="636"/>
      <c r="AQ72" s="626"/>
      <c r="AR72" s="629"/>
      <c r="AT72" s="627"/>
      <c r="AU72" s="341"/>
      <c r="AV72" s="628"/>
      <c r="AX72" s="595"/>
      <c r="AY72" s="594"/>
      <c r="BA72" s="1239"/>
      <c r="BB72" s="595"/>
      <c r="BC72" s="596"/>
      <c r="BD72" s="1194"/>
      <c r="BE72" s="412"/>
      <c r="BF72" s="1240">
        <f t="shared" si="20"/>
        <v>0</v>
      </c>
    </row>
    <row r="73" spans="1:59" ht="15" thickBot="1">
      <c r="A73" s="332"/>
      <c r="B73" s="334"/>
      <c r="C73" s="379">
        <f t="shared" si="12"/>
        <v>42002</v>
      </c>
      <c r="D73" s="335"/>
      <c r="G73" s="496"/>
      <c r="H73" s="497"/>
      <c r="I73" s="541">
        <f t="shared" si="13"/>
        <v>26905055</v>
      </c>
      <c r="J73" s="499"/>
      <c r="K73" s="347"/>
      <c r="L73" s="500"/>
      <c r="M73" s="501"/>
      <c r="N73" s="549">
        <f t="shared" si="14"/>
        <v>0</v>
      </c>
      <c r="O73" s="503"/>
      <c r="P73" s="347"/>
      <c r="Q73" s="504"/>
      <c r="R73" s="505"/>
      <c r="S73" s="556">
        <f t="shared" si="15"/>
        <v>200000</v>
      </c>
      <c r="T73" s="506"/>
      <c r="V73" s="507"/>
      <c r="W73" s="508"/>
      <c r="X73" s="560">
        <f t="shared" si="16"/>
        <v>200000</v>
      </c>
      <c r="Y73" s="509"/>
      <c r="AA73" s="510"/>
      <c r="AB73" s="511"/>
      <c r="AC73" s="564">
        <f t="shared" si="17"/>
        <v>77984</v>
      </c>
      <c r="AD73" s="512"/>
      <c r="AE73" s="513"/>
      <c r="AF73" s="514"/>
      <c r="AG73" s="515"/>
      <c r="AH73" s="568">
        <f t="shared" si="18"/>
        <v>69222</v>
      </c>
      <c r="AI73" s="516"/>
      <c r="AJ73" s="513"/>
      <c r="AK73" s="514"/>
      <c r="AL73" s="515"/>
      <c r="AM73" s="568">
        <f t="shared" si="19"/>
        <v>63999</v>
      </c>
      <c r="AN73" s="516"/>
      <c r="AO73" s="347"/>
      <c r="AP73" s="636"/>
      <c r="AQ73" s="626"/>
      <c r="AR73" s="629"/>
      <c r="AT73" s="627"/>
      <c r="AU73" s="341"/>
      <c r="AV73" s="628"/>
      <c r="AX73" s="595"/>
      <c r="AY73" s="594"/>
      <c r="BA73" s="1241"/>
      <c r="BB73" s="1242"/>
      <c r="BC73" s="1243"/>
      <c r="BD73" s="1244"/>
      <c r="BE73" s="1245"/>
      <c r="BF73" s="1246">
        <f>SUM(BB73:BE73)</f>
        <v>0</v>
      </c>
    </row>
    <row r="74" spans="1:59" ht="15" thickBot="1">
      <c r="A74" s="332"/>
      <c r="B74" s="334"/>
      <c r="C74" s="379">
        <f t="shared" si="12"/>
        <v>42002</v>
      </c>
      <c r="D74" s="335"/>
      <c r="G74" s="496"/>
      <c r="H74" s="497"/>
      <c r="I74" s="541">
        <f t="shared" si="13"/>
        <v>26905055</v>
      </c>
      <c r="J74" s="499"/>
      <c r="K74" s="347"/>
      <c r="L74" s="500"/>
      <c r="M74" s="501"/>
      <c r="N74" s="549">
        <f t="shared" si="14"/>
        <v>0</v>
      </c>
      <c r="O74" s="503"/>
      <c r="P74" s="347"/>
      <c r="Q74" s="504"/>
      <c r="R74" s="505"/>
      <c r="S74" s="556">
        <f t="shared" si="15"/>
        <v>200000</v>
      </c>
      <c r="T74" s="506"/>
      <c r="V74" s="507"/>
      <c r="W74" s="508"/>
      <c r="X74" s="560">
        <f t="shared" si="16"/>
        <v>200000</v>
      </c>
      <c r="Y74" s="509"/>
      <c r="AA74" s="510"/>
      <c r="AB74" s="511"/>
      <c r="AC74" s="564">
        <f t="shared" si="17"/>
        <v>77984</v>
      </c>
      <c r="AD74" s="512"/>
      <c r="AE74" s="513"/>
      <c r="AF74" s="514"/>
      <c r="AG74" s="515"/>
      <c r="AH74" s="568">
        <f t="shared" si="18"/>
        <v>69222</v>
      </c>
      <c r="AI74" s="516"/>
      <c r="AJ74" s="513"/>
      <c r="AK74" s="514"/>
      <c r="AL74" s="515"/>
      <c r="AM74" s="568">
        <f t="shared" si="19"/>
        <v>63999</v>
      </c>
      <c r="AN74" s="516"/>
      <c r="AO74" s="347"/>
      <c r="AP74" s="636"/>
      <c r="AQ74" s="626"/>
      <c r="AR74" s="629"/>
      <c r="AT74" s="627"/>
      <c r="AU74" s="341"/>
      <c r="AV74" s="628"/>
      <c r="AX74" s="595"/>
      <c r="AY74" s="594"/>
      <c r="BA74" s="1531" t="s">
        <v>13</v>
      </c>
      <c r="BB74" s="1532"/>
      <c r="BC74" s="1532"/>
      <c r="BD74" s="1532"/>
      <c r="BE74" s="1533"/>
      <c r="BF74" s="1247">
        <f>SUM(BF69:BF73)</f>
        <v>0</v>
      </c>
    </row>
    <row r="75" spans="1:59" ht="15" thickTop="1">
      <c r="A75" s="332"/>
      <c r="B75" s="334"/>
      <c r="C75" s="379">
        <f t="shared" si="12"/>
        <v>42002</v>
      </c>
      <c r="D75" s="335"/>
      <c r="G75" s="496"/>
      <c r="H75" s="497"/>
      <c r="I75" s="541">
        <f t="shared" si="13"/>
        <v>26905055</v>
      </c>
      <c r="J75" s="499"/>
      <c r="K75" s="347"/>
      <c r="L75" s="500"/>
      <c r="M75" s="501"/>
      <c r="N75" s="549">
        <f t="shared" si="14"/>
        <v>0</v>
      </c>
      <c r="O75" s="503"/>
      <c r="P75" s="347"/>
      <c r="Q75" s="504"/>
      <c r="R75" s="505"/>
      <c r="S75" s="556">
        <f t="shared" si="15"/>
        <v>200000</v>
      </c>
      <c r="T75" s="506"/>
      <c r="V75" s="507"/>
      <c r="W75" s="508"/>
      <c r="X75" s="560">
        <f t="shared" si="16"/>
        <v>200000</v>
      </c>
      <c r="Y75" s="509"/>
      <c r="AA75" s="510"/>
      <c r="AB75" s="511"/>
      <c r="AC75" s="564">
        <f t="shared" si="17"/>
        <v>77984</v>
      </c>
      <c r="AD75" s="512"/>
      <c r="AE75" s="513"/>
      <c r="AF75" s="514"/>
      <c r="AG75" s="515"/>
      <c r="AH75" s="568">
        <f t="shared" si="18"/>
        <v>69222</v>
      </c>
      <c r="AI75" s="516"/>
      <c r="AJ75" s="513"/>
      <c r="AK75" s="514"/>
      <c r="AL75" s="515"/>
      <c r="AM75" s="568">
        <f t="shared" si="19"/>
        <v>63999</v>
      </c>
      <c r="AN75" s="516"/>
      <c r="AO75" s="347"/>
      <c r="AP75" s="636"/>
      <c r="AQ75" s="626"/>
      <c r="AR75" s="629"/>
      <c r="AT75" s="627"/>
      <c r="AU75" s="341"/>
      <c r="AV75" s="628"/>
      <c r="AX75" s="595"/>
      <c r="AY75" s="594"/>
    </row>
    <row r="76" spans="1:59">
      <c r="A76" s="332"/>
      <c r="B76" s="334"/>
      <c r="C76" s="379">
        <f t="shared" si="12"/>
        <v>42002</v>
      </c>
      <c r="D76" s="335"/>
      <c r="G76" s="496"/>
      <c r="H76" s="497"/>
      <c r="I76" s="541">
        <f t="shared" si="13"/>
        <v>26905055</v>
      </c>
      <c r="J76" s="499"/>
      <c r="K76" s="347"/>
      <c r="L76" s="500"/>
      <c r="M76" s="501"/>
      <c r="N76" s="549">
        <f t="shared" si="14"/>
        <v>0</v>
      </c>
      <c r="O76" s="503"/>
      <c r="P76" s="347"/>
      <c r="Q76" s="504"/>
      <c r="R76" s="505"/>
      <c r="S76" s="556">
        <f t="shared" si="15"/>
        <v>200000</v>
      </c>
      <c r="T76" s="506"/>
      <c r="V76" s="507"/>
      <c r="W76" s="508"/>
      <c r="X76" s="560">
        <f t="shared" si="16"/>
        <v>200000</v>
      </c>
      <c r="Y76" s="509"/>
      <c r="AA76" s="510"/>
      <c r="AB76" s="511"/>
      <c r="AC76" s="564">
        <f t="shared" si="17"/>
        <v>77984</v>
      </c>
      <c r="AD76" s="512"/>
      <c r="AE76" s="513"/>
      <c r="AF76" s="514"/>
      <c r="AG76" s="515"/>
      <c r="AH76" s="568">
        <f t="shared" si="18"/>
        <v>69222</v>
      </c>
      <c r="AI76" s="516"/>
      <c r="AJ76" s="513"/>
      <c r="AK76" s="514"/>
      <c r="AL76" s="515"/>
      <c r="AM76" s="568">
        <f t="shared" si="19"/>
        <v>63999</v>
      </c>
      <c r="AN76" s="516"/>
      <c r="AO76" s="347"/>
      <c r="AP76" s="636"/>
      <c r="AQ76" s="626"/>
      <c r="AR76" s="629"/>
      <c r="AT76" s="627"/>
      <c r="AU76" s="341"/>
      <c r="AV76" s="628"/>
      <c r="AX76" s="595"/>
      <c r="AY76" s="594"/>
    </row>
    <row r="77" spans="1:59" ht="15" thickBot="1">
      <c r="A77" s="332"/>
      <c r="B77" s="334"/>
      <c r="C77" s="379">
        <f t="shared" si="12"/>
        <v>42002</v>
      </c>
      <c r="D77" s="335"/>
      <c r="G77" s="496"/>
      <c r="H77" s="497"/>
      <c r="I77" s="541">
        <f t="shared" si="13"/>
        <v>26905055</v>
      </c>
      <c r="J77" s="499"/>
      <c r="K77" s="347"/>
      <c r="L77" s="500"/>
      <c r="M77" s="501"/>
      <c r="N77" s="549">
        <f t="shared" si="14"/>
        <v>0</v>
      </c>
      <c r="O77" s="503"/>
      <c r="P77" s="347"/>
      <c r="Q77" s="504"/>
      <c r="R77" s="505"/>
      <c r="S77" s="556">
        <f t="shared" si="15"/>
        <v>200000</v>
      </c>
      <c r="T77" s="506"/>
      <c r="V77" s="507"/>
      <c r="W77" s="508"/>
      <c r="X77" s="560">
        <f t="shared" si="16"/>
        <v>200000</v>
      </c>
      <c r="Y77" s="509"/>
      <c r="AA77" s="510"/>
      <c r="AB77" s="511"/>
      <c r="AC77" s="564">
        <f t="shared" si="17"/>
        <v>77984</v>
      </c>
      <c r="AD77" s="512"/>
      <c r="AE77" s="513"/>
      <c r="AF77" s="514"/>
      <c r="AG77" s="515"/>
      <c r="AH77" s="568">
        <f t="shared" si="18"/>
        <v>69222</v>
      </c>
      <c r="AI77" s="516"/>
      <c r="AJ77" s="513"/>
      <c r="AK77" s="514"/>
      <c r="AL77" s="515"/>
      <c r="AM77" s="568">
        <f t="shared" si="19"/>
        <v>63999</v>
      </c>
      <c r="AN77" s="516"/>
      <c r="AO77" s="347"/>
      <c r="AP77" s="636"/>
      <c r="AQ77" s="626"/>
      <c r="AR77" s="629"/>
      <c r="AT77" s="627"/>
      <c r="AU77" s="341"/>
      <c r="AV77" s="628"/>
      <c r="AX77" s="595"/>
      <c r="AY77" s="594"/>
    </row>
    <row r="78" spans="1:59" ht="15" thickTop="1">
      <c r="A78" s="332"/>
      <c r="B78" s="334"/>
      <c r="C78" s="379">
        <f t="shared" si="12"/>
        <v>42002</v>
      </c>
      <c r="D78" s="335"/>
      <c r="G78" s="496"/>
      <c r="H78" s="497"/>
      <c r="I78" s="541">
        <f t="shared" si="13"/>
        <v>26905055</v>
      </c>
      <c r="J78" s="499"/>
      <c r="K78" s="347"/>
      <c r="L78" s="500"/>
      <c r="M78" s="501"/>
      <c r="N78" s="549">
        <f t="shared" si="14"/>
        <v>0</v>
      </c>
      <c r="O78" s="503"/>
      <c r="P78" s="347"/>
      <c r="Q78" s="504"/>
      <c r="R78" s="505"/>
      <c r="S78" s="556">
        <f t="shared" si="15"/>
        <v>200000</v>
      </c>
      <c r="T78" s="506"/>
      <c r="V78" s="507"/>
      <c r="W78" s="508"/>
      <c r="X78" s="560">
        <f t="shared" si="16"/>
        <v>200000</v>
      </c>
      <c r="Y78" s="509"/>
      <c r="AA78" s="510"/>
      <c r="AB78" s="511"/>
      <c r="AC78" s="564">
        <f t="shared" si="17"/>
        <v>77984</v>
      </c>
      <c r="AD78" s="512"/>
      <c r="AE78" s="513"/>
      <c r="AF78" s="514"/>
      <c r="AG78" s="515"/>
      <c r="AH78" s="568">
        <f t="shared" si="18"/>
        <v>69222</v>
      </c>
      <c r="AI78" s="516"/>
      <c r="AJ78" s="513"/>
      <c r="AK78" s="514"/>
      <c r="AL78" s="515"/>
      <c r="AM78" s="568">
        <f t="shared" si="19"/>
        <v>63999</v>
      </c>
      <c r="AN78" s="516"/>
      <c r="AO78" s="347"/>
      <c r="AP78" s="636"/>
      <c r="AQ78" s="626"/>
      <c r="AR78" s="629"/>
      <c r="AT78" s="627"/>
      <c r="AU78" s="341"/>
      <c r="AV78" s="628"/>
      <c r="AX78" s="595"/>
      <c r="AY78" s="594"/>
      <c r="BA78" s="1491" t="s">
        <v>156</v>
      </c>
      <c r="BB78" s="1492"/>
      <c r="BC78" s="1493"/>
      <c r="BE78" s="1481" t="s">
        <v>900</v>
      </c>
      <c r="BF78" s="1482"/>
      <c r="BG78" s="1483"/>
    </row>
    <row r="79" spans="1:59">
      <c r="A79" s="332"/>
      <c r="B79" s="334"/>
      <c r="C79" s="379">
        <f t="shared" si="12"/>
        <v>42002</v>
      </c>
      <c r="D79" s="335"/>
      <c r="G79" s="496"/>
      <c r="H79" s="497"/>
      <c r="I79" s="541">
        <f t="shared" si="13"/>
        <v>26905055</v>
      </c>
      <c r="J79" s="499"/>
      <c r="K79" s="347"/>
      <c r="L79" s="500"/>
      <c r="M79" s="501"/>
      <c r="N79" s="549">
        <f t="shared" si="14"/>
        <v>0</v>
      </c>
      <c r="O79" s="503"/>
      <c r="P79" s="347"/>
      <c r="Q79" s="504"/>
      <c r="R79" s="505"/>
      <c r="S79" s="556">
        <f t="shared" si="15"/>
        <v>200000</v>
      </c>
      <c r="T79" s="506"/>
      <c r="V79" s="507"/>
      <c r="W79" s="508"/>
      <c r="X79" s="560">
        <f t="shared" si="16"/>
        <v>200000</v>
      </c>
      <c r="Y79" s="509"/>
      <c r="AA79" s="510"/>
      <c r="AB79" s="511"/>
      <c r="AC79" s="564">
        <f t="shared" si="17"/>
        <v>77984</v>
      </c>
      <c r="AD79" s="512"/>
      <c r="AE79" s="513"/>
      <c r="AF79" s="514"/>
      <c r="AG79" s="515"/>
      <c r="AH79" s="568">
        <f t="shared" si="18"/>
        <v>69222</v>
      </c>
      <c r="AI79" s="516"/>
      <c r="AJ79" s="513"/>
      <c r="AK79" s="514"/>
      <c r="AL79" s="515"/>
      <c r="AM79" s="568">
        <f t="shared" si="19"/>
        <v>63999</v>
      </c>
      <c r="AN79" s="516"/>
      <c r="AO79" s="347"/>
      <c r="AP79" s="636"/>
      <c r="AQ79" s="626"/>
      <c r="AR79" s="629"/>
      <c r="AT79" s="627"/>
      <c r="AU79" s="341"/>
      <c r="AV79" s="628"/>
      <c r="AX79" s="595"/>
      <c r="AY79" s="594"/>
      <c r="BA79" s="1494" t="s">
        <v>160</v>
      </c>
      <c r="BB79" s="1495"/>
      <c r="BC79" s="1496"/>
      <c r="BE79" s="1484"/>
      <c r="BF79" s="1485"/>
      <c r="BG79" s="1486"/>
    </row>
    <row r="80" spans="1:59" ht="15" thickBot="1">
      <c r="A80" s="332"/>
      <c r="B80" s="334"/>
      <c r="C80" s="379">
        <f t="shared" si="12"/>
        <v>42002</v>
      </c>
      <c r="D80" s="335"/>
      <c r="G80" s="496"/>
      <c r="H80" s="497"/>
      <c r="I80" s="541">
        <f t="shared" si="13"/>
        <v>26905055</v>
      </c>
      <c r="J80" s="499"/>
      <c r="K80" s="347"/>
      <c r="L80" s="500"/>
      <c r="M80" s="501"/>
      <c r="N80" s="549">
        <f t="shared" si="14"/>
        <v>0</v>
      </c>
      <c r="O80" s="503"/>
      <c r="P80" s="347"/>
      <c r="Q80" s="504"/>
      <c r="R80" s="505"/>
      <c r="S80" s="556">
        <f t="shared" si="15"/>
        <v>200000</v>
      </c>
      <c r="T80" s="506"/>
      <c r="V80" s="507"/>
      <c r="W80" s="508"/>
      <c r="X80" s="560">
        <f t="shared" si="16"/>
        <v>200000</v>
      </c>
      <c r="Y80" s="509"/>
      <c r="AA80" s="510"/>
      <c r="AB80" s="511"/>
      <c r="AC80" s="564">
        <f t="shared" si="17"/>
        <v>77984</v>
      </c>
      <c r="AD80" s="512"/>
      <c r="AE80" s="513"/>
      <c r="AF80" s="514"/>
      <c r="AG80" s="515"/>
      <c r="AH80" s="568">
        <f t="shared" si="18"/>
        <v>69222</v>
      </c>
      <c r="AI80" s="516"/>
      <c r="AJ80" s="513"/>
      <c r="AK80" s="514"/>
      <c r="AL80" s="515"/>
      <c r="AM80" s="568">
        <f t="shared" si="19"/>
        <v>63999</v>
      </c>
      <c r="AN80" s="516"/>
      <c r="AO80" s="347"/>
      <c r="AP80" s="636"/>
      <c r="AQ80" s="626"/>
      <c r="AR80" s="629"/>
      <c r="AT80" s="627"/>
      <c r="AU80" s="341"/>
      <c r="AV80" s="628"/>
      <c r="AX80" s="595"/>
      <c r="AY80" s="594"/>
      <c r="BA80" s="662" t="s">
        <v>158</v>
      </c>
      <c r="BB80" s="663" t="s">
        <v>159</v>
      </c>
      <c r="BC80" s="664" t="s">
        <v>13</v>
      </c>
      <c r="BE80" s="1314" t="s">
        <v>158</v>
      </c>
      <c r="BF80" s="1315" t="s">
        <v>159</v>
      </c>
      <c r="BG80" s="1316" t="s">
        <v>13</v>
      </c>
    </row>
    <row r="81" spans="1:59">
      <c r="A81" s="332"/>
      <c r="B81" s="334"/>
      <c r="C81" s="379">
        <f t="shared" si="12"/>
        <v>42002</v>
      </c>
      <c r="D81" s="335"/>
      <c r="G81" s="496"/>
      <c r="H81" s="497"/>
      <c r="I81" s="541">
        <f t="shared" si="13"/>
        <v>26905055</v>
      </c>
      <c r="J81" s="499"/>
      <c r="K81" s="347"/>
      <c r="L81" s="500"/>
      <c r="M81" s="501"/>
      <c r="N81" s="549">
        <f t="shared" si="14"/>
        <v>0</v>
      </c>
      <c r="O81" s="503"/>
      <c r="P81" s="347"/>
      <c r="Q81" s="504"/>
      <c r="R81" s="505"/>
      <c r="S81" s="556">
        <f t="shared" si="15"/>
        <v>200000</v>
      </c>
      <c r="T81" s="506"/>
      <c r="V81" s="507"/>
      <c r="W81" s="508"/>
      <c r="X81" s="560">
        <f t="shared" si="16"/>
        <v>200000</v>
      </c>
      <c r="Y81" s="509"/>
      <c r="AA81" s="510"/>
      <c r="AB81" s="511"/>
      <c r="AC81" s="564">
        <f t="shared" si="17"/>
        <v>77984</v>
      </c>
      <c r="AD81" s="512"/>
      <c r="AE81" s="513"/>
      <c r="AF81" s="514"/>
      <c r="AG81" s="515"/>
      <c r="AH81" s="568">
        <f t="shared" si="18"/>
        <v>69222</v>
      </c>
      <c r="AI81" s="516"/>
      <c r="AJ81" s="513"/>
      <c r="AK81" s="514"/>
      <c r="AL81" s="515"/>
      <c r="AM81" s="568">
        <f t="shared" si="19"/>
        <v>63999</v>
      </c>
      <c r="AN81" s="516"/>
      <c r="AO81" s="347"/>
      <c r="AP81" s="636"/>
      <c r="AQ81" s="626"/>
      <c r="AR81" s="629"/>
      <c r="AT81" s="627"/>
      <c r="AU81" s="341"/>
      <c r="AV81" s="628"/>
      <c r="AX81" s="595"/>
      <c r="AY81" s="594"/>
      <c r="BA81" s="630"/>
      <c r="BB81" s="631"/>
      <c r="BC81" s="668">
        <f>SUM(BA81:BB81)</f>
        <v>0</v>
      </c>
      <c r="BE81" s="1256"/>
      <c r="BF81" s="1233"/>
      <c r="BG81" s="1317">
        <f>SUM(BE81:BF81)</f>
        <v>0</v>
      </c>
    </row>
    <row r="82" spans="1:59" ht="15" thickBot="1">
      <c r="A82" s="332"/>
      <c r="B82" s="334"/>
      <c r="C82" s="379">
        <f t="shared" si="12"/>
        <v>42002</v>
      </c>
      <c r="D82" s="335"/>
      <c r="G82" s="496"/>
      <c r="H82" s="497"/>
      <c r="I82" s="541">
        <f t="shared" si="13"/>
        <v>26905055</v>
      </c>
      <c r="J82" s="499"/>
      <c r="K82" s="347"/>
      <c r="L82" s="500"/>
      <c r="M82" s="501"/>
      <c r="N82" s="549">
        <f t="shared" si="14"/>
        <v>0</v>
      </c>
      <c r="O82" s="503"/>
      <c r="P82" s="347"/>
      <c r="Q82" s="504"/>
      <c r="R82" s="505"/>
      <c r="S82" s="556">
        <f t="shared" si="15"/>
        <v>200000</v>
      </c>
      <c r="T82" s="506"/>
      <c r="V82" s="507"/>
      <c r="W82" s="508"/>
      <c r="X82" s="560">
        <f t="shared" si="16"/>
        <v>200000</v>
      </c>
      <c r="Y82" s="509"/>
      <c r="AA82" s="510"/>
      <c r="AB82" s="511"/>
      <c r="AC82" s="564">
        <f t="shared" si="17"/>
        <v>77984</v>
      </c>
      <c r="AD82" s="512"/>
      <c r="AE82" s="513"/>
      <c r="AF82" s="514"/>
      <c r="AG82" s="515"/>
      <c r="AH82" s="568">
        <f t="shared" si="18"/>
        <v>69222</v>
      </c>
      <c r="AI82" s="516"/>
      <c r="AJ82" s="513"/>
      <c r="AK82" s="514"/>
      <c r="AL82" s="515"/>
      <c r="AM82" s="568">
        <f t="shared" si="19"/>
        <v>63999</v>
      </c>
      <c r="AN82" s="516"/>
      <c r="AO82" s="347"/>
      <c r="AP82" s="636"/>
      <c r="AQ82" s="626"/>
      <c r="AR82" s="629"/>
      <c r="AT82" s="627"/>
      <c r="AU82" s="341"/>
      <c r="AV82" s="628"/>
      <c r="AX82" s="595"/>
      <c r="AY82" s="594"/>
      <c r="BA82" s="632"/>
      <c r="BB82" s="352"/>
      <c r="BC82" s="669">
        <f>SUM(BA82:BB82)</f>
        <v>0</v>
      </c>
      <c r="BE82" s="1312"/>
      <c r="BF82" s="1313"/>
      <c r="BG82" s="1318">
        <f>SUM(BE82:BF82)</f>
        <v>0</v>
      </c>
    </row>
    <row r="83" spans="1:59" ht="15" thickBot="1">
      <c r="A83" s="332"/>
      <c r="B83" s="334"/>
      <c r="C83" s="379">
        <f t="shared" si="12"/>
        <v>42002</v>
      </c>
      <c r="D83" s="335"/>
      <c r="G83" s="496"/>
      <c r="H83" s="497"/>
      <c r="I83" s="541">
        <f t="shared" si="13"/>
        <v>26905055</v>
      </c>
      <c r="J83" s="499"/>
      <c r="K83" s="347"/>
      <c r="L83" s="500"/>
      <c r="M83" s="501"/>
      <c r="N83" s="549">
        <f t="shared" si="14"/>
        <v>0</v>
      </c>
      <c r="O83" s="503"/>
      <c r="P83" s="347"/>
      <c r="Q83" s="504"/>
      <c r="R83" s="505"/>
      <c r="S83" s="556">
        <f t="shared" si="15"/>
        <v>200000</v>
      </c>
      <c r="T83" s="506"/>
      <c r="V83" s="507"/>
      <c r="W83" s="508"/>
      <c r="X83" s="560">
        <f t="shared" si="16"/>
        <v>200000</v>
      </c>
      <c r="Y83" s="509"/>
      <c r="AA83" s="510"/>
      <c r="AB83" s="511"/>
      <c r="AC83" s="564">
        <f t="shared" si="17"/>
        <v>77984</v>
      </c>
      <c r="AD83" s="512"/>
      <c r="AE83" s="513"/>
      <c r="AF83" s="514"/>
      <c r="AG83" s="515"/>
      <c r="AH83" s="568">
        <f t="shared" si="18"/>
        <v>69222</v>
      </c>
      <c r="AI83" s="516"/>
      <c r="AJ83" s="513"/>
      <c r="AK83" s="514"/>
      <c r="AL83" s="515"/>
      <c r="AM83" s="568">
        <f t="shared" si="19"/>
        <v>63999</v>
      </c>
      <c r="AN83" s="516"/>
      <c r="AO83" s="347"/>
      <c r="AP83" s="636"/>
      <c r="AQ83" s="626"/>
      <c r="AR83" s="629"/>
      <c r="AT83" s="627"/>
      <c r="AU83" s="341"/>
      <c r="AV83" s="628"/>
      <c r="AX83" s="595"/>
      <c r="AY83" s="594"/>
      <c r="BA83" s="665">
        <f>SUM(BA81:BA82)</f>
        <v>0</v>
      </c>
      <c r="BB83" s="666">
        <f>SUM(BB81:BB82)</f>
        <v>0</v>
      </c>
      <c r="BC83" s="667">
        <f>SUM(BC81:BC82)</f>
        <v>0</v>
      </c>
      <c r="BE83" s="1320">
        <f>SUM(BE81:BE82)</f>
        <v>0</v>
      </c>
      <c r="BF83" s="1321">
        <f>SUM(BF81:BF82)</f>
        <v>0</v>
      </c>
      <c r="BG83" s="1319">
        <f>SUM(BG81:BG82)</f>
        <v>0</v>
      </c>
    </row>
    <row r="84" spans="1:59" ht="15" thickTop="1">
      <c r="A84" s="332"/>
      <c r="B84" s="334"/>
      <c r="C84" s="379">
        <f t="shared" si="12"/>
        <v>42002</v>
      </c>
      <c r="D84" s="335"/>
      <c r="G84" s="496"/>
      <c r="H84" s="497"/>
      <c r="I84" s="541">
        <f t="shared" si="13"/>
        <v>26905055</v>
      </c>
      <c r="J84" s="499"/>
      <c r="K84" s="347"/>
      <c r="L84" s="500"/>
      <c r="M84" s="501"/>
      <c r="N84" s="549">
        <f t="shared" si="14"/>
        <v>0</v>
      </c>
      <c r="O84" s="503"/>
      <c r="P84" s="347"/>
      <c r="Q84" s="504"/>
      <c r="R84" s="505"/>
      <c r="S84" s="556">
        <f t="shared" si="15"/>
        <v>200000</v>
      </c>
      <c r="T84" s="506"/>
      <c r="V84" s="507"/>
      <c r="W84" s="508"/>
      <c r="X84" s="560">
        <f t="shared" si="16"/>
        <v>200000</v>
      </c>
      <c r="Y84" s="509"/>
      <c r="AA84" s="510"/>
      <c r="AB84" s="511"/>
      <c r="AC84" s="564">
        <f t="shared" si="17"/>
        <v>77984</v>
      </c>
      <c r="AD84" s="512"/>
      <c r="AE84" s="513"/>
      <c r="AF84" s="514"/>
      <c r="AG84" s="515"/>
      <c r="AH84" s="568">
        <f t="shared" si="18"/>
        <v>69222</v>
      </c>
      <c r="AI84" s="516"/>
      <c r="AJ84" s="513"/>
      <c r="AK84" s="514"/>
      <c r="AL84" s="515"/>
      <c r="AM84" s="568">
        <f t="shared" si="19"/>
        <v>63999</v>
      </c>
      <c r="AN84" s="516"/>
      <c r="AO84" s="347"/>
      <c r="AP84" s="636"/>
      <c r="AQ84" s="626"/>
      <c r="AR84" s="629"/>
      <c r="AT84" s="627"/>
      <c r="AU84" s="341"/>
      <c r="AV84" s="628"/>
      <c r="AX84" s="595"/>
      <c r="AY84" s="594"/>
    </row>
    <row r="85" spans="1:59" ht="15" thickBot="1">
      <c r="A85" s="332"/>
      <c r="B85" s="334"/>
      <c r="C85" s="379">
        <f t="shared" si="12"/>
        <v>42002</v>
      </c>
      <c r="D85" s="335"/>
      <c r="G85" s="496"/>
      <c r="H85" s="497"/>
      <c r="I85" s="541">
        <f t="shared" si="13"/>
        <v>26905055</v>
      </c>
      <c r="J85" s="499"/>
      <c r="K85" s="347"/>
      <c r="L85" s="500"/>
      <c r="M85" s="501"/>
      <c r="N85" s="549">
        <f t="shared" si="14"/>
        <v>0</v>
      </c>
      <c r="O85" s="503"/>
      <c r="P85" s="347"/>
      <c r="Q85" s="504"/>
      <c r="R85" s="505"/>
      <c r="S85" s="556">
        <f t="shared" si="15"/>
        <v>200000</v>
      </c>
      <c r="T85" s="506"/>
      <c r="V85" s="507"/>
      <c r="W85" s="508"/>
      <c r="X85" s="560">
        <f t="shared" si="16"/>
        <v>200000</v>
      </c>
      <c r="Y85" s="509"/>
      <c r="AA85" s="510"/>
      <c r="AB85" s="511"/>
      <c r="AC85" s="564">
        <f t="shared" si="17"/>
        <v>77984</v>
      </c>
      <c r="AD85" s="512"/>
      <c r="AE85" s="513"/>
      <c r="AF85" s="514"/>
      <c r="AG85" s="515"/>
      <c r="AH85" s="568">
        <f t="shared" si="18"/>
        <v>69222</v>
      </c>
      <c r="AI85" s="516"/>
      <c r="AJ85" s="513"/>
      <c r="AK85" s="514"/>
      <c r="AL85" s="515"/>
      <c r="AM85" s="568">
        <f t="shared" si="19"/>
        <v>63999</v>
      </c>
      <c r="AN85" s="516"/>
      <c r="AO85" s="347"/>
      <c r="AP85" s="636"/>
      <c r="AQ85" s="626"/>
      <c r="AR85" s="629"/>
      <c r="AT85" s="627"/>
      <c r="AU85" s="341"/>
      <c r="AV85" s="628"/>
      <c r="AX85" s="595"/>
      <c r="AY85" s="594"/>
    </row>
    <row r="86" spans="1:59" ht="15" thickTop="1">
      <c r="A86" s="332"/>
      <c r="B86" s="334"/>
      <c r="C86" s="379">
        <f t="shared" si="12"/>
        <v>42002</v>
      </c>
      <c r="D86" s="335"/>
      <c r="G86" s="496"/>
      <c r="H86" s="497"/>
      <c r="I86" s="541">
        <f t="shared" si="13"/>
        <v>26905055</v>
      </c>
      <c r="J86" s="499"/>
      <c r="K86" s="347"/>
      <c r="L86" s="500"/>
      <c r="M86" s="501"/>
      <c r="N86" s="549">
        <f t="shared" si="14"/>
        <v>0</v>
      </c>
      <c r="O86" s="503"/>
      <c r="P86" s="347"/>
      <c r="Q86" s="504"/>
      <c r="R86" s="505"/>
      <c r="S86" s="556">
        <f t="shared" si="15"/>
        <v>200000</v>
      </c>
      <c r="T86" s="506"/>
      <c r="V86" s="507"/>
      <c r="W86" s="508"/>
      <c r="X86" s="560">
        <f t="shared" si="16"/>
        <v>200000</v>
      </c>
      <c r="Y86" s="509"/>
      <c r="AA86" s="510"/>
      <c r="AB86" s="511"/>
      <c r="AC86" s="564">
        <f t="shared" si="17"/>
        <v>77984</v>
      </c>
      <c r="AD86" s="512"/>
      <c r="AE86" s="513"/>
      <c r="AF86" s="514"/>
      <c r="AG86" s="515"/>
      <c r="AH86" s="568">
        <f t="shared" si="18"/>
        <v>69222</v>
      </c>
      <c r="AI86" s="516"/>
      <c r="AJ86" s="513"/>
      <c r="AK86" s="514"/>
      <c r="AL86" s="515"/>
      <c r="AM86" s="568">
        <f t="shared" si="19"/>
        <v>63999</v>
      </c>
      <c r="AN86" s="516"/>
      <c r="AO86" s="347"/>
      <c r="AP86" s="636"/>
      <c r="AQ86" s="626"/>
      <c r="AR86" s="629"/>
      <c r="AT86" s="627"/>
      <c r="AU86" s="341"/>
      <c r="AV86" s="628"/>
      <c r="AX86" s="595"/>
      <c r="AY86" s="594"/>
      <c r="BA86" s="1497" t="s">
        <v>187</v>
      </c>
      <c r="BB86" s="1498"/>
      <c r="BC86" s="1498"/>
      <c r="BD86" s="1499"/>
    </row>
    <row r="87" spans="1:59" ht="15" thickBot="1">
      <c r="A87" s="332"/>
      <c r="B87" s="334"/>
      <c r="C87" s="379">
        <f t="shared" si="12"/>
        <v>42002</v>
      </c>
      <c r="D87" s="335"/>
      <c r="G87" s="496"/>
      <c r="H87" s="497"/>
      <c r="I87" s="541">
        <f t="shared" si="13"/>
        <v>26905055</v>
      </c>
      <c r="J87" s="499"/>
      <c r="K87" s="347"/>
      <c r="L87" s="500"/>
      <c r="M87" s="501"/>
      <c r="N87" s="549">
        <f t="shared" si="14"/>
        <v>0</v>
      </c>
      <c r="O87" s="503"/>
      <c r="P87" s="347"/>
      <c r="Q87" s="504"/>
      <c r="R87" s="505"/>
      <c r="S87" s="556">
        <f t="shared" si="15"/>
        <v>200000</v>
      </c>
      <c r="T87" s="506"/>
      <c r="V87" s="507"/>
      <c r="W87" s="508"/>
      <c r="X87" s="560">
        <f t="shared" si="16"/>
        <v>200000</v>
      </c>
      <c r="Y87" s="509"/>
      <c r="AA87" s="510"/>
      <c r="AB87" s="511"/>
      <c r="AC87" s="564">
        <f t="shared" si="17"/>
        <v>77984</v>
      </c>
      <c r="AD87" s="512"/>
      <c r="AE87" s="513"/>
      <c r="AF87" s="514"/>
      <c r="AG87" s="515"/>
      <c r="AH87" s="568">
        <f t="shared" si="18"/>
        <v>69222</v>
      </c>
      <c r="AI87" s="516"/>
      <c r="AJ87" s="513"/>
      <c r="AK87" s="514"/>
      <c r="AL87" s="515"/>
      <c r="AM87" s="568">
        <f t="shared" si="19"/>
        <v>63999</v>
      </c>
      <c r="AN87" s="516"/>
      <c r="AO87" s="347"/>
      <c r="AP87" s="636"/>
      <c r="AQ87" s="626"/>
      <c r="AR87" s="629"/>
      <c r="AT87" s="627"/>
      <c r="AU87" s="341"/>
      <c r="AV87" s="628"/>
      <c r="AX87" s="595"/>
      <c r="AY87" s="594"/>
      <c r="BA87" s="670"/>
      <c r="BB87" s="671"/>
      <c r="BC87" s="672" t="s">
        <v>188</v>
      </c>
      <c r="BD87" s="673" t="s">
        <v>238</v>
      </c>
    </row>
    <row r="88" spans="1:59">
      <c r="A88" s="332"/>
      <c r="B88" s="334"/>
      <c r="C88" s="379">
        <f t="shared" si="12"/>
        <v>42002</v>
      </c>
      <c r="D88" s="335"/>
      <c r="G88" s="496"/>
      <c r="H88" s="497"/>
      <c r="I88" s="541">
        <f t="shared" si="13"/>
        <v>26905055</v>
      </c>
      <c r="J88" s="499"/>
      <c r="K88" s="347"/>
      <c r="L88" s="500"/>
      <c r="M88" s="501"/>
      <c r="N88" s="549">
        <f t="shared" si="14"/>
        <v>0</v>
      </c>
      <c r="O88" s="503"/>
      <c r="P88" s="347"/>
      <c r="Q88" s="504"/>
      <c r="R88" s="505"/>
      <c r="S88" s="556">
        <f t="shared" si="15"/>
        <v>200000</v>
      </c>
      <c r="T88" s="506"/>
      <c r="V88" s="507"/>
      <c r="W88" s="508"/>
      <c r="X88" s="560">
        <f t="shared" si="16"/>
        <v>200000</v>
      </c>
      <c r="Y88" s="509"/>
      <c r="AA88" s="510"/>
      <c r="AB88" s="511"/>
      <c r="AC88" s="564">
        <f t="shared" si="17"/>
        <v>77984</v>
      </c>
      <c r="AD88" s="512"/>
      <c r="AE88" s="513"/>
      <c r="AF88" s="514"/>
      <c r="AG88" s="515"/>
      <c r="AH88" s="568">
        <f t="shared" si="18"/>
        <v>69222</v>
      </c>
      <c r="AI88" s="516"/>
      <c r="AJ88" s="513"/>
      <c r="AK88" s="514"/>
      <c r="AL88" s="515"/>
      <c r="AM88" s="568">
        <f t="shared" si="19"/>
        <v>63999</v>
      </c>
      <c r="AN88" s="516"/>
      <c r="AO88" s="347"/>
      <c r="AP88" s="636"/>
      <c r="AQ88" s="626"/>
      <c r="AR88" s="629"/>
      <c r="AT88" s="627"/>
      <c r="AU88" s="341"/>
      <c r="AV88" s="628"/>
      <c r="AX88" s="595"/>
      <c r="AY88" s="594"/>
      <c r="BA88" s="1500" t="s">
        <v>138</v>
      </c>
      <c r="BB88" s="674"/>
      <c r="BC88" s="644"/>
      <c r="BD88" s="645"/>
    </row>
    <row r="89" spans="1:59">
      <c r="A89" s="332"/>
      <c r="B89" s="334"/>
      <c r="C89" s="379">
        <f t="shared" si="12"/>
        <v>42002</v>
      </c>
      <c r="D89" s="335"/>
      <c r="G89" s="496"/>
      <c r="H89" s="497"/>
      <c r="I89" s="541">
        <f t="shared" si="13"/>
        <v>26905055</v>
      </c>
      <c r="J89" s="499"/>
      <c r="K89" s="347"/>
      <c r="L89" s="500"/>
      <c r="M89" s="501"/>
      <c r="N89" s="549">
        <f t="shared" si="14"/>
        <v>0</v>
      </c>
      <c r="O89" s="503"/>
      <c r="P89" s="347"/>
      <c r="Q89" s="504"/>
      <c r="R89" s="505"/>
      <c r="S89" s="556">
        <f t="shared" si="15"/>
        <v>200000</v>
      </c>
      <c r="T89" s="506"/>
      <c r="V89" s="507"/>
      <c r="W89" s="508"/>
      <c r="X89" s="560">
        <f t="shared" si="16"/>
        <v>200000</v>
      </c>
      <c r="Y89" s="509"/>
      <c r="AA89" s="510"/>
      <c r="AB89" s="511"/>
      <c r="AC89" s="564">
        <f t="shared" si="17"/>
        <v>77984</v>
      </c>
      <c r="AD89" s="512"/>
      <c r="AE89" s="513"/>
      <c r="AF89" s="514"/>
      <c r="AG89" s="515"/>
      <c r="AH89" s="568">
        <f t="shared" si="18"/>
        <v>69222</v>
      </c>
      <c r="AI89" s="516"/>
      <c r="AJ89" s="513"/>
      <c r="AK89" s="514"/>
      <c r="AL89" s="515"/>
      <c r="AM89" s="568">
        <f t="shared" si="19"/>
        <v>63999</v>
      </c>
      <c r="AN89" s="516"/>
      <c r="AO89" s="347"/>
      <c r="AP89" s="636"/>
      <c r="AQ89" s="626"/>
      <c r="AR89" s="629"/>
      <c r="AT89" s="627"/>
      <c r="AU89" s="341"/>
      <c r="AV89" s="628"/>
      <c r="AX89" s="595"/>
      <c r="AY89" s="594"/>
      <c r="BA89" s="1501"/>
      <c r="BB89" s="675"/>
      <c r="BC89" s="642"/>
      <c r="BD89" s="646"/>
    </row>
    <row r="90" spans="1:59">
      <c r="A90" s="332"/>
      <c r="B90" s="334"/>
      <c r="C90" s="379">
        <f t="shared" si="12"/>
        <v>42002</v>
      </c>
      <c r="D90" s="335"/>
      <c r="G90" s="496"/>
      <c r="H90" s="497"/>
      <c r="I90" s="541">
        <f t="shared" si="13"/>
        <v>26905055</v>
      </c>
      <c r="J90" s="499"/>
      <c r="K90" s="347"/>
      <c r="L90" s="500"/>
      <c r="M90" s="501"/>
      <c r="N90" s="549">
        <f t="shared" si="14"/>
        <v>0</v>
      </c>
      <c r="O90" s="503"/>
      <c r="P90" s="347"/>
      <c r="Q90" s="504"/>
      <c r="R90" s="505"/>
      <c r="S90" s="556">
        <f t="shared" si="15"/>
        <v>200000</v>
      </c>
      <c r="T90" s="506"/>
      <c r="V90" s="507"/>
      <c r="W90" s="508"/>
      <c r="X90" s="560">
        <f t="shared" si="16"/>
        <v>200000</v>
      </c>
      <c r="Y90" s="509"/>
      <c r="AA90" s="510"/>
      <c r="AB90" s="511"/>
      <c r="AC90" s="564">
        <f t="shared" si="17"/>
        <v>77984</v>
      </c>
      <c r="AD90" s="512"/>
      <c r="AE90" s="513"/>
      <c r="AF90" s="514"/>
      <c r="AG90" s="515"/>
      <c r="AH90" s="568">
        <f t="shared" si="18"/>
        <v>69222</v>
      </c>
      <c r="AI90" s="516"/>
      <c r="AJ90" s="513"/>
      <c r="AK90" s="514"/>
      <c r="AL90" s="515"/>
      <c r="AM90" s="568">
        <f t="shared" si="19"/>
        <v>63999</v>
      </c>
      <c r="AN90" s="516"/>
      <c r="AO90" s="347"/>
      <c r="AP90" s="636"/>
      <c r="AQ90" s="626"/>
      <c r="AR90" s="629"/>
      <c r="AT90" s="627"/>
      <c r="AU90" s="341"/>
      <c r="AV90" s="628"/>
      <c r="AX90" s="595"/>
      <c r="AY90" s="594"/>
      <c r="BA90" s="1501"/>
      <c r="BB90" s="675"/>
      <c r="BC90" s="642"/>
      <c r="BD90" s="646"/>
    </row>
    <row r="91" spans="1:59">
      <c r="A91" s="332"/>
      <c r="B91" s="334"/>
      <c r="C91" s="379">
        <f t="shared" si="12"/>
        <v>42002</v>
      </c>
      <c r="D91" s="335"/>
      <c r="G91" s="496"/>
      <c r="H91" s="497"/>
      <c r="I91" s="541">
        <f t="shared" si="13"/>
        <v>26905055</v>
      </c>
      <c r="J91" s="499"/>
      <c r="K91" s="347"/>
      <c r="L91" s="500"/>
      <c r="M91" s="501"/>
      <c r="N91" s="549">
        <f t="shared" si="14"/>
        <v>0</v>
      </c>
      <c r="O91" s="503"/>
      <c r="P91" s="347"/>
      <c r="Q91" s="504"/>
      <c r="R91" s="505"/>
      <c r="S91" s="556">
        <f t="shared" si="15"/>
        <v>200000</v>
      </c>
      <c r="T91" s="506"/>
      <c r="V91" s="507"/>
      <c r="W91" s="508"/>
      <c r="X91" s="560">
        <f t="shared" si="16"/>
        <v>200000</v>
      </c>
      <c r="Y91" s="509"/>
      <c r="AA91" s="510"/>
      <c r="AB91" s="511"/>
      <c r="AC91" s="564">
        <f t="shared" si="17"/>
        <v>77984</v>
      </c>
      <c r="AD91" s="512"/>
      <c r="AE91" s="513"/>
      <c r="AF91" s="514"/>
      <c r="AG91" s="515"/>
      <c r="AH91" s="568">
        <f t="shared" si="18"/>
        <v>69222</v>
      </c>
      <c r="AI91" s="516"/>
      <c r="AJ91" s="513"/>
      <c r="AK91" s="514"/>
      <c r="AL91" s="515"/>
      <c r="AM91" s="568">
        <f t="shared" si="19"/>
        <v>63999</v>
      </c>
      <c r="AN91" s="516"/>
      <c r="AO91" s="347"/>
      <c r="AP91" s="636"/>
      <c r="AQ91" s="626"/>
      <c r="AR91" s="629"/>
      <c r="AT91" s="627"/>
      <c r="AU91" s="341"/>
      <c r="AV91" s="628"/>
      <c r="AX91" s="595"/>
      <c r="AY91" s="594"/>
      <c r="BA91" s="1502"/>
      <c r="BB91" s="675"/>
      <c r="BC91" s="642"/>
      <c r="BD91" s="646"/>
    </row>
    <row r="92" spans="1:59">
      <c r="A92" s="332"/>
      <c r="B92" s="334"/>
      <c r="C92" s="379">
        <f t="shared" si="12"/>
        <v>42002</v>
      </c>
      <c r="D92" s="335"/>
      <c r="G92" s="496"/>
      <c r="H92" s="497"/>
      <c r="I92" s="541">
        <f t="shared" si="13"/>
        <v>26905055</v>
      </c>
      <c r="J92" s="499"/>
      <c r="K92" s="347"/>
      <c r="L92" s="500"/>
      <c r="M92" s="501"/>
      <c r="N92" s="549">
        <f t="shared" si="14"/>
        <v>0</v>
      </c>
      <c r="O92" s="503"/>
      <c r="P92" s="347"/>
      <c r="Q92" s="504"/>
      <c r="R92" s="505"/>
      <c r="S92" s="556">
        <f t="shared" si="15"/>
        <v>200000</v>
      </c>
      <c r="T92" s="506"/>
      <c r="V92" s="507"/>
      <c r="W92" s="508"/>
      <c r="X92" s="560">
        <f t="shared" si="16"/>
        <v>200000</v>
      </c>
      <c r="Y92" s="509"/>
      <c r="AA92" s="510"/>
      <c r="AB92" s="511"/>
      <c r="AC92" s="564">
        <f t="shared" si="17"/>
        <v>77984</v>
      </c>
      <c r="AD92" s="512"/>
      <c r="AE92" s="513"/>
      <c r="AF92" s="514"/>
      <c r="AG92" s="515"/>
      <c r="AH92" s="568">
        <f t="shared" si="18"/>
        <v>69222</v>
      </c>
      <c r="AI92" s="516"/>
      <c r="AJ92" s="513"/>
      <c r="AK92" s="514"/>
      <c r="AL92" s="515"/>
      <c r="AM92" s="568">
        <f t="shared" si="19"/>
        <v>63999</v>
      </c>
      <c r="AN92" s="516"/>
      <c r="AO92" s="347"/>
      <c r="AP92" s="636"/>
      <c r="AQ92" s="626"/>
      <c r="AR92" s="629"/>
      <c r="AT92" s="627"/>
      <c r="AU92" s="341"/>
      <c r="AV92" s="628"/>
      <c r="AX92" s="595"/>
      <c r="AY92" s="594"/>
      <c r="BA92" s="1521" t="s">
        <v>172</v>
      </c>
      <c r="BB92" s="675"/>
      <c r="BC92" s="642"/>
      <c r="BD92" s="646"/>
    </row>
    <row r="93" spans="1:59">
      <c r="A93" s="332"/>
      <c r="B93" s="334"/>
      <c r="C93" s="379">
        <f t="shared" si="12"/>
        <v>42002</v>
      </c>
      <c r="D93" s="335"/>
      <c r="G93" s="496"/>
      <c r="H93" s="497"/>
      <c r="I93" s="541">
        <f t="shared" si="13"/>
        <v>26905055</v>
      </c>
      <c r="J93" s="499"/>
      <c r="K93" s="347"/>
      <c r="L93" s="500"/>
      <c r="M93" s="501"/>
      <c r="N93" s="549">
        <f t="shared" si="14"/>
        <v>0</v>
      </c>
      <c r="O93" s="503"/>
      <c r="P93" s="347"/>
      <c r="Q93" s="504"/>
      <c r="R93" s="505"/>
      <c r="S93" s="556">
        <f t="shared" si="15"/>
        <v>200000</v>
      </c>
      <c r="T93" s="506"/>
      <c r="V93" s="507"/>
      <c r="W93" s="508"/>
      <c r="X93" s="560">
        <f t="shared" si="16"/>
        <v>200000</v>
      </c>
      <c r="Y93" s="509"/>
      <c r="AA93" s="510"/>
      <c r="AB93" s="511"/>
      <c r="AC93" s="564">
        <f t="shared" si="17"/>
        <v>77984</v>
      </c>
      <c r="AD93" s="512"/>
      <c r="AE93" s="513"/>
      <c r="AF93" s="514"/>
      <c r="AG93" s="515"/>
      <c r="AH93" s="568">
        <f t="shared" si="18"/>
        <v>69222</v>
      </c>
      <c r="AI93" s="516"/>
      <c r="AJ93" s="513"/>
      <c r="AK93" s="514"/>
      <c r="AL93" s="515"/>
      <c r="AM93" s="568">
        <f t="shared" si="19"/>
        <v>63999</v>
      </c>
      <c r="AN93" s="516"/>
      <c r="AO93" s="347"/>
      <c r="AP93" s="636"/>
      <c r="AQ93" s="626"/>
      <c r="AR93" s="629"/>
      <c r="AT93" s="627"/>
      <c r="AU93" s="341"/>
      <c r="AV93" s="628"/>
      <c r="AX93" s="595"/>
      <c r="AY93" s="594"/>
      <c r="BA93" s="1501"/>
      <c r="BB93" s="675"/>
      <c r="BC93" s="642"/>
      <c r="BD93" s="646"/>
    </row>
    <row r="94" spans="1:59">
      <c r="A94" s="332"/>
      <c r="B94" s="334"/>
      <c r="C94" s="379">
        <f t="shared" si="12"/>
        <v>42002</v>
      </c>
      <c r="D94" s="335"/>
      <c r="G94" s="496"/>
      <c r="H94" s="497"/>
      <c r="I94" s="541">
        <f t="shared" si="13"/>
        <v>26905055</v>
      </c>
      <c r="J94" s="499"/>
      <c r="K94" s="347"/>
      <c r="L94" s="500"/>
      <c r="M94" s="501"/>
      <c r="N94" s="549">
        <f t="shared" si="14"/>
        <v>0</v>
      </c>
      <c r="O94" s="503"/>
      <c r="P94" s="347"/>
      <c r="Q94" s="504"/>
      <c r="R94" s="505"/>
      <c r="S94" s="556">
        <f t="shared" si="15"/>
        <v>200000</v>
      </c>
      <c r="T94" s="506"/>
      <c r="V94" s="507"/>
      <c r="W94" s="508"/>
      <c r="X94" s="560">
        <f t="shared" si="16"/>
        <v>200000</v>
      </c>
      <c r="Y94" s="509"/>
      <c r="AA94" s="510"/>
      <c r="AB94" s="511"/>
      <c r="AC94" s="564">
        <f t="shared" si="17"/>
        <v>77984</v>
      </c>
      <c r="AD94" s="512"/>
      <c r="AE94" s="513"/>
      <c r="AF94" s="514"/>
      <c r="AG94" s="515"/>
      <c r="AH94" s="568">
        <f t="shared" si="18"/>
        <v>69222</v>
      </c>
      <c r="AI94" s="516"/>
      <c r="AJ94" s="513"/>
      <c r="AK94" s="514"/>
      <c r="AL94" s="515"/>
      <c r="AM94" s="568">
        <f t="shared" si="19"/>
        <v>63999</v>
      </c>
      <c r="AN94" s="516"/>
      <c r="AO94" s="347"/>
      <c r="AP94" s="636"/>
      <c r="AQ94" s="626"/>
      <c r="AR94" s="629"/>
      <c r="AT94" s="627"/>
      <c r="AU94" s="341"/>
      <c r="AV94" s="628"/>
      <c r="AX94" s="595"/>
      <c r="AY94" s="594"/>
      <c r="BA94" s="1501"/>
      <c r="BB94" s="675"/>
      <c r="BC94" s="642"/>
      <c r="BD94" s="646"/>
    </row>
    <row r="95" spans="1:59">
      <c r="A95" s="332"/>
      <c r="B95" s="334"/>
      <c r="C95" s="379">
        <f t="shared" si="12"/>
        <v>42002</v>
      </c>
      <c r="D95" s="335"/>
      <c r="G95" s="496"/>
      <c r="H95" s="497"/>
      <c r="I95" s="541">
        <f t="shared" si="13"/>
        <v>26905055</v>
      </c>
      <c r="J95" s="499"/>
      <c r="K95" s="347"/>
      <c r="L95" s="500"/>
      <c r="M95" s="501"/>
      <c r="N95" s="549">
        <f t="shared" si="14"/>
        <v>0</v>
      </c>
      <c r="O95" s="503"/>
      <c r="P95" s="347"/>
      <c r="Q95" s="504"/>
      <c r="R95" s="505"/>
      <c r="S95" s="556">
        <f t="shared" si="15"/>
        <v>200000</v>
      </c>
      <c r="T95" s="506"/>
      <c r="V95" s="507"/>
      <c r="W95" s="508"/>
      <c r="X95" s="560">
        <f t="shared" si="16"/>
        <v>200000</v>
      </c>
      <c r="Y95" s="509"/>
      <c r="AA95" s="510"/>
      <c r="AB95" s="511"/>
      <c r="AC95" s="564">
        <f t="shared" si="17"/>
        <v>77984</v>
      </c>
      <c r="AD95" s="512"/>
      <c r="AE95" s="513"/>
      <c r="AF95" s="514"/>
      <c r="AG95" s="515"/>
      <c r="AH95" s="568">
        <f t="shared" si="18"/>
        <v>69222</v>
      </c>
      <c r="AI95" s="516"/>
      <c r="AJ95" s="513"/>
      <c r="AK95" s="514"/>
      <c r="AL95" s="515"/>
      <c r="AM95" s="568">
        <f t="shared" si="19"/>
        <v>63999</v>
      </c>
      <c r="AN95" s="516"/>
      <c r="AO95" s="347"/>
      <c r="AP95" s="636"/>
      <c r="AQ95" s="626"/>
      <c r="AR95" s="629"/>
      <c r="AT95" s="627"/>
      <c r="AU95" s="341"/>
      <c r="AV95" s="628"/>
      <c r="AX95" s="595"/>
      <c r="AY95" s="594"/>
      <c r="BA95" s="1502"/>
      <c r="BB95" s="675"/>
      <c r="BC95" s="642"/>
      <c r="BD95" s="646"/>
    </row>
    <row r="96" spans="1:59">
      <c r="A96" s="332"/>
      <c r="B96" s="334"/>
      <c r="C96" s="379">
        <f t="shared" si="12"/>
        <v>42002</v>
      </c>
      <c r="D96" s="335"/>
      <c r="G96" s="496"/>
      <c r="H96" s="497"/>
      <c r="I96" s="541">
        <f t="shared" si="13"/>
        <v>26905055</v>
      </c>
      <c r="J96" s="499"/>
      <c r="K96" s="347"/>
      <c r="L96" s="500"/>
      <c r="M96" s="501"/>
      <c r="N96" s="549">
        <f t="shared" si="14"/>
        <v>0</v>
      </c>
      <c r="O96" s="503"/>
      <c r="P96" s="347"/>
      <c r="Q96" s="504"/>
      <c r="R96" s="505"/>
      <c r="S96" s="556">
        <f t="shared" si="15"/>
        <v>200000</v>
      </c>
      <c r="T96" s="506"/>
      <c r="V96" s="507"/>
      <c r="W96" s="508"/>
      <c r="X96" s="560">
        <f t="shared" si="16"/>
        <v>200000</v>
      </c>
      <c r="Y96" s="509"/>
      <c r="AA96" s="510"/>
      <c r="AB96" s="511"/>
      <c r="AC96" s="564">
        <f t="shared" si="17"/>
        <v>77984</v>
      </c>
      <c r="AD96" s="512"/>
      <c r="AE96" s="513"/>
      <c r="AF96" s="514"/>
      <c r="AG96" s="515"/>
      <c r="AH96" s="568">
        <f t="shared" si="18"/>
        <v>69222</v>
      </c>
      <c r="AI96" s="516"/>
      <c r="AJ96" s="513"/>
      <c r="AK96" s="514"/>
      <c r="AL96" s="515"/>
      <c r="AM96" s="568">
        <f t="shared" si="19"/>
        <v>63999</v>
      </c>
      <c r="AN96" s="516"/>
      <c r="AO96" s="347"/>
      <c r="AP96" s="636"/>
      <c r="AQ96" s="626"/>
      <c r="AR96" s="629"/>
      <c r="AT96" s="627"/>
      <c r="AU96" s="341"/>
      <c r="AV96" s="628"/>
      <c r="AX96" s="595"/>
      <c r="AY96" s="594"/>
      <c r="BA96" s="1521" t="s">
        <v>193</v>
      </c>
      <c r="BB96" s="675"/>
      <c r="BC96" s="642"/>
      <c r="BD96" s="646"/>
    </row>
    <row r="97" spans="1:56">
      <c r="A97" s="332"/>
      <c r="B97" s="334"/>
      <c r="C97" s="379">
        <f t="shared" si="12"/>
        <v>42002</v>
      </c>
      <c r="D97" s="335"/>
      <c r="G97" s="496"/>
      <c r="H97" s="497"/>
      <c r="I97" s="541">
        <f t="shared" si="13"/>
        <v>26905055</v>
      </c>
      <c r="J97" s="499"/>
      <c r="K97" s="347"/>
      <c r="L97" s="500"/>
      <c r="M97" s="501"/>
      <c r="N97" s="549">
        <f t="shared" si="14"/>
        <v>0</v>
      </c>
      <c r="O97" s="503"/>
      <c r="P97" s="347"/>
      <c r="Q97" s="504"/>
      <c r="R97" s="505"/>
      <c r="S97" s="556">
        <f t="shared" si="15"/>
        <v>200000</v>
      </c>
      <c r="T97" s="506"/>
      <c r="V97" s="507"/>
      <c r="W97" s="508"/>
      <c r="X97" s="560">
        <f t="shared" si="16"/>
        <v>200000</v>
      </c>
      <c r="Y97" s="509"/>
      <c r="AA97" s="510"/>
      <c r="AB97" s="511"/>
      <c r="AC97" s="564">
        <f t="shared" si="17"/>
        <v>77984</v>
      </c>
      <c r="AD97" s="512"/>
      <c r="AE97" s="513"/>
      <c r="AF97" s="514"/>
      <c r="AG97" s="515"/>
      <c r="AH97" s="568">
        <f t="shared" si="18"/>
        <v>69222</v>
      </c>
      <c r="AI97" s="516"/>
      <c r="AJ97" s="513"/>
      <c r="AK97" s="514"/>
      <c r="AL97" s="515"/>
      <c r="AM97" s="568">
        <f t="shared" si="19"/>
        <v>63999</v>
      </c>
      <c r="AN97" s="516"/>
      <c r="AO97" s="347"/>
      <c r="AP97" s="636"/>
      <c r="AQ97" s="626"/>
      <c r="AR97" s="629"/>
      <c r="AT97" s="627"/>
      <c r="AU97" s="341"/>
      <c r="AV97" s="628"/>
      <c r="AX97" s="595"/>
      <c r="AY97" s="594"/>
      <c r="BA97" s="1501"/>
      <c r="BB97" s="675"/>
      <c r="BC97" s="642"/>
      <c r="BD97" s="646"/>
    </row>
    <row r="98" spans="1:56">
      <c r="A98" s="332"/>
      <c r="B98" s="334"/>
      <c r="C98" s="379">
        <f t="shared" si="12"/>
        <v>42002</v>
      </c>
      <c r="D98" s="335"/>
      <c r="G98" s="496"/>
      <c r="H98" s="497"/>
      <c r="I98" s="541">
        <f t="shared" si="13"/>
        <v>26905055</v>
      </c>
      <c r="J98" s="499"/>
      <c r="K98" s="347"/>
      <c r="L98" s="500"/>
      <c r="M98" s="501"/>
      <c r="N98" s="549">
        <f t="shared" si="14"/>
        <v>0</v>
      </c>
      <c r="O98" s="503"/>
      <c r="P98" s="347"/>
      <c r="Q98" s="504"/>
      <c r="R98" s="505"/>
      <c r="S98" s="556">
        <f t="shared" si="15"/>
        <v>200000</v>
      </c>
      <c r="T98" s="506"/>
      <c r="V98" s="507"/>
      <c r="W98" s="508"/>
      <c r="X98" s="560">
        <f t="shared" si="16"/>
        <v>200000</v>
      </c>
      <c r="Y98" s="509"/>
      <c r="AA98" s="510"/>
      <c r="AB98" s="511"/>
      <c r="AC98" s="564">
        <f t="shared" si="17"/>
        <v>77984</v>
      </c>
      <c r="AD98" s="512"/>
      <c r="AE98" s="513"/>
      <c r="AF98" s="514"/>
      <c r="AG98" s="515"/>
      <c r="AH98" s="568">
        <f t="shared" si="18"/>
        <v>69222</v>
      </c>
      <c r="AI98" s="516"/>
      <c r="AJ98" s="513"/>
      <c r="AK98" s="514"/>
      <c r="AL98" s="515"/>
      <c r="AM98" s="568">
        <f t="shared" si="19"/>
        <v>63999</v>
      </c>
      <c r="AN98" s="516"/>
      <c r="AO98" s="347"/>
      <c r="AP98" s="636"/>
      <c r="AQ98" s="626"/>
      <c r="AR98" s="629"/>
      <c r="AT98" s="627"/>
      <c r="AU98" s="341"/>
      <c r="AV98" s="628"/>
      <c r="AX98" s="595"/>
      <c r="AY98" s="594"/>
      <c r="BA98" s="1501"/>
      <c r="BB98" s="675"/>
      <c r="BC98" s="642"/>
      <c r="BD98" s="646"/>
    </row>
    <row r="99" spans="1:56">
      <c r="A99" s="332"/>
      <c r="B99" s="334"/>
      <c r="C99" s="379">
        <f t="shared" si="12"/>
        <v>42002</v>
      </c>
      <c r="D99" s="335"/>
      <c r="G99" s="496"/>
      <c r="H99" s="497"/>
      <c r="I99" s="541">
        <f t="shared" si="13"/>
        <v>26905055</v>
      </c>
      <c r="J99" s="499"/>
      <c r="K99" s="347"/>
      <c r="L99" s="500"/>
      <c r="M99" s="501"/>
      <c r="N99" s="549">
        <f t="shared" si="14"/>
        <v>0</v>
      </c>
      <c r="O99" s="503"/>
      <c r="P99" s="347"/>
      <c r="Q99" s="504"/>
      <c r="R99" s="505"/>
      <c r="S99" s="556">
        <f t="shared" si="15"/>
        <v>200000</v>
      </c>
      <c r="T99" s="506"/>
      <c r="V99" s="507"/>
      <c r="W99" s="508"/>
      <c r="X99" s="560">
        <f t="shared" si="16"/>
        <v>200000</v>
      </c>
      <c r="Y99" s="509"/>
      <c r="AA99" s="510"/>
      <c r="AB99" s="511"/>
      <c r="AC99" s="564">
        <f t="shared" si="17"/>
        <v>77984</v>
      </c>
      <c r="AD99" s="512"/>
      <c r="AE99" s="513"/>
      <c r="AF99" s="514"/>
      <c r="AG99" s="515"/>
      <c r="AH99" s="568">
        <f t="shared" si="18"/>
        <v>69222</v>
      </c>
      <c r="AI99" s="516"/>
      <c r="AJ99" s="513"/>
      <c r="AK99" s="514"/>
      <c r="AL99" s="515"/>
      <c r="AM99" s="568">
        <f t="shared" si="19"/>
        <v>63999</v>
      </c>
      <c r="AN99" s="516"/>
      <c r="AO99" s="347"/>
      <c r="AP99" s="636"/>
      <c r="AQ99" s="626"/>
      <c r="AR99" s="629"/>
      <c r="AT99" s="627"/>
      <c r="AU99" s="341"/>
      <c r="AV99" s="628"/>
      <c r="AX99" s="595"/>
      <c r="AY99" s="594"/>
      <c r="BA99" s="1502"/>
      <c r="BB99" s="675"/>
      <c r="BC99" s="642"/>
      <c r="BD99" s="646"/>
    </row>
    <row r="100" spans="1:56">
      <c r="A100" s="332"/>
      <c r="B100" s="334"/>
      <c r="C100" s="379">
        <f t="shared" si="12"/>
        <v>42002</v>
      </c>
      <c r="D100" s="335"/>
      <c r="G100" s="496"/>
      <c r="H100" s="497"/>
      <c r="I100" s="541">
        <f t="shared" si="13"/>
        <v>26905055</v>
      </c>
      <c r="J100" s="499"/>
      <c r="K100" s="347"/>
      <c r="L100" s="500"/>
      <c r="M100" s="501"/>
      <c r="N100" s="549">
        <f t="shared" si="14"/>
        <v>0</v>
      </c>
      <c r="O100" s="503"/>
      <c r="P100" s="347"/>
      <c r="Q100" s="504"/>
      <c r="R100" s="505"/>
      <c r="S100" s="556">
        <f t="shared" si="15"/>
        <v>200000</v>
      </c>
      <c r="T100" s="506"/>
      <c r="V100" s="507"/>
      <c r="W100" s="508"/>
      <c r="X100" s="560">
        <f t="shared" si="16"/>
        <v>200000</v>
      </c>
      <c r="Y100" s="509"/>
      <c r="AA100" s="510"/>
      <c r="AB100" s="511"/>
      <c r="AC100" s="564">
        <f t="shared" si="17"/>
        <v>77984</v>
      </c>
      <c r="AD100" s="512"/>
      <c r="AE100" s="513"/>
      <c r="AF100" s="514"/>
      <c r="AG100" s="515"/>
      <c r="AH100" s="568">
        <f t="shared" si="18"/>
        <v>69222</v>
      </c>
      <c r="AI100" s="516"/>
      <c r="AJ100" s="513"/>
      <c r="AK100" s="514"/>
      <c r="AL100" s="515"/>
      <c r="AM100" s="568">
        <f t="shared" si="19"/>
        <v>63999</v>
      </c>
      <c r="AN100" s="516"/>
      <c r="AO100" s="347"/>
      <c r="AP100" s="636"/>
      <c r="AQ100" s="626"/>
      <c r="AR100" s="629"/>
      <c r="AT100" s="627"/>
      <c r="AU100" s="341"/>
      <c r="AV100" s="628"/>
      <c r="AX100" s="595"/>
      <c r="AY100" s="594"/>
      <c r="BA100" s="1521" t="s">
        <v>240</v>
      </c>
      <c r="BB100" s="675"/>
      <c r="BC100" s="642"/>
      <c r="BD100" s="646"/>
    </row>
    <row r="101" spans="1:56">
      <c r="A101" s="332"/>
      <c r="B101" s="334"/>
      <c r="C101" s="379">
        <f t="shared" si="12"/>
        <v>42002</v>
      </c>
      <c r="D101" s="335"/>
      <c r="G101" s="496"/>
      <c r="H101" s="497"/>
      <c r="I101" s="541">
        <f t="shared" si="13"/>
        <v>26905055</v>
      </c>
      <c r="J101" s="499"/>
      <c r="K101" s="347"/>
      <c r="L101" s="500"/>
      <c r="M101" s="501"/>
      <c r="N101" s="549">
        <f t="shared" si="14"/>
        <v>0</v>
      </c>
      <c r="O101" s="503"/>
      <c r="P101" s="347"/>
      <c r="Q101" s="504"/>
      <c r="R101" s="505"/>
      <c r="S101" s="556">
        <f t="shared" si="15"/>
        <v>200000</v>
      </c>
      <c r="T101" s="506"/>
      <c r="V101" s="507"/>
      <c r="W101" s="508"/>
      <c r="X101" s="560">
        <f t="shared" si="16"/>
        <v>200000</v>
      </c>
      <c r="Y101" s="509"/>
      <c r="AA101" s="510"/>
      <c r="AB101" s="511"/>
      <c r="AC101" s="564">
        <f t="shared" si="17"/>
        <v>77984</v>
      </c>
      <c r="AD101" s="512"/>
      <c r="AE101" s="513"/>
      <c r="AF101" s="514"/>
      <c r="AG101" s="515"/>
      <c r="AH101" s="568">
        <f t="shared" si="18"/>
        <v>69222</v>
      </c>
      <c r="AI101" s="516"/>
      <c r="AJ101" s="513"/>
      <c r="AK101" s="514"/>
      <c r="AL101" s="515"/>
      <c r="AM101" s="568">
        <f t="shared" si="19"/>
        <v>63999</v>
      </c>
      <c r="AN101" s="516"/>
      <c r="AO101" s="347"/>
      <c r="AP101" s="636"/>
      <c r="AQ101" s="626"/>
      <c r="AR101" s="629"/>
      <c r="AT101" s="627"/>
      <c r="AU101" s="341"/>
      <c r="AV101" s="628"/>
      <c r="AX101" s="595"/>
      <c r="AY101" s="594"/>
      <c r="BA101" s="1501"/>
      <c r="BB101" s="675"/>
      <c r="BC101" s="642"/>
      <c r="BD101" s="646"/>
    </row>
    <row r="102" spans="1:56">
      <c r="A102" s="332"/>
      <c r="B102" s="334"/>
      <c r="C102" s="379">
        <f t="shared" si="12"/>
        <v>42002</v>
      </c>
      <c r="D102" s="335"/>
      <c r="G102" s="496"/>
      <c r="H102" s="497"/>
      <c r="I102" s="541">
        <f t="shared" si="13"/>
        <v>26905055</v>
      </c>
      <c r="J102" s="499"/>
      <c r="K102" s="347"/>
      <c r="L102" s="500"/>
      <c r="M102" s="501"/>
      <c r="N102" s="549">
        <f t="shared" si="14"/>
        <v>0</v>
      </c>
      <c r="O102" s="503"/>
      <c r="P102" s="347"/>
      <c r="Q102" s="504"/>
      <c r="R102" s="505"/>
      <c r="S102" s="556">
        <f t="shared" si="15"/>
        <v>200000</v>
      </c>
      <c r="T102" s="506"/>
      <c r="V102" s="507"/>
      <c r="W102" s="508"/>
      <c r="X102" s="560">
        <f t="shared" si="16"/>
        <v>200000</v>
      </c>
      <c r="Y102" s="509"/>
      <c r="AA102" s="510"/>
      <c r="AB102" s="511"/>
      <c r="AC102" s="564">
        <f t="shared" si="17"/>
        <v>77984</v>
      </c>
      <c r="AD102" s="512"/>
      <c r="AE102" s="513"/>
      <c r="AF102" s="514"/>
      <c r="AG102" s="515"/>
      <c r="AH102" s="568">
        <f t="shared" si="18"/>
        <v>69222</v>
      </c>
      <c r="AI102" s="516"/>
      <c r="AJ102" s="513"/>
      <c r="AK102" s="514"/>
      <c r="AL102" s="515"/>
      <c r="AM102" s="568">
        <f t="shared" si="19"/>
        <v>63999</v>
      </c>
      <c r="AN102" s="516"/>
      <c r="AO102" s="347"/>
      <c r="AP102" s="636"/>
      <c r="AQ102" s="626"/>
      <c r="AR102" s="629"/>
      <c r="AT102" s="627"/>
      <c r="AU102" s="341"/>
      <c r="AV102" s="628"/>
      <c r="AX102" s="595"/>
      <c r="AY102" s="594"/>
      <c r="BA102" s="1501"/>
      <c r="BB102" s="675"/>
      <c r="BC102" s="642"/>
      <c r="BD102" s="646"/>
    </row>
    <row r="103" spans="1:56">
      <c r="A103" s="332"/>
      <c r="B103" s="334"/>
      <c r="C103" s="379">
        <f t="shared" si="12"/>
        <v>42002</v>
      </c>
      <c r="D103" s="335"/>
      <c r="G103" s="496"/>
      <c r="H103" s="497"/>
      <c r="I103" s="541">
        <f t="shared" si="13"/>
        <v>26905055</v>
      </c>
      <c r="J103" s="499"/>
      <c r="K103" s="347"/>
      <c r="L103" s="500"/>
      <c r="M103" s="501"/>
      <c r="N103" s="549">
        <f t="shared" si="14"/>
        <v>0</v>
      </c>
      <c r="O103" s="503"/>
      <c r="P103" s="347"/>
      <c r="Q103" s="504"/>
      <c r="R103" s="505"/>
      <c r="S103" s="556">
        <f t="shared" si="15"/>
        <v>200000</v>
      </c>
      <c r="T103" s="506"/>
      <c r="V103" s="507"/>
      <c r="W103" s="508"/>
      <c r="X103" s="560">
        <f t="shared" si="16"/>
        <v>200000</v>
      </c>
      <c r="Y103" s="509"/>
      <c r="AA103" s="510"/>
      <c r="AB103" s="511"/>
      <c r="AC103" s="564">
        <f t="shared" si="17"/>
        <v>77984</v>
      </c>
      <c r="AD103" s="512"/>
      <c r="AE103" s="513"/>
      <c r="AF103" s="514"/>
      <c r="AG103" s="515"/>
      <c r="AH103" s="568">
        <f t="shared" si="18"/>
        <v>69222</v>
      </c>
      <c r="AI103" s="516"/>
      <c r="AJ103" s="513"/>
      <c r="AK103" s="514"/>
      <c r="AL103" s="515"/>
      <c r="AM103" s="568">
        <f t="shared" si="19"/>
        <v>63999</v>
      </c>
      <c r="AN103" s="516"/>
      <c r="AO103" s="347"/>
      <c r="AP103" s="636"/>
      <c r="AQ103" s="626"/>
      <c r="AR103" s="629"/>
      <c r="AT103" s="627"/>
      <c r="AU103" s="341"/>
      <c r="AV103" s="628"/>
      <c r="AX103" s="595"/>
      <c r="AY103" s="594"/>
      <c r="BA103" s="1502"/>
      <c r="BB103" s="675"/>
      <c r="BC103" s="642"/>
      <c r="BD103" s="646"/>
    </row>
    <row r="104" spans="1:56">
      <c r="A104" s="332"/>
      <c r="B104" s="334"/>
      <c r="C104" s="379">
        <f t="shared" si="12"/>
        <v>42002</v>
      </c>
      <c r="D104" s="335"/>
      <c r="G104" s="496"/>
      <c r="H104" s="497"/>
      <c r="I104" s="541">
        <f t="shared" si="13"/>
        <v>26905055</v>
      </c>
      <c r="J104" s="499"/>
      <c r="K104" s="347"/>
      <c r="L104" s="500"/>
      <c r="M104" s="501"/>
      <c r="N104" s="549">
        <f t="shared" si="14"/>
        <v>0</v>
      </c>
      <c r="O104" s="503"/>
      <c r="P104" s="347"/>
      <c r="Q104" s="504"/>
      <c r="R104" s="505"/>
      <c r="S104" s="556">
        <f t="shared" si="15"/>
        <v>200000</v>
      </c>
      <c r="T104" s="506"/>
      <c r="V104" s="507"/>
      <c r="W104" s="508"/>
      <c r="X104" s="560">
        <f t="shared" si="16"/>
        <v>200000</v>
      </c>
      <c r="Y104" s="509"/>
      <c r="AA104" s="510"/>
      <c r="AB104" s="511"/>
      <c r="AC104" s="564">
        <f t="shared" si="17"/>
        <v>77984</v>
      </c>
      <c r="AD104" s="512"/>
      <c r="AE104" s="513"/>
      <c r="AF104" s="514"/>
      <c r="AG104" s="515"/>
      <c r="AH104" s="568">
        <f t="shared" si="18"/>
        <v>69222</v>
      </c>
      <c r="AI104" s="516"/>
      <c r="AJ104" s="513"/>
      <c r="AK104" s="514"/>
      <c r="AL104" s="515"/>
      <c r="AM104" s="568">
        <f t="shared" si="19"/>
        <v>63999</v>
      </c>
      <c r="AN104" s="516"/>
      <c r="AO104" s="347"/>
      <c r="AP104" s="636"/>
      <c r="AQ104" s="626"/>
      <c r="AR104" s="629"/>
      <c r="AT104" s="627"/>
      <c r="AU104" s="341"/>
      <c r="AV104" s="628"/>
      <c r="AX104" s="595"/>
      <c r="AY104" s="594"/>
      <c r="BA104" s="1521" t="s">
        <v>239</v>
      </c>
      <c r="BB104" s="675"/>
      <c r="BC104" s="642"/>
      <c r="BD104" s="646"/>
    </row>
    <row r="105" spans="1:56">
      <c r="A105" s="332"/>
      <c r="B105" s="334"/>
      <c r="C105" s="379">
        <f t="shared" si="12"/>
        <v>42002</v>
      </c>
      <c r="D105" s="335"/>
      <c r="G105" s="496"/>
      <c r="H105" s="497"/>
      <c r="I105" s="541">
        <f t="shared" si="13"/>
        <v>26905055</v>
      </c>
      <c r="J105" s="499"/>
      <c r="K105" s="347"/>
      <c r="L105" s="500"/>
      <c r="M105" s="501"/>
      <c r="N105" s="549">
        <f t="shared" si="14"/>
        <v>0</v>
      </c>
      <c r="O105" s="503"/>
      <c r="P105" s="347"/>
      <c r="Q105" s="504"/>
      <c r="R105" s="505"/>
      <c r="S105" s="556">
        <f t="shared" si="15"/>
        <v>200000</v>
      </c>
      <c r="T105" s="506"/>
      <c r="V105" s="507"/>
      <c r="W105" s="508"/>
      <c r="X105" s="560">
        <f t="shared" si="16"/>
        <v>200000</v>
      </c>
      <c r="Y105" s="509"/>
      <c r="AA105" s="510"/>
      <c r="AB105" s="511"/>
      <c r="AC105" s="564">
        <f t="shared" si="17"/>
        <v>77984</v>
      </c>
      <c r="AD105" s="512"/>
      <c r="AE105" s="513"/>
      <c r="AF105" s="514"/>
      <c r="AG105" s="515"/>
      <c r="AH105" s="568">
        <f t="shared" si="18"/>
        <v>69222</v>
      </c>
      <c r="AI105" s="516"/>
      <c r="AJ105" s="513"/>
      <c r="AK105" s="514"/>
      <c r="AL105" s="515"/>
      <c r="AM105" s="568">
        <f t="shared" si="19"/>
        <v>63999</v>
      </c>
      <c r="AN105" s="516"/>
      <c r="AO105" s="347"/>
      <c r="AP105" s="636"/>
      <c r="AQ105" s="626"/>
      <c r="AR105" s="629"/>
      <c r="AT105" s="627"/>
      <c r="AU105" s="341"/>
      <c r="AV105" s="628"/>
      <c r="AX105" s="595"/>
      <c r="AY105" s="594"/>
      <c r="BA105" s="1501"/>
      <c r="BB105" s="675"/>
      <c r="BC105" s="642"/>
      <c r="BD105" s="646"/>
    </row>
    <row r="106" spans="1:56">
      <c r="A106" s="332"/>
      <c r="B106" s="334"/>
      <c r="C106" s="379">
        <f t="shared" si="12"/>
        <v>42002</v>
      </c>
      <c r="D106" s="335"/>
      <c r="G106" s="496"/>
      <c r="H106" s="497"/>
      <c r="I106" s="541">
        <f t="shared" si="13"/>
        <v>26905055</v>
      </c>
      <c r="J106" s="499"/>
      <c r="K106" s="347"/>
      <c r="L106" s="500"/>
      <c r="M106" s="501"/>
      <c r="N106" s="549">
        <f t="shared" si="14"/>
        <v>0</v>
      </c>
      <c r="O106" s="503"/>
      <c r="P106" s="347"/>
      <c r="Q106" s="504"/>
      <c r="R106" s="505"/>
      <c r="S106" s="556">
        <f t="shared" si="15"/>
        <v>200000</v>
      </c>
      <c r="T106" s="506"/>
      <c r="V106" s="507"/>
      <c r="W106" s="508"/>
      <c r="X106" s="560">
        <f t="shared" si="16"/>
        <v>200000</v>
      </c>
      <c r="Y106" s="509"/>
      <c r="AA106" s="510"/>
      <c r="AB106" s="511"/>
      <c r="AC106" s="564">
        <f t="shared" si="17"/>
        <v>77984</v>
      </c>
      <c r="AD106" s="512"/>
      <c r="AE106" s="513"/>
      <c r="AF106" s="514"/>
      <c r="AG106" s="515"/>
      <c r="AH106" s="568">
        <f t="shared" si="18"/>
        <v>69222</v>
      </c>
      <c r="AI106" s="516"/>
      <c r="AJ106" s="513"/>
      <c r="AK106" s="514"/>
      <c r="AL106" s="515"/>
      <c r="AM106" s="568">
        <f t="shared" si="19"/>
        <v>63999</v>
      </c>
      <c r="AN106" s="516"/>
      <c r="AO106" s="347"/>
      <c r="AP106" s="636"/>
      <c r="AQ106" s="626"/>
      <c r="AR106" s="629"/>
      <c r="AT106" s="627"/>
      <c r="AU106" s="341"/>
      <c r="AV106" s="628"/>
      <c r="AX106" s="595"/>
      <c r="AY106" s="594"/>
      <c r="BA106" s="1501"/>
      <c r="BB106" s="675"/>
      <c r="BC106" s="642"/>
      <c r="BD106" s="646"/>
    </row>
    <row r="107" spans="1:56" ht="15" thickBot="1">
      <c r="A107" s="332"/>
      <c r="B107" s="334"/>
      <c r="C107" s="379">
        <f t="shared" si="12"/>
        <v>42002</v>
      </c>
      <c r="D107" s="335"/>
      <c r="G107" s="496"/>
      <c r="H107" s="497"/>
      <c r="I107" s="541">
        <f t="shared" si="13"/>
        <v>26905055</v>
      </c>
      <c r="J107" s="499"/>
      <c r="K107" s="347"/>
      <c r="L107" s="500"/>
      <c r="M107" s="501"/>
      <c r="N107" s="549">
        <f t="shared" si="14"/>
        <v>0</v>
      </c>
      <c r="O107" s="503"/>
      <c r="P107" s="347"/>
      <c r="Q107" s="504"/>
      <c r="R107" s="505"/>
      <c r="S107" s="556">
        <f t="shared" si="15"/>
        <v>200000</v>
      </c>
      <c r="T107" s="506"/>
      <c r="V107" s="507"/>
      <c r="W107" s="508"/>
      <c r="X107" s="560">
        <f t="shared" si="16"/>
        <v>200000</v>
      </c>
      <c r="Y107" s="509"/>
      <c r="AA107" s="510"/>
      <c r="AB107" s="511"/>
      <c r="AC107" s="564">
        <f t="shared" si="17"/>
        <v>77984</v>
      </c>
      <c r="AD107" s="512"/>
      <c r="AE107" s="513"/>
      <c r="AF107" s="514"/>
      <c r="AG107" s="515"/>
      <c r="AH107" s="568">
        <f t="shared" si="18"/>
        <v>69222</v>
      </c>
      <c r="AI107" s="516"/>
      <c r="AJ107" s="513"/>
      <c r="AK107" s="514"/>
      <c r="AL107" s="515"/>
      <c r="AM107" s="568">
        <f t="shared" si="19"/>
        <v>63999</v>
      </c>
      <c r="AN107" s="516"/>
      <c r="AO107" s="347"/>
      <c r="AP107" s="636"/>
      <c r="AQ107" s="626"/>
      <c r="AR107" s="629"/>
      <c r="AT107" s="627"/>
      <c r="AU107" s="341"/>
      <c r="AV107" s="628"/>
      <c r="AX107" s="595"/>
      <c r="AY107" s="594"/>
      <c r="BA107" s="1522"/>
      <c r="BB107" s="676"/>
      <c r="BC107" s="647"/>
      <c r="BD107" s="648"/>
    </row>
    <row r="108" spans="1:56" ht="15" thickBot="1">
      <c r="A108" s="332"/>
      <c r="B108" s="334"/>
      <c r="C108" s="379">
        <f t="shared" si="12"/>
        <v>42002</v>
      </c>
      <c r="D108" s="335"/>
      <c r="G108" s="496"/>
      <c r="H108" s="497"/>
      <c r="I108" s="541">
        <f t="shared" si="13"/>
        <v>26905055</v>
      </c>
      <c r="J108" s="499"/>
      <c r="K108" s="347"/>
      <c r="L108" s="500"/>
      <c r="M108" s="501"/>
      <c r="N108" s="549">
        <f t="shared" si="14"/>
        <v>0</v>
      </c>
      <c r="O108" s="503"/>
      <c r="P108" s="347"/>
      <c r="Q108" s="504"/>
      <c r="R108" s="505"/>
      <c r="S108" s="556">
        <f t="shared" si="15"/>
        <v>200000</v>
      </c>
      <c r="T108" s="506"/>
      <c r="V108" s="507"/>
      <c r="W108" s="508"/>
      <c r="X108" s="560">
        <f t="shared" si="16"/>
        <v>200000</v>
      </c>
      <c r="Y108" s="509"/>
      <c r="AA108" s="510"/>
      <c r="AB108" s="511"/>
      <c r="AC108" s="564">
        <f t="shared" si="17"/>
        <v>77984</v>
      </c>
      <c r="AD108" s="512"/>
      <c r="AE108" s="513"/>
      <c r="AF108" s="514"/>
      <c r="AG108" s="515"/>
      <c r="AH108" s="568">
        <f t="shared" si="18"/>
        <v>69222</v>
      </c>
      <c r="AI108" s="516"/>
      <c r="AJ108" s="513"/>
      <c r="AK108" s="514"/>
      <c r="AL108" s="515"/>
      <c r="AM108" s="568">
        <f t="shared" si="19"/>
        <v>63999</v>
      </c>
      <c r="AN108" s="516"/>
      <c r="AO108" s="347"/>
      <c r="AP108" s="636"/>
      <c r="AQ108" s="626"/>
      <c r="AR108" s="629"/>
      <c r="AT108" s="627"/>
      <c r="AU108" s="341"/>
      <c r="AV108" s="628"/>
      <c r="AX108" s="595"/>
      <c r="AY108" s="594"/>
      <c r="BA108" s="1523"/>
      <c r="BB108" s="1524"/>
      <c r="BC108" s="677">
        <f>SUM(BC88:BC107)</f>
        <v>0</v>
      </c>
      <c r="BD108" s="678">
        <f>SUM(BD88:BD107)</f>
        <v>0</v>
      </c>
    </row>
    <row r="109" spans="1:56" ht="15" thickBot="1">
      <c r="A109" s="332"/>
      <c r="B109" s="334"/>
      <c r="C109" s="379">
        <f t="shared" si="12"/>
        <v>42002</v>
      </c>
      <c r="D109" s="335"/>
      <c r="G109" s="496"/>
      <c r="H109" s="497"/>
      <c r="I109" s="541">
        <f t="shared" si="13"/>
        <v>26905055</v>
      </c>
      <c r="J109" s="499"/>
      <c r="K109" s="347"/>
      <c r="L109" s="500"/>
      <c r="M109" s="501"/>
      <c r="N109" s="549">
        <f t="shared" si="14"/>
        <v>0</v>
      </c>
      <c r="O109" s="503"/>
      <c r="P109" s="347"/>
      <c r="Q109" s="504"/>
      <c r="R109" s="505"/>
      <c r="S109" s="556">
        <f t="shared" si="15"/>
        <v>200000</v>
      </c>
      <c r="T109" s="506"/>
      <c r="V109" s="507"/>
      <c r="W109" s="508"/>
      <c r="X109" s="560">
        <f t="shared" si="16"/>
        <v>200000</v>
      </c>
      <c r="Y109" s="509"/>
      <c r="AA109" s="510"/>
      <c r="AB109" s="511"/>
      <c r="AC109" s="564">
        <f t="shared" si="17"/>
        <v>77984</v>
      </c>
      <c r="AD109" s="512"/>
      <c r="AE109" s="513"/>
      <c r="AF109" s="514"/>
      <c r="AG109" s="515"/>
      <c r="AH109" s="568">
        <f t="shared" si="18"/>
        <v>69222</v>
      </c>
      <c r="AI109" s="516"/>
      <c r="AJ109" s="513"/>
      <c r="AK109" s="514"/>
      <c r="AL109" s="515"/>
      <c r="AM109" s="568">
        <f t="shared" si="19"/>
        <v>63999</v>
      </c>
      <c r="AN109" s="516"/>
      <c r="AO109" s="347"/>
      <c r="AP109" s="636"/>
      <c r="AQ109" s="626"/>
      <c r="AR109" s="629"/>
      <c r="AT109" s="627"/>
      <c r="AU109" s="341"/>
      <c r="AV109" s="628"/>
      <c r="AX109" s="595"/>
      <c r="AY109" s="594"/>
      <c r="BA109" s="1488">
        <f>SUM(BC108:BD108)</f>
        <v>0</v>
      </c>
      <c r="BB109" s="1489"/>
      <c r="BC109" s="1489"/>
      <c r="BD109" s="1490"/>
    </row>
    <row r="110" spans="1:56" ht="15" thickTop="1">
      <c r="A110" s="332"/>
      <c r="B110" s="334"/>
      <c r="C110" s="379">
        <f t="shared" si="12"/>
        <v>42002</v>
      </c>
      <c r="D110" s="335"/>
      <c r="G110" s="496"/>
      <c r="H110" s="497"/>
      <c r="I110" s="541">
        <f t="shared" si="13"/>
        <v>26905055</v>
      </c>
      <c r="J110" s="499"/>
      <c r="K110" s="347"/>
      <c r="L110" s="500"/>
      <c r="M110" s="501"/>
      <c r="N110" s="549">
        <f t="shared" si="14"/>
        <v>0</v>
      </c>
      <c r="O110" s="503"/>
      <c r="P110" s="347"/>
      <c r="Q110" s="504"/>
      <c r="R110" s="505"/>
      <c r="S110" s="556">
        <f t="shared" si="15"/>
        <v>200000</v>
      </c>
      <c r="T110" s="506"/>
      <c r="V110" s="507"/>
      <c r="W110" s="508"/>
      <c r="X110" s="560">
        <f t="shared" si="16"/>
        <v>200000</v>
      </c>
      <c r="Y110" s="509"/>
      <c r="AA110" s="510"/>
      <c r="AB110" s="511"/>
      <c r="AC110" s="564">
        <f t="shared" si="17"/>
        <v>77984</v>
      </c>
      <c r="AD110" s="512"/>
      <c r="AE110" s="513"/>
      <c r="AF110" s="514"/>
      <c r="AG110" s="515"/>
      <c r="AH110" s="568">
        <f t="shared" si="18"/>
        <v>69222</v>
      </c>
      <c r="AI110" s="516"/>
      <c r="AJ110" s="513"/>
      <c r="AK110" s="514"/>
      <c r="AL110" s="515"/>
      <c r="AM110" s="568">
        <f t="shared" si="19"/>
        <v>63999</v>
      </c>
      <c r="AN110" s="516"/>
      <c r="AO110" s="347"/>
      <c r="AP110" s="636"/>
      <c r="AQ110" s="626"/>
      <c r="AR110" s="629"/>
      <c r="AT110" s="627"/>
      <c r="AU110" s="341"/>
      <c r="AV110" s="628"/>
      <c r="AX110" s="595"/>
      <c r="AY110" s="594"/>
    </row>
    <row r="111" spans="1:56">
      <c r="A111" s="332"/>
      <c r="B111" s="334"/>
      <c r="C111" s="379">
        <f t="shared" si="12"/>
        <v>42002</v>
      </c>
      <c r="D111" s="335"/>
      <c r="G111" s="496"/>
      <c r="H111" s="497"/>
      <c r="I111" s="541">
        <f t="shared" si="13"/>
        <v>26905055</v>
      </c>
      <c r="J111" s="499"/>
      <c r="K111" s="347"/>
      <c r="L111" s="500"/>
      <c r="M111" s="501"/>
      <c r="N111" s="549">
        <f t="shared" si="14"/>
        <v>0</v>
      </c>
      <c r="O111" s="503"/>
      <c r="P111" s="347"/>
      <c r="Q111" s="504"/>
      <c r="R111" s="505"/>
      <c r="S111" s="556">
        <f t="shared" si="15"/>
        <v>200000</v>
      </c>
      <c r="T111" s="506"/>
      <c r="V111" s="507"/>
      <c r="W111" s="508"/>
      <c r="X111" s="560">
        <f t="shared" si="16"/>
        <v>200000</v>
      </c>
      <c r="Y111" s="509"/>
      <c r="AA111" s="510"/>
      <c r="AB111" s="511"/>
      <c r="AC111" s="564">
        <f t="shared" si="17"/>
        <v>77984</v>
      </c>
      <c r="AD111" s="512"/>
      <c r="AE111" s="513"/>
      <c r="AF111" s="514"/>
      <c r="AG111" s="515"/>
      <c r="AH111" s="568">
        <f t="shared" si="18"/>
        <v>69222</v>
      </c>
      <c r="AI111" s="516"/>
      <c r="AJ111" s="513"/>
      <c r="AK111" s="514"/>
      <c r="AL111" s="515"/>
      <c r="AM111" s="568">
        <f t="shared" si="19"/>
        <v>63999</v>
      </c>
      <c r="AN111" s="516"/>
      <c r="AO111" s="347"/>
      <c r="AP111" s="636"/>
      <c r="AQ111" s="626"/>
      <c r="AR111" s="629"/>
      <c r="AT111" s="627"/>
      <c r="AU111" s="341"/>
      <c r="AV111" s="628"/>
      <c r="AX111" s="595"/>
      <c r="AY111" s="594"/>
    </row>
    <row r="112" spans="1:56">
      <c r="A112" s="332"/>
      <c r="B112" s="334"/>
      <c r="C112" s="379">
        <f t="shared" si="12"/>
        <v>42002</v>
      </c>
      <c r="D112" s="335"/>
      <c r="G112" s="496"/>
      <c r="H112" s="497"/>
      <c r="I112" s="541">
        <f t="shared" si="13"/>
        <v>26905055</v>
      </c>
      <c r="J112" s="499"/>
      <c r="K112" s="347"/>
      <c r="L112" s="500"/>
      <c r="M112" s="501"/>
      <c r="N112" s="549">
        <f t="shared" si="14"/>
        <v>0</v>
      </c>
      <c r="O112" s="503"/>
      <c r="P112" s="347"/>
      <c r="Q112" s="504"/>
      <c r="R112" s="505"/>
      <c r="S112" s="556">
        <f t="shared" si="15"/>
        <v>200000</v>
      </c>
      <c r="T112" s="506"/>
      <c r="V112" s="507"/>
      <c r="W112" s="508"/>
      <c r="X112" s="560">
        <f t="shared" si="16"/>
        <v>200000</v>
      </c>
      <c r="Y112" s="509"/>
      <c r="AA112" s="510"/>
      <c r="AB112" s="511"/>
      <c r="AC112" s="564">
        <f t="shared" si="17"/>
        <v>77984</v>
      </c>
      <c r="AD112" s="512"/>
      <c r="AE112" s="513"/>
      <c r="AF112" s="514"/>
      <c r="AG112" s="515"/>
      <c r="AH112" s="568">
        <f t="shared" si="18"/>
        <v>69222</v>
      </c>
      <c r="AI112" s="516"/>
      <c r="AJ112" s="513"/>
      <c r="AK112" s="514"/>
      <c r="AL112" s="515"/>
      <c r="AM112" s="568">
        <f t="shared" si="19"/>
        <v>63999</v>
      </c>
      <c r="AN112" s="516"/>
      <c r="AO112" s="347"/>
      <c r="AP112" s="636"/>
      <c r="AQ112" s="626"/>
      <c r="AR112" s="629"/>
      <c r="AT112" s="627"/>
      <c r="AU112" s="341"/>
      <c r="AV112" s="628"/>
      <c r="AX112" s="595"/>
      <c r="AY112" s="594"/>
    </row>
    <row r="113" spans="1:51">
      <c r="A113" s="332"/>
      <c r="B113" s="334"/>
      <c r="C113" s="379">
        <f t="shared" si="12"/>
        <v>42002</v>
      </c>
      <c r="D113" s="335"/>
      <c r="G113" s="496"/>
      <c r="H113" s="497"/>
      <c r="I113" s="541">
        <f t="shared" si="13"/>
        <v>26905055</v>
      </c>
      <c r="J113" s="499"/>
      <c r="K113" s="347"/>
      <c r="L113" s="500"/>
      <c r="M113" s="501"/>
      <c r="N113" s="549">
        <f t="shared" si="14"/>
        <v>0</v>
      </c>
      <c r="O113" s="503"/>
      <c r="P113" s="347"/>
      <c r="Q113" s="504"/>
      <c r="R113" s="505"/>
      <c r="S113" s="556">
        <f t="shared" si="15"/>
        <v>200000</v>
      </c>
      <c r="T113" s="506"/>
      <c r="V113" s="507"/>
      <c r="W113" s="508"/>
      <c r="X113" s="560">
        <f t="shared" si="16"/>
        <v>200000</v>
      </c>
      <c r="Y113" s="509"/>
      <c r="AA113" s="510"/>
      <c r="AB113" s="511"/>
      <c r="AC113" s="564">
        <f t="shared" si="17"/>
        <v>77984</v>
      </c>
      <c r="AD113" s="512"/>
      <c r="AE113" s="513"/>
      <c r="AF113" s="514"/>
      <c r="AG113" s="515"/>
      <c r="AH113" s="568">
        <f t="shared" si="18"/>
        <v>69222</v>
      </c>
      <c r="AI113" s="516"/>
      <c r="AJ113" s="513"/>
      <c r="AK113" s="514"/>
      <c r="AL113" s="515"/>
      <c r="AM113" s="568">
        <f t="shared" si="19"/>
        <v>63999</v>
      </c>
      <c r="AN113" s="516"/>
      <c r="AO113" s="347"/>
      <c r="AP113" s="636"/>
      <c r="AQ113" s="626"/>
      <c r="AR113" s="629"/>
      <c r="AT113" s="627"/>
      <c r="AU113" s="341"/>
      <c r="AV113" s="628"/>
      <c r="AX113" s="595"/>
      <c r="AY113" s="594"/>
    </row>
    <row r="114" spans="1:51">
      <c r="A114" s="332"/>
      <c r="B114" s="334"/>
      <c r="C114" s="379">
        <f t="shared" si="12"/>
        <v>42002</v>
      </c>
      <c r="D114" s="335"/>
      <c r="G114" s="496"/>
      <c r="H114" s="497"/>
      <c r="I114" s="541">
        <f t="shared" si="13"/>
        <v>26905055</v>
      </c>
      <c r="J114" s="499"/>
      <c r="K114" s="347"/>
      <c r="L114" s="500"/>
      <c r="M114" s="501"/>
      <c r="N114" s="549">
        <f t="shared" si="14"/>
        <v>0</v>
      </c>
      <c r="O114" s="503"/>
      <c r="P114" s="347"/>
      <c r="Q114" s="504"/>
      <c r="R114" s="505"/>
      <c r="S114" s="556">
        <f t="shared" si="15"/>
        <v>200000</v>
      </c>
      <c r="T114" s="506"/>
      <c r="V114" s="507"/>
      <c r="W114" s="508"/>
      <c r="X114" s="560">
        <f t="shared" si="16"/>
        <v>200000</v>
      </c>
      <c r="Y114" s="509"/>
      <c r="AA114" s="510"/>
      <c r="AB114" s="511"/>
      <c r="AC114" s="564">
        <f t="shared" si="17"/>
        <v>77984</v>
      </c>
      <c r="AD114" s="512"/>
      <c r="AE114" s="513"/>
      <c r="AF114" s="514"/>
      <c r="AG114" s="515"/>
      <c r="AH114" s="568">
        <f t="shared" si="18"/>
        <v>69222</v>
      </c>
      <c r="AI114" s="516"/>
      <c r="AJ114" s="513"/>
      <c r="AK114" s="514"/>
      <c r="AL114" s="515"/>
      <c r="AM114" s="568">
        <f t="shared" si="19"/>
        <v>63999</v>
      </c>
      <c r="AN114" s="516"/>
      <c r="AO114" s="347"/>
      <c r="AP114" s="636"/>
      <c r="AQ114" s="626"/>
      <c r="AR114" s="629"/>
      <c r="AT114" s="627"/>
      <c r="AU114" s="341"/>
      <c r="AV114" s="628"/>
      <c r="AX114" s="595"/>
      <c r="AY114" s="594"/>
    </row>
    <row r="115" spans="1:51">
      <c r="A115" s="332"/>
      <c r="B115" s="334"/>
      <c r="C115" s="379">
        <f t="shared" si="12"/>
        <v>42002</v>
      </c>
      <c r="D115" s="335"/>
      <c r="G115" s="496"/>
      <c r="H115" s="497"/>
      <c r="I115" s="541">
        <f t="shared" si="13"/>
        <v>26905055</v>
      </c>
      <c r="J115" s="499"/>
      <c r="K115" s="347"/>
      <c r="L115" s="500"/>
      <c r="M115" s="501"/>
      <c r="N115" s="549">
        <f t="shared" si="14"/>
        <v>0</v>
      </c>
      <c r="O115" s="503"/>
      <c r="P115" s="347"/>
      <c r="Q115" s="504"/>
      <c r="R115" s="505"/>
      <c r="S115" s="556">
        <f t="shared" si="15"/>
        <v>200000</v>
      </c>
      <c r="T115" s="506"/>
      <c r="V115" s="507"/>
      <c r="W115" s="508"/>
      <c r="X115" s="560">
        <f t="shared" si="16"/>
        <v>200000</v>
      </c>
      <c r="Y115" s="509"/>
      <c r="AA115" s="510"/>
      <c r="AB115" s="511"/>
      <c r="AC115" s="564">
        <f t="shared" si="17"/>
        <v>77984</v>
      </c>
      <c r="AD115" s="512"/>
      <c r="AE115" s="513"/>
      <c r="AF115" s="514"/>
      <c r="AG115" s="515"/>
      <c r="AH115" s="568">
        <f t="shared" si="18"/>
        <v>69222</v>
      </c>
      <c r="AI115" s="516"/>
      <c r="AJ115" s="513"/>
      <c r="AK115" s="514"/>
      <c r="AL115" s="515"/>
      <c r="AM115" s="568">
        <f t="shared" si="19"/>
        <v>63999</v>
      </c>
      <c r="AN115" s="516"/>
      <c r="AO115" s="347"/>
      <c r="AP115" s="636"/>
      <c r="AQ115" s="626"/>
      <c r="AR115" s="629"/>
      <c r="AT115" s="627"/>
      <c r="AU115" s="341"/>
      <c r="AV115" s="628"/>
      <c r="AX115" s="595"/>
      <c r="AY115" s="594"/>
    </row>
    <row r="116" spans="1:51">
      <c r="A116" s="332"/>
      <c r="B116" s="334"/>
      <c r="C116" s="379">
        <f t="shared" si="12"/>
        <v>42002</v>
      </c>
      <c r="D116" s="335"/>
      <c r="G116" s="496"/>
      <c r="H116" s="497"/>
      <c r="I116" s="541">
        <f t="shared" si="13"/>
        <v>26905055</v>
      </c>
      <c r="J116" s="499"/>
      <c r="K116" s="347"/>
      <c r="L116" s="500"/>
      <c r="M116" s="501"/>
      <c r="N116" s="549">
        <f t="shared" si="14"/>
        <v>0</v>
      </c>
      <c r="O116" s="503"/>
      <c r="P116" s="347"/>
      <c r="Q116" s="504"/>
      <c r="R116" s="505"/>
      <c r="S116" s="556">
        <f t="shared" si="15"/>
        <v>200000</v>
      </c>
      <c r="T116" s="506"/>
      <c r="V116" s="507"/>
      <c r="W116" s="508"/>
      <c r="X116" s="560">
        <f t="shared" si="16"/>
        <v>200000</v>
      </c>
      <c r="Y116" s="509"/>
      <c r="AA116" s="510"/>
      <c r="AB116" s="511"/>
      <c r="AC116" s="564">
        <f t="shared" si="17"/>
        <v>77984</v>
      </c>
      <c r="AD116" s="512"/>
      <c r="AE116" s="513"/>
      <c r="AF116" s="514"/>
      <c r="AG116" s="515"/>
      <c r="AH116" s="568">
        <f t="shared" si="18"/>
        <v>69222</v>
      </c>
      <c r="AI116" s="516"/>
      <c r="AJ116" s="513"/>
      <c r="AK116" s="514"/>
      <c r="AL116" s="515"/>
      <c r="AM116" s="568">
        <f t="shared" si="19"/>
        <v>63999</v>
      </c>
      <c r="AN116" s="516"/>
      <c r="AO116" s="347"/>
      <c r="AP116" s="636"/>
      <c r="AQ116" s="626"/>
      <c r="AR116" s="629"/>
      <c r="AT116" s="627"/>
      <c r="AU116" s="341"/>
      <c r="AV116" s="628"/>
      <c r="AX116" s="595"/>
      <c r="AY116" s="594"/>
    </row>
    <row r="117" spans="1:51">
      <c r="A117" s="332"/>
      <c r="B117" s="334"/>
      <c r="C117" s="379">
        <f t="shared" si="12"/>
        <v>42002</v>
      </c>
      <c r="D117" s="335"/>
      <c r="G117" s="496"/>
      <c r="H117" s="497"/>
      <c r="I117" s="541">
        <f t="shared" si="13"/>
        <v>26905055</v>
      </c>
      <c r="J117" s="499"/>
      <c r="K117" s="347"/>
      <c r="L117" s="500"/>
      <c r="M117" s="501"/>
      <c r="N117" s="549">
        <f t="shared" si="14"/>
        <v>0</v>
      </c>
      <c r="O117" s="503"/>
      <c r="P117" s="347"/>
      <c r="Q117" s="504"/>
      <c r="R117" s="505"/>
      <c r="S117" s="556">
        <f t="shared" si="15"/>
        <v>200000</v>
      </c>
      <c r="T117" s="506"/>
      <c r="V117" s="507"/>
      <c r="W117" s="508"/>
      <c r="X117" s="560">
        <f t="shared" si="16"/>
        <v>200000</v>
      </c>
      <c r="Y117" s="509"/>
      <c r="AA117" s="510"/>
      <c r="AB117" s="511"/>
      <c r="AC117" s="564">
        <f t="shared" si="17"/>
        <v>77984</v>
      </c>
      <c r="AD117" s="512"/>
      <c r="AE117" s="513"/>
      <c r="AF117" s="514"/>
      <c r="AG117" s="515"/>
      <c r="AH117" s="568">
        <f t="shared" si="18"/>
        <v>69222</v>
      </c>
      <c r="AI117" s="516"/>
      <c r="AJ117" s="513"/>
      <c r="AK117" s="514"/>
      <c r="AL117" s="515"/>
      <c r="AM117" s="568">
        <f t="shared" si="19"/>
        <v>63999</v>
      </c>
      <c r="AN117" s="516"/>
      <c r="AO117" s="347"/>
      <c r="AP117" s="636"/>
      <c r="AQ117" s="626"/>
      <c r="AR117" s="629"/>
      <c r="AT117" s="627"/>
      <c r="AU117" s="341"/>
      <c r="AV117" s="628"/>
      <c r="AX117" s="595"/>
      <c r="AY117" s="594"/>
    </row>
    <row r="118" spans="1:51">
      <c r="A118" s="332"/>
      <c r="B118" s="334"/>
      <c r="C118" s="379">
        <f t="shared" si="12"/>
        <v>42002</v>
      </c>
      <c r="D118" s="335"/>
      <c r="G118" s="496"/>
      <c r="H118" s="497"/>
      <c r="I118" s="541">
        <f t="shared" si="13"/>
        <v>26905055</v>
      </c>
      <c r="J118" s="499"/>
      <c r="K118" s="347"/>
      <c r="L118" s="500"/>
      <c r="M118" s="501"/>
      <c r="N118" s="549">
        <f t="shared" si="14"/>
        <v>0</v>
      </c>
      <c r="O118" s="503"/>
      <c r="P118" s="347"/>
      <c r="Q118" s="504"/>
      <c r="R118" s="505"/>
      <c r="S118" s="556">
        <f t="shared" si="15"/>
        <v>200000</v>
      </c>
      <c r="T118" s="506"/>
      <c r="V118" s="507"/>
      <c r="W118" s="508"/>
      <c r="X118" s="560">
        <f t="shared" si="16"/>
        <v>200000</v>
      </c>
      <c r="Y118" s="509"/>
      <c r="AA118" s="510"/>
      <c r="AB118" s="511"/>
      <c r="AC118" s="564">
        <f t="shared" si="17"/>
        <v>77984</v>
      </c>
      <c r="AD118" s="512"/>
      <c r="AE118" s="513"/>
      <c r="AF118" s="514"/>
      <c r="AG118" s="515"/>
      <c r="AH118" s="568">
        <f t="shared" si="18"/>
        <v>69222</v>
      </c>
      <c r="AI118" s="516"/>
      <c r="AJ118" s="513"/>
      <c r="AK118" s="514"/>
      <c r="AL118" s="515"/>
      <c r="AM118" s="568">
        <f t="shared" si="19"/>
        <v>63999</v>
      </c>
      <c r="AN118" s="516"/>
      <c r="AO118" s="347"/>
      <c r="AP118" s="636"/>
      <c r="AQ118" s="626"/>
      <c r="AR118" s="629"/>
      <c r="AT118" s="627"/>
      <c r="AU118" s="341"/>
      <c r="AV118" s="628"/>
      <c r="AX118" s="595"/>
      <c r="AY118" s="594"/>
    </row>
    <row r="119" spans="1:51">
      <c r="A119" s="332"/>
      <c r="B119" s="334"/>
      <c r="C119" s="379">
        <f t="shared" si="12"/>
        <v>42002</v>
      </c>
      <c r="D119" s="335"/>
      <c r="G119" s="496"/>
      <c r="H119" s="497"/>
      <c r="I119" s="541">
        <f t="shared" si="13"/>
        <v>26905055</v>
      </c>
      <c r="J119" s="499"/>
      <c r="K119" s="347"/>
      <c r="L119" s="500"/>
      <c r="M119" s="501"/>
      <c r="N119" s="549">
        <f t="shared" si="14"/>
        <v>0</v>
      </c>
      <c r="O119" s="503"/>
      <c r="P119" s="347"/>
      <c r="Q119" s="504"/>
      <c r="R119" s="505"/>
      <c r="S119" s="556">
        <f t="shared" si="15"/>
        <v>200000</v>
      </c>
      <c r="T119" s="506"/>
      <c r="V119" s="507"/>
      <c r="W119" s="508"/>
      <c r="X119" s="560">
        <f t="shared" si="16"/>
        <v>200000</v>
      </c>
      <c r="Y119" s="509"/>
      <c r="AA119" s="510"/>
      <c r="AB119" s="511"/>
      <c r="AC119" s="564">
        <f t="shared" si="17"/>
        <v>77984</v>
      </c>
      <c r="AD119" s="512"/>
      <c r="AE119" s="513"/>
      <c r="AF119" s="514"/>
      <c r="AG119" s="515"/>
      <c r="AH119" s="568">
        <f t="shared" si="18"/>
        <v>69222</v>
      </c>
      <c r="AI119" s="516"/>
      <c r="AJ119" s="513"/>
      <c r="AK119" s="514"/>
      <c r="AL119" s="515"/>
      <c r="AM119" s="568">
        <f t="shared" si="19"/>
        <v>63999</v>
      </c>
      <c r="AN119" s="516"/>
      <c r="AO119" s="347"/>
      <c r="AP119" s="636"/>
      <c r="AQ119" s="626"/>
      <c r="AR119" s="629"/>
      <c r="AT119" s="627"/>
      <c r="AU119" s="341"/>
      <c r="AV119" s="628"/>
      <c r="AX119" s="595"/>
      <c r="AY119" s="594"/>
    </row>
    <row r="120" spans="1:51">
      <c r="A120" s="332"/>
      <c r="B120" s="334"/>
      <c r="C120" s="379">
        <f t="shared" si="12"/>
        <v>42002</v>
      </c>
      <c r="D120" s="335"/>
      <c r="G120" s="496"/>
      <c r="H120" s="497"/>
      <c r="I120" s="541">
        <f t="shared" si="13"/>
        <v>26905055</v>
      </c>
      <c r="J120" s="499"/>
      <c r="K120" s="347"/>
      <c r="L120" s="500"/>
      <c r="M120" s="501"/>
      <c r="N120" s="549">
        <f t="shared" si="14"/>
        <v>0</v>
      </c>
      <c r="O120" s="503"/>
      <c r="P120" s="347"/>
      <c r="Q120" s="504"/>
      <c r="R120" s="505"/>
      <c r="S120" s="556">
        <f t="shared" si="15"/>
        <v>200000</v>
      </c>
      <c r="T120" s="506"/>
      <c r="V120" s="507"/>
      <c r="W120" s="508"/>
      <c r="X120" s="560">
        <f t="shared" si="16"/>
        <v>200000</v>
      </c>
      <c r="Y120" s="509"/>
      <c r="AA120" s="510"/>
      <c r="AB120" s="511"/>
      <c r="AC120" s="564">
        <f t="shared" si="17"/>
        <v>77984</v>
      </c>
      <c r="AD120" s="512"/>
      <c r="AE120" s="513"/>
      <c r="AF120" s="514"/>
      <c r="AG120" s="515"/>
      <c r="AH120" s="568">
        <f t="shared" si="18"/>
        <v>69222</v>
      </c>
      <c r="AI120" s="516"/>
      <c r="AJ120" s="513"/>
      <c r="AK120" s="514"/>
      <c r="AL120" s="515"/>
      <c r="AM120" s="568">
        <f t="shared" si="19"/>
        <v>63999</v>
      </c>
      <c r="AN120" s="516"/>
      <c r="AO120" s="347"/>
      <c r="AP120" s="636"/>
      <c r="AQ120" s="626"/>
      <c r="AR120" s="629"/>
      <c r="AT120" s="627"/>
      <c r="AU120" s="341"/>
      <c r="AV120" s="628"/>
      <c r="AX120" s="595"/>
      <c r="AY120" s="594"/>
    </row>
    <row r="121" spans="1:51">
      <c r="A121" s="332"/>
      <c r="B121" s="334"/>
      <c r="C121" s="379">
        <f t="shared" si="12"/>
        <v>42002</v>
      </c>
      <c r="D121" s="335"/>
      <c r="G121" s="496"/>
      <c r="H121" s="497"/>
      <c r="I121" s="541">
        <f t="shared" si="13"/>
        <v>26905055</v>
      </c>
      <c r="J121" s="499"/>
      <c r="K121" s="347"/>
      <c r="L121" s="500"/>
      <c r="M121" s="501"/>
      <c r="N121" s="549">
        <f t="shared" si="14"/>
        <v>0</v>
      </c>
      <c r="O121" s="503"/>
      <c r="P121" s="347"/>
      <c r="Q121" s="504"/>
      <c r="R121" s="505"/>
      <c r="S121" s="556">
        <f t="shared" si="15"/>
        <v>200000</v>
      </c>
      <c r="T121" s="506"/>
      <c r="V121" s="507"/>
      <c r="W121" s="508"/>
      <c r="X121" s="560">
        <f t="shared" si="16"/>
        <v>200000</v>
      </c>
      <c r="Y121" s="509"/>
      <c r="AA121" s="510"/>
      <c r="AB121" s="511"/>
      <c r="AC121" s="564">
        <f t="shared" si="17"/>
        <v>77984</v>
      </c>
      <c r="AD121" s="512"/>
      <c r="AE121" s="513"/>
      <c r="AF121" s="514"/>
      <c r="AG121" s="515"/>
      <c r="AH121" s="568">
        <f t="shared" si="18"/>
        <v>69222</v>
      </c>
      <c r="AI121" s="516"/>
      <c r="AJ121" s="513"/>
      <c r="AK121" s="514"/>
      <c r="AL121" s="515"/>
      <c r="AM121" s="568">
        <f t="shared" si="19"/>
        <v>63999</v>
      </c>
      <c r="AN121" s="516"/>
      <c r="AO121" s="347"/>
      <c r="AP121" s="636"/>
      <c r="AQ121" s="626"/>
      <c r="AR121" s="629"/>
      <c r="AT121" s="627"/>
      <c r="AU121" s="341"/>
      <c r="AV121" s="628"/>
      <c r="AX121" s="595"/>
      <c r="AY121" s="594"/>
    </row>
    <row r="122" spans="1:51">
      <c r="A122" s="332"/>
      <c r="B122" s="334"/>
      <c r="C122" s="379">
        <f t="shared" si="12"/>
        <v>42002</v>
      </c>
      <c r="D122" s="335"/>
      <c r="G122" s="496"/>
      <c r="H122" s="497"/>
      <c r="I122" s="541">
        <f t="shared" si="13"/>
        <v>26905055</v>
      </c>
      <c r="J122" s="499"/>
      <c r="K122" s="347"/>
      <c r="L122" s="500"/>
      <c r="M122" s="501"/>
      <c r="N122" s="549">
        <f t="shared" si="14"/>
        <v>0</v>
      </c>
      <c r="O122" s="503"/>
      <c r="P122" s="347"/>
      <c r="Q122" s="504"/>
      <c r="R122" s="505"/>
      <c r="S122" s="556">
        <f t="shared" si="15"/>
        <v>200000</v>
      </c>
      <c r="T122" s="506"/>
      <c r="V122" s="507"/>
      <c r="W122" s="508"/>
      <c r="X122" s="560">
        <f t="shared" si="16"/>
        <v>200000</v>
      </c>
      <c r="Y122" s="509"/>
      <c r="AA122" s="510"/>
      <c r="AB122" s="511"/>
      <c r="AC122" s="564">
        <f t="shared" si="17"/>
        <v>77984</v>
      </c>
      <c r="AD122" s="512"/>
      <c r="AE122" s="513"/>
      <c r="AF122" s="514"/>
      <c r="AG122" s="515"/>
      <c r="AH122" s="568">
        <f t="shared" si="18"/>
        <v>69222</v>
      </c>
      <c r="AI122" s="516"/>
      <c r="AJ122" s="513"/>
      <c r="AK122" s="514"/>
      <c r="AL122" s="515"/>
      <c r="AM122" s="568">
        <f t="shared" si="19"/>
        <v>63999</v>
      </c>
      <c r="AN122" s="516"/>
      <c r="AO122" s="347"/>
      <c r="AP122" s="636"/>
      <c r="AQ122" s="626"/>
      <c r="AR122" s="629"/>
      <c r="AT122" s="627"/>
      <c r="AU122" s="341"/>
      <c r="AV122" s="628"/>
      <c r="AX122" s="595"/>
      <c r="AY122" s="594"/>
    </row>
    <row r="123" spans="1:51">
      <c r="A123" s="332"/>
      <c r="B123" s="334"/>
      <c r="C123" s="379">
        <f t="shared" si="12"/>
        <v>42002</v>
      </c>
      <c r="D123" s="335"/>
      <c r="G123" s="496"/>
      <c r="H123" s="497"/>
      <c r="I123" s="541">
        <f t="shared" si="13"/>
        <v>26905055</v>
      </c>
      <c r="J123" s="499"/>
      <c r="K123" s="347"/>
      <c r="L123" s="500"/>
      <c r="M123" s="501"/>
      <c r="N123" s="549">
        <f t="shared" si="14"/>
        <v>0</v>
      </c>
      <c r="O123" s="503"/>
      <c r="P123" s="347"/>
      <c r="Q123" s="504"/>
      <c r="R123" s="505"/>
      <c r="S123" s="556">
        <f t="shared" si="15"/>
        <v>200000</v>
      </c>
      <c r="T123" s="506"/>
      <c r="V123" s="507"/>
      <c r="W123" s="508"/>
      <c r="X123" s="560">
        <f t="shared" si="16"/>
        <v>200000</v>
      </c>
      <c r="Y123" s="509"/>
      <c r="AA123" s="510"/>
      <c r="AB123" s="511"/>
      <c r="AC123" s="564">
        <f t="shared" si="17"/>
        <v>77984</v>
      </c>
      <c r="AD123" s="512"/>
      <c r="AE123" s="513"/>
      <c r="AF123" s="514"/>
      <c r="AG123" s="515"/>
      <c r="AH123" s="568">
        <f t="shared" si="18"/>
        <v>69222</v>
      </c>
      <c r="AI123" s="516"/>
      <c r="AJ123" s="513"/>
      <c r="AK123" s="514"/>
      <c r="AL123" s="515"/>
      <c r="AM123" s="568">
        <f t="shared" si="19"/>
        <v>63999</v>
      </c>
      <c r="AN123" s="516"/>
      <c r="AO123" s="347"/>
      <c r="AP123" s="636"/>
      <c r="AQ123" s="626"/>
      <c r="AR123" s="629"/>
      <c r="AT123" s="627"/>
      <c r="AU123" s="341"/>
      <c r="AV123" s="628"/>
      <c r="AX123" s="595"/>
      <c r="AY123" s="594"/>
    </row>
    <row r="124" spans="1:51">
      <c r="A124" s="332"/>
      <c r="B124" s="334"/>
      <c r="C124" s="379">
        <f t="shared" si="12"/>
        <v>42002</v>
      </c>
      <c r="D124" s="335"/>
      <c r="G124" s="496"/>
      <c r="H124" s="497"/>
      <c r="I124" s="541">
        <f t="shared" si="13"/>
        <v>26905055</v>
      </c>
      <c r="J124" s="499"/>
      <c r="K124" s="347"/>
      <c r="L124" s="500"/>
      <c r="M124" s="501"/>
      <c r="N124" s="549">
        <f t="shared" si="14"/>
        <v>0</v>
      </c>
      <c r="O124" s="503"/>
      <c r="P124" s="347"/>
      <c r="Q124" s="504"/>
      <c r="R124" s="505"/>
      <c r="S124" s="556">
        <f t="shared" si="15"/>
        <v>200000</v>
      </c>
      <c r="T124" s="506"/>
      <c r="V124" s="507"/>
      <c r="W124" s="508"/>
      <c r="X124" s="560">
        <f t="shared" si="16"/>
        <v>200000</v>
      </c>
      <c r="Y124" s="509"/>
      <c r="AA124" s="510"/>
      <c r="AB124" s="511"/>
      <c r="AC124" s="564">
        <f t="shared" si="17"/>
        <v>77984</v>
      </c>
      <c r="AD124" s="512"/>
      <c r="AE124" s="513"/>
      <c r="AF124" s="514"/>
      <c r="AG124" s="515"/>
      <c r="AH124" s="568">
        <f t="shared" si="18"/>
        <v>69222</v>
      </c>
      <c r="AI124" s="516"/>
      <c r="AJ124" s="513"/>
      <c r="AK124" s="514"/>
      <c r="AL124" s="515"/>
      <c r="AM124" s="568">
        <f t="shared" si="19"/>
        <v>63999</v>
      </c>
      <c r="AN124" s="516"/>
      <c r="AO124" s="347"/>
      <c r="AP124" s="636"/>
      <c r="AQ124" s="626"/>
      <c r="AR124" s="629"/>
      <c r="AT124" s="627"/>
      <c r="AU124" s="341"/>
      <c r="AV124" s="628"/>
      <c r="AX124" s="595"/>
      <c r="AY124" s="594"/>
    </row>
    <row r="125" spans="1:51">
      <c r="A125" s="332"/>
      <c r="B125" s="334"/>
      <c r="C125" s="379">
        <f t="shared" si="12"/>
        <v>42002</v>
      </c>
      <c r="D125" s="335"/>
      <c r="G125" s="496"/>
      <c r="H125" s="497"/>
      <c r="I125" s="541">
        <f t="shared" si="13"/>
        <v>26905055</v>
      </c>
      <c r="J125" s="499"/>
      <c r="K125" s="347"/>
      <c r="L125" s="500"/>
      <c r="M125" s="501"/>
      <c r="N125" s="549">
        <f t="shared" si="14"/>
        <v>0</v>
      </c>
      <c r="O125" s="503"/>
      <c r="P125" s="347"/>
      <c r="Q125" s="504"/>
      <c r="R125" s="505"/>
      <c r="S125" s="556">
        <f t="shared" si="15"/>
        <v>200000</v>
      </c>
      <c r="T125" s="506"/>
      <c r="V125" s="507"/>
      <c r="W125" s="508"/>
      <c r="X125" s="560">
        <f t="shared" si="16"/>
        <v>200000</v>
      </c>
      <c r="Y125" s="509"/>
      <c r="AA125" s="510"/>
      <c r="AB125" s="511"/>
      <c r="AC125" s="564">
        <f t="shared" si="17"/>
        <v>77984</v>
      </c>
      <c r="AD125" s="512"/>
      <c r="AE125" s="513"/>
      <c r="AF125" s="514"/>
      <c r="AG125" s="515"/>
      <c r="AH125" s="568">
        <f t="shared" si="18"/>
        <v>69222</v>
      </c>
      <c r="AI125" s="516"/>
      <c r="AJ125" s="513"/>
      <c r="AK125" s="514"/>
      <c r="AL125" s="515"/>
      <c r="AM125" s="568">
        <f t="shared" si="19"/>
        <v>63999</v>
      </c>
      <c r="AN125" s="516"/>
      <c r="AO125" s="347"/>
      <c r="AP125" s="636"/>
      <c r="AQ125" s="626"/>
      <c r="AR125" s="629"/>
      <c r="AT125" s="627"/>
      <c r="AU125" s="341"/>
      <c r="AV125" s="628"/>
      <c r="AX125" s="595"/>
      <c r="AY125" s="594"/>
    </row>
    <row r="126" spans="1:51">
      <c r="A126" s="332"/>
      <c r="B126" s="334"/>
      <c r="C126" s="379">
        <f t="shared" si="12"/>
        <v>42002</v>
      </c>
      <c r="D126" s="335"/>
      <c r="G126" s="496"/>
      <c r="H126" s="497"/>
      <c r="I126" s="541">
        <f t="shared" si="13"/>
        <v>26905055</v>
      </c>
      <c r="J126" s="499"/>
      <c r="K126" s="347"/>
      <c r="L126" s="500"/>
      <c r="M126" s="501"/>
      <c r="N126" s="549">
        <f t="shared" si="14"/>
        <v>0</v>
      </c>
      <c r="O126" s="503"/>
      <c r="P126" s="347"/>
      <c r="Q126" s="504"/>
      <c r="R126" s="505"/>
      <c r="S126" s="556">
        <f t="shared" si="15"/>
        <v>200000</v>
      </c>
      <c r="T126" s="506"/>
      <c r="V126" s="507"/>
      <c r="W126" s="508"/>
      <c r="X126" s="560">
        <f t="shared" si="16"/>
        <v>200000</v>
      </c>
      <c r="Y126" s="509"/>
      <c r="AA126" s="510"/>
      <c r="AB126" s="511"/>
      <c r="AC126" s="564">
        <f t="shared" si="17"/>
        <v>77984</v>
      </c>
      <c r="AD126" s="512"/>
      <c r="AE126" s="513"/>
      <c r="AF126" s="514"/>
      <c r="AG126" s="515"/>
      <c r="AH126" s="568">
        <f t="shared" si="18"/>
        <v>69222</v>
      </c>
      <c r="AI126" s="516"/>
      <c r="AJ126" s="513"/>
      <c r="AK126" s="514"/>
      <c r="AL126" s="515"/>
      <c r="AM126" s="568">
        <f t="shared" si="19"/>
        <v>63999</v>
      </c>
      <c r="AN126" s="516"/>
      <c r="AO126" s="347"/>
      <c r="AP126" s="636"/>
      <c r="AQ126" s="626"/>
      <c r="AR126" s="629"/>
      <c r="AT126" s="627"/>
      <c r="AU126" s="341"/>
      <c r="AV126" s="628"/>
      <c r="AX126" s="595"/>
      <c r="AY126" s="594"/>
    </row>
    <row r="127" spans="1:51">
      <c r="A127" s="332"/>
      <c r="B127" s="334"/>
      <c r="C127" s="379">
        <f t="shared" si="12"/>
        <v>42002</v>
      </c>
      <c r="D127" s="335"/>
      <c r="G127" s="496"/>
      <c r="H127" s="497"/>
      <c r="I127" s="541">
        <f t="shared" si="13"/>
        <v>26905055</v>
      </c>
      <c r="J127" s="499"/>
      <c r="K127" s="347"/>
      <c r="L127" s="500"/>
      <c r="M127" s="501"/>
      <c r="N127" s="549">
        <f t="shared" si="14"/>
        <v>0</v>
      </c>
      <c r="O127" s="503"/>
      <c r="P127" s="347"/>
      <c r="Q127" s="504"/>
      <c r="R127" s="505"/>
      <c r="S127" s="556">
        <f t="shared" si="15"/>
        <v>200000</v>
      </c>
      <c r="T127" s="506"/>
      <c r="V127" s="507"/>
      <c r="W127" s="508"/>
      <c r="X127" s="560">
        <f t="shared" si="16"/>
        <v>200000</v>
      </c>
      <c r="Y127" s="509"/>
      <c r="AA127" s="510"/>
      <c r="AB127" s="511"/>
      <c r="AC127" s="564">
        <f t="shared" si="17"/>
        <v>77984</v>
      </c>
      <c r="AD127" s="512"/>
      <c r="AE127" s="513"/>
      <c r="AF127" s="514"/>
      <c r="AG127" s="515"/>
      <c r="AH127" s="568">
        <f t="shared" si="18"/>
        <v>69222</v>
      </c>
      <c r="AI127" s="516"/>
      <c r="AJ127" s="513"/>
      <c r="AK127" s="514"/>
      <c r="AL127" s="515"/>
      <c r="AM127" s="568">
        <f t="shared" si="19"/>
        <v>63999</v>
      </c>
      <c r="AN127" s="516"/>
      <c r="AO127" s="347"/>
      <c r="AP127" s="636"/>
      <c r="AQ127" s="626"/>
      <c r="AR127" s="629"/>
      <c r="AT127" s="627"/>
      <c r="AU127" s="341"/>
      <c r="AV127" s="628"/>
      <c r="AX127" s="595"/>
      <c r="AY127" s="594"/>
    </row>
    <row r="128" spans="1:51">
      <c r="A128" s="332"/>
      <c r="B128" s="334"/>
      <c r="C128" s="379">
        <f t="shared" si="12"/>
        <v>42002</v>
      </c>
      <c r="D128" s="335"/>
      <c r="G128" s="496"/>
      <c r="H128" s="497"/>
      <c r="I128" s="541">
        <f t="shared" si="13"/>
        <v>26905055</v>
      </c>
      <c r="J128" s="499"/>
      <c r="K128" s="347"/>
      <c r="L128" s="500"/>
      <c r="M128" s="501"/>
      <c r="N128" s="549">
        <f t="shared" si="14"/>
        <v>0</v>
      </c>
      <c r="O128" s="503"/>
      <c r="P128" s="347"/>
      <c r="Q128" s="504"/>
      <c r="R128" s="505"/>
      <c r="S128" s="556">
        <f t="shared" si="15"/>
        <v>200000</v>
      </c>
      <c r="T128" s="506"/>
      <c r="V128" s="507"/>
      <c r="W128" s="508"/>
      <c r="X128" s="560">
        <f t="shared" si="16"/>
        <v>200000</v>
      </c>
      <c r="Y128" s="509"/>
      <c r="AA128" s="510"/>
      <c r="AB128" s="511"/>
      <c r="AC128" s="564">
        <f t="shared" si="17"/>
        <v>77984</v>
      </c>
      <c r="AD128" s="512"/>
      <c r="AE128" s="513"/>
      <c r="AF128" s="514"/>
      <c r="AG128" s="515"/>
      <c r="AH128" s="568">
        <f t="shared" si="18"/>
        <v>69222</v>
      </c>
      <c r="AI128" s="516"/>
      <c r="AJ128" s="513"/>
      <c r="AK128" s="514"/>
      <c r="AL128" s="515"/>
      <c r="AM128" s="568">
        <f t="shared" si="19"/>
        <v>63999</v>
      </c>
      <c r="AN128" s="516"/>
      <c r="AO128" s="347"/>
      <c r="AP128" s="636"/>
      <c r="AQ128" s="626"/>
      <c r="AR128" s="629"/>
      <c r="AT128" s="627"/>
      <c r="AU128" s="341"/>
      <c r="AV128" s="628"/>
      <c r="AX128" s="595"/>
      <c r="AY128" s="594"/>
    </row>
    <row r="129" spans="1:51">
      <c r="A129" s="332"/>
      <c r="B129" s="334"/>
      <c r="C129" s="379">
        <f t="shared" si="12"/>
        <v>42002</v>
      </c>
      <c r="D129" s="335"/>
      <c r="G129" s="496"/>
      <c r="H129" s="497"/>
      <c r="I129" s="541">
        <f t="shared" si="13"/>
        <v>26905055</v>
      </c>
      <c r="J129" s="499"/>
      <c r="K129" s="347"/>
      <c r="L129" s="500"/>
      <c r="M129" s="501"/>
      <c r="N129" s="549">
        <f t="shared" si="14"/>
        <v>0</v>
      </c>
      <c r="O129" s="503"/>
      <c r="P129" s="347"/>
      <c r="Q129" s="504"/>
      <c r="R129" s="505"/>
      <c r="S129" s="556">
        <f t="shared" si="15"/>
        <v>200000</v>
      </c>
      <c r="T129" s="506"/>
      <c r="V129" s="507"/>
      <c r="W129" s="508"/>
      <c r="X129" s="560">
        <f t="shared" si="16"/>
        <v>200000</v>
      </c>
      <c r="Y129" s="509"/>
      <c r="AA129" s="510"/>
      <c r="AB129" s="511"/>
      <c r="AC129" s="564">
        <f t="shared" si="17"/>
        <v>77984</v>
      </c>
      <c r="AD129" s="512"/>
      <c r="AE129" s="513"/>
      <c r="AF129" s="514"/>
      <c r="AG129" s="515"/>
      <c r="AH129" s="568">
        <f t="shared" si="18"/>
        <v>69222</v>
      </c>
      <c r="AI129" s="516"/>
      <c r="AJ129" s="513"/>
      <c r="AK129" s="514"/>
      <c r="AL129" s="515"/>
      <c r="AM129" s="568">
        <f t="shared" si="19"/>
        <v>63999</v>
      </c>
      <c r="AN129" s="516"/>
      <c r="AO129" s="347"/>
      <c r="AP129" s="636"/>
      <c r="AQ129" s="626"/>
      <c r="AR129" s="629"/>
      <c r="AT129" s="627"/>
      <c r="AU129" s="341"/>
      <c r="AV129" s="628"/>
      <c r="AX129" s="595"/>
      <c r="AY129" s="594"/>
    </row>
    <row r="130" spans="1:51">
      <c r="A130" s="332"/>
      <c r="B130" s="334"/>
      <c r="C130" s="379">
        <f t="shared" si="12"/>
        <v>42002</v>
      </c>
      <c r="D130" s="335"/>
      <c r="G130" s="496"/>
      <c r="H130" s="497"/>
      <c r="I130" s="541">
        <f t="shared" si="13"/>
        <v>26905055</v>
      </c>
      <c r="J130" s="499"/>
      <c r="K130" s="347"/>
      <c r="L130" s="500"/>
      <c r="M130" s="501"/>
      <c r="N130" s="549">
        <f t="shared" si="14"/>
        <v>0</v>
      </c>
      <c r="O130" s="503"/>
      <c r="P130" s="347"/>
      <c r="Q130" s="504"/>
      <c r="R130" s="505"/>
      <c r="S130" s="556">
        <f t="shared" si="15"/>
        <v>200000</v>
      </c>
      <c r="T130" s="506"/>
      <c r="V130" s="507"/>
      <c r="W130" s="508"/>
      <c r="X130" s="560">
        <f t="shared" si="16"/>
        <v>200000</v>
      </c>
      <c r="Y130" s="509"/>
      <c r="AA130" s="510"/>
      <c r="AB130" s="511"/>
      <c r="AC130" s="564">
        <f t="shared" si="17"/>
        <v>77984</v>
      </c>
      <c r="AD130" s="512"/>
      <c r="AE130" s="513"/>
      <c r="AF130" s="514"/>
      <c r="AG130" s="515"/>
      <c r="AH130" s="568">
        <f t="shared" si="18"/>
        <v>69222</v>
      </c>
      <c r="AI130" s="516"/>
      <c r="AJ130" s="513"/>
      <c r="AK130" s="514"/>
      <c r="AL130" s="515"/>
      <c r="AM130" s="568">
        <f t="shared" si="19"/>
        <v>63999</v>
      </c>
      <c r="AN130" s="516"/>
      <c r="AO130" s="347"/>
      <c r="AP130" s="636"/>
      <c r="AQ130" s="626"/>
      <c r="AR130" s="629"/>
      <c r="AT130" s="627"/>
      <c r="AU130" s="341"/>
      <c r="AV130" s="628"/>
      <c r="AX130" s="595"/>
      <c r="AY130" s="594"/>
    </row>
    <row r="131" spans="1:51">
      <c r="A131" s="332"/>
      <c r="B131" s="334"/>
      <c r="C131" s="379">
        <f t="shared" si="12"/>
        <v>42002</v>
      </c>
      <c r="D131" s="335"/>
      <c r="G131" s="496"/>
      <c r="H131" s="497"/>
      <c r="I131" s="541">
        <f t="shared" si="13"/>
        <v>26905055</v>
      </c>
      <c r="J131" s="499"/>
      <c r="K131" s="347"/>
      <c r="L131" s="500"/>
      <c r="M131" s="501"/>
      <c r="N131" s="549">
        <f t="shared" si="14"/>
        <v>0</v>
      </c>
      <c r="O131" s="503"/>
      <c r="P131" s="347"/>
      <c r="Q131" s="504"/>
      <c r="R131" s="505"/>
      <c r="S131" s="556">
        <f t="shared" si="15"/>
        <v>200000</v>
      </c>
      <c r="T131" s="506"/>
      <c r="V131" s="507"/>
      <c r="W131" s="508"/>
      <c r="X131" s="560">
        <f t="shared" si="16"/>
        <v>200000</v>
      </c>
      <c r="Y131" s="509"/>
      <c r="AA131" s="510"/>
      <c r="AB131" s="511"/>
      <c r="AC131" s="564">
        <f t="shared" si="17"/>
        <v>77984</v>
      </c>
      <c r="AD131" s="512"/>
      <c r="AE131" s="513"/>
      <c r="AF131" s="514"/>
      <c r="AG131" s="515"/>
      <c r="AH131" s="568">
        <f t="shared" si="18"/>
        <v>69222</v>
      </c>
      <c r="AI131" s="516"/>
      <c r="AJ131" s="513"/>
      <c r="AK131" s="514"/>
      <c r="AL131" s="515"/>
      <c r="AM131" s="568">
        <f t="shared" si="19"/>
        <v>63999</v>
      </c>
      <c r="AN131" s="516"/>
      <c r="AO131" s="347"/>
      <c r="AP131" s="636"/>
      <c r="AQ131" s="626"/>
      <c r="AR131" s="629"/>
      <c r="AT131" s="627"/>
      <c r="AU131" s="341"/>
      <c r="AV131" s="628"/>
      <c r="AX131" s="595"/>
      <c r="AY131" s="594"/>
    </row>
    <row r="132" spans="1:51">
      <c r="A132" s="332"/>
      <c r="B132" s="334"/>
      <c r="C132" s="379">
        <f t="shared" si="12"/>
        <v>42002</v>
      </c>
      <c r="D132" s="335"/>
      <c r="G132" s="496"/>
      <c r="H132" s="497"/>
      <c r="I132" s="541">
        <f t="shared" si="13"/>
        <v>26905055</v>
      </c>
      <c r="J132" s="499"/>
      <c r="K132" s="347"/>
      <c r="L132" s="500"/>
      <c r="M132" s="501"/>
      <c r="N132" s="549">
        <f t="shared" si="14"/>
        <v>0</v>
      </c>
      <c r="O132" s="503"/>
      <c r="P132" s="347"/>
      <c r="Q132" s="504"/>
      <c r="R132" s="505"/>
      <c r="S132" s="556">
        <f t="shared" si="15"/>
        <v>200000</v>
      </c>
      <c r="T132" s="506"/>
      <c r="V132" s="507"/>
      <c r="W132" s="508"/>
      <c r="X132" s="560">
        <f t="shared" si="16"/>
        <v>200000</v>
      </c>
      <c r="Y132" s="509"/>
      <c r="AA132" s="510"/>
      <c r="AB132" s="511"/>
      <c r="AC132" s="564">
        <f t="shared" si="17"/>
        <v>77984</v>
      </c>
      <c r="AD132" s="512"/>
      <c r="AE132" s="513"/>
      <c r="AF132" s="514"/>
      <c r="AG132" s="515"/>
      <c r="AH132" s="568">
        <f t="shared" si="18"/>
        <v>69222</v>
      </c>
      <c r="AI132" s="516"/>
      <c r="AJ132" s="513"/>
      <c r="AK132" s="514"/>
      <c r="AL132" s="515"/>
      <c r="AM132" s="568">
        <f t="shared" si="19"/>
        <v>63999</v>
      </c>
      <c r="AN132" s="516"/>
      <c r="AO132" s="347"/>
      <c r="AP132" s="636"/>
      <c r="AQ132" s="626"/>
      <c r="AR132" s="629"/>
      <c r="AT132" s="627"/>
      <c r="AU132" s="341"/>
      <c r="AV132" s="628"/>
      <c r="AX132" s="595"/>
      <c r="AY132" s="594"/>
    </row>
    <row r="133" spans="1:51">
      <c r="A133" s="332"/>
      <c r="B133" s="334"/>
      <c r="C133" s="379">
        <f t="shared" si="12"/>
        <v>42002</v>
      </c>
      <c r="D133" s="335"/>
      <c r="G133" s="496"/>
      <c r="H133" s="497"/>
      <c r="I133" s="541">
        <f t="shared" si="13"/>
        <v>26905055</v>
      </c>
      <c r="J133" s="499"/>
      <c r="K133" s="347"/>
      <c r="L133" s="500"/>
      <c r="M133" s="501"/>
      <c r="N133" s="549">
        <f t="shared" si="14"/>
        <v>0</v>
      </c>
      <c r="O133" s="503"/>
      <c r="P133" s="347"/>
      <c r="Q133" s="504"/>
      <c r="R133" s="505"/>
      <c r="S133" s="556">
        <f t="shared" si="15"/>
        <v>200000</v>
      </c>
      <c r="T133" s="506"/>
      <c r="V133" s="507"/>
      <c r="W133" s="508"/>
      <c r="X133" s="560">
        <f t="shared" si="16"/>
        <v>200000</v>
      </c>
      <c r="Y133" s="509"/>
      <c r="AA133" s="510"/>
      <c r="AB133" s="511"/>
      <c r="AC133" s="564">
        <f t="shared" si="17"/>
        <v>77984</v>
      </c>
      <c r="AD133" s="512"/>
      <c r="AE133" s="513"/>
      <c r="AF133" s="514"/>
      <c r="AG133" s="515"/>
      <c r="AH133" s="568">
        <f t="shared" si="18"/>
        <v>69222</v>
      </c>
      <c r="AI133" s="516"/>
      <c r="AJ133" s="513"/>
      <c r="AK133" s="514"/>
      <c r="AL133" s="515"/>
      <c r="AM133" s="568">
        <f t="shared" si="19"/>
        <v>63999</v>
      </c>
      <c r="AN133" s="516"/>
      <c r="AO133" s="347"/>
      <c r="AP133" s="636"/>
      <c r="AQ133" s="626"/>
      <c r="AR133" s="629"/>
      <c r="AT133" s="627"/>
      <c r="AU133" s="341"/>
      <c r="AV133" s="628"/>
      <c r="AX133" s="595"/>
      <c r="AY133" s="594"/>
    </row>
    <row r="134" spans="1:51">
      <c r="A134" s="332"/>
      <c r="B134" s="334"/>
      <c r="C134" s="379">
        <f t="shared" si="12"/>
        <v>42002</v>
      </c>
      <c r="D134" s="335"/>
      <c r="G134" s="496"/>
      <c r="H134" s="497"/>
      <c r="I134" s="541">
        <f t="shared" si="13"/>
        <v>26905055</v>
      </c>
      <c r="J134" s="499"/>
      <c r="K134" s="347"/>
      <c r="L134" s="500"/>
      <c r="M134" s="501"/>
      <c r="N134" s="549">
        <f t="shared" si="14"/>
        <v>0</v>
      </c>
      <c r="O134" s="503"/>
      <c r="P134" s="347"/>
      <c r="Q134" s="504"/>
      <c r="R134" s="505"/>
      <c r="S134" s="556">
        <f t="shared" si="15"/>
        <v>200000</v>
      </c>
      <c r="T134" s="506"/>
      <c r="V134" s="507"/>
      <c r="W134" s="508"/>
      <c r="X134" s="560">
        <f t="shared" si="16"/>
        <v>200000</v>
      </c>
      <c r="Y134" s="509"/>
      <c r="AA134" s="510"/>
      <c r="AB134" s="511"/>
      <c r="AC134" s="564">
        <f t="shared" si="17"/>
        <v>77984</v>
      </c>
      <c r="AD134" s="512"/>
      <c r="AE134" s="513"/>
      <c r="AF134" s="514"/>
      <c r="AG134" s="515"/>
      <c r="AH134" s="568">
        <f t="shared" si="18"/>
        <v>69222</v>
      </c>
      <c r="AI134" s="516"/>
      <c r="AJ134" s="513"/>
      <c r="AK134" s="514"/>
      <c r="AL134" s="515"/>
      <c r="AM134" s="568">
        <f t="shared" si="19"/>
        <v>63999</v>
      </c>
      <c r="AN134" s="516"/>
      <c r="AO134" s="347"/>
      <c r="AP134" s="636"/>
      <c r="AQ134" s="626"/>
      <c r="AR134" s="629"/>
      <c r="AT134" s="627"/>
      <c r="AU134" s="341"/>
      <c r="AV134" s="628"/>
      <c r="AX134" s="595"/>
      <c r="AY134" s="594"/>
    </row>
    <row r="135" spans="1:51">
      <c r="A135" s="332"/>
      <c r="B135" s="334"/>
      <c r="C135" s="379">
        <f t="shared" ref="C135:C190" si="21">C134+A135-B135</f>
        <v>42002</v>
      </c>
      <c r="D135" s="335"/>
      <c r="G135" s="496"/>
      <c r="H135" s="497"/>
      <c r="I135" s="541">
        <f t="shared" ref="I135:I190" si="22">I134+G135-H135</f>
        <v>26905055</v>
      </c>
      <c r="J135" s="499"/>
      <c r="K135" s="347"/>
      <c r="L135" s="500"/>
      <c r="M135" s="501"/>
      <c r="N135" s="549">
        <f t="shared" ref="N135:N190" si="23">N134+L135-M135</f>
        <v>0</v>
      </c>
      <c r="O135" s="503"/>
      <c r="P135" s="347"/>
      <c r="Q135" s="504"/>
      <c r="R135" s="505"/>
      <c r="S135" s="556">
        <f t="shared" ref="S135:S190" si="24">S134+Q135-R135</f>
        <v>200000</v>
      </c>
      <c r="T135" s="506"/>
      <c r="V135" s="507"/>
      <c r="W135" s="508"/>
      <c r="X135" s="560">
        <f t="shared" ref="X135:X190" si="25">X134+V135-W135</f>
        <v>200000</v>
      </c>
      <c r="Y135" s="509"/>
      <c r="AA135" s="510"/>
      <c r="AB135" s="511"/>
      <c r="AC135" s="564">
        <f t="shared" ref="AC135:AC190" si="26">AC134+AA135-AB135</f>
        <v>77984</v>
      </c>
      <c r="AD135" s="512"/>
      <c r="AE135" s="513"/>
      <c r="AF135" s="514"/>
      <c r="AG135" s="515"/>
      <c r="AH135" s="568">
        <f t="shared" ref="AH135:AH190" si="27">AH134+AF135-AG135</f>
        <v>69222</v>
      </c>
      <c r="AI135" s="516"/>
      <c r="AJ135" s="513"/>
      <c r="AK135" s="514"/>
      <c r="AL135" s="515"/>
      <c r="AM135" s="568">
        <f t="shared" ref="AM135:AM190" si="28">AM134+AK135-AL135</f>
        <v>63999</v>
      </c>
      <c r="AN135" s="516"/>
      <c r="AO135" s="347"/>
      <c r="AP135" s="636"/>
      <c r="AQ135" s="626"/>
      <c r="AR135" s="629"/>
      <c r="AT135" s="627"/>
      <c r="AU135" s="341"/>
      <c r="AV135" s="628"/>
      <c r="AX135" s="595"/>
      <c r="AY135" s="594"/>
    </row>
    <row r="136" spans="1:51">
      <c r="A136" s="332"/>
      <c r="B136" s="334"/>
      <c r="C136" s="379">
        <f t="shared" si="21"/>
        <v>42002</v>
      </c>
      <c r="D136" s="335"/>
      <c r="G136" s="496"/>
      <c r="H136" s="497"/>
      <c r="I136" s="541">
        <f t="shared" si="22"/>
        <v>26905055</v>
      </c>
      <c r="J136" s="499"/>
      <c r="K136" s="347"/>
      <c r="L136" s="500"/>
      <c r="M136" s="501"/>
      <c r="N136" s="549">
        <f t="shared" si="23"/>
        <v>0</v>
      </c>
      <c r="O136" s="503"/>
      <c r="P136" s="347"/>
      <c r="Q136" s="504"/>
      <c r="R136" s="505"/>
      <c r="S136" s="556">
        <f t="shared" si="24"/>
        <v>200000</v>
      </c>
      <c r="T136" s="506"/>
      <c r="V136" s="507"/>
      <c r="W136" s="508"/>
      <c r="X136" s="560">
        <f t="shared" si="25"/>
        <v>200000</v>
      </c>
      <c r="Y136" s="509"/>
      <c r="AA136" s="510"/>
      <c r="AB136" s="511"/>
      <c r="AC136" s="564">
        <f t="shared" si="26"/>
        <v>77984</v>
      </c>
      <c r="AD136" s="512"/>
      <c r="AE136" s="513"/>
      <c r="AF136" s="514"/>
      <c r="AG136" s="515"/>
      <c r="AH136" s="568">
        <f t="shared" si="27"/>
        <v>69222</v>
      </c>
      <c r="AI136" s="516"/>
      <c r="AJ136" s="513"/>
      <c r="AK136" s="514"/>
      <c r="AL136" s="515"/>
      <c r="AM136" s="568">
        <f t="shared" si="28"/>
        <v>63999</v>
      </c>
      <c r="AN136" s="516"/>
      <c r="AO136" s="347"/>
      <c r="AP136" s="636"/>
      <c r="AQ136" s="626"/>
      <c r="AR136" s="629"/>
      <c r="AT136" s="627"/>
      <c r="AU136" s="341"/>
      <c r="AV136" s="628"/>
      <c r="AX136" s="595"/>
      <c r="AY136" s="594"/>
    </row>
    <row r="137" spans="1:51">
      <c r="A137" s="332"/>
      <c r="B137" s="334"/>
      <c r="C137" s="379">
        <f t="shared" si="21"/>
        <v>42002</v>
      </c>
      <c r="D137" s="335"/>
      <c r="G137" s="496"/>
      <c r="H137" s="497"/>
      <c r="I137" s="541">
        <f t="shared" si="22"/>
        <v>26905055</v>
      </c>
      <c r="J137" s="499"/>
      <c r="K137" s="347"/>
      <c r="L137" s="500"/>
      <c r="M137" s="501"/>
      <c r="N137" s="549">
        <f t="shared" si="23"/>
        <v>0</v>
      </c>
      <c r="O137" s="503"/>
      <c r="P137" s="347"/>
      <c r="Q137" s="504"/>
      <c r="R137" s="505"/>
      <c r="S137" s="556">
        <f t="shared" si="24"/>
        <v>200000</v>
      </c>
      <c r="T137" s="506"/>
      <c r="V137" s="507"/>
      <c r="W137" s="508"/>
      <c r="X137" s="560">
        <f t="shared" si="25"/>
        <v>200000</v>
      </c>
      <c r="Y137" s="509"/>
      <c r="AA137" s="510"/>
      <c r="AB137" s="511"/>
      <c r="AC137" s="564">
        <f t="shared" si="26"/>
        <v>77984</v>
      </c>
      <c r="AD137" s="512"/>
      <c r="AE137" s="513"/>
      <c r="AF137" s="514"/>
      <c r="AG137" s="515"/>
      <c r="AH137" s="568">
        <f t="shared" si="27"/>
        <v>69222</v>
      </c>
      <c r="AI137" s="516"/>
      <c r="AJ137" s="513"/>
      <c r="AK137" s="514"/>
      <c r="AL137" s="515"/>
      <c r="AM137" s="568">
        <f t="shared" si="28"/>
        <v>63999</v>
      </c>
      <c r="AN137" s="516"/>
      <c r="AO137" s="347"/>
      <c r="AP137" s="636"/>
      <c r="AQ137" s="626"/>
      <c r="AR137" s="629"/>
      <c r="AT137" s="627"/>
      <c r="AU137" s="341"/>
      <c r="AV137" s="628"/>
      <c r="AX137" s="595"/>
      <c r="AY137" s="594"/>
    </row>
    <row r="138" spans="1:51">
      <c r="A138" s="332"/>
      <c r="B138" s="334"/>
      <c r="C138" s="379">
        <f t="shared" si="21"/>
        <v>42002</v>
      </c>
      <c r="D138" s="335"/>
      <c r="G138" s="496"/>
      <c r="H138" s="497"/>
      <c r="I138" s="541">
        <f t="shared" si="22"/>
        <v>26905055</v>
      </c>
      <c r="J138" s="499"/>
      <c r="K138" s="347"/>
      <c r="L138" s="500"/>
      <c r="M138" s="501"/>
      <c r="N138" s="549">
        <f t="shared" si="23"/>
        <v>0</v>
      </c>
      <c r="O138" s="503"/>
      <c r="P138" s="347"/>
      <c r="Q138" s="504"/>
      <c r="R138" s="505"/>
      <c r="S138" s="556">
        <f t="shared" si="24"/>
        <v>200000</v>
      </c>
      <c r="T138" s="506"/>
      <c r="V138" s="507"/>
      <c r="W138" s="508"/>
      <c r="X138" s="560">
        <f t="shared" si="25"/>
        <v>200000</v>
      </c>
      <c r="Y138" s="509"/>
      <c r="AA138" s="510"/>
      <c r="AB138" s="511"/>
      <c r="AC138" s="564">
        <f t="shared" si="26"/>
        <v>77984</v>
      </c>
      <c r="AD138" s="512"/>
      <c r="AE138" s="513"/>
      <c r="AF138" s="514"/>
      <c r="AG138" s="515"/>
      <c r="AH138" s="568">
        <f t="shared" si="27"/>
        <v>69222</v>
      </c>
      <c r="AI138" s="516"/>
      <c r="AJ138" s="513"/>
      <c r="AK138" s="514"/>
      <c r="AL138" s="515"/>
      <c r="AM138" s="568">
        <f t="shared" si="28"/>
        <v>63999</v>
      </c>
      <c r="AN138" s="516"/>
      <c r="AO138" s="347"/>
      <c r="AP138" s="636"/>
      <c r="AQ138" s="626"/>
      <c r="AR138" s="629"/>
      <c r="AT138" s="627"/>
      <c r="AU138" s="341"/>
      <c r="AV138" s="628"/>
      <c r="AX138" s="595"/>
      <c r="AY138" s="594"/>
    </row>
    <row r="139" spans="1:51">
      <c r="A139" s="332"/>
      <c r="B139" s="334"/>
      <c r="C139" s="379">
        <f t="shared" si="21"/>
        <v>42002</v>
      </c>
      <c r="D139" s="335"/>
      <c r="G139" s="496"/>
      <c r="H139" s="497"/>
      <c r="I139" s="541">
        <f t="shared" si="22"/>
        <v>26905055</v>
      </c>
      <c r="J139" s="499"/>
      <c r="K139" s="347"/>
      <c r="L139" s="500"/>
      <c r="M139" s="501"/>
      <c r="N139" s="549">
        <f t="shared" si="23"/>
        <v>0</v>
      </c>
      <c r="O139" s="503"/>
      <c r="P139" s="347"/>
      <c r="Q139" s="504"/>
      <c r="R139" s="505"/>
      <c r="S139" s="556">
        <f t="shared" si="24"/>
        <v>200000</v>
      </c>
      <c r="T139" s="506"/>
      <c r="V139" s="507"/>
      <c r="W139" s="508"/>
      <c r="X139" s="560">
        <f t="shared" si="25"/>
        <v>200000</v>
      </c>
      <c r="Y139" s="509"/>
      <c r="AA139" s="510"/>
      <c r="AB139" s="511"/>
      <c r="AC139" s="564">
        <f t="shared" si="26"/>
        <v>77984</v>
      </c>
      <c r="AD139" s="512"/>
      <c r="AE139" s="513"/>
      <c r="AF139" s="514"/>
      <c r="AG139" s="515"/>
      <c r="AH139" s="568">
        <f t="shared" si="27"/>
        <v>69222</v>
      </c>
      <c r="AI139" s="516"/>
      <c r="AJ139" s="513"/>
      <c r="AK139" s="514"/>
      <c r="AL139" s="515"/>
      <c r="AM139" s="568">
        <f t="shared" si="28"/>
        <v>63999</v>
      </c>
      <c r="AN139" s="516"/>
      <c r="AO139" s="347"/>
      <c r="AP139" s="636"/>
      <c r="AQ139" s="626"/>
      <c r="AR139" s="629"/>
      <c r="AT139" s="627"/>
      <c r="AU139" s="341"/>
      <c r="AV139" s="628"/>
      <c r="AX139" s="595"/>
      <c r="AY139" s="594"/>
    </row>
    <row r="140" spans="1:51">
      <c r="A140" s="332"/>
      <c r="B140" s="334"/>
      <c r="C140" s="379">
        <f t="shared" si="21"/>
        <v>42002</v>
      </c>
      <c r="D140" s="335"/>
      <c r="G140" s="496"/>
      <c r="H140" s="497"/>
      <c r="I140" s="541">
        <f t="shared" si="22"/>
        <v>26905055</v>
      </c>
      <c r="J140" s="499"/>
      <c r="K140" s="347"/>
      <c r="L140" s="500"/>
      <c r="M140" s="501"/>
      <c r="N140" s="549">
        <f t="shared" si="23"/>
        <v>0</v>
      </c>
      <c r="O140" s="503"/>
      <c r="P140" s="347"/>
      <c r="Q140" s="504"/>
      <c r="R140" s="505"/>
      <c r="S140" s="556">
        <f t="shared" si="24"/>
        <v>200000</v>
      </c>
      <c r="T140" s="506"/>
      <c r="V140" s="507"/>
      <c r="W140" s="508"/>
      <c r="X140" s="560">
        <f t="shared" si="25"/>
        <v>200000</v>
      </c>
      <c r="Y140" s="509"/>
      <c r="AA140" s="510"/>
      <c r="AB140" s="511"/>
      <c r="AC140" s="564">
        <f t="shared" si="26"/>
        <v>77984</v>
      </c>
      <c r="AD140" s="512"/>
      <c r="AE140" s="513"/>
      <c r="AF140" s="514"/>
      <c r="AG140" s="515"/>
      <c r="AH140" s="568">
        <f t="shared" si="27"/>
        <v>69222</v>
      </c>
      <c r="AI140" s="516"/>
      <c r="AJ140" s="513"/>
      <c r="AK140" s="514"/>
      <c r="AL140" s="515"/>
      <c r="AM140" s="568">
        <f t="shared" si="28"/>
        <v>63999</v>
      </c>
      <c r="AN140" s="516"/>
      <c r="AO140" s="347"/>
      <c r="AP140" s="636"/>
      <c r="AQ140" s="626"/>
      <c r="AR140" s="629"/>
      <c r="AT140" s="627"/>
      <c r="AU140" s="341"/>
      <c r="AV140" s="628"/>
      <c r="AX140" s="595"/>
      <c r="AY140" s="594"/>
    </row>
    <row r="141" spans="1:51">
      <c r="A141" s="332"/>
      <c r="B141" s="334"/>
      <c r="C141" s="379">
        <f t="shared" si="21"/>
        <v>42002</v>
      </c>
      <c r="D141" s="335"/>
      <c r="G141" s="496"/>
      <c r="H141" s="497"/>
      <c r="I141" s="541">
        <f t="shared" si="22"/>
        <v>26905055</v>
      </c>
      <c r="J141" s="499"/>
      <c r="K141" s="347"/>
      <c r="L141" s="500"/>
      <c r="M141" s="501"/>
      <c r="N141" s="549">
        <f t="shared" si="23"/>
        <v>0</v>
      </c>
      <c r="O141" s="503"/>
      <c r="P141" s="347"/>
      <c r="Q141" s="504"/>
      <c r="R141" s="505"/>
      <c r="S141" s="556">
        <f t="shared" si="24"/>
        <v>200000</v>
      </c>
      <c r="T141" s="506"/>
      <c r="V141" s="507"/>
      <c r="W141" s="508"/>
      <c r="X141" s="560">
        <f t="shared" si="25"/>
        <v>200000</v>
      </c>
      <c r="Y141" s="509"/>
      <c r="AA141" s="510"/>
      <c r="AB141" s="511"/>
      <c r="AC141" s="564">
        <f t="shared" si="26"/>
        <v>77984</v>
      </c>
      <c r="AD141" s="512"/>
      <c r="AE141" s="513"/>
      <c r="AF141" s="514"/>
      <c r="AG141" s="515"/>
      <c r="AH141" s="568">
        <f t="shared" si="27"/>
        <v>69222</v>
      </c>
      <c r="AI141" s="516"/>
      <c r="AJ141" s="513"/>
      <c r="AK141" s="514"/>
      <c r="AL141" s="515"/>
      <c r="AM141" s="568">
        <f t="shared" si="28"/>
        <v>63999</v>
      </c>
      <c r="AN141" s="516"/>
      <c r="AO141" s="347"/>
      <c r="AP141" s="636"/>
      <c r="AQ141" s="626"/>
      <c r="AR141" s="629"/>
      <c r="AT141" s="627"/>
      <c r="AU141" s="341"/>
      <c r="AV141" s="628"/>
      <c r="AX141" s="595"/>
      <c r="AY141" s="594"/>
    </row>
    <row r="142" spans="1:51">
      <c r="A142" s="332"/>
      <c r="B142" s="334"/>
      <c r="C142" s="379">
        <f t="shared" si="21"/>
        <v>42002</v>
      </c>
      <c r="D142" s="335"/>
      <c r="G142" s="496"/>
      <c r="H142" s="497"/>
      <c r="I142" s="541">
        <f t="shared" si="22"/>
        <v>26905055</v>
      </c>
      <c r="J142" s="499"/>
      <c r="K142" s="347"/>
      <c r="L142" s="500"/>
      <c r="M142" s="501"/>
      <c r="N142" s="549">
        <f t="shared" si="23"/>
        <v>0</v>
      </c>
      <c r="O142" s="503"/>
      <c r="P142" s="347"/>
      <c r="Q142" s="504"/>
      <c r="R142" s="505"/>
      <c r="S142" s="556">
        <f t="shared" si="24"/>
        <v>200000</v>
      </c>
      <c r="T142" s="506"/>
      <c r="V142" s="507"/>
      <c r="W142" s="508"/>
      <c r="X142" s="560">
        <f t="shared" si="25"/>
        <v>200000</v>
      </c>
      <c r="Y142" s="509"/>
      <c r="AA142" s="510"/>
      <c r="AB142" s="511"/>
      <c r="AC142" s="564">
        <f t="shared" si="26"/>
        <v>77984</v>
      </c>
      <c r="AD142" s="512"/>
      <c r="AE142" s="513"/>
      <c r="AF142" s="514"/>
      <c r="AG142" s="515"/>
      <c r="AH142" s="568">
        <f t="shared" si="27"/>
        <v>69222</v>
      </c>
      <c r="AI142" s="516"/>
      <c r="AJ142" s="513"/>
      <c r="AK142" s="514"/>
      <c r="AL142" s="515"/>
      <c r="AM142" s="568">
        <f t="shared" si="28"/>
        <v>63999</v>
      </c>
      <c r="AN142" s="516"/>
      <c r="AO142" s="347"/>
      <c r="AP142" s="636"/>
      <c r="AQ142" s="626"/>
      <c r="AR142" s="629"/>
      <c r="AT142" s="627"/>
      <c r="AU142" s="341"/>
      <c r="AV142" s="628"/>
      <c r="AX142" s="595"/>
      <c r="AY142" s="594"/>
    </row>
    <row r="143" spans="1:51">
      <c r="A143" s="332"/>
      <c r="B143" s="334"/>
      <c r="C143" s="379">
        <f t="shared" si="21"/>
        <v>42002</v>
      </c>
      <c r="D143" s="335"/>
      <c r="G143" s="496"/>
      <c r="H143" s="497"/>
      <c r="I143" s="541">
        <f t="shared" si="22"/>
        <v>26905055</v>
      </c>
      <c r="J143" s="499"/>
      <c r="K143" s="347"/>
      <c r="L143" s="500"/>
      <c r="M143" s="501"/>
      <c r="N143" s="549">
        <f t="shared" si="23"/>
        <v>0</v>
      </c>
      <c r="O143" s="503"/>
      <c r="P143" s="347"/>
      <c r="Q143" s="504"/>
      <c r="R143" s="505"/>
      <c r="S143" s="556">
        <f t="shared" si="24"/>
        <v>200000</v>
      </c>
      <c r="T143" s="506"/>
      <c r="V143" s="507"/>
      <c r="W143" s="508"/>
      <c r="X143" s="560">
        <f t="shared" si="25"/>
        <v>200000</v>
      </c>
      <c r="Y143" s="509"/>
      <c r="AA143" s="510"/>
      <c r="AB143" s="511"/>
      <c r="AC143" s="564">
        <f t="shared" si="26"/>
        <v>77984</v>
      </c>
      <c r="AD143" s="512"/>
      <c r="AE143" s="513"/>
      <c r="AF143" s="514"/>
      <c r="AG143" s="515"/>
      <c r="AH143" s="568">
        <f t="shared" si="27"/>
        <v>69222</v>
      </c>
      <c r="AI143" s="516"/>
      <c r="AJ143" s="513"/>
      <c r="AK143" s="514"/>
      <c r="AL143" s="515"/>
      <c r="AM143" s="568">
        <f t="shared" si="28"/>
        <v>63999</v>
      </c>
      <c r="AN143" s="516"/>
      <c r="AO143" s="347"/>
      <c r="AP143" s="636"/>
      <c r="AQ143" s="626"/>
      <c r="AR143" s="629"/>
      <c r="AT143" s="627"/>
      <c r="AU143" s="341"/>
      <c r="AV143" s="628"/>
      <c r="AX143" s="595"/>
      <c r="AY143" s="594"/>
    </row>
    <row r="144" spans="1:51">
      <c r="A144" s="332"/>
      <c r="B144" s="334"/>
      <c r="C144" s="379">
        <f t="shared" si="21"/>
        <v>42002</v>
      </c>
      <c r="D144" s="335"/>
      <c r="G144" s="496"/>
      <c r="H144" s="497"/>
      <c r="I144" s="541">
        <f t="shared" si="22"/>
        <v>26905055</v>
      </c>
      <c r="J144" s="499"/>
      <c r="K144" s="347"/>
      <c r="L144" s="500"/>
      <c r="M144" s="501"/>
      <c r="N144" s="549">
        <f t="shared" si="23"/>
        <v>0</v>
      </c>
      <c r="O144" s="503"/>
      <c r="P144" s="347"/>
      <c r="Q144" s="504"/>
      <c r="R144" s="505"/>
      <c r="S144" s="556">
        <f t="shared" si="24"/>
        <v>200000</v>
      </c>
      <c r="T144" s="506"/>
      <c r="V144" s="507"/>
      <c r="W144" s="508"/>
      <c r="X144" s="560">
        <f t="shared" si="25"/>
        <v>200000</v>
      </c>
      <c r="Y144" s="509"/>
      <c r="AA144" s="510"/>
      <c r="AB144" s="511"/>
      <c r="AC144" s="564">
        <f t="shared" si="26"/>
        <v>77984</v>
      </c>
      <c r="AD144" s="512"/>
      <c r="AE144" s="513"/>
      <c r="AF144" s="514"/>
      <c r="AG144" s="515"/>
      <c r="AH144" s="568">
        <f t="shared" si="27"/>
        <v>69222</v>
      </c>
      <c r="AI144" s="516"/>
      <c r="AJ144" s="513"/>
      <c r="AK144" s="514"/>
      <c r="AL144" s="515"/>
      <c r="AM144" s="568">
        <f t="shared" si="28"/>
        <v>63999</v>
      </c>
      <c r="AN144" s="516"/>
      <c r="AO144" s="347"/>
      <c r="AP144" s="636"/>
      <c r="AQ144" s="626"/>
      <c r="AR144" s="629"/>
      <c r="AT144" s="627"/>
      <c r="AU144" s="341"/>
      <c r="AV144" s="628"/>
      <c r="AX144" s="595"/>
      <c r="AY144" s="594"/>
    </row>
    <row r="145" spans="1:51">
      <c r="A145" s="332"/>
      <c r="B145" s="334"/>
      <c r="C145" s="379">
        <f t="shared" si="21"/>
        <v>42002</v>
      </c>
      <c r="D145" s="335"/>
      <c r="G145" s="496"/>
      <c r="H145" s="497"/>
      <c r="I145" s="541">
        <f t="shared" si="22"/>
        <v>26905055</v>
      </c>
      <c r="J145" s="499"/>
      <c r="K145" s="347"/>
      <c r="L145" s="500"/>
      <c r="M145" s="501"/>
      <c r="N145" s="549">
        <f t="shared" si="23"/>
        <v>0</v>
      </c>
      <c r="O145" s="503"/>
      <c r="P145" s="347"/>
      <c r="Q145" s="504"/>
      <c r="R145" s="505"/>
      <c r="S145" s="556">
        <f t="shared" si="24"/>
        <v>200000</v>
      </c>
      <c r="T145" s="506"/>
      <c r="V145" s="507"/>
      <c r="W145" s="508"/>
      <c r="X145" s="560">
        <f t="shared" si="25"/>
        <v>200000</v>
      </c>
      <c r="Y145" s="509"/>
      <c r="AA145" s="510"/>
      <c r="AB145" s="511"/>
      <c r="AC145" s="564">
        <f t="shared" si="26"/>
        <v>77984</v>
      </c>
      <c r="AD145" s="512"/>
      <c r="AE145" s="513"/>
      <c r="AF145" s="514"/>
      <c r="AG145" s="515"/>
      <c r="AH145" s="568">
        <f t="shared" si="27"/>
        <v>69222</v>
      </c>
      <c r="AI145" s="516"/>
      <c r="AJ145" s="513"/>
      <c r="AK145" s="514"/>
      <c r="AL145" s="515"/>
      <c r="AM145" s="568">
        <f t="shared" si="28"/>
        <v>63999</v>
      </c>
      <c r="AN145" s="516"/>
      <c r="AO145" s="347"/>
      <c r="AP145" s="636"/>
      <c r="AQ145" s="626"/>
      <c r="AR145" s="629"/>
      <c r="AT145" s="627"/>
      <c r="AU145" s="341"/>
      <c r="AV145" s="628"/>
      <c r="AX145" s="595"/>
      <c r="AY145" s="594"/>
    </row>
    <row r="146" spans="1:51">
      <c r="A146" s="332"/>
      <c r="B146" s="334"/>
      <c r="C146" s="379">
        <f t="shared" si="21"/>
        <v>42002</v>
      </c>
      <c r="D146" s="335"/>
      <c r="G146" s="496"/>
      <c r="H146" s="497"/>
      <c r="I146" s="541">
        <f t="shared" si="22"/>
        <v>26905055</v>
      </c>
      <c r="J146" s="499"/>
      <c r="K146" s="347"/>
      <c r="L146" s="500"/>
      <c r="M146" s="501"/>
      <c r="N146" s="549">
        <f t="shared" si="23"/>
        <v>0</v>
      </c>
      <c r="O146" s="503"/>
      <c r="P146" s="347"/>
      <c r="Q146" s="504"/>
      <c r="R146" s="505"/>
      <c r="S146" s="556">
        <f t="shared" si="24"/>
        <v>200000</v>
      </c>
      <c r="T146" s="506"/>
      <c r="V146" s="507"/>
      <c r="W146" s="508"/>
      <c r="X146" s="560">
        <f t="shared" si="25"/>
        <v>200000</v>
      </c>
      <c r="Y146" s="509"/>
      <c r="AA146" s="510"/>
      <c r="AB146" s="511"/>
      <c r="AC146" s="564">
        <f t="shared" si="26"/>
        <v>77984</v>
      </c>
      <c r="AD146" s="512"/>
      <c r="AE146" s="513"/>
      <c r="AF146" s="514"/>
      <c r="AG146" s="515"/>
      <c r="AH146" s="568">
        <f t="shared" si="27"/>
        <v>69222</v>
      </c>
      <c r="AI146" s="516"/>
      <c r="AJ146" s="513"/>
      <c r="AK146" s="514"/>
      <c r="AL146" s="515"/>
      <c r="AM146" s="568">
        <f t="shared" si="28"/>
        <v>63999</v>
      </c>
      <c r="AN146" s="516"/>
      <c r="AO146" s="347"/>
      <c r="AP146" s="636"/>
      <c r="AQ146" s="626"/>
      <c r="AR146" s="629"/>
      <c r="AT146" s="627"/>
      <c r="AU146" s="341"/>
      <c r="AV146" s="628"/>
      <c r="AX146" s="595"/>
      <c r="AY146" s="594"/>
    </row>
    <row r="147" spans="1:51">
      <c r="A147" s="332"/>
      <c r="B147" s="334"/>
      <c r="C147" s="379">
        <f t="shared" si="21"/>
        <v>42002</v>
      </c>
      <c r="D147" s="335"/>
      <c r="G147" s="496"/>
      <c r="H147" s="497"/>
      <c r="I147" s="541">
        <f t="shared" si="22"/>
        <v>26905055</v>
      </c>
      <c r="J147" s="499"/>
      <c r="K147" s="347"/>
      <c r="L147" s="500"/>
      <c r="M147" s="501"/>
      <c r="N147" s="549">
        <f t="shared" si="23"/>
        <v>0</v>
      </c>
      <c r="O147" s="503"/>
      <c r="P147" s="347"/>
      <c r="Q147" s="504"/>
      <c r="R147" s="505"/>
      <c r="S147" s="556">
        <f t="shared" si="24"/>
        <v>200000</v>
      </c>
      <c r="T147" s="506"/>
      <c r="V147" s="507"/>
      <c r="W147" s="508"/>
      <c r="X147" s="560">
        <f t="shared" si="25"/>
        <v>200000</v>
      </c>
      <c r="Y147" s="509"/>
      <c r="AA147" s="510"/>
      <c r="AB147" s="511"/>
      <c r="AC147" s="564">
        <f t="shared" si="26"/>
        <v>77984</v>
      </c>
      <c r="AD147" s="512"/>
      <c r="AE147" s="513"/>
      <c r="AF147" s="514"/>
      <c r="AG147" s="515"/>
      <c r="AH147" s="568">
        <f t="shared" si="27"/>
        <v>69222</v>
      </c>
      <c r="AI147" s="516"/>
      <c r="AJ147" s="513"/>
      <c r="AK147" s="514"/>
      <c r="AL147" s="515"/>
      <c r="AM147" s="568">
        <f t="shared" si="28"/>
        <v>63999</v>
      </c>
      <c r="AN147" s="516"/>
      <c r="AO147" s="347"/>
      <c r="AP147" s="636"/>
      <c r="AQ147" s="626"/>
      <c r="AR147" s="629"/>
      <c r="AT147" s="627"/>
      <c r="AU147" s="341"/>
      <c r="AV147" s="628"/>
      <c r="AX147" s="595"/>
      <c r="AY147" s="594"/>
    </row>
    <row r="148" spans="1:51">
      <c r="A148" s="332"/>
      <c r="B148" s="334"/>
      <c r="C148" s="379">
        <f t="shared" si="21"/>
        <v>42002</v>
      </c>
      <c r="D148" s="335"/>
      <c r="G148" s="496"/>
      <c r="H148" s="497"/>
      <c r="I148" s="541">
        <f t="shared" si="22"/>
        <v>26905055</v>
      </c>
      <c r="J148" s="499"/>
      <c r="K148" s="347"/>
      <c r="L148" s="500"/>
      <c r="M148" s="501"/>
      <c r="N148" s="549">
        <f t="shared" si="23"/>
        <v>0</v>
      </c>
      <c r="O148" s="503"/>
      <c r="P148" s="347"/>
      <c r="Q148" s="504"/>
      <c r="R148" s="505"/>
      <c r="S148" s="556">
        <f t="shared" si="24"/>
        <v>200000</v>
      </c>
      <c r="T148" s="506"/>
      <c r="V148" s="507"/>
      <c r="W148" s="508"/>
      <c r="X148" s="560">
        <f t="shared" si="25"/>
        <v>200000</v>
      </c>
      <c r="Y148" s="509"/>
      <c r="AA148" s="510"/>
      <c r="AB148" s="511"/>
      <c r="AC148" s="564">
        <f t="shared" si="26"/>
        <v>77984</v>
      </c>
      <c r="AD148" s="512"/>
      <c r="AE148" s="513"/>
      <c r="AF148" s="514"/>
      <c r="AG148" s="515"/>
      <c r="AH148" s="568">
        <f t="shared" si="27"/>
        <v>69222</v>
      </c>
      <c r="AI148" s="516"/>
      <c r="AJ148" s="513"/>
      <c r="AK148" s="514"/>
      <c r="AL148" s="515"/>
      <c r="AM148" s="568">
        <f t="shared" si="28"/>
        <v>63999</v>
      </c>
      <c r="AN148" s="516"/>
      <c r="AO148" s="347"/>
      <c r="AP148" s="636"/>
      <c r="AQ148" s="626"/>
      <c r="AR148" s="629"/>
      <c r="AT148" s="627"/>
      <c r="AU148" s="341"/>
      <c r="AV148" s="628"/>
      <c r="AX148" s="595"/>
      <c r="AY148" s="594"/>
    </row>
    <row r="149" spans="1:51">
      <c r="A149" s="332"/>
      <c r="B149" s="334"/>
      <c r="C149" s="379">
        <f t="shared" si="21"/>
        <v>42002</v>
      </c>
      <c r="D149" s="335"/>
      <c r="G149" s="496"/>
      <c r="H149" s="497"/>
      <c r="I149" s="541">
        <f t="shared" si="22"/>
        <v>26905055</v>
      </c>
      <c r="J149" s="499"/>
      <c r="K149" s="347"/>
      <c r="L149" s="500"/>
      <c r="M149" s="501"/>
      <c r="N149" s="549">
        <f t="shared" si="23"/>
        <v>0</v>
      </c>
      <c r="O149" s="503"/>
      <c r="P149" s="347"/>
      <c r="Q149" s="504"/>
      <c r="R149" s="505"/>
      <c r="S149" s="556">
        <f t="shared" si="24"/>
        <v>200000</v>
      </c>
      <c r="T149" s="506"/>
      <c r="V149" s="507"/>
      <c r="W149" s="508"/>
      <c r="X149" s="560">
        <f t="shared" si="25"/>
        <v>200000</v>
      </c>
      <c r="Y149" s="509"/>
      <c r="AA149" s="510"/>
      <c r="AB149" s="511"/>
      <c r="AC149" s="564">
        <f t="shared" si="26"/>
        <v>77984</v>
      </c>
      <c r="AD149" s="512"/>
      <c r="AE149" s="513"/>
      <c r="AF149" s="514"/>
      <c r="AG149" s="515"/>
      <c r="AH149" s="568">
        <f t="shared" si="27"/>
        <v>69222</v>
      </c>
      <c r="AI149" s="516"/>
      <c r="AJ149" s="513"/>
      <c r="AK149" s="514"/>
      <c r="AL149" s="515"/>
      <c r="AM149" s="568">
        <f t="shared" si="28"/>
        <v>63999</v>
      </c>
      <c r="AN149" s="516"/>
      <c r="AO149" s="347"/>
      <c r="AP149" s="636"/>
      <c r="AQ149" s="626"/>
      <c r="AR149" s="629"/>
      <c r="AT149" s="627"/>
      <c r="AU149" s="341"/>
      <c r="AV149" s="628"/>
      <c r="AX149" s="595"/>
      <c r="AY149" s="594"/>
    </row>
    <row r="150" spans="1:51">
      <c r="A150" s="332"/>
      <c r="B150" s="334"/>
      <c r="C150" s="379">
        <f t="shared" si="21"/>
        <v>42002</v>
      </c>
      <c r="D150" s="335"/>
      <c r="G150" s="496"/>
      <c r="H150" s="497"/>
      <c r="I150" s="541">
        <f t="shared" si="22"/>
        <v>26905055</v>
      </c>
      <c r="J150" s="499"/>
      <c r="K150" s="347"/>
      <c r="L150" s="500"/>
      <c r="M150" s="501"/>
      <c r="N150" s="549">
        <f t="shared" si="23"/>
        <v>0</v>
      </c>
      <c r="O150" s="503"/>
      <c r="P150" s="347"/>
      <c r="Q150" s="504"/>
      <c r="R150" s="505"/>
      <c r="S150" s="556">
        <f t="shared" si="24"/>
        <v>200000</v>
      </c>
      <c r="T150" s="506"/>
      <c r="V150" s="507"/>
      <c r="W150" s="508"/>
      <c r="X150" s="560">
        <f t="shared" si="25"/>
        <v>200000</v>
      </c>
      <c r="Y150" s="509"/>
      <c r="AA150" s="510"/>
      <c r="AB150" s="511"/>
      <c r="AC150" s="564">
        <f t="shared" si="26"/>
        <v>77984</v>
      </c>
      <c r="AD150" s="512"/>
      <c r="AE150" s="513"/>
      <c r="AF150" s="514"/>
      <c r="AG150" s="515"/>
      <c r="AH150" s="568">
        <f t="shared" si="27"/>
        <v>69222</v>
      </c>
      <c r="AI150" s="516"/>
      <c r="AJ150" s="513"/>
      <c r="AK150" s="514"/>
      <c r="AL150" s="515"/>
      <c r="AM150" s="568">
        <f t="shared" si="28"/>
        <v>63999</v>
      </c>
      <c r="AN150" s="516"/>
      <c r="AO150" s="347"/>
      <c r="AP150" s="636"/>
      <c r="AQ150" s="626"/>
      <c r="AR150" s="629"/>
      <c r="AT150" s="627"/>
      <c r="AU150" s="341"/>
      <c r="AV150" s="628"/>
      <c r="AX150" s="595"/>
      <c r="AY150" s="594"/>
    </row>
    <row r="151" spans="1:51">
      <c r="A151" s="332"/>
      <c r="B151" s="334"/>
      <c r="C151" s="379">
        <f t="shared" si="21"/>
        <v>42002</v>
      </c>
      <c r="D151" s="335"/>
      <c r="G151" s="496"/>
      <c r="H151" s="497"/>
      <c r="I151" s="541">
        <f t="shared" si="22"/>
        <v>26905055</v>
      </c>
      <c r="J151" s="499"/>
      <c r="K151" s="347"/>
      <c r="L151" s="500"/>
      <c r="M151" s="501"/>
      <c r="N151" s="549">
        <f t="shared" si="23"/>
        <v>0</v>
      </c>
      <c r="O151" s="503"/>
      <c r="P151" s="347"/>
      <c r="Q151" s="504"/>
      <c r="R151" s="505"/>
      <c r="S151" s="556">
        <f t="shared" si="24"/>
        <v>200000</v>
      </c>
      <c r="T151" s="506"/>
      <c r="V151" s="507"/>
      <c r="W151" s="508"/>
      <c r="X151" s="560">
        <f t="shared" si="25"/>
        <v>200000</v>
      </c>
      <c r="Y151" s="509"/>
      <c r="AA151" s="510"/>
      <c r="AB151" s="511"/>
      <c r="AC151" s="564">
        <f t="shared" si="26"/>
        <v>77984</v>
      </c>
      <c r="AD151" s="512"/>
      <c r="AE151" s="513"/>
      <c r="AF151" s="514"/>
      <c r="AG151" s="515"/>
      <c r="AH151" s="568">
        <f t="shared" si="27"/>
        <v>69222</v>
      </c>
      <c r="AI151" s="516"/>
      <c r="AJ151" s="513"/>
      <c r="AK151" s="514"/>
      <c r="AL151" s="515"/>
      <c r="AM151" s="568">
        <f t="shared" si="28"/>
        <v>63999</v>
      </c>
      <c r="AN151" s="516"/>
      <c r="AO151" s="347"/>
      <c r="AP151" s="636"/>
      <c r="AQ151" s="626"/>
      <c r="AR151" s="629"/>
      <c r="AT151" s="627"/>
      <c r="AU151" s="341"/>
      <c r="AV151" s="628"/>
      <c r="AX151" s="595"/>
      <c r="AY151" s="594"/>
    </row>
    <row r="152" spans="1:51">
      <c r="A152" s="332"/>
      <c r="B152" s="334"/>
      <c r="C152" s="379">
        <f t="shared" si="21"/>
        <v>42002</v>
      </c>
      <c r="D152" s="335"/>
      <c r="G152" s="496"/>
      <c r="H152" s="497"/>
      <c r="I152" s="541">
        <f t="shared" si="22"/>
        <v>26905055</v>
      </c>
      <c r="J152" s="499"/>
      <c r="K152" s="347"/>
      <c r="L152" s="500"/>
      <c r="M152" s="501"/>
      <c r="N152" s="549">
        <f t="shared" si="23"/>
        <v>0</v>
      </c>
      <c r="O152" s="503"/>
      <c r="P152" s="347"/>
      <c r="Q152" s="504"/>
      <c r="R152" s="505"/>
      <c r="S152" s="556">
        <f t="shared" si="24"/>
        <v>200000</v>
      </c>
      <c r="T152" s="506"/>
      <c r="V152" s="507"/>
      <c r="W152" s="508"/>
      <c r="X152" s="560">
        <f t="shared" si="25"/>
        <v>200000</v>
      </c>
      <c r="Y152" s="509"/>
      <c r="AA152" s="510"/>
      <c r="AB152" s="511"/>
      <c r="AC152" s="564">
        <f t="shared" si="26"/>
        <v>77984</v>
      </c>
      <c r="AD152" s="512"/>
      <c r="AE152" s="513"/>
      <c r="AF152" s="514"/>
      <c r="AG152" s="515"/>
      <c r="AH152" s="568">
        <f t="shared" si="27"/>
        <v>69222</v>
      </c>
      <c r="AI152" s="516"/>
      <c r="AJ152" s="513"/>
      <c r="AK152" s="514"/>
      <c r="AL152" s="515"/>
      <c r="AM152" s="568">
        <f t="shared" si="28"/>
        <v>63999</v>
      </c>
      <c r="AN152" s="516"/>
      <c r="AO152" s="347"/>
      <c r="AP152" s="636"/>
      <c r="AQ152" s="626"/>
      <c r="AR152" s="629"/>
      <c r="AT152" s="627"/>
      <c r="AU152" s="341"/>
      <c r="AV152" s="628"/>
      <c r="AX152" s="595"/>
      <c r="AY152" s="594"/>
    </row>
    <row r="153" spans="1:51">
      <c r="A153" s="332"/>
      <c r="B153" s="334"/>
      <c r="C153" s="379">
        <f t="shared" si="21"/>
        <v>42002</v>
      </c>
      <c r="D153" s="335"/>
      <c r="G153" s="496"/>
      <c r="H153" s="497"/>
      <c r="I153" s="541">
        <f t="shared" si="22"/>
        <v>26905055</v>
      </c>
      <c r="J153" s="499"/>
      <c r="K153" s="347"/>
      <c r="L153" s="500"/>
      <c r="M153" s="501"/>
      <c r="N153" s="549">
        <f t="shared" si="23"/>
        <v>0</v>
      </c>
      <c r="O153" s="503"/>
      <c r="P153" s="347"/>
      <c r="Q153" s="504"/>
      <c r="R153" s="505"/>
      <c r="S153" s="556">
        <f t="shared" si="24"/>
        <v>200000</v>
      </c>
      <c r="T153" s="506"/>
      <c r="V153" s="507"/>
      <c r="W153" s="508"/>
      <c r="X153" s="560">
        <f t="shared" si="25"/>
        <v>200000</v>
      </c>
      <c r="Y153" s="509"/>
      <c r="AA153" s="510"/>
      <c r="AB153" s="511"/>
      <c r="AC153" s="564">
        <f t="shared" si="26"/>
        <v>77984</v>
      </c>
      <c r="AD153" s="512"/>
      <c r="AE153" s="513"/>
      <c r="AF153" s="514"/>
      <c r="AG153" s="515"/>
      <c r="AH153" s="568">
        <f t="shared" si="27"/>
        <v>69222</v>
      </c>
      <c r="AI153" s="516"/>
      <c r="AJ153" s="513"/>
      <c r="AK153" s="514"/>
      <c r="AL153" s="515"/>
      <c r="AM153" s="568">
        <f t="shared" si="28"/>
        <v>63999</v>
      </c>
      <c r="AN153" s="516"/>
      <c r="AO153" s="347"/>
      <c r="AP153" s="636"/>
      <c r="AQ153" s="626"/>
      <c r="AR153" s="629"/>
      <c r="AT153" s="627"/>
      <c r="AU153" s="341"/>
      <c r="AV153" s="628"/>
      <c r="AX153" s="595"/>
      <c r="AY153" s="594"/>
    </row>
    <row r="154" spans="1:51">
      <c r="A154" s="332"/>
      <c r="B154" s="334"/>
      <c r="C154" s="379">
        <f t="shared" si="21"/>
        <v>42002</v>
      </c>
      <c r="D154" s="335"/>
      <c r="G154" s="496"/>
      <c r="H154" s="497"/>
      <c r="I154" s="541">
        <f t="shared" si="22"/>
        <v>26905055</v>
      </c>
      <c r="J154" s="499"/>
      <c r="K154" s="347"/>
      <c r="L154" s="500"/>
      <c r="M154" s="501"/>
      <c r="N154" s="549">
        <f t="shared" si="23"/>
        <v>0</v>
      </c>
      <c r="O154" s="503"/>
      <c r="P154" s="347"/>
      <c r="Q154" s="504"/>
      <c r="R154" s="505"/>
      <c r="S154" s="556">
        <f t="shared" si="24"/>
        <v>200000</v>
      </c>
      <c r="T154" s="506"/>
      <c r="V154" s="507"/>
      <c r="W154" s="508"/>
      <c r="X154" s="560">
        <f t="shared" si="25"/>
        <v>200000</v>
      </c>
      <c r="Y154" s="509"/>
      <c r="AA154" s="510"/>
      <c r="AB154" s="511"/>
      <c r="AC154" s="564">
        <f t="shared" si="26"/>
        <v>77984</v>
      </c>
      <c r="AD154" s="512"/>
      <c r="AE154" s="513"/>
      <c r="AF154" s="514"/>
      <c r="AG154" s="515"/>
      <c r="AH154" s="568">
        <f t="shared" si="27"/>
        <v>69222</v>
      </c>
      <c r="AI154" s="516"/>
      <c r="AJ154" s="513"/>
      <c r="AK154" s="514"/>
      <c r="AL154" s="515"/>
      <c r="AM154" s="568">
        <f t="shared" si="28"/>
        <v>63999</v>
      </c>
      <c r="AN154" s="516"/>
      <c r="AO154" s="347"/>
      <c r="AP154" s="636"/>
      <c r="AQ154" s="626"/>
      <c r="AR154" s="629"/>
      <c r="AT154" s="627"/>
      <c r="AU154" s="341"/>
      <c r="AV154" s="628"/>
      <c r="AX154" s="595"/>
      <c r="AY154" s="594"/>
    </row>
    <row r="155" spans="1:51">
      <c r="A155" s="332"/>
      <c r="B155" s="334"/>
      <c r="C155" s="379">
        <f t="shared" si="21"/>
        <v>42002</v>
      </c>
      <c r="D155" s="335"/>
      <c r="G155" s="496"/>
      <c r="H155" s="497"/>
      <c r="I155" s="541">
        <f t="shared" si="22"/>
        <v>26905055</v>
      </c>
      <c r="J155" s="499"/>
      <c r="K155" s="347"/>
      <c r="L155" s="500"/>
      <c r="M155" s="501"/>
      <c r="N155" s="549">
        <f t="shared" si="23"/>
        <v>0</v>
      </c>
      <c r="O155" s="503"/>
      <c r="P155" s="347"/>
      <c r="Q155" s="504"/>
      <c r="R155" s="505"/>
      <c r="S155" s="556">
        <f t="shared" si="24"/>
        <v>200000</v>
      </c>
      <c r="T155" s="506"/>
      <c r="V155" s="507"/>
      <c r="W155" s="508"/>
      <c r="X155" s="560">
        <f t="shared" si="25"/>
        <v>200000</v>
      </c>
      <c r="Y155" s="509"/>
      <c r="AA155" s="510"/>
      <c r="AB155" s="511"/>
      <c r="AC155" s="564">
        <f t="shared" si="26"/>
        <v>77984</v>
      </c>
      <c r="AD155" s="512"/>
      <c r="AE155" s="513"/>
      <c r="AF155" s="514"/>
      <c r="AG155" s="515"/>
      <c r="AH155" s="568">
        <f t="shared" si="27"/>
        <v>69222</v>
      </c>
      <c r="AI155" s="516"/>
      <c r="AJ155" s="513"/>
      <c r="AK155" s="514"/>
      <c r="AL155" s="515"/>
      <c r="AM155" s="568">
        <f t="shared" si="28"/>
        <v>63999</v>
      </c>
      <c r="AN155" s="516"/>
      <c r="AO155" s="347"/>
      <c r="AP155" s="636"/>
      <c r="AQ155" s="626"/>
      <c r="AR155" s="629"/>
      <c r="AT155" s="627"/>
      <c r="AU155" s="341"/>
      <c r="AV155" s="628"/>
      <c r="AX155" s="595"/>
      <c r="AY155" s="594"/>
    </row>
    <row r="156" spans="1:51">
      <c r="A156" s="332"/>
      <c r="B156" s="334"/>
      <c r="C156" s="379">
        <f t="shared" si="21"/>
        <v>42002</v>
      </c>
      <c r="D156" s="335"/>
      <c r="G156" s="496"/>
      <c r="H156" s="497"/>
      <c r="I156" s="541">
        <f t="shared" si="22"/>
        <v>26905055</v>
      </c>
      <c r="J156" s="499"/>
      <c r="K156" s="347"/>
      <c r="L156" s="500"/>
      <c r="M156" s="501"/>
      <c r="N156" s="549">
        <f t="shared" si="23"/>
        <v>0</v>
      </c>
      <c r="O156" s="503"/>
      <c r="P156" s="347"/>
      <c r="Q156" s="504"/>
      <c r="R156" s="505"/>
      <c r="S156" s="556">
        <f t="shared" si="24"/>
        <v>200000</v>
      </c>
      <c r="T156" s="506"/>
      <c r="V156" s="507"/>
      <c r="W156" s="508"/>
      <c r="X156" s="560">
        <f t="shared" si="25"/>
        <v>200000</v>
      </c>
      <c r="Y156" s="509"/>
      <c r="AA156" s="510"/>
      <c r="AB156" s="511"/>
      <c r="AC156" s="564">
        <f t="shared" si="26"/>
        <v>77984</v>
      </c>
      <c r="AD156" s="512"/>
      <c r="AE156" s="513"/>
      <c r="AF156" s="514"/>
      <c r="AG156" s="515"/>
      <c r="AH156" s="568">
        <f t="shared" si="27"/>
        <v>69222</v>
      </c>
      <c r="AI156" s="516"/>
      <c r="AJ156" s="513"/>
      <c r="AK156" s="514"/>
      <c r="AL156" s="515"/>
      <c r="AM156" s="568">
        <f t="shared" si="28"/>
        <v>63999</v>
      </c>
      <c r="AN156" s="516"/>
      <c r="AO156" s="347"/>
      <c r="AP156" s="636"/>
      <c r="AQ156" s="626"/>
      <c r="AR156" s="629"/>
      <c r="AT156" s="627"/>
      <c r="AU156" s="341"/>
      <c r="AV156" s="628"/>
      <c r="AX156" s="595"/>
      <c r="AY156" s="594"/>
    </row>
    <row r="157" spans="1:51">
      <c r="A157" s="332"/>
      <c r="B157" s="334"/>
      <c r="C157" s="379">
        <f t="shared" si="21"/>
        <v>42002</v>
      </c>
      <c r="D157" s="335"/>
      <c r="G157" s="496"/>
      <c r="H157" s="497"/>
      <c r="I157" s="541">
        <f t="shared" si="22"/>
        <v>26905055</v>
      </c>
      <c r="J157" s="499"/>
      <c r="K157" s="347"/>
      <c r="L157" s="500"/>
      <c r="M157" s="501"/>
      <c r="N157" s="549">
        <f t="shared" si="23"/>
        <v>0</v>
      </c>
      <c r="O157" s="503"/>
      <c r="P157" s="347"/>
      <c r="Q157" s="504"/>
      <c r="R157" s="505"/>
      <c r="S157" s="556">
        <f t="shared" si="24"/>
        <v>200000</v>
      </c>
      <c r="T157" s="506"/>
      <c r="V157" s="507"/>
      <c r="W157" s="508"/>
      <c r="X157" s="560">
        <f t="shared" si="25"/>
        <v>200000</v>
      </c>
      <c r="Y157" s="509"/>
      <c r="AA157" s="510"/>
      <c r="AB157" s="511"/>
      <c r="AC157" s="564">
        <f t="shared" si="26"/>
        <v>77984</v>
      </c>
      <c r="AD157" s="512"/>
      <c r="AE157" s="513"/>
      <c r="AF157" s="514"/>
      <c r="AG157" s="515"/>
      <c r="AH157" s="568">
        <f t="shared" si="27"/>
        <v>69222</v>
      </c>
      <c r="AI157" s="516"/>
      <c r="AJ157" s="513"/>
      <c r="AK157" s="514"/>
      <c r="AL157" s="515"/>
      <c r="AM157" s="568">
        <f t="shared" si="28"/>
        <v>63999</v>
      </c>
      <c r="AN157" s="516"/>
      <c r="AO157" s="347"/>
      <c r="AP157" s="636"/>
      <c r="AQ157" s="626"/>
      <c r="AR157" s="629"/>
      <c r="AT157" s="627"/>
      <c r="AU157" s="341"/>
      <c r="AV157" s="628"/>
      <c r="AX157" s="595"/>
      <c r="AY157" s="594"/>
    </row>
    <row r="158" spans="1:51">
      <c r="A158" s="332"/>
      <c r="B158" s="334"/>
      <c r="C158" s="379">
        <f t="shared" si="21"/>
        <v>42002</v>
      </c>
      <c r="D158" s="335"/>
      <c r="G158" s="496"/>
      <c r="H158" s="497"/>
      <c r="I158" s="541">
        <f t="shared" si="22"/>
        <v>26905055</v>
      </c>
      <c r="J158" s="499"/>
      <c r="K158" s="347"/>
      <c r="L158" s="500"/>
      <c r="M158" s="501"/>
      <c r="N158" s="549">
        <f t="shared" si="23"/>
        <v>0</v>
      </c>
      <c r="O158" s="503"/>
      <c r="P158" s="347"/>
      <c r="Q158" s="504"/>
      <c r="R158" s="505"/>
      <c r="S158" s="556">
        <f t="shared" si="24"/>
        <v>200000</v>
      </c>
      <c r="T158" s="506"/>
      <c r="V158" s="507"/>
      <c r="W158" s="508"/>
      <c r="X158" s="560">
        <f t="shared" si="25"/>
        <v>200000</v>
      </c>
      <c r="Y158" s="509"/>
      <c r="AA158" s="510"/>
      <c r="AB158" s="511"/>
      <c r="AC158" s="564">
        <f t="shared" si="26"/>
        <v>77984</v>
      </c>
      <c r="AD158" s="512"/>
      <c r="AE158" s="513"/>
      <c r="AF158" s="514"/>
      <c r="AG158" s="515"/>
      <c r="AH158" s="568">
        <f t="shared" si="27"/>
        <v>69222</v>
      </c>
      <c r="AI158" s="516"/>
      <c r="AJ158" s="513"/>
      <c r="AK158" s="514"/>
      <c r="AL158" s="515"/>
      <c r="AM158" s="568">
        <f t="shared" si="28"/>
        <v>63999</v>
      </c>
      <c r="AN158" s="516"/>
      <c r="AO158" s="347"/>
      <c r="AP158" s="636"/>
      <c r="AQ158" s="626"/>
      <c r="AR158" s="629"/>
      <c r="AT158" s="627"/>
      <c r="AU158" s="341"/>
      <c r="AV158" s="628"/>
      <c r="AX158" s="595"/>
      <c r="AY158" s="594"/>
    </row>
    <row r="159" spans="1:51">
      <c r="A159" s="332"/>
      <c r="B159" s="334"/>
      <c r="C159" s="379">
        <f t="shared" si="21"/>
        <v>42002</v>
      </c>
      <c r="D159" s="335"/>
      <c r="G159" s="496"/>
      <c r="H159" s="497"/>
      <c r="I159" s="541">
        <f t="shared" si="22"/>
        <v>26905055</v>
      </c>
      <c r="J159" s="499"/>
      <c r="K159" s="347"/>
      <c r="L159" s="500"/>
      <c r="M159" s="501"/>
      <c r="N159" s="549">
        <f t="shared" si="23"/>
        <v>0</v>
      </c>
      <c r="O159" s="503"/>
      <c r="P159" s="347"/>
      <c r="Q159" s="504"/>
      <c r="R159" s="505"/>
      <c r="S159" s="556">
        <f t="shared" si="24"/>
        <v>200000</v>
      </c>
      <c r="T159" s="506"/>
      <c r="V159" s="507"/>
      <c r="W159" s="508"/>
      <c r="X159" s="560">
        <f t="shared" si="25"/>
        <v>200000</v>
      </c>
      <c r="Y159" s="509"/>
      <c r="AA159" s="510"/>
      <c r="AB159" s="511"/>
      <c r="AC159" s="564">
        <f t="shared" si="26"/>
        <v>77984</v>
      </c>
      <c r="AD159" s="512"/>
      <c r="AE159" s="513"/>
      <c r="AF159" s="514"/>
      <c r="AG159" s="515"/>
      <c r="AH159" s="568">
        <f t="shared" si="27"/>
        <v>69222</v>
      </c>
      <c r="AI159" s="516"/>
      <c r="AJ159" s="513"/>
      <c r="AK159" s="514"/>
      <c r="AL159" s="515"/>
      <c r="AM159" s="568">
        <f t="shared" si="28"/>
        <v>63999</v>
      </c>
      <c r="AN159" s="516"/>
      <c r="AO159" s="347"/>
      <c r="AP159" s="636"/>
      <c r="AQ159" s="626"/>
      <c r="AR159" s="629"/>
      <c r="AT159" s="627"/>
      <c r="AU159" s="341"/>
      <c r="AV159" s="628"/>
      <c r="AX159" s="595"/>
      <c r="AY159" s="594"/>
    </row>
    <row r="160" spans="1:51">
      <c r="A160" s="332"/>
      <c r="B160" s="334"/>
      <c r="C160" s="379">
        <f t="shared" si="21"/>
        <v>42002</v>
      </c>
      <c r="D160" s="335"/>
      <c r="G160" s="496"/>
      <c r="H160" s="497"/>
      <c r="I160" s="541">
        <f t="shared" si="22"/>
        <v>26905055</v>
      </c>
      <c r="J160" s="499"/>
      <c r="K160" s="347"/>
      <c r="L160" s="500"/>
      <c r="M160" s="501"/>
      <c r="N160" s="549">
        <f t="shared" si="23"/>
        <v>0</v>
      </c>
      <c r="O160" s="503"/>
      <c r="P160" s="347"/>
      <c r="Q160" s="504"/>
      <c r="R160" s="505"/>
      <c r="S160" s="556">
        <f t="shared" si="24"/>
        <v>200000</v>
      </c>
      <c r="T160" s="506"/>
      <c r="V160" s="507"/>
      <c r="W160" s="508"/>
      <c r="X160" s="560">
        <f t="shared" si="25"/>
        <v>200000</v>
      </c>
      <c r="Y160" s="509"/>
      <c r="AA160" s="510"/>
      <c r="AB160" s="511"/>
      <c r="AC160" s="564">
        <f t="shared" si="26"/>
        <v>77984</v>
      </c>
      <c r="AD160" s="512"/>
      <c r="AE160" s="513"/>
      <c r="AF160" s="514"/>
      <c r="AG160" s="515"/>
      <c r="AH160" s="568">
        <f t="shared" si="27"/>
        <v>69222</v>
      </c>
      <c r="AI160" s="516"/>
      <c r="AJ160" s="513"/>
      <c r="AK160" s="514"/>
      <c r="AL160" s="515"/>
      <c r="AM160" s="568">
        <f t="shared" si="28"/>
        <v>63999</v>
      </c>
      <c r="AN160" s="516"/>
      <c r="AO160" s="347"/>
      <c r="AP160" s="636"/>
      <c r="AQ160" s="626"/>
      <c r="AR160" s="629"/>
      <c r="AT160" s="627"/>
      <c r="AU160" s="341"/>
      <c r="AV160" s="628"/>
      <c r="AX160" s="595"/>
      <c r="AY160" s="594"/>
    </row>
    <row r="161" spans="1:51">
      <c r="A161" s="332"/>
      <c r="B161" s="334"/>
      <c r="C161" s="379">
        <f t="shared" si="21"/>
        <v>42002</v>
      </c>
      <c r="D161" s="335"/>
      <c r="G161" s="496"/>
      <c r="H161" s="497"/>
      <c r="I161" s="541">
        <f t="shared" si="22"/>
        <v>26905055</v>
      </c>
      <c r="J161" s="499"/>
      <c r="K161" s="347"/>
      <c r="L161" s="500"/>
      <c r="M161" s="501"/>
      <c r="N161" s="549">
        <f t="shared" si="23"/>
        <v>0</v>
      </c>
      <c r="O161" s="503"/>
      <c r="P161" s="347"/>
      <c r="Q161" s="504"/>
      <c r="R161" s="505"/>
      <c r="S161" s="556">
        <f t="shared" si="24"/>
        <v>200000</v>
      </c>
      <c r="T161" s="506"/>
      <c r="V161" s="507"/>
      <c r="W161" s="508"/>
      <c r="X161" s="560">
        <f t="shared" si="25"/>
        <v>200000</v>
      </c>
      <c r="Y161" s="509"/>
      <c r="AA161" s="510"/>
      <c r="AB161" s="511"/>
      <c r="AC161" s="564">
        <f t="shared" si="26"/>
        <v>77984</v>
      </c>
      <c r="AD161" s="512"/>
      <c r="AE161" s="513"/>
      <c r="AF161" s="514"/>
      <c r="AG161" s="515"/>
      <c r="AH161" s="568">
        <f t="shared" si="27"/>
        <v>69222</v>
      </c>
      <c r="AI161" s="516"/>
      <c r="AJ161" s="513"/>
      <c r="AK161" s="514"/>
      <c r="AL161" s="515"/>
      <c r="AM161" s="568">
        <f t="shared" si="28"/>
        <v>63999</v>
      </c>
      <c r="AN161" s="516"/>
      <c r="AO161" s="347"/>
      <c r="AP161" s="636"/>
      <c r="AQ161" s="626"/>
      <c r="AR161" s="629"/>
      <c r="AT161" s="627"/>
      <c r="AU161" s="341"/>
      <c r="AV161" s="628"/>
      <c r="AX161" s="595"/>
      <c r="AY161" s="594"/>
    </row>
    <row r="162" spans="1:51">
      <c r="A162" s="332"/>
      <c r="B162" s="334"/>
      <c r="C162" s="379">
        <f t="shared" si="21"/>
        <v>42002</v>
      </c>
      <c r="D162" s="335"/>
      <c r="G162" s="496"/>
      <c r="H162" s="497"/>
      <c r="I162" s="541">
        <f t="shared" si="22"/>
        <v>26905055</v>
      </c>
      <c r="J162" s="499"/>
      <c r="K162" s="347"/>
      <c r="L162" s="500"/>
      <c r="M162" s="501"/>
      <c r="N162" s="549">
        <f t="shared" si="23"/>
        <v>0</v>
      </c>
      <c r="O162" s="503"/>
      <c r="P162" s="347"/>
      <c r="Q162" s="504"/>
      <c r="R162" s="505"/>
      <c r="S162" s="556">
        <f t="shared" si="24"/>
        <v>200000</v>
      </c>
      <c r="T162" s="506"/>
      <c r="V162" s="507"/>
      <c r="W162" s="508"/>
      <c r="X162" s="560">
        <f t="shared" si="25"/>
        <v>200000</v>
      </c>
      <c r="Y162" s="509"/>
      <c r="AA162" s="510"/>
      <c r="AB162" s="511"/>
      <c r="AC162" s="564">
        <f t="shared" si="26"/>
        <v>77984</v>
      </c>
      <c r="AD162" s="512"/>
      <c r="AE162" s="513"/>
      <c r="AF162" s="514"/>
      <c r="AG162" s="515"/>
      <c r="AH162" s="568">
        <f t="shared" si="27"/>
        <v>69222</v>
      </c>
      <c r="AI162" s="516"/>
      <c r="AJ162" s="513"/>
      <c r="AK162" s="514"/>
      <c r="AL162" s="515"/>
      <c r="AM162" s="568">
        <f t="shared" si="28"/>
        <v>63999</v>
      </c>
      <c r="AN162" s="516"/>
      <c r="AO162" s="347"/>
      <c r="AP162" s="636"/>
      <c r="AQ162" s="626"/>
      <c r="AR162" s="629"/>
      <c r="AT162" s="627"/>
      <c r="AU162" s="341"/>
      <c r="AV162" s="628"/>
      <c r="AX162" s="595"/>
      <c r="AY162" s="594"/>
    </row>
    <row r="163" spans="1:51">
      <c r="A163" s="332"/>
      <c r="B163" s="334"/>
      <c r="C163" s="379">
        <f t="shared" si="21"/>
        <v>42002</v>
      </c>
      <c r="D163" s="335"/>
      <c r="G163" s="496"/>
      <c r="H163" s="497"/>
      <c r="I163" s="541">
        <f t="shared" si="22"/>
        <v>26905055</v>
      </c>
      <c r="J163" s="499"/>
      <c r="K163" s="347"/>
      <c r="L163" s="500"/>
      <c r="M163" s="501"/>
      <c r="N163" s="549">
        <f t="shared" si="23"/>
        <v>0</v>
      </c>
      <c r="O163" s="503"/>
      <c r="P163" s="347"/>
      <c r="Q163" s="504"/>
      <c r="R163" s="505"/>
      <c r="S163" s="556">
        <f t="shared" si="24"/>
        <v>200000</v>
      </c>
      <c r="T163" s="506"/>
      <c r="V163" s="507"/>
      <c r="W163" s="508"/>
      <c r="X163" s="560">
        <f t="shared" si="25"/>
        <v>200000</v>
      </c>
      <c r="Y163" s="509"/>
      <c r="AA163" s="510"/>
      <c r="AB163" s="511"/>
      <c r="AC163" s="564">
        <f t="shared" si="26"/>
        <v>77984</v>
      </c>
      <c r="AD163" s="512"/>
      <c r="AE163" s="513"/>
      <c r="AF163" s="514"/>
      <c r="AG163" s="515"/>
      <c r="AH163" s="568">
        <f t="shared" si="27"/>
        <v>69222</v>
      </c>
      <c r="AI163" s="516"/>
      <c r="AJ163" s="513"/>
      <c r="AK163" s="514"/>
      <c r="AL163" s="515"/>
      <c r="AM163" s="568">
        <f t="shared" si="28"/>
        <v>63999</v>
      </c>
      <c r="AN163" s="516"/>
      <c r="AO163" s="347"/>
      <c r="AP163" s="636"/>
      <c r="AQ163" s="626"/>
      <c r="AR163" s="629"/>
      <c r="AT163" s="627"/>
      <c r="AU163" s="341"/>
      <c r="AV163" s="628"/>
      <c r="AX163" s="595"/>
      <c r="AY163" s="594"/>
    </row>
    <row r="164" spans="1:51">
      <c r="A164" s="332"/>
      <c r="B164" s="334"/>
      <c r="C164" s="379">
        <f t="shared" si="21"/>
        <v>42002</v>
      </c>
      <c r="D164" s="335"/>
      <c r="G164" s="496"/>
      <c r="H164" s="497"/>
      <c r="I164" s="541">
        <f t="shared" si="22"/>
        <v>26905055</v>
      </c>
      <c r="J164" s="499"/>
      <c r="K164" s="347"/>
      <c r="L164" s="500"/>
      <c r="M164" s="501"/>
      <c r="N164" s="549">
        <f t="shared" si="23"/>
        <v>0</v>
      </c>
      <c r="O164" s="503"/>
      <c r="P164" s="347"/>
      <c r="Q164" s="504"/>
      <c r="R164" s="505"/>
      <c r="S164" s="556">
        <f t="shared" si="24"/>
        <v>200000</v>
      </c>
      <c r="T164" s="506"/>
      <c r="V164" s="507"/>
      <c r="W164" s="508"/>
      <c r="X164" s="560">
        <f t="shared" si="25"/>
        <v>200000</v>
      </c>
      <c r="Y164" s="509"/>
      <c r="AA164" s="510"/>
      <c r="AB164" s="511"/>
      <c r="AC164" s="564">
        <f t="shared" si="26"/>
        <v>77984</v>
      </c>
      <c r="AD164" s="512"/>
      <c r="AE164" s="513"/>
      <c r="AF164" s="514"/>
      <c r="AG164" s="515"/>
      <c r="AH164" s="568">
        <f t="shared" si="27"/>
        <v>69222</v>
      </c>
      <c r="AI164" s="516"/>
      <c r="AJ164" s="513"/>
      <c r="AK164" s="514"/>
      <c r="AL164" s="515"/>
      <c r="AM164" s="568">
        <f t="shared" si="28"/>
        <v>63999</v>
      </c>
      <c r="AN164" s="516"/>
      <c r="AO164" s="347"/>
      <c r="AP164" s="636"/>
      <c r="AQ164" s="626"/>
      <c r="AR164" s="629"/>
      <c r="AT164" s="627"/>
      <c r="AU164" s="341"/>
      <c r="AV164" s="628"/>
      <c r="AX164" s="595"/>
      <c r="AY164" s="594"/>
    </row>
    <row r="165" spans="1:51">
      <c r="A165" s="332"/>
      <c r="B165" s="334"/>
      <c r="C165" s="379">
        <f t="shared" si="21"/>
        <v>42002</v>
      </c>
      <c r="D165" s="335"/>
      <c r="G165" s="496"/>
      <c r="H165" s="497"/>
      <c r="I165" s="541">
        <f t="shared" si="22"/>
        <v>26905055</v>
      </c>
      <c r="J165" s="499"/>
      <c r="K165" s="347"/>
      <c r="L165" s="500"/>
      <c r="M165" s="501"/>
      <c r="N165" s="549">
        <f t="shared" si="23"/>
        <v>0</v>
      </c>
      <c r="O165" s="503"/>
      <c r="P165" s="347"/>
      <c r="Q165" s="504"/>
      <c r="R165" s="505"/>
      <c r="S165" s="556">
        <f t="shared" si="24"/>
        <v>200000</v>
      </c>
      <c r="T165" s="506"/>
      <c r="V165" s="507"/>
      <c r="W165" s="508"/>
      <c r="X165" s="560">
        <f t="shared" si="25"/>
        <v>200000</v>
      </c>
      <c r="Y165" s="509"/>
      <c r="AA165" s="510"/>
      <c r="AB165" s="511"/>
      <c r="AC165" s="564">
        <f t="shared" si="26"/>
        <v>77984</v>
      </c>
      <c r="AD165" s="512"/>
      <c r="AE165" s="513"/>
      <c r="AF165" s="514"/>
      <c r="AG165" s="515"/>
      <c r="AH165" s="568">
        <f t="shared" si="27"/>
        <v>69222</v>
      </c>
      <c r="AI165" s="516"/>
      <c r="AJ165" s="513"/>
      <c r="AK165" s="514"/>
      <c r="AL165" s="515"/>
      <c r="AM165" s="568">
        <f t="shared" si="28"/>
        <v>63999</v>
      </c>
      <c r="AN165" s="516"/>
      <c r="AO165" s="347"/>
      <c r="AP165" s="636"/>
      <c r="AQ165" s="626"/>
      <c r="AR165" s="629"/>
      <c r="AT165" s="627"/>
      <c r="AU165" s="341"/>
      <c r="AV165" s="628"/>
      <c r="AX165" s="595"/>
      <c r="AY165" s="594"/>
    </row>
    <row r="166" spans="1:51">
      <c r="A166" s="332"/>
      <c r="B166" s="334"/>
      <c r="C166" s="379">
        <f t="shared" si="21"/>
        <v>42002</v>
      </c>
      <c r="D166" s="335"/>
      <c r="G166" s="496"/>
      <c r="H166" s="497"/>
      <c r="I166" s="541">
        <f t="shared" si="22"/>
        <v>26905055</v>
      </c>
      <c r="J166" s="499"/>
      <c r="K166" s="347"/>
      <c r="L166" s="500"/>
      <c r="M166" s="501"/>
      <c r="N166" s="549">
        <f t="shared" si="23"/>
        <v>0</v>
      </c>
      <c r="O166" s="503"/>
      <c r="P166" s="347"/>
      <c r="Q166" s="504"/>
      <c r="R166" s="505"/>
      <c r="S166" s="556">
        <f t="shared" si="24"/>
        <v>200000</v>
      </c>
      <c r="T166" s="506"/>
      <c r="V166" s="507"/>
      <c r="W166" s="508"/>
      <c r="X166" s="560">
        <f t="shared" si="25"/>
        <v>200000</v>
      </c>
      <c r="Y166" s="509"/>
      <c r="AA166" s="510"/>
      <c r="AB166" s="511"/>
      <c r="AC166" s="564">
        <f t="shared" si="26"/>
        <v>77984</v>
      </c>
      <c r="AD166" s="512"/>
      <c r="AE166" s="513"/>
      <c r="AF166" s="514"/>
      <c r="AG166" s="515"/>
      <c r="AH166" s="568">
        <f t="shared" si="27"/>
        <v>69222</v>
      </c>
      <c r="AI166" s="516"/>
      <c r="AJ166" s="513"/>
      <c r="AK166" s="514"/>
      <c r="AL166" s="515"/>
      <c r="AM166" s="568">
        <f t="shared" si="28"/>
        <v>63999</v>
      </c>
      <c r="AN166" s="516"/>
      <c r="AO166" s="347"/>
      <c r="AP166" s="636"/>
      <c r="AQ166" s="626"/>
      <c r="AR166" s="629"/>
      <c r="AT166" s="627"/>
      <c r="AU166" s="341"/>
      <c r="AV166" s="628"/>
      <c r="AX166" s="595"/>
      <c r="AY166" s="594"/>
    </row>
    <row r="167" spans="1:51">
      <c r="A167" s="332"/>
      <c r="B167" s="334"/>
      <c r="C167" s="379">
        <f t="shared" si="21"/>
        <v>42002</v>
      </c>
      <c r="D167" s="335"/>
      <c r="G167" s="496"/>
      <c r="H167" s="497"/>
      <c r="I167" s="541">
        <f t="shared" si="22"/>
        <v>26905055</v>
      </c>
      <c r="J167" s="499"/>
      <c r="K167" s="347"/>
      <c r="L167" s="500"/>
      <c r="M167" s="501"/>
      <c r="N167" s="549">
        <f t="shared" si="23"/>
        <v>0</v>
      </c>
      <c r="O167" s="503"/>
      <c r="P167" s="347"/>
      <c r="Q167" s="504"/>
      <c r="R167" s="505"/>
      <c r="S167" s="556">
        <f t="shared" si="24"/>
        <v>200000</v>
      </c>
      <c r="T167" s="506"/>
      <c r="V167" s="507"/>
      <c r="W167" s="508"/>
      <c r="X167" s="560">
        <f t="shared" si="25"/>
        <v>200000</v>
      </c>
      <c r="Y167" s="509"/>
      <c r="AA167" s="510"/>
      <c r="AB167" s="511"/>
      <c r="AC167" s="564">
        <f t="shared" si="26"/>
        <v>77984</v>
      </c>
      <c r="AD167" s="512"/>
      <c r="AE167" s="513"/>
      <c r="AF167" s="514"/>
      <c r="AG167" s="515"/>
      <c r="AH167" s="568">
        <f t="shared" si="27"/>
        <v>69222</v>
      </c>
      <c r="AI167" s="516"/>
      <c r="AJ167" s="513"/>
      <c r="AK167" s="514"/>
      <c r="AL167" s="515"/>
      <c r="AM167" s="568">
        <f t="shared" si="28"/>
        <v>63999</v>
      </c>
      <c r="AN167" s="516"/>
      <c r="AO167" s="347"/>
      <c r="AP167" s="636"/>
      <c r="AQ167" s="626"/>
      <c r="AR167" s="629"/>
      <c r="AT167" s="627"/>
      <c r="AU167" s="341"/>
      <c r="AV167" s="628"/>
      <c r="AX167" s="595"/>
      <c r="AY167" s="594"/>
    </row>
    <row r="168" spans="1:51">
      <c r="A168" s="332"/>
      <c r="B168" s="334"/>
      <c r="C168" s="379">
        <f t="shared" si="21"/>
        <v>42002</v>
      </c>
      <c r="D168" s="335"/>
      <c r="G168" s="496"/>
      <c r="H168" s="497"/>
      <c r="I168" s="541">
        <f t="shared" si="22"/>
        <v>26905055</v>
      </c>
      <c r="J168" s="499"/>
      <c r="K168" s="347"/>
      <c r="L168" s="500"/>
      <c r="M168" s="501"/>
      <c r="N168" s="549">
        <f t="shared" si="23"/>
        <v>0</v>
      </c>
      <c r="O168" s="503"/>
      <c r="P168" s="347"/>
      <c r="Q168" s="504"/>
      <c r="R168" s="505"/>
      <c r="S168" s="556">
        <f t="shared" si="24"/>
        <v>200000</v>
      </c>
      <c r="T168" s="506"/>
      <c r="V168" s="507"/>
      <c r="W168" s="508"/>
      <c r="X168" s="560">
        <f t="shared" si="25"/>
        <v>200000</v>
      </c>
      <c r="Y168" s="509"/>
      <c r="AA168" s="510"/>
      <c r="AB168" s="511"/>
      <c r="AC168" s="564">
        <f t="shared" si="26"/>
        <v>77984</v>
      </c>
      <c r="AD168" s="512"/>
      <c r="AE168" s="513"/>
      <c r="AF168" s="514"/>
      <c r="AG168" s="515"/>
      <c r="AH168" s="568">
        <f t="shared" si="27"/>
        <v>69222</v>
      </c>
      <c r="AI168" s="516"/>
      <c r="AJ168" s="513"/>
      <c r="AK168" s="514"/>
      <c r="AL168" s="515"/>
      <c r="AM168" s="568">
        <f t="shared" si="28"/>
        <v>63999</v>
      </c>
      <c r="AN168" s="516"/>
      <c r="AO168" s="347"/>
      <c r="AP168" s="636"/>
      <c r="AQ168" s="626"/>
      <c r="AR168" s="629"/>
      <c r="AT168" s="627"/>
      <c r="AU168" s="341"/>
      <c r="AV168" s="628"/>
      <c r="AX168" s="595"/>
      <c r="AY168" s="594"/>
    </row>
    <row r="169" spans="1:51">
      <c r="A169" s="332"/>
      <c r="B169" s="334"/>
      <c r="C169" s="379">
        <f t="shared" si="21"/>
        <v>42002</v>
      </c>
      <c r="D169" s="335"/>
      <c r="G169" s="496"/>
      <c r="H169" s="497"/>
      <c r="I169" s="541">
        <f t="shared" si="22"/>
        <v>26905055</v>
      </c>
      <c r="J169" s="499"/>
      <c r="K169" s="347"/>
      <c r="L169" s="500"/>
      <c r="M169" s="501"/>
      <c r="N169" s="549">
        <f t="shared" si="23"/>
        <v>0</v>
      </c>
      <c r="O169" s="503"/>
      <c r="P169" s="347"/>
      <c r="Q169" s="504"/>
      <c r="R169" s="505"/>
      <c r="S169" s="556">
        <f t="shared" si="24"/>
        <v>200000</v>
      </c>
      <c r="T169" s="506"/>
      <c r="V169" s="507"/>
      <c r="W169" s="508"/>
      <c r="X169" s="560">
        <f t="shared" si="25"/>
        <v>200000</v>
      </c>
      <c r="Y169" s="509"/>
      <c r="AA169" s="510"/>
      <c r="AB169" s="511"/>
      <c r="AC169" s="564">
        <f t="shared" si="26"/>
        <v>77984</v>
      </c>
      <c r="AD169" s="512"/>
      <c r="AE169" s="513"/>
      <c r="AF169" s="514"/>
      <c r="AG169" s="515"/>
      <c r="AH169" s="568">
        <f t="shared" si="27"/>
        <v>69222</v>
      </c>
      <c r="AI169" s="516"/>
      <c r="AJ169" s="513"/>
      <c r="AK169" s="514"/>
      <c r="AL169" s="515"/>
      <c r="AM169" s="568">
        <f t="shared" si="28"/>
        <v>63999</v>
      </c>
      <c r="AN169" s="516"/>
      <c r="AO169" s="347"/>
      <c r="AP169" s="636"/>
      <c r="AQ169" s="626"/>
      <c r="AR169" s="629"/>
      <c r="AT169" s="627"/>
      <c r="AU169" s="341"/>
      <c r="AV169" s="628"/>
      <c r="AX169" s="595"/>
      <c r="AY169" s="594"/>
    </row>
    <row r="170" spans="1:51">
      <c r="A170" s="332"/>
      <c r="B170" s="334"/>
      <c r="C170" s="379">
        <f t="shared" si="21"/>
        <v>42002</v>
      </c>
      <c r="D170" s="335"/>
      <c r="G170" s="496"/>
      <c r="H170" s="497"/>
      <c r="I170" s="541">
        <f t="shared" si="22"/>
        <v>26905055</v>
      </c>
      <c r="J170" s="499"/>
      <c r="K170" s="347"/>
      <c r="L170" s="500"/>
      <c r="M170" s="501"/>
      <c r="N170" s="549">
        <f t="shared" si="23"/>
        <v>0</v>
      </c>
      <c r="O170" s="503"/>
      <c r="P170" s="347"/>
      <c r="Q170" s="504"/>
      <c r="R170" s="505"/>
      <c r="S170" s="556">
        <f t="shared" si="24"/>
        <v>200000</v>
      </c>
      <c r="T170" s="506"/>
      <c r="V170" s="507"/>
      <c r="W170" s="508"/>
      <c r="X170" s="560">
        <f t="shared" si="25"/>
        <v>200000</v>
      </c>
      <c r="Y170" s="509"/>
      <c r="AA170" s="510"/>
      <c r="AB170" s="511"/>
      <c r="AC170" s="564">
        <f t="shared" si="26"/>
        <v>77984</v>
      </c>
      <c r="AD170" s="512"/>
      <c r="AE170" s="513"/>
      <c r="AF170" s="514"/>
      <c r="AG170" s="515"/>
      <c r="AH170" s="568">
        <f t="shared" si="27"/>
        <v>69222</v>
      </c>
      <c r="AI170" s="516"/>
      <c r="AJ170" s="513"/>
      <c r="AK170" s="514"/>
      <c r="AL170" s="515"/>
      <c r="AM170" s="568">
        <f t="shared" si="28"/>
        <v>63999</v>
      </c>
      <c r="AN170" s="516"/>
      <c r="AO170" s="347"/>
      <c r="AP170" s="636"/>
      <c r="AQ170" s="626"/>
      <c r="AR170" s="629"/>
      <c r="AT170" s="627"/>
      <c r="AU170" s="341"/>
      <c r="AV170" s="628"/>
      <c r="AX170" s="595"/>
      <c r="AY170" s="594"/>
    </row>
    <row r="171" spans="1:51">
      <c r="A171" s="332"/>
      <c r="B171" s="334"/>
      <c r="C171" s="379">
        <f t="shared" si="21"/>
        <v>42002</v>
      </c>
      <c r="D171" s="335"/>
      <c r="G171" s="496"/>
      <c r="H171" s="497"/>
      <c r="I171" s="541">
        <f t="shared" si="22"/>
        <v>26905055</v>
      </c>
      <c r="J171" s="499"/>
      <c r="K171" s="347"/>
      <c r="L171" s="500"/>
      <c r="M171" s="501"/>
      <c r="N171" s="549">
        <f t="shared" si="23"/>
        <v>0</v>
      </c>
      <c r="O171" s="503"/>
      <c r="P171" s="347"/>
      <c r="Q171" s="504"/>
      <c r="R171" s="505"/>
      <c r="S171" s="556">
        <f t="shared" si="24"/>
        <v>200000</v>
      </c>
      <c r="T171" s="506"/>
      <c r="V171" s="507"/>
      <c r="W171" s="508"/>
      <c r="X171" s="560">
        <f t="shared" si="25"/>
        <v>200000</v>
      </c>
      <c r="Y171" s="509"/>
      <c r="AA171" s="510"/>
      <c r="AB171" s="511"/>
      <c r="AC171" s="564">
        <f t="shared" si="26"/>
        <v>77984</v>
      </c>
      <c r="AD171" s="512"/>
      <c r="AE171" s="513"/>
      <c r="AF171" s="514"/>
      <c r="AG171" s="515"/>
      <c r="AH171" s="568">
        <f t="shared" si="27"/>
        <v>69222</v>
      </c>
      <c r="AI171" s="516"/>
      <c r="AJ171" s="513"/>
      <c r="AK171" s="514"/>
      <c r="AL171" s="515"/>
      <c r="AM171" s="568">
        <f t="shared" si="28"/>
        <v>63999</v>
      </c>
      <c r="AN171" s="516"/>
      <c r="AO171" s="347"/>
      <c r="AP171" s="636"/>
      <c r="AQ171" s="626"/>
      <c r="AR171" s="629"/>
      <c r="AT171" s="627"/>
      <c r="AU171" s="341"/>
      <c r="AV171" s="628"/>
      <c r="AX171" s="595"/>
      <c r="AY171" s="594"/>
    </row>
    <row r="172" spans="1:51">
      <c r="A172" s="332"/>
      <c r="B172" s="334"/>
      <c r="C172" s="379">
        <f t="shared" si="21"/>
        <v>42002</v>
      </c>
      <c r="D172" s="335"/>
      <c r="G172" s="496"/>
      <c r="H172" s="497"/>
      <c r="I172" s="541">
        <f t="shared" si="22"/>
        <v>26905055</v>
      </c>
      <c r="J172" s="499"/>
      <c r="K172" s="347"/>
      <c r="L172" s="500"/>
      <c r="M172" s="501"/>
      <c r="N172" s="549">
        <f t="shared" si="23"/>
        <v>0</v>
      </c>
      <c r="O172" s="503"/>
      <c r="P172" s="347"/>
      <c r="Q172" s="504"/>
      <c r="R172" s="505"/>
      <c r="S172" s="556">
        <f t="shared" si="24"/>
        <v>200000</v>
      </c>
      <c r="T172" s="506"/>
      <c r="V172" s="507"/>
      <c r="W172" s="508"/>
      <c r="X172" s="560">
        <f t="shared" si="25"/>
        <v>200000</v>
      </c>
      <c r="Y172" s="509"/>
      <c r="AA172" s="510"/>
      <c r="AB172" s="511"/>
      <c r="AC172" s="564">
        <f t="shared" si="26"/>
        <v>77984</v>
      </c>
      <c r="AD172" s="512"/>
      <c r="AE172" s="513"/>
      <c r="AF172" s="514"/>
      <c r="AG172" s="515"/>
      <c r="AH172" s="568">
        <f t="shared" si="27"/>
        <v>69222</v>
      </c>
      <c r="AI172" s="516"/>
      <c r="AJ172" s="513"/>
      <c r="AK172" s="514"/>
      <c r="AL172" s="515"/>
      <c r="AM172" s="568">
        <f t="shared" si="28"/>
        <v>63999</v>
      </c>
      <c r="AN172" s="516"/>
      <c r="AO172" s="347"/>
      <c r="AP172" s="636"/>
      <c r="AQ172" s="626"/>
      <c r="AR172" s="629"/>
      <c r="AT172" s="627"/>
      <c r="AU172" s="341"/>
      <c r="AV172" s="628"/>
      <c r="AX172" s="595"/>
      <c r="AY172" s="594"/>
    </row>
    <row r="173" spans="1:51">
      <c r="A173" s="332"/>
      <c r="B173" s="334"/>
      <c r="C173" s="379">
        <f t="shared" si="21"/>
        <v>42002</v>
      </c>
      <c r="D173" s="335"/>
      <c r="G173" s="496"/>
      <c r="H173" s="497"/>
      <c r="I173" s="541">
        <f t="shared" si="22"/>
        <v>26905055</v>
      </c>
      <c r="J173" s="499"/>
      <c r="K173" s="347"/>
      <c r="L173" s="500"/>
      <c r="M173" s="501"/>
      <c r="N173" s="549">
        <f t="shared" si="23"/>
        <v>0</v>
      </c>
      <c r="O173" s="503"/>
      <c r="P173" s="347"/>
      <c r="Q173" s="504"/>
      <c r="R173" s="505"/>
      <c r="S173" s="556">
        <f t="shared" si="24"/>
        <v>200000</v>
      </c>
      <c r="T173" s="506"/>
      <c r="V173" s="507"/>
      <c r="W173" s="508"/>
      <c r="X173" s="560">
        <f t="shared" si="25"/>
        <v>200000</v>
      </c>
      <c r="Y173" s="509"/>
      <c r="AA173" s="510"/>
      <c r="AB173" s="511"/>
      <c r="AC173" s="564">
        <f t="shared" si="26"/>
        <v>77984</v>
      </c>
      <c r="AD173" s="512"/>
      <c r="AE173" s="513"/>
      <c r="AF173" s="514"/>
      <c r="AG173" s="515"/>
      <c r="AH173" s="568">
        <f t="shared" si="27"/>
        <v>69222</v>
      </c>
      <c r="AI173" s="516"/>
      <c r="AJ173" s="513"/>
      <c r="AK173" s="514"/>
      <c r="AL173" s="515"/>
      <c r="AM173" s="568">
        <f t="shared" si="28"/>
        <v>63999</v>
      </c>
      <c r="AN173" s="516"/>
      <c r="AO173" s="347"/>
      <c r="AP173" s="636"/>
      <c r="AQ173" s="626"/>
      <c r="AR173" s="629"/>
      <c r="AT173" s="627"/>
      <c r="AU173" s="341"/>
      <c r="AV173" s="628"/>
      <c r="AX173" s="595"/>
      <c r="AY173" s="594"/>
    </row>
    <row r="174" spans="1:51">
      <c r="A174" s="332"/>
      <c r="B174" s="334"/>
      <c r="C174" s="379">
        <f t="shared" si="21"/>
        <v>42002</v>
      </c>
      <c r="D174" s="335"/>
      <c r="G174" s="496"/>
      <c r="H174" s="497"/>
      <c r="I174" s="541">
        <f t="shared" si="22"/>
        <v>26905055</v>
      </c>
      <c r="J174" s="499"/>
      <c r="K174" s="347"/>
      <c r="L174" s="500"/>
      <c r="M174" s="501"/>
      <c r="N174" s="549">
        <f t="shared" si="23"/>
        <v>0</v>
      </c>
      <c r="O174" s="503"/>
      <c r="P174" s="347"/>
      <c r="Q174" s="504"/>
      <c r="R174" s="505"/>
      <c r="S174" s="556">
        <f t="shared" si="24"/>
        <v>200000</v>
      </c>
      <c r="T174" s="506"/>
      <c r="V174" s="507"/>
      <c r="W174" s="508"/>
      <c r="X174" s="560">
        <f t="shared" si="25"/>
        <v>200000</v>
      </c>
      <c r="Y174" s="509"/>
      <c r="AA174" s="510"/>
      <c r="AB174" s="511"/>
      <c r="AC174" s="564">
        <f t="shared" si="26"/>
        <v>77984</v>
      </c>
      <c r="AD174" s="512"/>
      <c r="AE174" s="513"/>
      <c r="AF174" s="514"/>
      <c r="AG174" s="515"/>
      <c r="AH174" s="568">
        <f t="shared" si="27"/>
        <v>69222</v>
      </c>
      <c r="AI174" s="516"/>
      <c r="AJ174" s="513"/>
      <c r="AK174" s="514"/>
      <c r="AL174" s="515"/>
      <c r="AM174" s="568">
        <f t="shared" si="28"/>
        <v>63999</v>
      </c>
      <c r="AN174" s="516"/>
      <c r="AO174" s="347"/>
      <c r="AP174" s="636"/>
      <c r="AQ174" s="626"/>
      <c r="AR174" s="629"/>
      <c r="AT174" s="627"/>
      <c r="AU174" s="341"/>
      <c r="AV174" s="628"/>
      <c r="AX174" s="595"/>
      <c r="AY174" s="594"/>
    </row>
    <row r="175" spans="1:51">
      <c r="A175" s="332"/>
      <c r="B175" s="334"/>
      <c r="C175" s="379">
        <f t="shared" si="21"/>
        <v>42002</v>
      </c>
      <c r="D175" s="335"/>
      <c r="G175" s="496"/>
      <c r="H175" s="497"/>
      <c r="I175" s="541">
        <f t="shared" si="22"/>
        <v>26905055</v>
      </c>
      <c r="J175" s="499"/>
      <c r="K175" s="347"/>
      <c r="L175" s="500"/>
      <c r="M175" s="501"/>
      <c r="N175" s="549">
        <f t="shared" si="23"/>
        <v>0</v>
      </c>
      <c r="O175" s="503"/>
      <c r="P175" s="347"/>
      <c r="Q175" s="504"/>
      <c r="R175" s="505"/>
      <c r="S175" s="556">
        <f t="shared" si="24"/>
        <v>200000</v>
      </c>
      <c r="T175" s="506"/>
      <c r="V175" s="507"/>
      <c r="W175" s="508"/>
      <c r="X175" s="560">
        <f t="shared" si="25"/>
        <v>200000</v>
      </c>
      <c r="Y175" s="509"/>
      <c r="AA175" s="510"/>
      <c r="AB175" s="511"/>
      <c r="AC175" s="564">
        <f t="shared" si="26"/>
        <v>77984</v>
      </c>
      <c r="AD175" s="512"/>
      <c r="AE175" s="513"/>
      <c r="AF175" s="514"/>
      <c r="AG175" s="515"/>
      <c r="AH175" s="568">
        <f t="shared" si="27"/>
        <v>69222</v>
      </c>
      <c r="AI175" s="516"/>
      <c r="AJ175" s="513"/>
      <c r="AK175" s="514"/>
      <c r="AL175" s="515"/>
      <c r="AM175" s="568">
        <f t="shared" si="28"/>
        <v>63999</v>
      </c>
      <c r="AN175" s="516"/>
      <c r="AO175" s="347"/>
      <c r="AP175" s="636"/>
      <c r="AQ175" s="626"/>
      <c r="AR175" s="629"/>
      <c r="AT175" s="627"/>
      <c r="AU175" s="341"/>
      <c r="AV175" s="628"/>
      <c r="AX175" s="595"/>
      <c r="AY175" s="594"/>
    </row>
    <row r="176" spans="1:51">
      <c r="A176" s="332"/>
      <c r="B176" s="334"/>
      <c r="C176" s="379">
        <f t="shared" si="21"/>
        <v>42002</v>
      </c>
      <c r="D176" s="335"/>
      <c r="G176" s="496"/>
      <c r="H176" s="497"/>
      <c r="I176" s="541">
        <f t="shared" si="22"/>
        <v>26905055</v>
      </c>
      <c r="J176" s="499"/>
      <c r="K176" s="347"/>
      <c r="L176" s="500"/>
      <c r="M176" s="501"/>
      <c r="N176" s="549">
        <f t="shared" si="23"/>
        <v>0</v>
      </c>
      <c r="O176" s="503"/>
      <c r="P176" s="347"/>
      <c r="Q176" s="504"/>
      <c r="R176" s="505"/>
      <c r="S176" s="556">
        <f t="shared" si="24"/>
        <v>200000</v>
      </c>
      <c r="T176" s="506"/>
      <c r="V176" s="507"/>
      <c r="W176" s="508"/>
      <c r="X176" s="560">
        <f t="shared" si="25"/>
        <v>200000</v>
      </c>
      <c r="Y176" s="509"/>
      <c r="AA176" s="510"/>
      <c r="AB176" s="511"/>
      <c r="AC176" s="564">
        <f t="shared" si="26"/>
        <v>77984</v>
      </c>
      <c r="AD176" s="512"/>
      <c r="AE176" s="513"/>
      <c r="AF176" s="514"/>
      <c r="AG176" s="515"/>
      <c r="AH176" s="568">
        <f t="shared" si="27"/>
        <v>69222</v>
      </c>
      <c r="AI176" s="516"/>
      <c r="AJ176" s="513"/>
      <c r="AK176" s="514"/>
      <c r="AL176" s="515"/>
      <c r="AM176" s="568">
        <f t="shared" si="28"/>
        <v>63999</v>
      </c>
      <c r="AN176" s="516"/>
      <c r="AO176" s="347"/>
      <c r="AP176" s="636"/>
      <c r="AQ176" s="626"/>
      <c r="AR176" s="629"/>
      <c r="AT176" s="627"/>
      <c r="AU176" s="341"/>
      <c r="AV176" s="628"/>
      <c r="AX176" s="595"/>
      <c r="AY176" s="594"/>
    </row>
    <row r="177" spans="1:57">
      <c r="A177" s="332"/>
      <c r="B177" s="334"/>
      <c r="C177" s="379">
        <f t="shared" si="21"/>
        <v>42002</v>
      </c>
      <c r="D177" s="335"/>
      <c r="G177" s="496"/>
      <c r="H177" s="497"/>
      <c r="I177" s="541">
        <f t="shared" si="22"/>
        <v>26905055</v>
      </c>
      <c r="J177" s="499"/>
      <c r="K177" s="347"/>
      <c r="L177" s="500"/>
      <c r="M177" s="501"/>
      <c r="N177" s="549">
        <f t="shared" si="23"/>
        <v>0</v>
      </c>
      <c r="O177" s="503"/>
      <c r="P177" s="347"/>
      <c r="Q177" s="504"/>
      <c r="R177" s="505"/>
      <c r="S177" s="556">
        <f t="shared" si="24"/>
        <v>200000</v>
      </c>
      <c r="T177" s="506"/>
      <c r="V177" s="507"/>
      <c r="W177" s="508"/>
      <c r="X177" s="560">
        <f t="shared" si="25"/>
        <v>200000</v>
      </c>
      <c r="Y177" s="509"/>
      <c r="AA177" s="510"/>
      <c r="AB177" s="511"/>
      <c r="AC177" s="564">
        <f t="shared" si="26"/>
        <v>77984</v>
      </c>
      <c r="AD177" s="512"/>
      <c r="AE177" s="513"/>
      <c r="AF177" s="514"/>
      <c r="AG177" s="515"/>
      <c r="AH177" s="568">
        <f t="shared" si="27"/>
        <v>69222</v>
      </c>
      <c r="AI177" s="516"/>
      <c r="AJ177" s="513"/>
      <c r="AK177" s="514"/>
      <c r="AL177" s="515"/>
      <c r="AM177" s="568">
        <f t="shared" si="28"/>
        <v>63999</v>
      </c>
      <c r="AN177" s="516"/>
      <c r="AO177" s="347"/>
      <c r="AP177" s="636"/>
      <c r="AQ177" s="626"/>
      <c r="AR177" s="629"/>
      <c r="AT177" s="627"/>
      <c r="AU177" s="341"/>
      <c r="AV177" s="628"/>
      <c r="AX177" s="595"/>
      <c r="AY177" s="594"/>
    </row>
    <row r="178" spans="1:57">
      <c r="A178" s="332"/>
      <c r="B178" s="334"/>
      <c r="C178" s="379">
        <f t="shared" si="21"/>
        <v>42002</v>
      </c>
      <c r="D178" s="335"/>
      <c r="G178" s="496"/>
      <c r="H178" s="497"/>
      <c r="I178" s="541">
        <f t="shared" si="22"/>
        <v>26905055</v>
      </c>
      <c r="J178" s="499"/>
      <c r="K178" s="347"/>
      <c r="L178" s="500"/>
      <c r="M178" s="501"/>
      <c r="N178" s="549">
        <f t="shared" si="23"/>
        <v>0</v>
      </c>
      <c r="O178" s="503"/>
      <c r="P178" s="347"/>
      <c r="Q178" s="504"/>
      <c r="R178" s="505"/>
      <c r="S178" s="556">
        <f t="shared" si="24"/>
        <v>200000</v>
      </c>
      <c r="T178" s="506"/>
      <c r="V178" s="507"/>
      <c r="W178" s="508"/>
      <c r="X178" s="560">
        <f t="shared" si="25"/>
        <v>200000</v>
      </c>
      <c r="Y178" s="509"/>
      <c r="AA178" s="510"/>
      <c r="AB178" s="511"/>
      <c r="AC178" s="564">
        <f t="shared" si="26"/>
        <v>77984</v>
      </c>
      <c r="AD178" s="512"/>
      <c r="AE178" s="513"/>
      <c r="AF178" s="514"/>
      <c r="AG178" s="515"/>
      <c r="AH178" s="568">
        <f t="shared" si="27"/>
        <v>69222</v>
      </c>
      <c r="AI178" s="516"/>
      <c r="AJ178" s="513"/>
      <c r="AK178" s="514"/>
      <c r="AL178" s="515"/>
      <c r="AM178" s="568">
        <f t="shared" si="28"/>
        <v>63999</v>
      </c>
      <c r="AN178" s="516"/>
      <c r="AO178" s="347"/>
      <c r="AP178" s="636"/>
      <c r="AQ178" s="626"/>
      <c r="AR178" s="629"/>
      <c r="AT178" s="627"/>
      <c r="AU178" s="341"/>
      <c r="AV178" s="628"/>
      <c r="AX178" s="595"/>
      <c r="AY178" s="594"/>
    </row>
    <row r="179" spans="1:57">
      <c r="A179" s="332"/>
      <c r="B179" s="334"/>
      <c r="C179" s="379">
        <f t="shared" si="21"/>
        <v>42002</v>
      </c>
      <c r="D179" s="335"/>
      <c r="G179" s="496"/>
      <c r="H179" s="497"/>
      <c r="I179" s="541">
        <f t="shared" si="22"/>
        <v>26905055</v>
      </c>
      <c r="J179" s="499"/>
      <c r="K179" s="347"/>
      <c r="L179" s="500"/>
      <c r="M179" s="501"/>
      <c r="N179" s="549">
        <f t="shared" si="23"/>
        <v>0</v>
      </c>
      <c r="O179" s="503"/>
      <c r="P179" s="347"/>
      <c r="Q179" s="504"/>
      <c r="R179" s="505"/>
      <c r="S179" s="556">
        <f t="shared" si="24"/>
        <v>200000</v>
      </c>
      <c r="T179" s="506"/>
      <c r="V179" s="507"/>
      <c r="W179" s="508"/>
      <c r="X179" s="560">
        <f t="shared" si="25"/>
        <v>200000</v>
      </c>
      <c r="Y179" s="509"/>
      <c r="AA179" s="510"/>
      <c r="AB179" s="511"/>
      <c r="AC179" s="564">
        <f t="shared" si="26"/>
        <v>77984</v>
      </c>
      <c r="AD179" s="512"/>
      <c r="AE179" s="513"/>
      <c r="AF179" s="514"/>
      <c r="AG179" s="515"/>
      <c r="AH179" s="568">
        <f t="shared" si="27"/>
        <v>69222</v>
      </c>
      <c r="AI179" s="516"/>
      <c r="AJ179" s="513"/>
      <c r="AK179" s="514"/>
      <c r="AL179" s="515"/>
      <c r="AM179" s="568">
        <f t="shared" si="28"/>
        <v>63999</v>
      </c>
      <c r="AN179" s="516"/>
      <c r="AO179" s="347"/>
      <c r="AP179" s="636"/>
      <c r="AQ179" s="626"/>
      <c r="AR179" s="629"/>
      <c r="AT179" s="627"/>
      <c r="AU179" s="341"/>
      <c r="AV179" s="628"/>
      <c r="AX179" s="595"/>
      <c r="AY179" s="594"/>
    </row>
    <row r="180" spans="1:57">
      <c r="A180" s="332"/>
      <c r="B180" s="334"/>
      <c r="C180" s="379">
        <f t="shared" si="21"/>
        <v>42002</v>
      </c>
      <c r="D180" s="335"/>
      <c r="G180" s="496"/>
      <c r="H180" s="497"/>
      <c r="I180" s="541">
        <f t="shared" si="22"/>
        <v>26905055</v>
      </c>
      <c r="J180" s="499"/>
      <c r="K180" s="347"/>
      <c r="L180" s="500"/>
      <c r="M180" s="501"/>
      <c r="N180" s="549">
        <f t="shared" si="23"/>
        <v>0</v>
      </c>
      <c r="O180" s="503"/>
      <c r="P180" s="347"/>
      <c r="Q180" s="504"/>
      <c r="R180" s="505"/>
      <c r="S180" s="556">
        <f t="shared" si="24"/>
        <v>200000</v>
      </c>
      <c r="T180" s="506"/>
      <c r="V180" s="507"/>
      <c r="W180" s="508"/>
      <c r="X180" s="560">
        <f t="shared" si="25"/>
        <v>200000</v>
      </c>
      <c r="Y180" s="509"/>
      <c r="AA180" s="510"/>
      <c r="AB180" s="511"/>
      <c r="AC180" s="564">
        <f t="shared" si="26"/>
        <v>77984</v>
      </c>
      <c r="AD180" s="512"/>
      <c r="AE180" s="513"/>
      <c r="AF180" s="514"/>
      <c r="AG180" s="515"/>
      <c r="AH180" s="568">
        <f t="shared" si="27"/>
        <v>69222</v>
      </c>
      <c r="AI180" s="516"/>
      <c r="AJ180" s="513"/>
      <c r="AK180" s="514"/>
      <c r="AL180" s="515"/>
      <c r="AM180" s="568">
        <f t="shared" si="28"/>
        <v>63999</v>
      </c>
      <c r="AN180" s="516"/>
      <c r="AO180" s="347"/>
      <c r="AP180" s="636"/>
      <c r="AQ180" s="626"/>
      <c r="AR180" s="629"/>
      <c r="AT180" s="627"/>
      <c r="AU180" s="341"/>
      <c r="AV180" s="628"/>
      <c r="AX180" s="595"/>
      <c r="AY180" s="594"/>
    </row>
    <row r="181" spans="1:57">
      <c r="A181" s="332"/>
      <c r="B181" s="334"/>
      <c r="C181" s="379">
        <f t="shared" si="21"/>
        <v>42002</v>
      </c>
      <c r="D181" s="335"/>
      <c r="G181" s="496"/>
      <c r="H181" s="497"/>
      <c r="I181" s="541">
        <f t="shared" si="22"/>
        <v>26905055</v>
      </c>
      <c r="J181" s="499"/>
      <c r="K181" s="347"/>
      <c r="L181" s="500"/>
      <c r="M181" s="501"/>
      <c r="N181" s="549">
        <f t="shared" si="23"/>
        <v>0</v>
      </c>
      <c r="O181" s="503"/>
      <c r="P181" s="347"/>
      <c r="Q181" s="504"/>
      <c r="R181" s="505"/>
      <c r="S181" s="556">
        <f t="shared" si="24"/>
        <v>200000</v>
      </c>
      <c r="T181" s="506"/>
      <c r="V181" s="507"/>
      <c r="W181" s="508"/>
      <c r="X181" s="560">
        <f t="shared" si="25"/>
        <v>200000</v>
      </c>
      <c r="Y181" s="509"/>
      <c r="AA181" s="510"/>
      <c r="AB181" s="511"/>
      <c r="AC181" s="564">
        <f t="shared" si="26"/>
        <v>77984</v>
      </c>
      <c r="AD181" s="512"/>
      <c r="AE181" s="513"/>
      <c r="AF181" s="514"/>
      <c r="AG181" s="515"/>
      <c r="AH181" s="568">
        <f t="shared" si="27"/>
        <v>69222</v>
      </c>
      <c r="AI181" s="516"/>
      <c r="AJ181" s="513"/>
      <c r="AK181" s="514"/>
      <c r="AL181" s="515"/>
      <c r="AM181" s="568">
        <f t="shared" si="28"/>
        <v>63999</v>
      </c>
      <c r="AN181" s="516"/>
      <c r="AO181" s="347"/>
      <c r="AP181" s="636"/>
      <c r="AQ181" s="626"/>
      <c r="AR181" s="629"/>
      <c r="AT181" s="627"/>
      <c r="AU181" s="341"/>
      <c r="AV181" s="628"/>
      <c r="AX181" s="595"/>
      <c r="AY181" s="594"/>
    </row>
    <row r="182" spans="1:57">
      <c r="A182" s="332"/>
      <c r="B182" s="334"/>
      <c r="C182" s="379">
        <f t="shared" si="21"/>
        <v>42002</v>
      </c>
      <c r="D182" s="335"/>
      <c r="G182" s="496"/>
      <c r="H182" s="497"/>
      <c r="I182" s="541">
        <f t="shared" si="22"/>
        <v>26905055</v>
      </c>
      <c r="J182" s="499"/>
      <c r="K182" s="347"/>
      <c r="L182" s="500"/>
      <c r="M182" s="501"/>
      <c r="N182" s="549">
        <f t="shared" si="23"/>
        <v>0</v>
      </c>
      <c r="O182" s="503"/>
      <c r="P182" s="347"/>
      <c r="Q182" s="504"/>
      <c r="R182" s="505"/>
      <c r="S182" s="556">
        <f t="shared" si="24"/>
        <v>200000</v>
      </c>
      <c r="T182" s="506"/>
      <c r="V182" s="507"/>
      <c r="W182" s="508"/>
      <c r="X182" s="560">
        <f t="shared" si="25"/>
        <v>200000</v>
      </c>
      <c r="Y182" s="509"/>
      <c r="AA182" s="510"/>
      <c r="AB182" s="511"/>
      <c r="AC182" s="564">
        <f t="shared" si="26"/>
        <v>77984</v>
      </c>
      <c r="AD182" s="512"/>
      <c r="AE182" s="513"/>
      <c r="AF182" s="514"/>
      <c r="AG182" s="515"/>
      <c r="AH182" s="568">
        <f t="shared" si="27"/>
        <v>69222</v>
      </c>
      <c r="AI182" s="516"/>
      <c r="AJ182" s="513"/>
      <c r="AK182" s="514"/>
      <c r="AL182" s="515"/>
      <c r="AM182" s="568">
        <f t="shared" si="28"/>
        <v>63999</v>
      </c>
      <c r="AN182" s="516"/>
      <c r="AO182" s="347"/>
      <c r="AP182" s="636"/>
      <c r="AQ182" s="626"/>
      <c r="AR182" s="629"/>
      <c r="AT182" s="627"/>
      <c r="AU182" s="341"/>
      <c r="AV182" s="628"/>
      <c r="AX182" s="595"/>
      <c r="AY182" s="594"/>
    </row>
    <row r="183" spans="1:57">
      <c r="A183" s="332"/>
      <c r="B183" s="334"/>
      <c r="C183" s="379">
        <f t="shared" si="21"/>
        <v>42002</v>
      </c>
      <c r="D183" s="335"/>
      <c r="G183" s="496"/>
      <c r="H183" s="497"/>
      <c r="I183" s="541">
        <f t="shared" si="22"/>
        <v>26905055</v>
      </c>
      <c r="J183" s="499"/>
      <c r="K183" s="347"/>
      <c r="L183" s="500"/>
      <c r="M183" s="501"/>
      <c r="N183" s="549">
        <f t="shared" si="23"/>
        <v>0</v>
      </c>
      <c r="O183" s="503"/>
      <c r="P183" s="347"/>
      <c r="Q183" s="504"/>
      <c r="R183" s="505"/>
      <c r="S183" s="556">
        <f t="shared" si="24"/>
        <v>200000</v>
      </c>
      <c r="T183" s="506"/>
      <c r="V183" s="507"/>
      <c r="W183" s="508"/>
      <c r="X183" s="560">
        <f t="shared" si="25"/>
        <v>200000</v>
      </c>
      <c r="Y183" s="509"/>
      <c r="AA183" s="510"/>
      <c r="AB183" s="511"/>
      <c r="AC183" s="564">
        <f t="shared" si="26"/>
        <v>77984</v>
      </c>
      <c r="AD183" s="512"/>
      <c r="AE183" s="513"/>
      <c r="AF183" s="514"/>
      <c r="AG183" s="515"/>
      <c r="AH183" s="568">
        <f t="shared" si="27"/>
        <v>69222</v>
      </c>
      <c r="AI183" s="516"/>
      <c r="AJ183" s="513"/>
      <c r="AK183" s="514"/>
      <c r="AL183" s="515"/>
      <c r="AM183" s="568">
        <f t="shared" si="28"/>
        <v>63999</v>
      </c>
      <c r="AN183" s="516"/>
      <c r="AO183" s="347"/>
      <c r="AP183" s="636"/>
      <c r="AQ183" s="626"/>
      <c r="AR183" s="629"/>
      <c r="AT183" s="627"/>
      <c r="AU183" s="341"/>
      <c r="AV183" s="628"/>
      <c r="AX183" s="595"/>
      <c r="AY183" s="594"/>
    </row>
    <row r="184" spans="1:57">
      <c r="A184" s="332"/>
      <c r="B184" s="334"/>
      <c r="C184" s="379">
        <f t="shared" si="21"/>
        <v>42002</v>
      </c>
      <c r="D184" s="335"/>
      <c r="G184" s="496"/>
      <c r="H184" s="497"/>
      <c r="I184" s="541">
        <f t="shared" si="22"/>
        <v>26905055</v>
      </c>
      <c r="J184" s="499"/>
      <c r="K184" s="347"/>
      <c r="L184" s="500"/>
      <c r="M184" s="501"/>
      <c r="N184" s="549">
        <f t="shared" si="23"/>
        <v>0</v>
      </c>
      <c r="O184" s="503"/>
      <c r="P184" s="347"/>
      <c r="Q184" s="504"/>
      <c r="R184" s="505"/>
      <c r="S184" s="556">
        <f t="shared" si="24"/>
        <v>200000</v>
      </c>
      <c r="T184" s="506"/>
      <c r="V184" s="507"/>
      <c r="W184" s="508"/>
      <c r="X184" s="560">
        <f t="shared" si="25"/>
        <v>200000</v>
      </c>
      <c r="Y184" s="509"/>
      <c r="AA184" s="510"/>
      <c r="AB184" s="511"/>
      <c r="AC184" s="564">
        <f t="shared" si="26"/>
        <v>77984</v>
      </c>
      <c r="AD184" s="512"/>
      <c r="AE184" s="513"/>
      <c r="AF184" s="514"/>
      <c r="AG184" s="515"/>
      <c r="AH184" s="568">
        <f t="shared" si="27"/>
        <v>69222</v>
      </c>
      <c r="AI184" s="516"/>
      <c r="AJ184" s="513"/>
      <c r="AK184" s="514"/>
      <c r="AL184" s="515"/>
      <c r="AM184" s="568">
        <f t="shared" si="28"/>
        <v>63999</v>
      </c>
      <c r="AN184" s="516"/>
      <c r="AO184" s="347"/>
      <c r="AP184" s="636"/>
      <c r="AQ184" s="626"/>
      <c r="AR184" s="629"/>
      <c r="AT184" s="627"/>
      <c r="AU184" s="341"/>
      <c r="AV184" s="628"/>
      <c r="AX184" s="595"/>
      <c r="AY184" s="594"/>
    </row>
    <row r="185" spans="1:57">
      <c r="A185" s="332"/>
      <c r="B185" s="334"/>
      <c r="C185" s="379">
        <f t="shared" si="21"/>
        <v>42002</v>
      </c>
      <c r="D185" s="335"/>
      <c r="G185" s="496"/>
      <c r="H185" s="497"/>
      <c r="I185" s="541">
        <f t="shared" si="22"/>
        <v>26905055</v>
      </c>
      <c r="J185" s="499"/>
      <c r="K185" s="347"/>
      <c r="L185" s="500"/>
      <c r="M185" s="501"/>
      <c r="N185" s="549">
        <f t="shared" si="23"/>
        <v>0</v>
      </c>
      <c r="O185" s="503"/>
      <c r="P185" s="347"/>
      <c r="Q185" s="504"/>
      <c r="R185" s="505"/>
      <c r="S185" s="556">
        <f t="shared" si="24"/>
        <v>200000</v>
      </c>
      <c r="T185" s="506"/>
      <c r="V185" s="507"/>
      <c r="W185" s="508"/>
      <c r="X185" s="560">
        <f t="shared" si="25"/>
        <v>200000</v>
      </c>
      <c r="Y185" s="509"/>
      <c r="AA185" s="510"/>
      <c r="AB185" s="511"/>
      <c r="AC185" s="564">
        <f t="shared" si="26"/>
        <v>77984</v>
      </c>
      <c r="AD185" s="512"/>
      <c r="AE185" s="513"/>
      <c r="AF185" s="514"/>
      <c r="AG185" s="515"/>
      <c r="AH185" s="568">
        <f t="shared" si="27"/>
        <v>69222</v>
      </c>
      <c r="AI185" s="516"/>
      <c r="AJ185" s="513"/>
      <c r="AK185" s="514"/>
      <c r="AL185" s="515"/>
      <c r="AM185" s="568">
        <f t="shared" si="28"/>
        <v>63999</v>
      </c>
      <c r="AN185" s="516"/>
      <c r="AO185" s="347"/>
      <c r="AP185" s="636"/>
      <c r="AQ185" s="626"/>
      <c r="AR185" s="629"/>
      <c r="AT185" s="627"/>
      <c r="AU185" s="341"/>
      <c r="AV185" s="628"/>
      <c r="AX185" s="595"/>
      <c r="AY185" s="594"/>
    </row>
    <row r="186" spans="1:57">
      <c r="A186" s="332"/>
      <c r="B186" s="334"/>
      <c r="C186" s="379">
        <f t="shared" si="21"/>
        <v>42002</v>
      </c>
      <c r="D186" s="335"/>
      <c r="G186" s="496"/>
      <c r="H186" s="497"/>
      <c r="I186" s="541">
        <f t="shared" si="22"/>
        <v>26905055</v>
      </c>
      <c r="J186" s="499"/>
      <c r="K186" s="347"/>
      <c r="L186" s="500"/>
      <c r="M186" s="501"/>
      <c r="N186" s="549">
        <f t="shared" si="23"/>
        <v>0</v>
      </c>
      <c r="O186" s="503"/>
      <c r="P186" s="347"/>
      <c r="Q186" s="504"/>
      <c r="R186" s="505"/>
      <c r="S186" s="556">
        <f t="shared" si="24"/>
        <v>200000</v>
      </c>
      <c r="T186" s="506"/>
      <c r="V186" s="507"/>
      <c r="W186" s="508"/>
      <c r="X186" s="560">
        <f t="shared" si="25"/>
        <v>200000</v>
      </c>
      <c r="Y186" s="509"/>
      <c r="AA186" s="510"/>
      <c r="AB186" s="511"/>
      <c r="AC186" s="564">
        <f t="shared" si="26"/>
        <v>77984</v>
      </c>
      <c r="AD186" s="512"/>
      <c r="AE186" s="513"/>
      <c r="AF186" s="514"/>
      <c r="AG186" s="515"/>
      <c r="AH186" s="568">
        <f t="shared" si="27"/>
        <v>69222</v>
      </c>
      <c r="AI186" s="516"/>
      <c r="AJ186" s="513"/>
      <c r="AK186" s="514"/>
      <c r="AL186" s="515"/>
      <c r="AM186" s="568">
        <f t="shared" si="28"/>
        <v>63999</v>
      </c>
      <c r="AN186" s="516"/>
      <c r="AO186" s="347"/>
      <c r="AP186" s="636"/>
      <c r="AQ186" s="626"/>
      <c r="AR186" s="629"/>
      <c r="AT186" s="627"/>
      <c r="AU186" s="341"/>
      <c r="AV186" s="628"/>
      <c r="AX186" s="595"/>
      <c r="AY186" s="594"/>
    </row>
    <row r="187" spans="1:57">
      <c r="A187" s="332"/>
      <c r="B187" s="334"/>
      <c r="C187" s="379">
        <f t="shared" si="21"/>
        <v>42002</v>
      </c>
      <c r="D187" s="335"/>
      <c r="G187" s="496"/>
      <c r="H187" s="497"/>
      <c r="I187" s="541">
        <f t="shared" si="22"/>
        <v>26905055</v>
      </c>
      <c r="J187" s="499"/>
      <c r="K187" s="347"/>
      <c r="L187" s="500"/>
      <c r="M187" s="501"/>
      <c r="N187" s="549">
        <f t="shared" si="23"/>
        <v>0</v>
      </c>
      <c r="O187" s="503"/>
      <c r="P187" s="347"/>
      <c r="Q187" s="504"/>
      <c r="R187" s="505"/>
      <c r="S187" s="556">
        <f t="shared" si="24"/>
        <v>200000</v>
      </c>
      <c r="T187" s="506"/>
      <c r="V187" s="507"/>
      <c r="W187" s="508"/>
      <c r="X187" s="560">
        <f t="shared" si="25"/>
        <v>200000</v>
      </c>
      <c r="Y187" s="509"/>
      <c r="AA187" s="510"/>
      <c r="AB187" s="511"/>
      <c r="AC187" s="564">
        <f t="shared" si="26"/>
        <v>77984</v>
      </c>
      <c r="AD187" s="512"/>
      <c r="AE187" s="513"/>
      <c r="AF187" s="514"/>
      <c r="AG187" s="515"/>
      <c r="AH187" s="568">
        <f t="shared" si="27"/>
        <v>69222</v>
      </c>
      <c r="AI187" s="516"/>
      <c r="AJ187" s="513"/>
      <c r="AK187" s="514"/>
      <c r="AL187" s="515"/>
      <c r="AM187" s="568">
        <f t="shared" si="28"/>
        <v>63999</v>
      </c>
      <c r="AN187" s="516"/>
      <c r="AO187" s="347"/>
      <c r="AP187" s="636"/>
      <c r="AQ187" s="626"/>
      <c r="AR187" s="629"/>
      <c r="AT187" s="627"/>
      <c r="AU187" s="341"/>
      <c r="AV187" s="628"/>
      <c r="AX187" s="595"/>
      <c r="AY187" s="594"/>
    </row>
    <row r="188" spans="1:57">
      <c r="A188" s="332"/>
      <c r="B188" s="334"/>
      <c r="C188" s="379">
        <f t="shared" si="21"/>
        <v>42002</v>
      </c>
      <c r="D188" s="335"/>
      <c r="G188" s="496"/>
      <c r="H188" s="497"/>
      <c r="I188" s="541">
        <f t="shared" si="22"/>
        <v>26905055</v>
      </c>
      <c r="J188" s="499"/>
      <c r="K188" s="347"/>
      <c r="L188" s="500"/>
      <c r="M188" s="501"/>
      <c r="N188" s="549">
        <f t="shared" si="23"/>
        <v>0</v>
      </c>
      <c r="O188" s="503"/>
      <c r="P188" s="347"/>
      <c r="Q188" s="504"/>
      <c r="R188" s="505"/>
      <c r="S188" s="556">
        <f t="shared" si="24"/>
        <v>200000</v>
      </c>
      <c r="T188" s="506"/>
      <c r="V188" s="507"/>
      <c r="W188" s="508"/>
      <c r="X188" s="560">
        <f t="shared" si="25"/>
        <v>200000</v>
      </c>
      <c r="Y188" s="509"/>
      <c r="AA188" s="510"/>
      <c r="AB188" s="511"/>
      <c r="AC188" s="564">
        <f t="shared" si="26"/>
        <v>77984</v>
      </c>
      <c r="AD188" s="512"/>
      <c r="AE188" s="513"/>
      <c r="AF188" s="514"/>
      <c r="AG188" s="515"/>
      <c r="AH188" s="568">
        <f t="shared" si="27"/>
        <v>69222</v>
      </c>
      <c r="AI188" s="516"/>
      <c r="AJ188" s="513"/>
      <c r="AK188" s="514"/>
      <c r="AL188" s="515"/>
      <c r="AM188" s="568">
        <f t="shared" si="28"/>
        <v>63999</v>
      </c>
      <c r="AN188" s="516"/>
      <c r="AO188" s="347"/>
      <c r="AP188" s="636"/>
      <c r="AQ188" s="626"/>
      <c r="AR188" s="629"/>
      <c r="AT188" s="627"/>
      <c r="AU188" s="341"/>
      <c r="AV188" s="628"/>
      <c r="AX188" s="649"/>
      <c r="AY188" s="618">
        <f>SUM(AY5:AY187)</f>
        <v>0</v>
      </c>
    </row>
    <row r="189" spans="1:57">
      <c r="A189" s="332"/>
      <c r="B189" s="334"/>
      <c r="C189" s="379">
        <f t="shared" si="21"/>
        <v>42002</v>
      </c>
      <c r="D189" s="335"/>
      <c r="G189" s="496"/>
      <c r="H189" s="497"/>
      <c r="I189" s="541">
        <f t="shared" si="22"/>
        <v>26905055</v>
      </c>
      <c r="J189" s="499"/>
      <c r="K189" s="347"/>
      <c r="L189" s="500"/>
      <c r="M189" s="501"/>
      <c r="N189" s="549">
        <f t="shared" si="23"/>
        <v>0</v>
      </c>
      <c r="O189" s="503"/>
      <c r="P189" s="347"/>
      <c r="Q189" s="504"/>
      <c r="R189" s="505"/>
      <c r="S189" s="556">
        <f t="shared" si="24"/>
        <v>200000</v>
      </c>
      <c r="T189" s="506"/>
      <c r="V189" s="507"/>
      <c r="W189" s="508"/>
      <c r="X189" s="560">
        <f t="shared" si="25"/>
        <v>200000</v>
      </c>
      <c r="Y189" s="509"/>
      <c r="AA189" s="510"/>
      <c r="AB189" s="511"/>
      <c r="AC189" s="564">
        <f t="shared" si="26"/>
        <v>77984</v>
      </c>
      <c r="AD189" s="512"/>
      <c r="AE189" s="513"/>
      <c r="AF189" s="514"/>
      <c r="AG189" s="515"/>
      <c r="AH189" s="568">
        <f t="shared" si="27"/>
        <v>69222</v>
      </c>
      <c r="AI189" s="516"/>
      <c r="AJ189" s="513"/>
      <c r="AK189" s="514"/>
      <c r="AL189" s="515"/>
      <c r="AM189" s="568">
        <f t="shared" si="28"/>
        <v>63999</v>
      </c>
      <c r="AN189" s="516"/>
      <c r="AO189" s="347"/>
      <c r="AP189" s="636"/>
      <c r="AQ189" s="626"/>
      <c r="AR189" s="629"/>
      <c r="AT189" s="627"/>
      <c r="AU189" s="341"/>
      <c r="AV189" s="628"/>
      <c r="AX189" s="610"/>
      <c r="AY189" s="609"/>
    </row>
    <row r="190" spans="1:57" ht="18.600000000000001" thickBot="1">
      <c r="A190" s="332"/>
      <c r="B190" s="334"/>
      <c r="C190" s="379">
        <f t="shared" si="21"/>
        <v>42002</v>
      </c>
      <c r="D190" s="335"/>
      <c r="G190" s="496"/>
      <c r="H190" s="497"/>
      <c r="I190" s="541">
        <f t="shared" si="22"/>
        <v>26905055</v>
      </c>
      <c r="J190" s="499"/>
      <c r="K190" s="347"/>
      <c r="L190" s="500"/>
      <c r="M190" s="501"/>
      <c r="N190" s="549">
        <f t="shared" si="23"/>
        <v>0</v>
      </c>
      <c r="O190" s="503"/>
      <c r="P190" s="347"/>
      <c r="Q190" s="504"/>
      <c r="R190" s="505"/>
      <c r="S190" s="556">
        <f t="shared" si="24"/>
        <v>200000</v>
      </c>
      <c r="T190" s="506"/>
      <c r="V190" s="507"/>
      <c r="W190" s="508"/>
      <c r="X190" s="560">
        <f t="shared" si="25"/>
        <v>200000</v>
      </c>
      <c r="Y190" s="509"/>
      <c r="AA190" s="510"/>
      <c r="AB190" s="511"/>
      <c r="AC190" s="564">
        <f t="shared" si="26"/>
        <v>77984</v>
      </c>
      <c r="AD190" s="512"/>
      <c r="AE190" s="513"/>
      <c r="AF190" s="514"/>
      <c r="AG190" s="515"/>
      <c r="AH190" s="568">
        <f t="shared" si="27"/>
        <v>69222</v>
      </c>
      <c r="AI190" s="516"/>
      <c r="AJ190" s="513"/>
      <c r="AK190" s="514"/>
      <c r="AL190" s="515"/>
      <c r="AM190" s="568">
        <f t="shared" si="28"/>
        <v>63999</v>
      </c>
      <c r="AN190" s="516"/>
      <c r="AO190" s="347"/>
      <c r="AP190" s="636"/>
      <c r="AQ190" s="626"/>
      <c r="AR190" s="629"/>
      <c r="AT190" s="627"/>
      <c r="AU190" s="341"/>
      <c r="AV190" s="628"/>
      <c r="AX190" s="1468" t="s">
        <v>27</v>
      </c>
      <c r="AY190" s="1470"/>
      <c r="BB190" s="1519">
        <f>AY188+BH9+BJ15+BE21+BA26+BG64+BF74+BC83+BG83+BA109</f>
        <v>0</v>
      </c>
      <c r="BC190" s="1519"/>
    </row>
    <row r="191" spans="1:57">
      <c r="D191" s="536">
        <f>SUM(D6:D190)</f>
        <v>0</v>
      </c>
      <c r="J191" s="544">
        <f>SUM(J6:J190)</f>
        <v>0</v>
      </c>
      <c r="K191" s="347"/>
      <c r="O191" s="552">
        <f>SUM(O6:O190)</f>
        <v>0</v>
      </c>
      <c r="P191" s="347"/>
      <c r="T191" s="536">
        <f>SUM(T6:T190)</f>
        <v>0</v>
      </c>
      <c r="Y191" s="536">
        <f>SUM(Y6:Y190)</f>
        <v>0</v>
      </c>
      <c r="AD191" s="536">
        <f>SUM(AD6:AD190)</f>
        <v>0</v>
      </c>
      <c r="AE191" s="347"/>
      <c r="AI191" s="536">
        <f>SUM(AI6:AI190)</f>
        <v>0</v>
      </c>
      <c r="AJ191" s="517"/>
      <c r="AN191" s="536">
        <f>SUM(AN6:AN190)</f>
        <v>0</v>
      </c>
      <c r="AO191" s="517"/>
      <c r="AQ191" s="655">
        <f>SUM(AQ5:AQ190)</f>
        <v>0</v>
      </c>
      <c r="AR191" s="655">
        <f>SUM(AR5:AR190)</f>
        <v>0</v>
      </c>
      <c r="AU191" s="656">
        <f>SUM(AU5:AU190)</f>
        <v>0</v>
      </c>
      <c r="AV191" s="656">
        <f>SUM(AV5:AV190)</f>
        <v>0</v>
      </c>
      <c r="BE191" s="263" t="s">
        <v>45</v>
      </c>
    </row>
    <row r="192" spans="1:57" ht="21">
      <c r="D192" s="361"/>
      <c r="J192" s="519"/>
      <c r="K192" s="517"/>
      <c r="O192" s="521"/>
      <c r="P192" s="517"/>
      <c r="T192" s="526"/>
      <c r="Y192" s="527"/>
      <c r="AD192" s="528"/>
      <c r="AE192" s="517"/>
      <c r="AI192" s="529"/>
      <c r="AJ192" s="517"/>
      <c r="AN192" s="529"/>
      <c r="AO192" s="517"/>
      <c r="AY192" s="657"/>
      <c r="BA192" s="517"/>
      <c r="BB192" s="1520"/>
      <c r="BC192" s="1520"/>
    </row>
    <row r="193" spans="1:48">
      <c r="AV193" s="651"/>
    </row>
    <row r="197" spans="1:48">
      <c r="A197" s="1359" t="s">
        <v>54</v>
      </c>
      <c r="B197" s="1359"/>
      <c r="C197" s="1359"/>
      <c r="D197" s="1359"/>
      <c r="G197" s="1434" t="s">
        <v>55</v>
      </c>
      <c r="H197" s="1434"/>
      <c r="I197" s="1434"/>
      <c r="J197" s="1434"/>
      <c r="K197" s="530"/>
      <c r="L197" s="1435" t="s">
        <v>56</v>
      </c>
      <c r="M197" s="1435"/>
      <c r="N197" s="1435"/>
      <c r="O197" s="1435"/>
      <c r="P197" s="530"/>
      <c r="Q197" s="1436" t="s">
        <v>94</v>
      </c>
      <c r="R197" s="1436"/>
      <c r="S197" s="1436"/>
      <c r="T197" s="1436"/>
      <c r="V197" s="1437" t="s">
        <v>103</v>
      </c>
      <c r="W197" s="1437"/>
      <c r="X197" s="1437"/>
      <c r="Y197" s="1437"/>
      <c r="AA197" s="1429" t="s">
        <v>57</v>
      </c>
      <c r="AB197" s="1429"/>
      <c r="AC197" s="1429"/>
      <c r="AD197" s="1429"/>
      <c r="AF197" s="1430" t="s">
        <v>58</v>
      </c>
      <c r="AG197" s="1430"/>
      <c r="AH197" s="1430"/>
      <c r="AI197" s="1430"/>
      <c r="AJ197" s="530"/>
      <c r="AK197" s="1430" t="s">
        <v>58</v>
      </c>
      <c r="AL197" s="1430"/>
      <c r="AM197" s="1430"/>
      <c r="AN197" s="1430"/>
      <c r="AO197" s="530"/>
      <c r="AP197" s="1487" t="s">
        <v>11</v>
      </c>
      <c r="AQ197" s="1487"/>
      <c r="AR197" s="1487"/>
      <c r="AS197" s="426"/>
      <c r="AT197" s="1338" t="s">
        <v>21</v>
      </c>
      <c r="AU197" s="1338"/>
      <c r="AV197" s="1338"/>
    </row>
  </sheetData>
  <mergeCells count="50">
    <mergeCell ref="AX4:AY4"/>
    <mergeCell ref="BA4:BE4"/>
    <mergeCell ref="A3:D3"/>
    <mergeCell ref="G3:J3"/>
    <mergeCell ref="L3:O3"/>
    <mergeCell ref="Q3:T3"/>
    <mergeCell ref="V3:Y3"/>
    <mergeCell ref="AA3:AD3"/>
    <mergeCell ref="AF3:AI3"/>
    <mergeCell ref="AK3:AN3"/>
    <mergeCell ref="AP3:AR3"/>
    <mergeCell ref="AT3:AV3"/>
    <mergeCell ref="AX3:BE3"/>
    <mergeCell ref="BA67:BF67"/>
    <mergeCell ref="BB68:BD68"/>
    <mergeCell ref="BA74:BE74"/>
    <mergeCell ref="BA64:BF64"/>
    <mergeCell ref="BB29:BF29"/>
    <mergeCell ref="BA28:BG28"/>
    <mergeCell ref="AX190:AY190"/>
    <mergeCell ref="BB190:BC190"/>
    <mergeCell ref="BB192:BC192"/>
    <mergeCell ref="A197:D197"/>
    <mergeCell ref="G197:J197"/>
    <mergeCell ref="L197:O197"/>
    <mergeCell ref="Q197:T197"/>
    <mergeCell ref="V197:Y197"/>
    <mergeCell ref="AA197:AD197"/>
    <mergeCell ref="AF197:AI197"/>
    <mergeCell ref="BA92:BA95"/>
    <mergeCell ref="BA96:BA99"/>
    <mergeCell ref="BA100:BA103"/>
    <mergeCell ref="BA104:BA107"/>
    <mergeCell ref="BA108:BB108"/>
    <mergeCell ref="BA5:BG5"/>
    <mergeCell ref="BA11:BI11"/>
    <mergeCell ref="BJ11:BJ12"/>
    <mergeCell ref="BH5:BH6"/>
    <mergeCell ref="BA17:BD17"/>
    <mergeCell ref="BE17:BE18"/>
    <mergeCell ref="BE78:BG78"/>
    <mergeCell ref="BE79:BG79"/>
    <mergeCell ref="AK197:AN197"/>
    <mergeCell ref="AP197:AR197"/>
    <mergeCell ref="AT197:AV197"/>
    <mergeCell ref="BA109:BD109"/>
    <mergeCell ref="BA78:BC78"/>
    <mergeCell ref="BA79:BC79"/>
    <mergeCell ref="BA86:BD86"/>
    <mergeCell ref="BA88:BA91"/>
  </mergeCells>
  <pageMargins left="0.7" right="0.7" top="0.75" bottom="0.75" header="0.3" footer="0.3"/>
  <pageSetup paperSize="256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0000"/>
  </sheetPr>
  <dimension ref="A1:E17"/>
  <sheetViews>
    <sheetView zoomScale="90" zoomScaleNormal="90" workbookViewId="0">
      <selection activeCell="F9" sqref="F9"/>
    </sheetView>
  </sheetViews>
  <sheetFormatPr defaultRowHeight="14.4"/>
  <cols>
    <col min="1" max="1" width="22.33203125" customWidth="1"/>
    <col min="2" max="2" width="13.5546875" customWidth="1"/>
    <col min="3" max="3" width="14.109375" customWidth="1"/>
    <col min="4" max="4" width="16.5546875" customWidth="1"/>
    <col min="5" max="5" width="21.33203125" customWidth="1"/>
    <col min="6" max="6" width="26.88671875" customWidth="1"/>
  </cols>
  <sheetData>
    <row r="1" spans="1:5" ht="15" thickBot="1"/>
    <row r="2" spans="1:5" s="16" customFormat="1" ht="26.4" customHeight="1" thickBot="1">
      <c r="A2" s="1043" t="s">
        <v>573</v>
      </c>
      <c r="B2" s="1043" t="s">
        <v>574</v>
      </c>
      <c r="C2" s="1043" t="s">
        <v>575</v>
      </c>
      <c r="D2" s="1044" t="s">
        <v>27</v>
      </c>
      <c r="E2" s="1044" t="s">
        <v>180</v>
      </c>
    </row>
    <row r="3" spans="1:5">
      <c r="A3" s="978"/>
      <c r="B3" s="978"/>
      <c r="C3" s="978"/>
      <c r="D3" s="978"/>
      <c r="E3" s="1025"/>
    </row>
    <row r="4" spans="1:5">
      <c r="A4" s="17"/>
      <c r="B4" s="17"/>
      <c r="C4" s="17"/>
      <c r="D4" s="17"/>
      <c r="E4" s="55"/>
    </row>
    <row r="5" spans="1:5">
      <c r="A5" s="17"/>
      <c r="B5" s="17"/>
      <c r="C5" s="17"/>
      <c r="D5" s="17"/>
      <c r="E5" s="55"/>
    </row>
    <row r="6" spans="1:5">
      <c r="A6" s="17"/>
      <c r="B6" s="17"/>
      <c r="C6" s="17"/>
      <c r="D6" s="17"/>
      <c r="E6" s="55"/>
    </row>
    <row r="7" spans="1:5">
      <c r="A7" s="17"/>
      <c r="B7" s="17"/>
      <c r="C7" s="17"/>
      <c r="D7" s="17"/>
      <c r="E7" s="55"/>
    </row>
    <row r="8" spans="1:5">
      <c r="A8" s="17"/>
      <c r="B8" s="17"/>
      <c r="C8" s="17"/>
      <c r="D8" s="17"/>
      <c r="E8" s="55"/>
    </row>
    <row r="9" spans="1:5">
      <c r="A9" s="17"/>
      <c r="B9" s="17"/>
      <c r="C9" s="17"/>
      <c r="D9" s="17"/>
      <c r="E9" s="55"/>
    </row>
    <row r="10" spans="1:5">
      <c r="A10" s="17"/>
      <c r="B10" s="17"/>
      <c r="C10" s="17"/>
      <c r="D10" s="17"/>
      <c r="E10" s="55"/>
    </row>
    <row r="11" spans="1:5">
      <c r="A11" s="17"/>
      <c r="B11" s="17"/>
      <c r="C11" s="17"/>
      <c r="D11" s="17"/>
      <c r="E11" s="55"/>
    </row>
    <row r="12" spans="1:5">
      <c r="A12" s="17"/>
      <c r="B12" s="17"/>
      <c r="C12" s="17"/>
      <c r="D12" s="17"/>
      <c r="E12" s="55"/>
    </row>
    <row r="13" spans="1:5">
      <c r="A13" s="17"/>
      <c r="B13" s="17"/>
      <c r="C13" s="17"/>
      <c r="D13" s="17"/>
      <c r="E13" s="55"/>
    </row>
    <row r="14" spans="1:5">
      <c r="A14" s="17"/>
      <c r="B14" s="17"/>
      <c r="C14" s="17"/>
      <c r="D14" s="17"/>
      <c r="E14" s="55"/>
    </row>
    <row r="15" spans="1:5" ht="15" thickBot="1">
      <c r="A15" s="979"/>
      <c r="B15" s="979"/>
      <c r="C15" s="979"/>
      <c r="D15" s="979"/>
      <c r="E15" s="618"/>
    </row>
    <row r="16" spans="1:5" s="180" customFormat="1" ht="15" thickBot="1">
      <c r="A16" s="980">
        <f>SUM(A3:A15)</f>
        <v>0</v>
      </c>
      <c r="B16" s="980">
        <f>SUM(B3:B15)</f>
        <v>0</v>
      </c>
      <c r="C16" s="980">
        <f>SUM(C3:C15)</f>
        <v>0</v>
      </c>
      <c r="D16" s="980">
        <f>SUM(D3:D15)</f>
        <v>0</v>
      </c>
      <c r="E16" s="980">
        <f>SUM(E3:E15)</f>
        <v>0</v>
      </c>
    </row>
    <row r="17" spans="1:5" s="180" customFormat="1" ht="15" thickBot="1">
      <c r="A17" s="1549"/>
      <c r="B17" s="1550"/>
      <c r="C17" s="1550"/>
      <c r="D17" s="1551"/>
      <c r="E17" s="1024"/>
    </row>
  </sheetData>
  <mergeCells count="1">
    <mergeCell ref="A17:D1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FF0000"/>
  </sheetPr>
  <dimension ref="A1:H16"/>
  <sheetViews>
    <sheetView workbookViewId="0">
      <selection activeCell="K12" sqref="K12"/>
    </sheetView>
  </sheetViews>
  <sheetFormatPr defaultRowHeight="14.4"/>
  <cols>
    <col min="1" max="1" width="17.6640625" customWidth="1"/>
    <col min="2" max="2" width="14.21875" customWidth="1"/>
    <col min="3" max="3" width="11.6640625" customWidth="1"/>
    <col min="4" max="4" width="10.6640625" customWidth="1"/>
    <col min="5" max="5" width="13.77734375" customWidth="1"/>
    <col min="6" max="6" width="2.88671875" customWidth="1"/>
    <col min="7" max="7" width="17.77734375" customWidth="1"/>
    <col min="8" max="8" width="17.6640625" customWidth="1"/>
  </cols>
  <sheetData>
    <row r="1" spans="1:8" ht="15" thickBot="1"/>
    <row r="2" spans="1:8" s="1083" customFormat="1" ht="27" customHeight="1" thickTop="1" thickBot="1">
      <c r="A2" s="1085" t="s">
        <v>786</v>
      </c>
      <c r="B2" s="1552" t="s">
        <v>787</v>
      </c>
      <c r="C2" s="1553"/>
      <c r="D2" s="1553"/>
      <c r="E2" s="1554"/>
      <c r="G2" s="1085" t="s">
        <v>180</v>
      </c>
      <c r="H2" s="1111" t="s">
        <v>787</v>
      </c>
    </row>
    <row r="3" spans="1:8">
      <c r="A3" s="1084"/>
      <c r="B3" s="1112"/>
      <c r="C3" s="1112"/>
      <c r="D3" s="1112"/>
      <c r="E3" s="1116">
        <f>SUM(B3:D3)</f>
        <v>0</v>
      </c>
      <c r="G3" s="1084"/>
      <c r="H3" s="1113"/>
    </row>
    <row r="4" spans="1:8">
      <c r="A4" s="396"/>
      <c r="B4" s="17"/>
      <c r="C4" s="17"/>
      <c r="D4" s="17"/>
      <c r="E4" s="1116">
        <f t="shared" ref="E4:E14" si="0">SUM(B4:D4)</f>
        <v>0</v>
      </c>
      <c r="G4" s="396"/>
      <c r="H4" s="1118"/>
    </row>
    <row r="5" spans="1:8">
      <c r="A5" s="396"/>
      <c r="B5" s="17"/>
      <c r="C5" s="17"/>
      <c r="D5" s="17"/>
      <c r="E5" s="1116">
        <f t="shared" si="0"/>
        <v>0</v>
      </c>
      <c r="G5" s="396"/>
      <c r="H5" s="1118"/>
    </row>
    <row r="6" spans="1:8">
      <c r="A6" s="396"/>
      <c r="B6" s="17"/>
      <c r="C6" s="17"/>
      <c r="D6" s="17"/>
      <c r="E6" s="1116">
        <f t="shared" si="0"/>
        <v>0</v>
      </c>
      <c r="G6" s="396"/>
      <c r="H6" s="1118"/>
    </row>
    <row r="7" spans="1:8">
      <c r="A7" s="396"/>
      <c r="B7" s="17"/>
      <c r="C7" s="17"/>
      <c r="D7" s="17"/>
      <c r="E7" s="1116">
        <f t="shared" si="0"/>
        <v>0</v>
      </c>
      <c r="G7" s="396"/>
      <c r="H7" s="1118"/>
    </row>
    <row r="8" spans="1:8">
      <c r="A8" s="396"/>
      <c r="B8" s="17"/>
      <c r="C8" s="17"/>
      <c r="D8" s="17"/>
      <c r="E8" s="1116">
        <f t="shared" si="0"/>
        <v>0</v>
      </c>
      <c r="G8" s="396"/>
      <c r="H8" s="1118"/>
    </row>
    <row r="9" spans="1:8">
      <c r="A9" s="396"/>
      <c r="B9" s="17"/>
      <c r="C9" s="17"/>
      <c r="D9" s="17"/>
      <c r="E9" s="1116">
        <f t="shared" si="0"/>
        <v>0</v>
      </c>
      <c r="G9" s="396"/>
      <c r="H9" s="1118"/>
    </row>
    <row r="10" spans="1:8">
      <c r="A10" s="396"/>
      <c r="B10" s="17"/>
      <c r="C10" s="17"/>
      <c r="D10" s="17"/>
      <c r="E10" s="1116">
        <f t="shared" si="0"/>
        <v>0</v>
      </c>
      <c r="G10" s="396"/>
      <c r="H10" s="1118"/>
    </row>
    <row r="11" spans="1:8">
      <c r="A11" s="396"/>
      <c r="B11" s="17"/>
      <c r="C11" s="17"/>
      <c r="D11" s="17"/>
      <c r="E11" s="1116">
        <f t="shared" si="0"/>
        <v>0</v>
      </c>
      <c r="G11" s="396"/>
      <c r="H11" s="1118"/>
    </row>
    <row r="12" spans="1:8">
      <c r="A12" s="396"/>
      <c r="B12" s="17"/>
      <c r="C12" s="17"/>
      <c r="D12" s="17"/>
      <c r="E12" s="1116">
        <f t="shared" si="0"/>
        <v>0</v>
      </c>
      <c r="G12" s="396"/>
      <c r="H12" s="1118"/>
    </row>
    <row r="13" spans="1:8">
      <c r="A13" s="396"/>
      <c r="B13" s="17"/>
      <c r="C13" s="17"/>
      <c r="D13" s="17"/>
      <c r="E13" s="1116">
        <f t="shared" si="0"/>
        <v>0</v>
      </c>
      <c r="G13" s="396"/>
      <c r="H13" s="1118"/>
    </row>
    <row r="14" spans="1:8" ht="15" thickBot="1">
      <c r="A14" s="396"/>
      <c r="B14" s="979"/>
      <c r="C14" s="979"/>
      <c r="D14" s="979"/>
      <c r="E14" s="1116">
        <f t="shared" si="0"/>
        <v>0</v>
      </c>
      <c r="G14" s="396"/>
      <c r="H14" s="1118"/>
    </row>
    <row r="15" spans="1:8" ht="15" thickBot="1">
      <c r="A15" s="1086"/>
      <c r="B15" s="1117">
        <f>SUM(E3:E14)</f>
        <v>0</v>
      </c>
      <c r="C15" s="1114"/>
      <c r="D15" s="1114"/>
      <c r="E15" s="1115"/>
      <c r="G15" s="1110" t="s">
        <v>13</v>
      </c>
      <c r="H15" s="1119">
        <f>SUM(H3:H14)</f>
        <v>0</v>
      </c>
    </row>
    <row r="16" spans="1:8" ht="15" thickTop="1"/>
  </sheetData>
  <mergeCells count="1">
    <mergeCell ref="B2:E2"/>
  </mergeCells>
  <pageMargins left="0.7" right="0.7" top="0.75" bottom="0.75" header="0.3" footer="0.3"/>
  <pageSetup paperSize="256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G52"/>
  <sheetViews>
    <sheetView topLeftCell="A33" zoomScale="80" zoomScaleNormal="80" workbookViewId="0">
      <selection activeCell="H49" sqref="H49"/>
    </sheetView>
  </sheetViews>
  <sheetFormatPr defaultRowHeight="14.4"/>
  <cols>
    <col min="1" max="1" width="15.44140625" customWidth="1"/>
    <col min="2" max="2" width="17" customWidth="1"/>
    <col min="3" max="3" width="16.33203125" customWidth="1"/>
    <col min="4" max="4" width="20.109375" customWidth="1"/>
    <col min="5" max="5" width="22.109375" customWidth="1"/>
    <col min="6" max="6" width="19" customWidth="1"/>
    <col min="7" max="7" width="20.33203125" customWidth="1"/>
  </cols>
  <sheetData>
    <row r="2" spans="1:6">
      <c r="A2" s="182" t="s">
        <v>244</v>
      </c>
      <c r="B2" s="183"/>
      <c r="C2" s="184">
        <v>5</v>
      </c>
      <c r="D2" s="185">
        <v>800000</v>
      </c>
      <c r="E2" s="185">
        <f>C2*D2</f>
        <v>4000000</v>
      </c>
      <c r="F2" s="1556">
        <f>SUM(E2:E18)</f>
        <v>13755000</v>
      </c>
    </row>
    <row r="3" spans="1:6">
      <c r="A3" s="183"/>
      <c r="B3" s="183"/>
      <c r="C3" s="184">
        <v>1</v>
      </c>
      <c r="D3" s="185">
        <v>1800000</v>
      </c>
      <c r="E3" s="185">
        <f t="shared" ref="E3:E18" si="0">C3*D3</f>
        <v>1800000</v>
      </c>
      <c r="F3" s="1557"/>
    </row>
    <row r="4" spans="1:6">
      <c r="A4" s="183"/>
      <c r="B4" s="183"/>
      <c r="C4" s="184">
        <v>0</v>
      </c>
      <c r="D4" s="185">
        <v>0</v>
      </c>
      <c r="E4" s="185">
        <f t="shared" si="0"/>
        <v>0</v>
      </c>
      <c r="F4" s="1557"/>
    </row>
    <row r="5" spans="1:6">
      <c r="A5" s="183"/>
      <c r="B5" s="183"/>
      <c r="C5" s="184">
        <v>1</v>
      </c>
      <c r="D5" s="185">
        <v>550000</v>
      </c>
      <c r="E5" s="185">
        <f t="shared" si="0"/>
        <v>550000</v>
      </c>
      <c r="F5" s="1557"/>
    </row>
    <row r="6" spans="1:6">
      <c r="A6" s="183"/>
      <c r="B6" s="183"/>
      <c r="C6" s="184">
        <v>1</v>
      </c>
      <c r="D6" s="185">
        <v>250000</v>
      </c>
      <c r="E6" s="185">
        <f t="shared" si="0"/>
        <v>250000</v>
      </c>
      <c r="F6" s="1557"/>
    </row>
    <row r="7" spans="1:6">
      <c r="A7" s="183"/>
      <c r="B7" s="183"/>
      <c r="C7" s="184"/>
      <c r="D7" s="185"/>
      <c r="E7" s="185"/>
      <c r="F7" s="1557"/>
    </row>
    <row r="8" spans="1:6">
      <c r="A8" s="183" t="s">
        <v>334</v>
      </c>
      <c r="B8" s="183" t="s">
        <v>172</v>
      </c>
      <c r="C8" s="184">
        <v>1</v>
      </c>
      <c r="D8" s="185">
        <v>210000</v>
      </c>
      <c r="E8" s="185">
        <f>C8*D8</f>
        <v>210000</v>
      </c>
      <c r="F8" s="1557"/>
    </row>
    <row r="9" spans="1:6">
      <c r="A9" s="183"/>
      <c r="B9" s="183" t="s">
        <v>193</v>
      </c>
      <c r="C9" s="184">
        <v>1</v>
      </c>
      <c r="D9" s="185">
        <v>340000</v>
      </c>
      <c r="E9" s="185">
        <f>C9*D9</f>
        <v>340000</v>
      </c>
      <c r="F9" s="1557"/>
    </row>
    <row r="10" spans="1:6">
      <c r="A10" s="183"/>
      <c r="B10" s="183"/>
      <c r="C10" s="184"/>
      <c r="D10" s="185"/>
      <c r="E10" s="185"/>
      <c r="F10" s="1557"/>
    </row>
    <row r="11" spans="1:6">
      <c r="A11" s="182" t="s">
        <v>245</v>
      </c>
      <c r="B11" s="183"/>
      <c r="C11" s="184">
        <v>3</v>
      </c>
      <c r="D11" s="185">
        <v>220000</v>
      </c>
      <c r="E11" s="185">
        <f t="shared" si="0"/>
        <v>660000</v>
      </c>
      <c r="F11" s="1557"/>
    </row>
    <row r="12" spans="1:6">
      <c r="A12" s="182" t="s">
        <v>246</v>
      </c>
      <c r="B12" s="183"/>
      <c r="C12" s="184">
        <v>4</v>
      </c>
      <c r="D12" s="185">
        <v>70000</v>
      </c>
      <c r="E12" s="185">
        <f t="shared" si="0"/>
        <v>280000</v>
      </c>
      <c r="F12" s="1557"/>
    </row>
    <row r="13" spans="1:6">
      <c r="A13" s="182" t="s">
        <v>247</v>
      </c>
      <c r="B13" s="183"/>
      <c r="C13" s="183"/>
      <c r="D13" s="185"/>
      <c r="E13" s="185"/>
      <c r="F13" s="1557"/>
    </row>
    <row r="14" spans="1:6">
      <c r="A14" s="183"/>
      <c r="B14" s="183" t="s">
        <v>172</v>
      </c>
      <c r="C14" s="184">
        <v>1</v>
      </c>
      <c r="D14" s="185">
        <v>105000</v>
      </c>
      <c r="E14" s="185">
        <f t="shared" si="0"/>
        <v>105000</v>
      </c>
      <c r="F14" s="1557"/>
    </row>
    <row r="15" spans="1:6">
      <c r="A15" s="183"/>
      <c r="B15" s="183" t="s">
        <v>331</v>
      </c>
      <c r="C15" s="184">
        <v>1</v>
      </c>
      <c r="D15" s="185">
        <v>205000</v>
      </c>
      <c r="E15" s="185">
        <f t="shared" si="0"/>
        <v>205000</v>
      </c>
      <c r="F15" s="1557"/>
    </row>
    <row r="16" spans="1:6">
      <c r="A16" s="183"/>
      <c r="B16" s="183" t="s">
        <v>248</v>
      </c>
      <c r="C16" s="184">
        <v>1</v>
      </c>
      <c r="D16" s="185">
        <v>105000</v>
      </c>
      <c r="E16" s="185">
        <f t="shared" si="0"/>
        <v>105000</v>
      </c>
      <c r="F16" s="1557"/>
    </row>
    <row r="17" spans="1:7">
      <c r="A17" s="182" t="s">
        <v>249</v>
      </c>
      <c r="B17" s="183"/>
      <c r="C17" s="184">
        <v>1</v>
      </c>
      <c r="D17" s="185">
        <v>600000</v>
      </c>
      <c r="E17" s="185">
        <f t="shared" si="0"/>
        <v>600000</v>
      </c>
      <c r="F17" s="1557"/>
    </row>
    <row r="18" spans="1:7">
      <c r="A18" s="182" t="s">
        <v>250</v>
      </c>
      <c r="B18" s="183"/>
      <c r="C18" s="184">
        <v>31</v>
      </c>
      <c r="D18" s="185">
        <v>150000</v>
      </c>
      <c r="E18" s="185">
        <f t="shared" si="0"/>
        <v>4650000</v>
      </c>
      <c r="F18" s="1557"/>
    </row>
    <row r="19" spans="1:7" ht="15.6">
      <c r="A19" s="183"/>
      <c r="B19" s="183"/>
      <c r="C19" s="183"/>
      <c r="D19" s="185"/>
      <c r="E19" s="185"/>
      <c r="F19" s="186"/>
    </row>
    <row r="20" spans="1:7" ht="15.6">
      <c r="A20" s="182" t="s">
        <v>251</v>
      </c>
      <c r="B20" s="183"/>
      <c r="C20" s="183"/>
      <c r="D20" s="185">
        <v>3900000</v>
      </c>
      <c r="E20" s="185"/>
      <c r="F20" s="187">
        <f>D20</f>
        <v>3900000</v>
      </c>
    </row>
    <row r="21" spans="1:7" ht="15.6">
      <c r="A21" s="182"/>
      <c r="B21" s="183"/>
      <c r="C21" s="183"/>
      <c r="D21" s="185"/>
      <c r="E21" s="185"/>
      <c r="F21" s="187"/>
    </row>
    <row r="22" spans="1:7" ht="29.4" customHeight="1">
      <c r="A22" s="188" t="s">
        <v>13</v>
      </c>
      <c r="B22" s="183"/>
      <c r="C22" s="183"/>
      <c r="D22" s="185"/>
      <c r="E22" s="185"/>
      <c r="F22" s="189"/>
      <c r="G22" s="181">
        <f>F2+F20</f>
        <v>17655000</v>
      </c>
    </row>
    <row r="23" spans="1:7" ht="15.6" customHeight="1">
      <c r="A23" s="188"/>
      <c r="B23" s="183"/>
      <c r="C23" s="183"/>
      <c r="D23" s="185"/>
      <c r="E23" s="185"/>
      <c r="F23" s="189"/>
    </row>
    <row r="24" spans="1:7" ht="15.6" customHeight="1">
      <c r="A24" s="1563" t="s">
        <v>256</v>
      </c>
      <c r="B24" s="1563"/>
      <c r="C24" s="190">
        <v>26</v>
      </c>
      <c r="D24" s="1564">
        <f>G22/C24</f>
        <v>679038.4615384615</v>
      </c>
      <c r="E24" s="1564"/>
      <c r="F24" s="189"/>
    </row>
    <row r="25" spans="1:7" ht="15.6" customHeight="1">
      <c r="A25" s="180"/>
      <c r="D25" s="8"/>
      <c r="E25" s="8"/>
      <c r="F25" s="181"/>
    </row>
    <row r="26" spans="1:7" ht="15.6" customHeight="1">
      <c r="A26" s="191"/>
      <c r="B26" s="192"/>
      <c r="C26" s="192"/>
      <c r="D26" s="193"/>
      <c r="E26" s="193"/>
      <c r="F26" s="194"/>
    </row>
    <row r="27" spans="1:7" ht="15.6" customHeight="1">
      <c r="A27" s="191" t="s">
        <v>327</v>
      </c>
      <c r="B27" s="192" t="s">
        <v>244</v>
      </c>
      <c r="C27" s="192"/>
      <c r="D27" s="193">
        <v>1600000</v>
      </c>
      <c r="E27" s="193"/>
      <c r="F27" s="1562">
        <f>SUM(D27:D34)</f>
        <v>3000000</v>
      </c>
    </row>
    <row r="28" spans="1:7" ht="15.6" customHeight="1">
      <c r="A28" s="191"/>
      <c r="B28" s="192" t="s">
        <v>328</v>
      </c>
      <c r="C28" s="192"/>
      <c r="D28" s="193">
        <v>150000</v>
      </c>
      <c r="E28" s="193"/>
      <c r="F28" s="1562"/>
    </row>
    <row r="29" spans="1:7" ht="15.6" customHeight="1">
      <c r="A29" s="191"/>
      <c r="B29" s="192" t="s">
        <v>247</v>
      </c>
      <c r="C29" s="192"/>
      <c r="D29" s="193">
        <v>105000</v>
      </c>
      <c r="E29" s="193"/>
      <c r="F29" s="1562"/>
    </row>
    <row r="30" spans="1:7" ht="15.6" customHeight="1">
      <c r="A30" s="191"/>
      <c r="B30" s="192" t="s">
        <v>329</v>
      </c>
      <c r="C30" s="192"/>
      <c r="D30" s="193">
        <v>50000</v>
      </c>
      <c r="E30" s="193"/>
      <c r="F30" s="1562"/>
    </row>
    <row r="31" spans="1:7" ht="15.6" customHeight="1">
      <c r="A31" s="191"/>
      <c r="B31" s="192" t="s">
        <v>245</v>
      </c>
      <c r="C31" s="192"/>
      <c r="D31" s="193">
        <v>220000</v>
      </c>
      <c r="E31" s="193"/>
      <c r="F31" s="1562"/>
    </row>
    <row r="32" spans="1:7" ht="15.6" customHeight="1">
      <c r="A32" s="191"/>
      <c r="B32" s="192" t="s">
        <v>246</v>
      </c>
      <c r="C32" s="192"/>
      <c r="D32" s="193">
        <v>70000</v>
      </c>
      <c r="E32" s="193"/>
      <c r="F32" s="1562"/>
    </row>
    <row r="33" spans="1:7" ht="15.6" customHeight="1">
      <c r="A33" s="191"/>
      <c r="B33" s="192" t="s">
        <v>330</v>
      </c>
      <c r="C33" s="192"/>
      <c r="D33" s="193">
        <v>25000</v>
      </c>
      <c r="E33" s="193"/>
      <c r="F33" s="1562"/>
    </row>
    <row r="34" spans="1:7" ht="15.6" customHeight="1">
      <c r="A34" s="191"/>
      <c r="B34" s="192" t="s">
        <v>250</v>
      </c>
      <c r="C34" s="192"/>
      <c r="D34" s="193">
        <v>780000</v>
      </c>
      <c r="E34" s="193"/>
      <c r="F34" s="1562"/>
    </row>
    <row r="35" spans="1:7" ht="15.6" customHeight="1">
      <c r="A35" s="191"/>
      <c r="B35" s="192"/>
      <c r="C35" s="192"/>
      <c r="D35" s="193"/>
      <c r="E35" s="193"/>
      <c r="F35" s="194"/>
    </row>
    <row r="36" spans="1:7" ht="27" customHeight="1">
      <c r="A36" s="191" t="s">
        <v>13</v>
      </c>
      <c r="B36" s="192"/>
      <c r="C36" s="192"/>
      <c r="D36" s="193"/>
      <c r="E36" s="193"/>
      <c r="F36" s="194"/>
      <c r="G36" s="181">
        <f>G22+F27</f>
        <v>20655000</v>
      </c>
    </row>
    <row r="37" spans="1:7" ht="15.6" customHeight="1">
      <c r="A37" s="191"/>
      <c r="B37" s="192"/>
      <c r="C37" s="192"/>
      <c r="D37" s="193"/>
      <c r="E37" s="193"/>
      <c r="F37" s="194"/>
    </row>
    <row r="38" spans="1:7" ht="15.6" customHeight="1">
      <c r="A38" s="1565" t="s">
        <v>256</v>
      </c>
      <c r="B38" s="1565"/>
      <c r="C38" s="195">
        <v>26</v>
      </c>
      <c r="D38" s="1566">
        <f>G36/C38</f>
        <v>794423.07692307688</v>
      </c>
      <c r="E38" s="1566"/>
      <c r="F38" s="194"/>
    </row>
    <row r="39" spans="1:7" ht="15.6" customHeight="1">
      <c r="A39" s="180"/>
      <c r="D39" s="8"/>
      <c r="E39" s="8"/>
      <c r="F39" s="181"/>
    </row>
    <row r="40" spans="1:7" ht="15.6" customHeight="1">
      <c r="D40" s="8"/>
      <c r="E40" s="8"/>
      <c r="F40" s="140"/>
    </row>
    <row r="41" spans="1:7">
      <c r="A41" s="196" t="s">
        <v>252</v>
      </c>
      <c r="B41" s="22" t="s">
        <v>253</v>
      </c>
      <c r="C41" s="22"/>
      <c r="D41" s="197">
        <v>5500000</v>
      </c>
      <c r="E41" s="197"/>
      <c r="F41" s="1558">
        <f>SUM(D41:D43)</f>
        <v>8600000</v>
      </c>
    </row>
    <row r="42" spans="1:7">
      <c r="A42" s="22"/>
      <c r="B42" s="22" t="s">
        <v>254</v>
      </c>
      <c r="C42" s="22"/>
      <c r="D42" s="197">
        <v>2100000</v>
      </c>
      <c r="E42" s="197"/>
      <c r="F42" s="1559"/>
    </row>
    <row r="43" spans="1:7">
      <c r="A43" s="22"/>
      <c r="B43" s="22" t="s">
        <v>255</v>
      </c>
      <c r="C43" s="22"/>
      <c r="D43" s="197">
        <v>1000000</v>
      </c>
      <c r="E43" s="197"/>
      <c r="F43" s="1559"/>
    </row>
    <row r="44" spans="1:7">
      <c r="A44" s="22"/>
      <c r="B44" s="22"/>
      <c r="C44" s="22"/>
      <c r="D44" s="22"/>
      <c r="E44" s="22"/>
      <c r="F44" s="22"/>
    </row>
    <row r="45" spans="1:7" s="179" customFormat="1" ht="29.4" customHeight="1">
      <c r="A45" s="198" t="s">
        <v>13</v>
      </c>
      <c r="B45" s="1560">
        <f>F22+F27+F41</f>
        <v>11600000</v>
      </c>
      <c r="C45" s="1561"/>
      <c r="D45" s="1561"/>
      <c r="E45" s="1561"/>
      <c r="F45" s="1561"/>
      <c r="G45" s="200">
        <f>G36+F41</f>
        <v>29255000</v>
      </c>
    </row>
    <row r="46" spans="1:7">
      <c r="A46" s="22"/>
      <c r="B46" s="22"/>
      <c r="C46" s="22"/>
      <c r="D46" s="22"/>
      <c r="E46" s="22"/>
      <c r="F46" s="22"/>
    </row>
    <row r="47" spans="1:7" ht="15.6">
      <c r="A47" s="1567" t="s">
        <v>256</v>
      </c>
      <c r="B47" s="1567"/>
      <c r="C47" s="199">
        <v>26</v>
      </c>
      <c r="D47" s="1568">
        <f>G45/C47</f>
        <v>1125192.3076923077</v>
      </c>
      <c r="E47" s="1569"/>
      <c r="F47" s="22"/>
    </row>
    <row r="50" spans="1:6">
      <c r="A50" s="1555" t="s">
        <v>326</v>
      </c>
      <c r="B50" s="1555"/>
      <c r="C50" s="16" t="s">
        <v>138</v>
      </c>
      <c r="D50" s="8">
        <v>195000</v>
      </c>
      <c r="E50" s="8">
        <v>40000</v>
      </c>
      <c r="F50" s="8">
        <f>D50+E50</f>
        <v>235000</v>
      </c>
    </row>
    <row r="51" spans="1:6">
      <c r="C51" s="16" t="s">
        <v>172</v>
      </c>
      <c r="D51" s="8">
        <v>125000</v>
      </c>
      <c r="E51" s="8">
        <v>40000</v>
      </c>
      <c r="F51" s="8">
        <f>D51+E51</f>
        <v>165000</v>
      </c>
    </row>
    <row r="52" spans="1:6">
      <c r="C52" s="16" t="s">
        <v>193</v>
      </c>
      <c r="D52" s="8">
        <v>130000</v>
      </c>
      <c r="E52" s="8">
        <v>40000</v>
      </c>
      <c r="F52" s="8">
        <f>D52+E52</f>
        <v>170000</v>
      </c>
    </row>
  </sheetData>
  <mergeCells count="11">
    <mergeCell ref="A50:B50"/>
    <mergeCell ref="F2:F18"/>
    <mergeCell ref="F41:F43"/>
    <mergeCell ref="B45:F45"/>
    <mergeCell ref="F27:F34"/>
    <mergeCell ref="A24:B24"/>
    <mergeCell ref="D24:E24"/>
    <mergeCell ref="A38:B38"/>
    <mergeCell ref="D38:E38"/>
    <mergeCell ref="A47:B47"/>
    <mergeCell ref="D47:E47"/>
  </mergeCells>
  <pageMargins left="0.7" right="0.7" top="0.75" bottom="0.75" header="0.3" footer="0.3"/>
  <pageSetup paperSize="256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0000"/>
  </sheetPr>
  <dimension ref="A2:L57"/>
  <sheetViews>
    <sheetView zoomScale="90" zoomScaleNormal="90" workbookViewId="0">
      <selection activeCell="G14" sqref="G14"/>
    </sheetView>
  </sheetViews>
  <sheetFormatPr defaultRowHeight="14.4"/>
  <cols>
    <col min="2" max="2" width="8.88671875" style="12"/>
    <col min="3" max="3" width="11.44140625" customWidth="1"/>
    <col min="4" max="4" width="10.44140625" customWidth="1"/>
    <col min="5" max="6" width="11.5546875" customWidth="1"/>
    <col min="7" max="7" width="10.5546875" customWidth="1"/>
    <col min="8" max="8" width="11" style="249" customWidth="1"/>
    <col min="9" max="9" width="10.44140625" style="249" customWidth="1"/>
    <col min="10" max="10" width="11.44140625" customWidth="1"/>
  </cols>
  <sheetData>
    <row r="2" spans="1:11" ht="21.6" thickBot="1">
      <c r="A2" s="1579" t="s">
        <v>880</v>
      </c>
      <c r="B2" s="1579"/>
      <c r="C2" s="1580"/>
      <c r="D2" s="1580"/>
      <c r="E2" s="1580"/>
      <c r="F2" s="1580"/>
      <c r="G2" s="1580"/>
      <c r="H2" s="1580"/>
      <c r="I2" s="1580"/>
      <c r="J2" s="1580"/>
    </row>
    <row r="3" spans="1:11" ht="15.6" thickTop="1" thickBot="1">
      <c r="A3" s="1581" t="s">
        <v>358</v>
      </c>
      <c r="B3" s="1583" t="s">
        <v>359</v>
      </c>
      <c r="C3" s="1586" t="s">
        <v>360</v>
      </c>
      <c r="D3" s="1587"/>
      <c r="E3" s="1587"/>
      <c r="F3" s="1587"/>
      <c r="G3" s="1587"/>
      <c r="H3" s="1587"/>
      <c r="I3" s="1587"/>
      <c r="J3" s="1588"/>
    </row>
    <row r="4" spans="1:11" ht="15" thickBot="1">
      <c r="A4" s="1582"/>
      <c r="B4" s="1584"/>
      <c r="C4" s="1035" t="s">
        <v>191</v>
      </c>
      <c r="D4" s="1035" t="s">
        <v>713</v>
      </c>
      <c r="E4" s="1035" t="s">
        <v>198</v>
      </c>
      <c r="F4" s="1035" t="s">
        <v>861</v>
      </c>
      <c r="G4" s="1035" t="s">
        <v>651</v>
      </c>
      <c r="H4" s="1035" t="s">
        <v>656</v>
      </c>
      <c r="I4" s="1035" t="s">
        <v>229</v>
      </c>
      <c r="J4" s="1035"/>
      <c r="K4" s="180"/>
    </row>
    <row r="5" spans="1:11" ht="15" thickTop="1">
      <c r="A5" s="1188" t="s">
        <v>130</v>
      </c>
      <c r="B5" s="1149">
        <v>1</v>
      </c>
      <c r="C5" s="1150">
        <v>1</v>
      </c>
      <c r="D5" s="1150">
        <v>1</v>
      </c>
      <c r="E5" s="1150">
        <v>1</v>
      </c>
      <c r="F5" s="1151">
        <v>1</v>
      </c>
      <c r="G5" s="1150">
        <v>1</v>
      </c>
      <c r="H5" s="1150">
        <v>1</v>
      </c>
      <c r="I5" s="1152">
        <v>1</v>
      </c>
      <c r="J5" s="1152"/>
    </row>
    <row r="6" spans="1:11">
      <c r="A6" s="1189" t="s">
        <v>129</v>
      </c>
      <c r="B6" s="1076">
        <v>2</v>
      </c>
      <c r="C6" s="1076">
        <v>1</v>
      </c>
      <c r="D6" s="1076">
        <v>1</v>
      </c>
      <c r="E6" s="1076">
        <v>1</v>
      </c>
      <c r="F6" s="1180">
        <v>0</v>
      </c>
      <c r="G6" s="1076">
        <v>1</v>
      </c>
      <c r="H6" s="1076">
        <v>1</v>
      </c>
      <c r="I6" s="1076">
        <v>1</v>
      </c>
      <c r="J6" s="1076"/>
    </row>
    <row r="7" spans="1:11">
      <c r="A7" s="1189" t="s">
        <v>128</v>
      </c>
      <c r="B7" s="1076">
        <v>3</v>
      </c>
      <c r="C7" s="1076">
        <v>1</v>
      </c>
      <c r="D7" s="1076">
        <v>1</v>
      </c>
      <c r="E7" s="1076">
        <v>1</v>
      </c>
      <c r="F7" s="1180">
        <v>0</v>
      </c>
      <c r="G7" s="1076">
        <v>1</v>
      </c>
      <c r="H7" s="1076">
        <v>1</v>
      </c>
      <c r="I7" s="1076">
        <v>1</v>
      </c>
      <c r="J7" s="1076"/>
    </row>
    <row r="8" spans="1:11">
      <c r="A8" s="1189" t="s">
        <v>134</v>
      </c>
      <c r="B8" s="1076">
        <v>4</v>
      </c>
      <c r="C8" s="1076">
        <v>1</v>
      </c>
      <c r="D8" s="1076">
        <v>1</v>
      </c>
      <c r="E8" s="1333">
        <v>0</v>
      </c>
      <c r="F8" s="1077">
        <v>1</v>
      </c>
      <c r="G8" s="1076">
        <v>1</v>
      </c>
      <c r="H8" s="1076">
        <v>1</v>
      </c>
      <c r="I8" s="1076">
        <v>1</v>
      </c>
      <c r="J8" s="1076"/>
    </row>
    <row r="9" spans="1:11">
      <c r="A9" s="1189" t="s">
        <v>133</v>
      </c>
      <c r="B9" s="1076">
        <v>5</v>
      </c>
      <c r="C9" s="1076"/>
      <c r="D9" s="1076"/>
      <c r="E9" s="1076"/>
      <c r="F9" s="1077"/>
      <c r="G9" s="1076"/>
      <c r="H9" s="1076"/>
      <c r="I9" s="1076"/>
      <c r="J9" s="1076"/>
    </row>
    <row r="10" spans="1:11">
      <c r="A10" s="1158" t="s">
        <v>132</v>
      </c>
      <c r="B10" s="1159">
        <v>6</v>
      </c>
      <c r="C10" s="1159"/>
      <c r="D10" s="1159"/>
      <c r="E10" s="1159"/>
      <c r="F10" s="1160"/>
      <c r="G10" s="1159"/>
      <c r="H10" s="1159"/>
      <c r="I10" s="1159"/>
      <c r="J10" s="1159"/>
    </row>
    <row r="11" spans="1:11">
      <c r="A11" s="1189" t="s">
        <v>131</v>
      </c>
      <c r="B11" s="1076">
        <v>7</v>
      </c>
      <c r="C11" s="1076"/>
      <c r="D11" s="1076"/>
      <c r="E11" s="1076"/>
      <c r="F11" s="1077"/>
      <c r="G11" s="1076"/>
      <c r="H11" s="1076"/>
      <c r="I11" s="1076"/>
      <c r="J11" s="1076"/>
    </row>
    <row r="12" spans="1:11">
      <c r="A12" s="1189" t="s">
        <v>130</v>
      </c>
      <c r="B12" s="1076">
        <v>8</v>
      </c>
      <c r="C12" s="1076"/>
      <c r="D12" s="1076"/>
      <c r="E12" s="1076"/>
      <c r="F12" s="1077"/>
      <c r="G12" s="1076"/>
      <c r="H12" s="1076"/>
      <c r="I12" s="1077"/>
      <c r="J12" s="1076"/>
    </row>
    <row r="13" spans="1:11">
      <c r="A13" s="1189" t="s">
        <v>129</v>
      </c>
      <c r="B13" s="1076">
        <v>9</v>
      </c>
      <c r="C13" s="1076"/>
      <c r="D13" s="1076"/>
      <c r="E13" s="1076"/>
      <c r="F13" s="1077"/>
      <c r="G13" s="1076"/>
      <c r="H13" s="1076"/>
      <c r="I13" s="1077"/>
      <c r="J13" s="1076"/>
    </row>
    <row r="14" spans="1:11">
      <c r="A14" s="1189" t="s">
        <v>128</v>
      </c>
      <c r="B14" s="1076">
        <v>10</v>
      </c>
      <c r="C14" s="1076"/>
      <c r="D14" s="1076"/>
      <c r="E14" s="1076"/>
      <c r="F14" s="1077"/>
      <c r="G14" s="1076"/>
      <c r="H14" s="1076"/>
      <c r="I14" s="1077"/>
      <c r="J14" s="1076"/>
    </row>
    <row r="15" spans="1:11">
      <c r="A15" s="1189" t="s">
        <v>134</v>
      </c>
      <c r="B15" s="1076">
        <v>11</v>
      </c>
      <c r="C15" s="1076"/>
      <c r="D15" s="1076"/>
      <c r="E15" s="1076"/>
      <c r="F15" s="1077"/>
      <c r="G15" s="1076"/>
      <c r="H15" s="1076"/>
      <c r="I15" s="1076"/>
      <c r="J15" s="1076"/>
    </row>
    <row r="16" spans="1:11">
      <c r="A16" s="1189" t="s">
        <v>133</v>
      </c>
      <c r="B16" s="1076">
        <v>12</v>
      </c>
      <c r="C16" s="1076"/>
      <c r="D16" s="1076"/>
      <c r="E16" s="1076"/>
      <c r="F16" s="1077"/>
      <c r="G16" s="1076"/>
      <c r="H16" s="1076"/>
      <c r="I16" s="1076"/>
      <c r="J16" s="1076"/>
    </row>
    <row r="17" spans="1:12">
      <c r="A17" s="1158" t="s">
        <v>132</v>
      </c>
      <c r="B17" s="1159">
        <v>13</v>
      </c>
      <c r="C17" s="1159"/>
      <c r="D17" s="1159"/>
      <c r="E17" s="1159"/>
      <c r="F17" s="1160"/>
      <c r="G17" s="1159"/>
      <c r="H17" s="1159"/>
      <c r="I17" s="1159"/>
      <c r="J17" s="1159"/>
      <c r="K17" s="1078"/>
      <c r="L17" s="1079"/>
    </row>
    <row r="18" spans="1:12">
      <c r="A18" s="1189" t="s">
        <v>131</v>
      </c>
      <c r="B18" s="1076">
        <v>14</v>
      </c>
      <c r="C18" s="1076"/>
      <c r="D18" s="1076"/>
      <c r="E18" s="1076"/>
      <c r="F18" s="1077"/>
      <c r="G18" s="1076"/>
      <c r="H18" s="1076"/>
      <c r="I18" s="1076"/>
      <c r="J18" s="1076"/>
    </row>
    <row r="19" spans="1:12">
      <c r="A19" s="1189" t="s">
        <v>130</v>
      </c>
      <c r="B19" s="1076">
        <v>15</v>
      </c>
      <c r="C19" s="1076"/>
      <c r="D19" s="1076"/>
      <c r="E19" s="1076"/>
      <c r="F19" s="1077"/>
      <c r="G19" s="1076"/>
      <c r="H19" s="1076"/>
      <c r="I19" s="1076"/>
      <c r="J19" s="1076"/>
    </row>
    <row r="20" spans="1:12">
      <c r="A20" s="1189" t="s">
        <v>129</v>
      </c>
      <c r="B20" s="1076">
        <v>16</v>
      </c>
      <c r="C20" s="1076"/>
      <c r="D20" s="1076"/>
      <c r="E20" s="1076"/>
      <c r="F20" s="1077"/>
      <c r="G20" s="1076"/>
      <c r="H20" s="1076"/>
      <c r="I20" s="1076"/>
      <c r="J20" s="1076"/>
    </row>
    <row r="21" spans="1:12">
      <c r="A21" s="1189" t="s">
        <v>128</v>
      </c>
      <c r="B21" s="1076">
        <v>17</v>
      </c>
      <c r="C21" s="1076"/>
      <c r="D21" s="1076"/>
      <c r="E21" s="1076"/>
      <c r="F21" s="1077"/>
      <c r="G21" s="1076"/>
      <c r="H21" s="1076"/>
      <c r="I21" s="1076"/>
      <c r="J21" s="1076"/>
    </row>
    <row r="22" spans="1:12">
      <c r="A22" s="1189" t="s">
        <v>134</v>
      </c>
      <c r="B22" s="1076">
        <v>18</v>
      </c>
      <c r="C22" s="1076"/>
      <c r="D22" s="1076"/>
      <c r="E22" s="1076"/>
      <c r="F22" s="1077"/>
      <c r="G22" s="1076"/>
      <c r="H22" s="1076"/>
      <c r="I22" s="1076"/>
      <c r="J22" s="1076"/>
    </row>
    <row r="23" spans="1:12">
      <c r="A23" s="1189" t="s">
        <v>133</v>
      </c>
      <c r="B23" s="1076">
        <v>19</v>
      </c>
      <c r="C23" s="1076"/>
      <c r="D23" s="1076"/>
      <c r="E23" s="1076"/>
      <c r="F23" s="1077"/>
      <c r="G23" s="1076"/>
      <c r="H23" s="1076"/>
      <c r="I23" s="1076"/>
      <c r="J23" s="1076"/>
    </row>
    <row r="24" spans="1:12">
      <c r="A24" s="1158" t="s">
        <v>132</v>
      </c>
      <c r="B24" s="1159">
        <v>20</v>
      </c>
      <c r="C24" s="1159"/>
      <c r="D24" s="1159"/>
      <c r="E24" s="1159"/>
      <c r="F24" s="1160"/>
      <c r="G24" s="1159"/>
      <c r="H24" s="1159"/>
      <c r="I24" s="1159"/>
      <c r="J24" s="1159"/>
    </row>
    <row r="25" spans="1:12">
      <c r="A25" s="1189" t="s">
        <v>131</v>
      </c>
      <c r="B25" s="1076">
        <v>21</v>
      </c>
      <c r="C25" s="1076"/>
      <c r="D25" s="1076"/>
      <c r="E25" s="1076"/>
      <c r="F25" s="1077"/>
      <c r="G25" s="1076"/>
      <c r="H25" s="1076"/>
      <c r="I25" s="1076"/>
      <c r="J25" s="1076"/>
    </row>
    <row r="26" spans="1:12">
      <c r="A26" s="1189" t="s">
        <v>130</v>
      </c>
      <c r="B26" s="1076">
        <v>22</v>
      </c>
      <c r="C26" s="1076"/>
      <c r="D26" s="1076"/>
      <c r="E26" s="1076"/>
      <c r="F26" s="1077"/>
      <c r="G26" s="1076"/>
      <c r="H26" s="1076"/>
      <c r="I26" s="1076"/>
      <c r="J26" s="1076"/>
    </row>
    <row r="27" spans="1:12">
      <c r="A27" s="1189" t="s">
        <v>129</v>
      </c>
      <c r="B27" s="1076">
        <v>23</v>
      </c>
      <c r="C27" s="1076"/>
      <c r="D27" s="1076"/>
      <c r="E27" s="1076"/>
      <c r="F27" s="1077"/>
      <c r="G27" s="1076"/>
      <c r="H27" s="1076"/>
      <c r="I27" s="1076"/>
      <c r="J27" s="1076"/>
    </row>
    <row r="28" spans="1:12">
      <c r="A28" s="1189" t="s">
        <v>128</v>
      </c>
      <c r="B28" s="1076">
        <v>24</v>
      </c>
      <c r="C28" s="1076"/>
      <c r="D28" s="1076"/>
      <c r="E28" s="1076"/>
      <c r="F28" s="1077"/>
      <c r="G28" s="1076"/>
      <c r="H28" s="1076"/>
      <c r="I28" s="1076"/>
      <c r="J28" s="1076"/>
    </row>
    <row r="29" spans="1:12">
      <c r="A29" s="1189" t="s">
        <v>134</v>
      </c>
      <c r="B29" s="1076">
        <v>25</v>
      </c>
      <c r="C29" s="1076"/>
      <c r="D29" s="1076"/>
      <c r="E29" s="1076"/>
      <c r="F29" s="1077"/>
      <c r="G29" s="1076"/>
      <c r="H29" s="1076"/>
      <c r="I29" s="1076"/>
      <c r="J29" s="1076"/>
    </row>
    <row r="30" spans="1:12">
      <c r="A30" s="1189" t="s">
        <v>133</v>
      </c>
      <c r="B30" s="1076">
        <v>26</v>
      </c>
      <c r="C30" s="1076"/>
      <c r="D30" s="1076"/>
      <c r="E30" s="1076"/>
      <c r="F30" s="1077"/>
      <c r="G30" s="1076"/>
      <c r="H30" s="1076"/>
      <c r="I30" s="1076"/>
      <c r="J30" s="1076"/>
    </row>
    <row r="31" spans="1:12">
      <c r="A31" s="1158" t="s">
        <v>132</v>
      </c>
      <c r="B31" s="1159">
        <v>27</v>
      </c>
      <c r="C31" s="1159"/>
      <c r="D31" s="1159"/>
      <c r="E31" s="1159"/>
      <c r="F31" s="1160"/>
      <c r="G31" s="1159"/>
      <c r="H31" s="1159"/>
      <c r="I31" s="1159"/>
      <c r="J31" s="1159"/>
    </row>
    <row r="32" spans="1:12">
      <c r="A32" s="1189" t="s">
        <v>131</v>
      </c>
      <c r="B32" s="1076">
        <v>28</v>
      </c>
      <c r="C32" s="1076"/>
      <c r="D32" s="1076"/>
      <c r="E32" s="1076"/>
      <c r="F32" s="1077"/>
      <c r="G32" s="1076"/>
      <c r="H32" s="1076"/>
      <c r="I32" s="1076"/>
      <c r="J32" s="1077"/>
    </row>
    <row r="33" spans="1:12">
      <c r="A33" s="1189" t="s">
        <v>130</v>
      </c>
      <c r="B33" s="1076">
        <v>29</v>
      </c>
      <c r="C33" s="1076"/>
      <c r="D33" s="1076"/>
      <c r="E33" s="1076"/>
      <c r="F33" s="1077"/>
      <c r="G33" s="1076"/>
      <c r="H33" s="1076"/>
      <c r="I33" s="1076"/>
      <c r="J33" s="1076"/>
    </row>
    <row r="34" spans="1:12">
      <c r="A34" s="1189" t="s">
        <v>129</v>
      </c>
      <c r="B34" s="1076">
        <v>30</v>
      </c>
      <c r="C34" s="1076"/>
      <c r="D34" s="1076"/>
      <c r="E34" s="1077"/>
      <c r="F34" s="1077"/>
      <c r="G34" s="1076"/>
      <c r="H34" s="1076"/>
      <c r="I34" s="1187"/>
      <c r="J34" s="1076"/>
    </row>
    <row r="35" spans="1:12" ht="15" thickBot="1">
      <c r="A35" s="1190"/>
      <c r="B35" s="1145"/>
      <c r="C35" s="1143"/>
      <c r="D35" s="1143"/>
      <c r="E35" s="1143"/>
      <c r="F35" s="1144"/>
      <c r="G35" s="1143"/>
      <c r="H35" s="1143"/>
      <c r="I35" s="1145"/>
      <c r="J35" s="1145"/>
    </row>
    <row r="36" spans="1:12" ht="15" thickTop="1">
      <c r="A36" s="1146"/>
    </row>
    <row r="37" spans="1:12" s="180" customFormat="1">
      <c r="C37" s="180">
        <f>SUM(C5:C35)</f>
        <v>4</v>
      </c>
      <c r="D37" s="180">
        <f>SUM(D5:D35)</f>
        <v>4</v>
      </c>
      <c r="E37" s="180">
        <f t="shared" ref="E37:J37" si="0">SUM(E5:E35)</f>
        <v>3</v>
      </c>
      <c r="F37" s="180">
        <f t="shared" si="0"/>
        <v>2</v>
      </c>
      <c r="G37" s="180">
        <f t="shared" si="0"/>
        <v>4</v>
      </c>
      <c r="H37" s="180">
        <f t="shared" si="0"/>
        <v>4</v>
      </c>
      <c r="I37" s="180">
        <f t="shared" si="0"/>
        <v>4</v>
      </c>
      <c r="J37" s="180">
        <f t="shared" si="0"/>
        <v>0</v>
      </c>
    </row>
    <row r="38" spans="1:12" s="180" customFormat="1"/>
    <row r="40" spans="1:12">
      <c r="A40" s="1039" t="s">
        <v>879</v>
      </c>
      <c r="B40" s="1039"/>
      <c r="C40" s="1039"/>
      <c r="D40" s="1039"/>
      <c r="E40" s="1039"/>
      <c r="F40" s="1585">
        <v>26</v>
      </c>
      <c r="G40" s="1585"/>
      <c r="H40" s="1585"/>
      <c r="I40" s="1585"/>
      <c r="J40" s="1585"/>
    </row>
    <row r="41" spans="1:12">
      <c r="A41" s="1572" t="s">
        <v>877</v>
      </c>
      <c r="B41" s="1572"/>
      <c r="C41" s="1572"/>
      <c r="D41" s="1572"/>
      <c r="E41" s="1572"/>
      <c r="F41" s="1570">
        <f>F40*F42</f>
        <v>1040000</v>
      </c>
      <c r="G41" s="1570"/>
      <c r="H41" s="1570"/>
      <c r="I41" s="1570"/>
      <c r="J41" s="1570"/>
      <c r="L41" s="13"/>
    </row>
    <row r="42" spans="1:12">
      <c r="A42" s="1572" t="s">
        <v>878</v>
      </c>
      <c r="B42" s="1572"/>
      <c r="C42" s="1572"/>
      <c r="D42" s="1572"/>
      <c r="E42" s="1572"/>
      <c r="F42" s="1570">
        <v>40000</v>
      </c>
      <c r="G42" s="1570"/>
      <c r="H42" s="1570"/>
      <c r="I42" s="1570"/>
      <c r="J42" s="1570"/>
    </row>
    <row r="43" spans="1:12">
      <c r="A43" s="12"/>
      <c r="C43" s="12"/>
      <c r="D43" s="12"/>
      <c r="E43" s="12"/>
      <c r="F43" s="1034"/>
      <c r="G43" s="1034"/>
      <c r="H43" s="1034"/>
      <c r="I43" s="1034"/>
      <c r="J43" s="1034"/>
    </row>
    <row r="44" spans="1:12">
      <c r="A44" s="1578" t="s">
        <v>876</v>
      </c>
      <c r="B44" s="1578"/>
      <c r="C44" s="1578"/>
      <c r="D44" s="1578"/>
      <c r="E44" s="1578"/>
      <c r="F44" s="1576">
        <f>F40*F45</f>
        <v>650000</v>
      </c>
      <c r="G44" s="1576"/>
      <c r="H44" s="1576"/>
      <c r="I44" s="1576"/>
      <c r="J44" s="1576"/>
    </row>
    <row r="45" spans="1:12">
      <c r="A45" s="1578"/>
      <c r="B45" s="1578"/>
      <c r="C45" s="1578"/>
      <c r="D45" s="1578"/>
      <c r="E45" s="1578"/>
      <c r="F45" s="1576">
        <v>25000</v>
      </c>
      <c r="G45" s="1576"/>
      <c r="H45" s="1576"/>
      <c r="I45" s="1576"/>
      <c r="J45" s="1576"/>
    </row>
    <row r="46" spans="1:12">
      <c r="A46" s="26"/>
      <c r="B46" s="26"/>
      <c r="C46" s="26"/>
      <c r="D46" s="26"/>
      <c r="E46" s="26"/>
      <c r="F46" s="1574"/>
      <c r="G46" s="1574"/>
      <c r="H46" s="1574"/>
      <c r="I46" s="1574"/>
      <c r="J46" s="1574"/>
    </row>
    <row r="48" spans="1:12" ht="24" customHeight="1">
      <c r="A48" s="1573" t="s">
        <v>66</v>
      </c>
      <c r="B48" s="1573"/>
      <c r="C48" s="1036" t="s">
        <v>191</v>
      </c>
      <c r="D48" s="1183" t="s">
        <v>713</v>
      </c>
      <c r="E48" s="1036" t="s">
        <v>198</v>
      </c>
      <c r="F48" s="1183" t="s">
        <v>861</v>
      </c>
      <c r="G48" s="1183" t="s">
        <v>651</v>
      </c>
      <c r="H48" s="1036" t="s">
        <v>656</v>
      </c>
      <c r="I48" s="1179" t="s">
        <v>229</v>
      </c>
      <c r="J48" s="1183"/>
    </row>
    <row r="49" spans="1:10" ht="28.95" customHeight="1">
      <c r="A49" s="1575" t="s">
        <v>361</v>
      </c>
      <c r="B49" s="1575"/>
      <c r="C49" s="1037">
        <f>F42*C37</f>
        <v>160000</v>
      </c>
      <c r="D49" s="1037">
        <f>F42*D37</f>
        <v>160000</v>
      </c>
      <c r="E49" s="1037">
        <f>F42*E37</f>
        <v>120000</v>
      </c>
      <c r="F49" s="1037">
        <f>F42*F37</f>
        <v>80000</v>
      </c>
      <c r="G49" s="1037">
        <f>F42*G37</f>
        <v>160000</v>
      </c>
      <c r="H49" s="1038">
        <f>F42*H37</f>
        <v>160000</v>
      </c>
      <c r="I49" s="1038">
        <f>F42*I37</f>
        <v>160000</v>
      </c>
      <c r="J49" s="1037">
        <f>F42*J37</f>
        <v>0</v>
      </c>
    </row>
    <row r="51" spans="1:10">
      <c r="A51" s="1573" t="s">
        <v>13</v>
      </c>
      <c r="B51" s="1573"/>
      <c r="C51" s="1577">
        <f>C49+D49+E49+F49+G49+H49+I49+J49</f>
        <v>1000000</v>
      </c>
      <c r="D51" s="1577"/>
      <c r="E51" s="1577"/>
      <c r="F51" s="1577"/>
      <c r="G51" s="1577"/>
      <c r="H51" s="1577"/>
      <c r="I51" s="1577"/>
      <c r="J51" s="1577"/>
    </row>
    <row r="52" spans="1:10">
      <c r="A52" s="1573"/>
      <c r="B52" s="1573"/>
      <c r="C52" s="1577"/>
      <c r="D52" s="1577"/>
      <c r="E52" s="1577"/>
      <c r="F52" s="1577"/>
      <c r="G52" s="1577"/>
      <c r="H52" s="1577"/>
      <c r="I52" s="1577"/>
      <c r="J52" s="1577"/>
    </row>
    <row r="55" spans="1:10">
      <c r="A55" s="1571"/>
      <c r="B55" s="1571"/>
      <c r="C55" s="1571"/>
      <c r="D55" s="1571"/>
      <c r="E55" s="1571"/>
      <c r="F55" s="1571"/>
      <c r="G55" s="1571"/>
      <c r="H55" s="1571"/>
      <c r="I55" s="1571"/>
      <c r="J55" s="1571"/>
    </row>
    <row r="56" spans="1:10">
      <c r="A56" s="1555"/>
      <c r="B56" s="1555"/>
    </row>
    <row r="57" spans="1:10">
      <c r="A57" s="1555"/>
      <c r="B57" s="1555"/>
    </row>
  </sheetData>
  <mergeCells count="20">
    <mergeCell ref="A2:J2"/>
    <mergeCell ref="A3:A4"/>
    <mergeCell ref="B3:B4"/>
    <mergeCell ref="F40:J40"/>
    <mergeCell ref="F41:J41"/>
    <mergeCell ref="C3:J3"/>
    <mergeCell ref="A41:E41"/>
    <mergeCell ref="F42:J42"/>
    <mergeCell ref="A55:J55"/>
    <mergeCell ref="A56:B56"/>
    <mergeCell ref="A57:B57"/>
    <mergeCell ref="A42:E42"/>
    <mergeCell ref="A51:B52"/>
    <mergeCell ref="F46:J46"/>
    <mergeCell ref="A48:B48"/>
    <mergeCell ref="A49:B49"/>
    <mergeCell ref="F44:J44"/>
    <mergeCell ref="F45:J45"/>
    <mergeCell ref="C51:J52"/>
    <mergeCell ref="A44:E45"/>
  </mergeCells>
  <pageMargins left="0.7" right="0.7" top="0.75" bottom="0.75" header="0.3" footer="0.3"/>
  <pageSetup paperSize="256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277"/>
  <sheetViews>
    <sheetView topLeftCell="I34" workbookViewId="0">
      <selection activeCell="O37" sqref="O37"/>
    </sheetView>
  </sheetViews>
  <sheetFormatPr defaultRowHeight="14.4"/>
  <cols>
    <col min="1" max="1" width="25.109375" customWidth="1"/>
    <col min="2" max="2" width="2.88671875" style="12" customWidth="1"/>
    <col min="3" max="3" width="48.88671875" customWidth="1"/>
    <col min="4" max="4" width="2.33203125" customWidth="1"/>
    <col min="5" max="5" width="23.6640625" customWidth="1"/>
    <col min="6" max="6" width="3.44140625" customWidth="1"/>
    <col min="7" max="7" width="32.6640625" customWidth="1"/>
    <col min="8" max="8" width="2.5546875" customWidth="1"/>
    <col min="9" max="9" width="26.44140625" customWidth="1"/>
    <col min="10" max="10" width="2.88671875" customWidth="1"/>
    <col min="11" max="11" width="37.33203125" customWidth="1"/>
    <col min="12" max="12" width="2.6640625" customWidth="1"/>
    <col min="13" max="13" width="30.33203125" customWidth="1"/>
    <col min="14" max="14" width="3.33203125" customWidth="1"/>
    <col min="15" max="15" width="41.88671875" customWidth="1"/>
  </cols>
  <sheetData>
    <row r="1" spans="1:15" ht="18.600000000000001" thickTop="1">
      <c r="A1" s="1593" t="s">
        <v>173</v>
      </c>
      <c r="B1" s="1594"/>
      <c r="C1" s="1595"/>
      <c r="E1" s="923"/>
      <c r="F1" s="923"/>
      <c r="G1" s="923"/>
      <c r="I1" s="929"/>
      <c r="J1" s="929"/>
      <c r="K1" s="929"/>
      <c r="M1" s="939"/>
      <c r="N1" s="939"/>
      <c r="O1" s="939"/>
    </row>
    <row r="2" spans="1:15" ht="18">
      <c r="A2" s="913"/>
      <c r="B2" s="914"/>
      <c r="C2" s="915"/>
      <c r="E2" s="1590" t="s">
        <v>174</v>
      </c>
      <c r="F2" s="1590"/>
      <c r="G2" s="1590"/>
      <c r="I2" s="1591" t="s">
        <v>333</v>
      </c>
      <c r="J2" s="1591"/>
      <c r="K2" s="1591"/>
      <c r="M2" s="1592" t="s">
        <v>345</v>
      </c>
      <c r="N2" s="1592"/>
      <c r="O2" s="1592"/>
    </row>
    <row r="3" spans="1:15" ht="18.600000000000001" thickBot="1">
      <c r="A3" s="916" t="s">
        <v>368</v>
      </c>
      <c r="B3" s="917"/>
      <c r="C3" s="918"/>
      <c r="E3" s="924" t="s">
        <v>368</v>
      </c>
      <c r="F3" s="925"/>
      <c r="G3" s="923"/>
      <c r="I3" s="930"/>
      <c r="J3" s="930"/>
      <c r="K3" s="930"/>
      <c r="M3" s="940"/>
      <c r="N3" s="940"/>
      <c r="O3" s="940"/>
    </row>
    <row r="4" spans="1:15" ht="15.6">
      <c r="A4" s="919" t="s">
        <v>369</v>
      </c>
      <c r="B4" s="917" t="s">
        <v>481</v>
      </c>
      <c r="C4" s="920" t="s">
        <v>371</v>
      </c>
      <c r="E4" s="926" t="s">
        <v>369</v>
      </c>
      <c r="F4" s="925" t="s">
        <v>481</v>
      </c>
      <c r="G4" s="926" t="s">
        <v>413</v>
      </c>
      <c r="I4" s="946" t="s">
        <v>387</v>
      </c>
      <c r="J4" s="947"/>
      <c r="K4" s="948"/>
      <c r="M4" s="941" t="s">
        <v>368</v>
      </c>
      <c r="N4" s="942"/>
      <c r="O4" s="939"/>
    </row>
    <row r="5" spans="1:15">
      <c r="A5" s="919" t="s">
        <v>372</v>
      </c>
      <c r="B5" s="917" t="s">
        <v>481</v>
      </c>
      <c r="C5" s="921" t="s">
        <v>468</v>
      </c>
      <c r="E5" s="926" t="s">
        <v>372</v>
      </c>
      <c r="F5" s="925" t="s">
        <v>481</v>
      </c>
      <c r="G5" s="926" t="s">
        <v>615</v>
      </c>
      <c r="I5" s="949" t="s">
        <v>66</v>
      </c>
      <c r="J5" s="931" t="s">
        <v>481</v>
      </c>
      <c r="K5" s="950" t="s">
        <v>424</v>
      </c>
      <c r="M5" s="943" t="s">
        <v>369</v>
      </c>
      <c r="N5" s="942" t="s">
        <v>481</v>
      </c>
      <c r="O5" s="943" t="s">
        <v>371</v>
      </c>
    </row>
    <row r="6" spans="1:15">
      <c r="A6" s="919" t="s">
        <v>373</v>
      </c>
      <c r="B6" s="917" t="s">
        <v>481</v>
      </c>
      <c r="C6" s="920">
        <v>15831943</v>
      </c>
      <c r="E6" s="926" t="s">
        <v>373</v>
      </c>
      <c r="F6" s="925" t="s">
        <v>481</v>
      </c>
      <c r="G6" s="926">
        <v>15831943</v>
      </c>
      <c r="I6" s="949" t="s">
        <v>386</v>
      </c>
      <c r="J6" s="931" t="s">
        <v>481</v>
      </c>
      <c r="K6" s="950">
        <v>3301067457</v>
      </c>
      <c r="M6" s="943" t="s">
        <v>378</v>
      </c>
      <c r="N6" s="942" t="s">
        <v>481</v>
      </c>
      <c r="O6" s="943" t="s">
        <v>453</v>
      </c>
    </row>
    <row r="7" spans="1:15">
      <c r="A7" s="919" t="s">
        <v>374</v>
      </c>
      <c r="B7" s="917" t="s">
        <v>481</v>
      </c>
      <c r="C7" s="920">
        <v>82147266855</v>
      </c>
      <c r="E7" s="926" t="s">
        <v>374</v>
      </c>
      <c r="F7" s="925" t="s">
        <v>481</v>
      </c>
      <c r="G7" s="926">
        <v>81338125273</v>
      </c>
      <c r="I7" s="949" t="s">
        <v>389</v>
      </c>
      <c r="J7" s="931" t="s">
        <v>481</v>
      </c>
      <c r="K7" s="950">
        <v>81246002017</v>
      </c>
      <c r="M7" s="943" t="s">
        <v>372</v>
      </c>
      <c r="N7" s="942" t="s">
        <v>481</v>
      </c>
      <c r="O7" s="944" t="s">
        <v>477</v>
      </c>
    </row>
    <row r="8" spans="1:15">
      <c r="A8" s="919" t="s">
        <v>375</v>
      </c>
      <c r="B8" s="917" t="s">
        <v>481</v>
      </c>
      <c r="C8" s="918"/>
      <c r="E8" s="926" t="s">
        <v>375</v>
      </c>
      <c r="F8" s="925" t="s">
        <v>481</v>
      </c>
      <c r="G8" s="923"/>
      <c r="I8" s="949" t="s">
        <v>375</v>
      </c>
      <c r="J8" s="931" t="s">
        <v>481</v>
      </c>
      <c r="K8" s="951"/>
      <c r="M8" s="943" t="s">
        <v>443</v>
      </c>
      <c r="N8" s="942" t="s">
        <v>481</v>
      </c>
      <c r="O8" s="944" t="s">
        <v>478</v>
      </c>
    </row>
    <row r="9" spans="1:15">
      <c r="A9" s="919" t="s">
        <v>376</v>
      </c>
      <c r="B9" s="917" t="s">
        <v>481</v>
      </c>
      <c r="C9" s="922" t="s">
        <v>377</v>
      </c>
      <c r="E9" s="926" t="s">
        <v>376</v>
      </c>
      <c r="F9" s="925" t="s">
        <v>481</v>
      </c>
      <c r="G9" s="927" t="s">
        <v>414</v>
      </c>
      <c r="I9" s="949" t="s">
        <v>385</v>
      </c>
      <c r="J9" s="931" t="s">
        <v>481</v>
      </c>
      <c r="K9" s="950">
        <v>40913</v>
      </c>
      <c r="M9" s="943" t="s">
        <v>373</v>
      </c>
      <c r="N9" s="942" t="s">
        <v>481</v>
      </c>
      <c r="O9" s="943">
        <v>15831943</v>
      </c>
    </row>
    <row r="10" spans="1:15" ht="15" thickBot="1">
      <c r="A10" s="919" t="s">
        <v>378</v>
      </c>
      <c r="B10" s="917" t="s">
        <v>481</v>
      </c>
      <c r="C10" s="920" t="s">
        <v>371</v>
      </c>
      <c r="E10" s="926" t="s">
        <v>378</v>
      </c>
      <c r="F10" s="925" t="s">
        <v>481</v>
      </c>
      <c r="G10" s="926" t="s">
        <v>413</v>
      </c>
      <c r="I10" s="952" t="s">
        <v>390</v>
      </c>
      <c r="J10" s="953" t="s">
        <v>481</v>
      </c>
      <c r="K10" s="954" t="s">
        <v>425</v>
      </c>
      <c r="M10" s="943" t="s">
        <v>379</v>
      </c>
      <c r="N10" s="942" t="s">
        <v>481</v>
      </c>
      <c r="O10" s="943">
        <v>12147393</v>
      </c>
    </row>
    <row r="11" spans="1:15" ht="15" thickBot="1">
      <c r="A11" s="919" t="s">
        <v>379</v>
      </c>
      <c r="B11" s="917" t="s">
        <v>481</v>
      </c>
      <c r="C11" s="920">
        <v>11505130</v>
      </c>
      <c r="E11" s="926" t="s">
        <v>379</v>
      </c>
      <c r="F11" s="925" t="s">
        <v>481</v>
      </c>
      <c r="G11" s="926">
        <v>11980856</v>
      </c>
      <c r="I11" s="932"/>
      <c r="J11" s="931"/>
      <c r="K11" s="929"/>
      <c r="M11" s="943" t="s">
        <v>380</v>
      </c>
      <c r="N11" s="942" t="s">
        <v>481</v>
      </c>
      <c r="O11" s="943">
        <v>1112118334</v>
      </c>
    </row>
    <row r="12" spans="1:15" ht="15.6">
      <c r="A12" s="919" t="s">
        <v>380</v>
      </c>
      <c r="B12" s="917" t="s">
        <v>481</v>
      </c>
      <c r="C12" s="920">
        <v>11491311</v>
      </c>
      <c r="E12" s="926" t="s">
        <v>380</v>
      </c>
      <c r="F12" s="925" t="s">
        <v>481</v>
      </c>
      <c r="G12" s="926">
        <v>11954546</v>
      </c>
      <c r="I12" s="946" t="s">
        <v>401</v>
      </c>
      <c r="J12" s="947"/>
      <c r="K12" s="948"/>
      <c r="M12" s="943" t="s">
        <v>374</v>
      </c>
      <c r="N12" s="942" t="s">
        <v>481</v>
      </c>
      <c r="O12" s="943" t="s">
        <v>454</v>
      </c>
    </row>
    <row r="13" spans="1:15">
      <c r="A13" s="919" t="s">
        <v>381</v>
      </c>
      <c r="B13" s="917" t="s">
        <v>481</v>
      </c>
      <c r="C13" s="920" t="s">
        <v>382</v>
      </c>
      <c r="E13" s="926" t="s">
        <v>381</v>
      </c>
      <c r="F13" s="925" t="s">
        <v>481</v>
      </c>
      <c r="G13" s="926" t="s">
        <v>616</v>
      </c>
      <c r="I13" s="949" t="s">
        <v>66</v>
      </c>
      <c r="J13" s="931" t="s">
        <v>481</v>
      </c>
      <c r="K13" s="950" t="s">
        <v>423</v>
      </c>
      <c r="M13" s="943" t="s">
        <v>375</v>
      </c>
      <c r="N13" s="942" t="s">
        <v>481</v>
      </c>
      <c r="O13" s="943" t="s">
        <v>455</v>
      </c>
    </row>
    <row r="14" spans="1:15">
      <c r="A14" s="919" t="s">
        <v>383</v>
      </c>
      <c r="B14" s="917" t="s">
        <v>481</v>
      </c>
      <c r="C14" s="920" t="s">
        <v>384</v>
      </c>
      <c r="E14" s="926" t="s">
        <v>383</v>
      </c>
      <c r="F14" s="925" t="s">
        <v>481</v>
      </c>
      <c r="G14" s="926" t="s">
        <v>415</v>
      </c>
      <c r="I14" s="949" t="s">
        <v>378</v>
      </c>
      <c r="J14" s="931" t="s">
        <v>481</v>
      </c>
      <c r="K14" s="950" t="s">
        <v>623</v>
      </c>
      <c r="M14" s="943" t="s">
        <v>376</v>
      </c>
      <c r="N14" s="942" t="s">
        <v>481</v>
      </c>
      <c r="O14" s="945" t="s">
        <v>456</v>
      </c>
    </row>
    <row r="15" spans="1:15">
      <c r="A15" s="919" t="s">
        <v>385</v>
      </c>
      <c r="B15" s="917" t="s">
        <v>481</v>
      </c>
      <c r="C15" s="920">
        <v>40913</v>
      </c>
      <c r="E15" s="926" t="s">
        <v>385</v>
      </c>
      <c r="F15" s="925" t="s">
        <v>481</v>
      </c>
      <c r="G15" s="926">
        <v>40913</v>
      </c>
      <c r="I15" s="949" t="s">
        <v>386</v>
      </c>
      <c r="J15" s="931" t="s">
        <v>481</v>
      </c>
      <c r="K15" s="950" t="s">
        <v>422</v>
      </c>
      <c r="M15" s="943" t="s">
        <v>381</v>
      </c>
      <c r="N15" s="942" t="s">
        <v>481</v>
      </c>
      <c r="O15" s="943" t="s">
        <v>457</v>
      </c>
    </row>
    <row r="16" spans="1:15">
      <c r="A16" s="919" t="s">
        <v>386</v>
      </c>
      <c r="B16" s="917" t="s">
        <v>481</v>
      </c>
      <c r="C16" s="920">
        <v>522750</v>
      </c>
      <c r="E16" s="926" t="s">
        <v>386</v>
      </c>
      <c r="F16" s="925" t="s">
        <v>481</v>
      </c>
      <c r="G16" s="926">
        <v>522750</v>
      </c>
      <c r="I16" s="949" t="s">
        <v>389</v>
      </c>
      <c r="J16" s="931" t="s">
        <v>481</v>
      </c>
      <c r="K16" s="950">
        <v>81338125273</v>
      </c>
      <c r="M16" s="943" t="s">
        <v>383</v>
      </c>
      <c r="N16" s="942" t="s">
        <v>481</v>
      </c>
      <c r="O16" s="943" t="s">
        <v>384</v>
      </c>
    </row>
    <row r="17" spans="1:15">
      <c r="A17" s="919"/>
      <c r="B17" s="917"/>
      <c r="C17" s="918"/>
      <c r="E17" s="926"/>
      <c r="F17" s="925"/>
      <c r="G17" s="923"/>
      <c r="I17" s="949" t="s">
        <v>375</v>
      </c>
      <c r="J17" s="931" t="s">
        <v>481</v>
      </c>
      <c r="K17" s="951"/>
      <c r="M17" s="943" t="s">
        <v>385</v>
      </c>
      <c r="N17" s="942" t="s">
        <v>481</v>
      </c>
      <c r="O17" s="943">
        <v>40913</v>
      </c>
    </row>
    <row r="18" spans="1:15" ht="15.6">
      <c r="A18" s="916" t="s">
        <v>387</v>
      </c>
      <c r="B18" s="917"/>
      <c r="C18" s="918"/>
      <c r="E18" s="924" t="s">
        <v>387</v>
      </c>
      <c r="F18" s="925"/>
      <c r="G18" s="923"/>
      <c r="I18" s="949" t="s">
        <v>376</v>
      </c>
      <c r="J18" s="931" t="s">
        <v>481</v>
      </c>
      <c r="K18" s="950" t="s">
        <v>426</v>
      </c>
      <c r="M18" s="943" t="s">
        <v>458</v>
      </c>
      <c r="N18" s="942" t="s">
        <v>481</v>
      </c>
      <c r="O18" s="943" t="s">
        <v>459</v>
      </c>
    </row>
    <row r="19" spans="1:15" ht="15" thickBot="1">
      <c r="A19" s="919" t="s">
        <v>66</v>
      </c>
      <c r="B19" s="917" t="s">
        <v>481</v>
      </c>
      <c r="C19" s="920" t="s">
        <v>388</v>
      </c>
      <c r="E19" s="926" t="s">
        <v>66</v>
      </c>
      <c r="F19" s="925" t="s">
        <v>481</v>
      </c>
      <c r="G19" s="926" t="s">
        <v>416</v>
      </c>
      <c r="I19" s="952" t="s">
        <v>385</v>
      </c>
      <c r="J19" s="953" t="s">
        <v>481</v>
      </c>
      <c r="K19" s="954">
        <v>40913</v>
      </c>
      <c r="M19" s="943"/>
      <c r="N19" s="942"/>
      <c r="O19" s="939"/>
    </row>
    <row r="20" spans="1:15" ht="16.2" thickBot="1">
      <c r="A20" s="919" t="s">
        <v>386</v>
      </c>
      <c r="B20" s="917" t="s">
        <v>481</v>
      </c>
      <c r="C20" s="920">
        <v>3301037099</v>
      </c>
      <c r="E20" s="926" t="s">
        <v>386</v>
      </c>
      <c r="F20" s="925" t="s">
        <v>481</v>
      </c>
      <c r="G20" s="926">
        <v>3301065578</v>
      </c>
      <c r="I20" s="932"/>
      <c r="J20" s="931"/>
      <c r="K20" s="929"/>
      <c r="M20" s="941" t="s">
        <v>387</v>
      </c>
      <c r="N20" s="942"/>
      <c r="O20" s="939"/>
    </row>
    <row r="21" spans="1:15" ht="15.6">
      <c r="A21" s="919" t="s">
        <v>389</v>
      </c>
      <c r="B21" s="917" t="s">
        <v>481</v>
      </c>
      <c r="C21" s="920" t="s">
        <v>614</v>
      </c>
      <c r="E21" s="926" t="s">
        <v>389</v>
      </c>
      <c r="F21" s="925" t="s">
        <v>481</v>
      </c>
      <c r="G21" s="926">
        <v>85189220661</v>
      </c>
      <c r="I21" s="946" t="s">
        <v>404</v>
      </c>
      <c r="J21" s="947"/>
      <c r="K21" s="948"/>
      <c r="M21" s="943" t="s">
        <v>66</v>
      </c>
      <c r="N21" s="942" t="s">
        <v>481</v>
      </c>
      <c r="O21" s="939"/>
    </row>
    <row r="22" spans="1:15">
      <c r="A22" s="919" t="s">
        <v>375</v>
      </c>
      <c r="B22" s="917" t="s">
        <v>481</v>
      </c>
      <c r="C22" s="918"/>
      <c r="E22" s="926" t="s">
        <v>375</v>
      </c>
      <c r="F22" s="925" t="s">
        <v>481</v>
      </c>
      <c r="G22" s="923"/>
      <c r="I22" s="949" t="s">
        <v>66</v>
      </c>
      <c r="J22" s="931" t="s">
        <v>481</v>
      </c>
      <c r="K22" s="950" t="s">
        <v>427</v>
      </c>
      <c r="M22" s="943" t="s">
        <v>386</v>
      </c>
      <c r="N22" s="942" t="s">
        <v>481</v>
      </c>
      <c r="O22" s="943">
        <v>3301068381</v>
      </c>
    </row>
    <row r="23" spans="1:15">
      <c r="A23" s="919" t="s">
        <v>385</v>
      </c>
      <c r="B23" s="917" t="s">
        <v>481</v>
      </c>
      <c r="C23" s="920">
        <v>40913</v>
      </c>
      <c r="E23" s="926" t="s">
        <v>385</v>
      </c>
      <c r="F23" s="925" t="s">
        <v>481</v>
      </c>
      <c r="G23" s="926">
        <v>40913</v>
      </c>
      <c r="I23" s="949" t="s">
        <v>405</v>
      </c>
      <c r="J23" s="931" t="s">
        <v>481</v>
      </c>
      <c r="K23" s="950">
        <v>1224125003</v>
      </c>
      <c r="M23" s="943" t="s">
        <v>389</v>
      </c>
      <c r="N23" s="942" t="s">
        <v>481</v>
      </c>
      <c r="O23" s="943">
        <v>81246037420</v>
      </c>
    </row>
    <row r="24" spans="1:15">
      <c r="A24" s="919" t="s">
        <v>390</v>
      </c>
      <c r="B24" s="917" t="s">
        <v>481</v>
      </c>
      <c r="C24" s="920" t="s">
        <v>391</v>
      </c>
      <c r="E24" s="926" t="s">
        <v>390</v>
      </c>
      <c r="F24" s="925" t="s">
        <v>481</v>
      </c>
      <c r="G24" s="926" t="s">
        <v>617</v>
      </c>
      <c r="I24" s="949" t="s">
        <v>374</v>
      </c>
      <c r="J24" s="931" t="s">
        <v>481</v>
      </c>
      <c r="K24" s="950">
        <v>85191401601</v>
      </c>
      <c r="M24" s="943" t="s">
        <v>375</v>
      </c>
      <c r="N24" s="942" t="s">
        <v>481</v>
      </c>
      <c r="O24" s="939"/>
    </row>
    <row r="25" spans="1:15">
      <c r="A25" s="919"/>
      <c r="B25" s="917"/>
      <c r="C25" s="918"/>
      <c r="E25" s="926"/>
      <c r="F25" s="925"/>
      <c r="G25" s="923"/>
      <c r="I25" s="949" t="s">
        <v>383</v>
      </c>
      <c r="J25" s="931" t="s">
        <v>481</v>
      </c>
      <c r="K25" s="950" t="s">
        <v>428</v>
      </c>
      <c r="M25" s="943" t="s">
        <v>385</v>
      </c>
      <c r="N25" s="942" t="s">
        <v>481</v>
      </c>
      <c r="O25" s="1013">
        <v>40913</v>
      </c>
    </row>
    <row r="26" spans="1:15" ht="15.6">
      <c r="A26" s="916" t="s">
        <v>392</v>
      </c>
      <c r="B26" s="917"/>
      <c r="C26" s="918"/>
      <c r="E26" s="924" t="s">
        <v>392</v>
      </c>
      <c r="F26" s="925"/>
      <c r="G26" s="923"/>
      <c r="I26" s="949" t="s">
        <v>385</v>
      </c>
      <c r="J26" s="931" t="s">
        <v>481</v>
      </c>
      <c r="K26" s="950">
        <v>40913</v>
      </c>
      <c r="M26" s="943" t="s">
        <v>390</v>
      </c>
      <c r="N26" s="942" t="s">
        <v>481</v>
      </c>
      <c r="O26" s="943" t="s">
        <v>460</v>
      </c>
    </row>
    <row r="27" spans="1:15">
      <c r="A27" s="919" t="s">
        <v>66</v>
      </c>
      <c r="B27" s="917" t="s">
        <v>481</v>
      </c>
      <c r="C27" s="920" t="s">
        <v>393</v>
      </c>
      <c r="E27" s="926" t="s">
        <v>66</v>
      </c>
      <c r="F27" s="925" t="s">
        <v>481</v>
      </c>
      <c r="G27" s="926" t="s">
        <v>417</v>
      </c>
      <c r="I27" s="949" t="s">
        <v>406</v>
      </c>
      <c r="J27" s="931" t="s">
        <v>481</v>
      </c>
      <c r="K27" s="950" t="s">
        <v>429</v>
      </c>
      <c r="M27" s="943"/>
      <c r="N27" s="942"/>
      <c r="O27" s="939"/>
    </row>
    <row r="28" spans="1:15" ht="15.6">
      <c r="A28" s="919" t="s">
        <v>386</v>
      </c>
      <c r="B28" s="917" t="s">
        <v>481</v>
      </c>
      <c r="C28" s="920">
        <v>522750</v>
      </c>
      <c r="E28" s="926" t="s">
        <v>386</v>
      </c>
      <c r="F28" s="925" t="s">
        <v>481</v>
      </c>
      <c r="G28" s="926">
        <v>556962</v>
      </c>
      <c r="I28" s="949" t="s">
        <v>408</v>
      </c>
      <c r="J28" s="931" t="s">
        <v>481</v>
      </c>
      <c r="K28" s="955" t="s">
        <v>470</v>
      </c>
      <c r="M28" s="941" t="s">
        <v>392</v>
      </c>
      <c r="N28" s="942"/>
      <c r="O28" s="939"/>
    </row>
    <row r="29" spans="1:15">
      <c r="A29" s="919" t="s">
        <v>389</v>
      </c>
      <c r="B29" s="917" t="s">
        <v>481</v>
      </c>
      <c r="C29" s="920">
        <v>89512732555</v>
      </c>
      <c r="E29" s="926" t="s">
        <v>389</v>
      </c>
      <c r="F29" s="925" t="s">
        <v>481</v>
      </c>
      <c r="G29" s="926">
        <v>8999977283</v>
      </c>
      <c r="I29" s="949" t="s">
        <v>378</v>
      </c>
      <c r="J29" s="931" t="s">
        <v>481</v>
      </c>
      <c r="K29" s="950" t="s">
        <v>409</v>
      </c>
      <c r="M29" s="943" t="s">
        <v>66</v>
      </c>
      <c r="N29" s="942" t="s">
        <v>481</v>
      </c>
      <c r="O29" s="943" t="s">
        <v>461</v>
      </c>
    </row>
    <row r="30" spans="1:15">
      <c r="A30" s="919" t="s">
        <v>375</v>
      </c>
      <c r="B30" s="917" t="s">
        <v>370</v>
      </c>
      <c r="C30" s="918"/>
      <c r="E30" s="926" t="s">
        <v>375</v>
      </c>
      <c r="F30" s="925" t="s">
        <v>481</v>
      </c>
      <c r="G30" s="923"/>
      <c r="I30" s="949" t="s">
        <v>410</v>
      </c>
      <c r="J30" s="931" t="s">
        <v>481</v>
      </c>
      <c r="K30" s="950">
        <v>12241</v>
      </c>
      <c r="M30" s="943" t="s">
        <v>462</v>
      </c>
      <c r="N30" s="942" t="s">
        <v>481</v>
      </c>
      <c r="O30" s="943" t="s">
        <v>463</v>
      </c>
    </row>
    <row r="31" spans="1:15" ht="15" thickBot="1">
      <c r="A31" s="919" t="s">
        <v>385</v>
      </c>
      <c r="B31" s="917" t="s">
        <v>481</v>
      </c>
      <c r="C31" s="920">
        <v>40913</v>
      </c>
      <c r="E31" s="926" t="s">
        <v>385</v>
      </c>
      <c r="F31" s="925" t="s">
        <v>481</v>
      </c>
      <c r="G31" s="926">
        <v>40913</v>
      </c>
      <c r="I31" s="952" t="s">
        <v>411</v>
      </c>
      <c r="J31" s="953" t="s">
        <v>481</v>
      </c>
      <c r="K31" s="954" t="s">
        <v>412</v>
      </c>
      <c r="M31" s="943" t="s">
        <v>464</v>
      </c>
      <c r="N31" s="942" t="s">
        <v>481</v>
      </c>
      <c r="O31" s="944" t="s">
        <v>479</v>
      </c>
    </row>
    <row r="32" spans="1:15">
      <c r="A32" s="919" t="s">
        <v>390</v>
      </c>
      <c r="B32" s="917" t="s">
        <v>370</v>
      </c>
      <c r="C32" s="920" t="s">
        <v>394</v>
      </c>
      <c r="E32" s="926" t="s">
        <v>390</v>
      </c>
      <c r="F32" s="925" t="s">
        <v>481</v>
      </c>
      <c r="G32" s="926" t="s">
        <v>618</v>
      </c>
      <c r="I32" s="932"/>
      <c r="J32" s="931"/>
      <c r="K32" s="929"/>
      <c r="M32" s="943" t="s">
        <v>386</v>
      </c>
      <c r="N32" s="942" t="s">
        <v>481</v>
      </c>
      <c r="O32" s="943">
        <v>12296558</v>
      </c>
    </row>
    <row r="33" spans="1:15">
      <c r="A33" s="919"/>
      <c r="B33" s="917"/>
      <c r="C33" s="918"/>
      <c r="E33" s="926"/>
      <c r="F33" s="925"/>
      <c r="G33" s="923"/>
      <c r="I33" s="934" t="s">
        <v>430</v>
      </c>
      <c r="J33" s="931"/>
      <c r="K33" s="929"/>
      <c r="M33" s="943" t="s">
        <v>389</v>
      </c>
      <c r="N33" s="942" t="s">
        <v>481</v>
      </c>
      <c r="O33" s="943">
        <v>89699750594</v>
      </c>
    </row>
    <row r="34" spans="1:15" ht="15.6">
      <c r="A34" s="916" t="s">
        <v>395</v>
      </c>
      <c r="B34" s="917"/>
      <c r="C34" s="918"/>
      <c r="E34" s="924" t="s">
        <v>395</v>
      </c>
      <c r="F34" s="925"/>
      <c r="G34" s="923"/>
      <c r="I34" s="932" t="s">
        <v>431</v>
      </c>
      <c r="J34" s="931" t="s">
        <v>481</v>
      </c>
      <c r="K34" s="932" t="s">
        <v>432</v>
      </c>
      <c r="M34" s="943" t="s">
        <v>375</v>
      </c>
      <c r="N34" s="942" t="s">
        <v>481</v>
      </c>
      <c r="O34" s="939"/>
    </row>
    <row r="35" spans="1:15">
      <c r="A35" s="919" t="s">
        <v>66</v>
      </c>
      <c r="B35" s="917" t="s">
        <v>481</v>
      </c>
      <c r="C35" s="920" t="s">
        <v>396</v>
      </c>
      <c r="E35" s="926" t="s">
        <v>66</v>
      </c>
      <c r="F35" s="925" t="s">
        <v>481</v>
      </c>
      <c r="G35" s="926" t="s">
        <v>418</v>
      </c>
      <c r="I35" s="932" t="s">
        <v>433</v>
      </c>
      <c r="J35" s="931" t="s">
        <v>481</v>
      </c>
      <c r="K35" s="932" t="s">
        <v>384</v>
      </c>
      <c r="M35" s="943" t="s">
        <v>385</v>
      </c>
      <c r="N35" s="942" t="s">
        <v>481</v>
      </c>
      <c r="O35" s="1014">
        <v>40913</v>
      </c>
    </row>
    <row r="36" spans="1:15">
      <c r="A36" s="919" t="s">
        <v>386</v>
      </c>
      <c r="B36" s="917" t="s">
        <v>481</v>
      </c>
      <c r="C36" s="920">
        <v>17738895</v>
      </c>
      <c r="E36" s="926" t="s">
        <v>386</v>
      </c>
      <c r="F36" s="925" t="s">
        <v>481</v>
      </c>
      <c r="G36" s="926">
        <v>17743344</v>
      </c>
      <c r="I36" s="932" t="s">
        <v>434</v>
      </c>
      <c r="J36" s="931" t="s">
        <v>481</v>
      </c>
      <c r="K36" s="933" t="s">
        <v>471</v>
      </c>
      <c r="M36" s="943" t="s">
        <v>390</v>
      </c>
      <c r="N36" s="942" t="s">
        <v>481</v>
      </c>
      <c r="O36" s="943" t="s">
        <v>465</v>
      </c>
    </row>
    <row r="37" spans="1:15">
      <c r="A37" s="919" t="s">
        <v>389</v>
      </c>
      <c r="B37" s="917" t="s">
        <v>481</v>
      </c>
      <c r="C37" s="920">
        <v>85745584943</v>
      </c>
      <c r="E37" s="926" t="s">
        <v>389</v>
      </c>
      <c r="F37" s="925" t="s">
        <v>481</v>
      </c>
      <c r="G37" s="926">
        <v>85702789843</v>
      </c>
      <c r="I37" s="932" t="s">
        <v>435</v>
      </c>
      <c r="J37" s="931" t="s">
        <v>481</v>
      </c>
      <c r="K37" s="932" t="s">
        <v>436</v>
      </c>
      <c r="M37" s="943"/>
      <c r="N37" s="942"/>
      <c r="O37" s="939"/>
    </row>
    <row r="38" spans="1:15" ht="15.6">
      <c r="A38" s="919" t="s">
        <v>383</v>
      </c>
      <c r="B38" s="917" t="s">
        <v>481</v>
      </c>
      <c r="C38" s="920" t="s">
        <v>397</v>
      </c>
      <c r="E38" s="926" t="s">
        <v>375</v>
      </c>
      <c r="F38" s="925" t="s">
        <v>481</v>
      </c>
      <c r="G38" s="926" t="s">
        <v>419</v>
      </c>
      <c r="I38" s="932" t="s">
        <v>437</v>
      </c>
      <c r="J38" s="931" t="s">
        <v>481</v>
      </c>
      <c r="K38" s="933" t="s">
        <v>472</v>
      </c>
      <c r="M38" s="941" t="s">
        <v>395</v>
      </c>
      <c r="N38" s="942"/>
      <c r="O38" s="939"/>
    </row>
    <row r="39" spans="1:15">
      <c r="A39" s="919" t="s">
        <v>375</v>
      </c>
      <c r="B39" s="917" t="s">
        <v>481</v>
      </c>
      <c r="C39" s="920" t="s">
        <v>398</v>
      </c>
      <c r="E39" s="926" t="s">
        <v>385</v>
      </c>
      <c r="F39" s="925" t="s">
        <v>481</v>
      </c>
      <c r="G39" s="926">
        <v>40913</v>
      </c>
      <c r="I39" s="932" t="s">
        <v>374</v>
      </c>
      <c r="J39" s="931" t="s">
        <v>481</v>
      </c>
      <c r="K39" s="932" t="s">
        <v>438</v>
      </c>
      <c r="M39" s="943" t="s">
        <v>66</v>
      </c>
      <c r="N39" s="942" t="s">
        <v>481</v>
      </c>
      <c r="O39" s="939"/>
    </row>
    <row r="40" spans="1:15">
      <c r="A40" s="919" t="s">
        <v>385</v>
      </c>
      <c r="B40" s="917" t="s">
        <v>481</v>
      </c>
      <c r="C40" s="920">
        <v>40913</v>
      </c>
      <c r="E40" s="926" t="s">
        <v>390</v>
      </c>
      <c r="F40" s="925" t="s">
        <v>481</v>
      </c>
      <c r="G40" s="926" t="s">
        <v>420</v>
      </c>
      <c r="I40" s="932" t="s">
        <v>376</v>
      </c>
      <c r="J40" s="931" t="s">
        <v>481</v>
      </c>
      <c r="K40" s="935" t="s">
        <v>439</v>
      </c>
      <c r="M40" s="943" t="s">
        <v>386</v>
      </c>
      <c r="N40" s="942" t="s">
        <v>481</v>
      </c>
      <c r="O40" s="939"/>
    </row>
    <row r="41" spans="1:15">
      <c r="A41" s="919" t="s">
        <v>390</v>
      </c>
      <c r="B41" s="917" t="s">
        <v>481</v>
      </c>
      <c r="C41" s="920"/>
      <c r="E41" s="926" t="s">
        <v>399</v>
      </c>
      <c r="F41" s="925" t="s">
        <v>481</v>
      </c>
      <c r="G41" s="926" t="s">
        <v>400</v>
      </c>
      <c r="I41" s="932" t="s">
        <v>385</v>
      </c>
      <c r="J41" s="931" t="s">
        <v>481</v>
      </c>
      <c r="K41" s="932">
        <v>102030</v>
      </c>
      <c r="M41" s="943" t="s">
        <v>389</v>
      </c>
      <c r="N41" s="942" t="s">
        <v>481</v>
      </c>
      <c r="O41" s="943">
        <v>85601982413</v>
      </c>
    </row>
    <row r="42" spans="1:15">
      <c r="A42" s="919" t="s">
        <v>399</v>
      </c>
      <c r="B42" s="917" t="s">
        <v>481</v>
      </c>
      <c r="C42" s="920" t="s">
        <v>400</v>
      </c>
      <c r="E42" s="926"/>
      <c r="F42" s="925"/>
      <c r="G42" s="923"/>
      <c r="I42" s="936"/>
      <c r="J42" s="931"/>
      <c r="K42" s="929"/>
      <c r="M42" s="943" t="s">
        <v>383</v>
      </c>
      <c r="N42" s="942" t="s">
        <v>481</v>
      </c>
      <c r="O42" s="943"/>
    </row>
    <row r="43" spans="1:15" ht="15.6">
      <c r="A43" s="919"/>
      <c r="B43" s="917"/>
      <c r="C43" s="918"/>
      <c r="E43" s="924" t="s">
        <v>401</v>
      </c>
      <c r="F43" s="925"/>
      <c r="G43" s="923"/>
      <c r="I43" s="937" t="s">
        <v>440</v>
      </c>
      <c r="J43" s="931"/>
      <c r="K43" s="929"/>
      <c r="M43" s="943" t="s">
        <v>375</v>
      </c>
      <c r="N43" s="942" t="s">
        <v>481</v>
      </c>
      <c r="O43" s="939"/>
    </row>
    <row r="44" spans="1:15" ht="15.6">
      <c r="A44" s="916" t="s">
        <v>401</v>
      </c>
      <c r="B44" s="917"/>
      <c r="C44" s="918"/>
      <c r="E44" s="926" t="s">
        <v>66</v>
      </c>
      <c r="F44" s="925" t="s">
        <v>481</v>
      </c>
      <c r="G44" s="926" t="s">
        <v>423</v>
      </c>
      <c r="I44" s="936" t="s">
        <v>441</v>
      </c>
      <c r="J44" s="931" t="s">
        <v>481</v>
      </c>
      <c r="K44" s="936" t="s">
        <v>428</v>
      </c>
      <c r="M44" s="943" t="s">
        <v>385</v>
      </c>
      <c r="N44" s="942" t="s">
        <v>481</v>
      </c>
      <c r="O44" s="939"/>
    </row>
    <row r="45" spans="1:15">
      <c r="A45" s="919" t="s">
        <v>66</v>
      </c>
      <c r="B45" s="917" t="s">
        <v>481</v>
      </c>
      <c r="C45" s="920" t="s">
        <v>402</v>
      </c>
      <c r="E45" s="926" t="s">
        <v>378</v>
      </c>
      <c r="F45" s="925" t="s">
        <v>481</v>
      </c>
      <c r="G45" s="926" t="s">
        <v>421</v>
      </c>
      <c r="I45" s="936" t="s">
        <v>385</v>
      </c>
      <c r="J45" s="931" t="s">
        <v>481</v>
      </c>
      <c r="K45" s="936">
        <v>102030</v>
      </c>
      <c r="M45" s="943" t="s">
        <v>390</v>
      </c>
      <c r="N45" s="942" t="s">
        <v>481</v>
      </c>
      <c r="O45" s="939"/>
    </row>
    <row r="46" spans="1:15">
      <c r="A46" s="919" t="s">
        <v>378</v>
      </c>
      <c r="B46" s="917" t="s">
        <v>481</v>
      </c>
      <c r="C46" s="920" t="s">
        <v>402</v>
      </c>
      <c r="E46" s="926" t="s">
        <v>386</v>
      </c>
      <c r="F46" s="925" t="s">
        <v>481</v>
      </c>
      <c r="G46" s="926" t="s">
        <v>422</v>
      </c>
      <c r="I46" s="936" t="s">
        <v>442</v>
      </c>
      <c r="J46" s="931" t="s">
        <v>481</v>
      </c>
      <c r="K46" s="936">
        <v>1110203088</v>
      </c>
      <c r="M46" s="943"/>
      <c r="N46" s="942"/>
      <c r="O46" s="939"/>
    </row>
    <row r="47" spans="1:15" ht="15.6">
      <c r="A47" s="919" t="s">
        <v>386</v>
      </c>
      <c r="B47" s="917" t="s">
        <v>481</v>
      </c>
      <c r="C47" s="920" t="s">
        <v>403</v>
      </c>
      <c r="E47" s="926" t="s">
        <v>389</v>
      </c>
      <c r="F47" s="925" t="s">
        <v>481</v>
      </c>
      <c r="G47" s="926" t="s">
        <v>620</v>
      </c>
      <c r="I47" s="936" t="s">
        <v>435</v>
      </c>
      <c r="J47" s="931" t="s">
        <v>481</v>
      </c>
      <c r="K47" s="936" t="s">
        <v>402</v>
      </c>
      <c r="M47" s="941" t="s">
        <v>401</v>
      </c>
      <c r="N47" s="942"/>
      <c r="O47" s="939"/>
    </row>
    <row r="48" spans="1:15">
      <c r="A48" s="919" t="s">
        <v>389</v>
      </c>
      <c r="B48" s="917" t="s">
        <v>481</v>
      </c>
      <c r="C48" s="920">
        <v>82147266855</v>
      </c>
      <c r="E48" s="926" t="s">
        <v>375</v>
      </c>
      <c r="F48" s="925" t="s">
        <v>481</v>
      </c>
      <c r="G48" s="923"/>
      <c r="I48" s="936" t="s">
        <v>443</v>
      </c>
      <c r="J48" s="931" t="s">
        <v>481</v>
      </c>
      <c r="K48" s="938" t="s">
        <v>473</v>
      </c>
      <c r="M48" s="943" t="s">
        <v>66</v>
      </c>
      <c r="N48" s="942" t="s">
        <v>481</v>
      </c>
      <c r="O48" s="939"/>
    </row>
    <row r="49" spans="1:15">
      <c r="A49" s="919" t="s">
        <v>375</v>
      </c>
      <c r="B49" s="917" t="s">
        <v>481</v>
      </c>
      <c r="C49" s="918"/>
      <c r="E49" s="926" t="s">
        <v>385</v>
      </c>
      <c r="F49" s="925" t="s">
        <v>481</v>
      </c>
      <c r="G49" s="926">
        <v>40913</v>
      </c>
      <c r="I49" s="936" t="s">
        <v>374</v>
      </c>
      <c r="J49" s="931" t="s">
        <v>481</v>
      </c>
      <c r="K49" s="936">
        <v>82147266855</v>
      </c>
      <c r="M49" s="943" t="s">
        <v>378</v>
      </c>
      <c r="N49" s="942" t="s">
        <v>481</v>
      </c>
      <c r="O49" s="943" t="s">
        <v>370</v>
      </c>
    </row>
    <row r="50" spans="1:15">
      <c r="A50" s="919" t="s">
        <v>385</v>
      </c>
      <c r="B50" s="917" t="s">
        <v>481</v>
      </c>
      <c r="C50" s="920">
        <v>40913</v>
      </c>
      <c r="E50" s="926" t="s">
        <v>376</v>
      </c>
      <c r="F50" s="925" t="s">
        <v>481</v>
      </c>
      <c r="G50" s="1011" t="s">
        <v>621</v>
      </c>
      <c r="I50" s="936" t="s">
        <v>376</v>
      </c>
      <c r="J50" s="931" t="s">
        <v>481</v>
      </c>
      <c r="K50" s="935" t="s">
        <v>377</v>
      </c>
      <c r="M50" s="943" t="s">
        <v>386</v>
      </c>
      <c r="N50" s="942" t="s">
        <v>481</v>
      </c>
      <c r="O50" s="939"/>
    </row>
    <row r="51" spans="1:15" ht="15.6">
      <c r="A51" s="919" t="s">
        <v>376</v>
      </c>
      <c r="B51" s="917" t="s">
        <v>481</v>
      </c>
      <c r="C51" s="1012" t="s">
        <v>377</v>
      </c>
      <c r="E51" s="924" t="s">
        <v>404</v>
      </c>
      <c r="F51" s="925"/>
      <c r="G51" s="923"/>
      <c r="I51" s="936"/>
      <c r="J51" s="931"/>
      <c r="K51" s="929"/>
      <c r="M51" s="943" t="s">
        <v>389</v>
      </c>
      <c r="N51" s="942" t="s">
        <v>481</v>
      </c>
      <c r="O51" s="943" t="s">
        <v>370</v>
      </c>
    </row>
    <row r="52" spans="1:15" ht="15.6">
      <c r="A52" s="916" t="s">
        <v>404</v>
      </c>
      <c r="B52" s="917"/>
      <c r="C52" s="918"/>
      <c r="E52" s="926" t="s">
        <v>66</v>
      </c>
      <c r="F52" s="925" t="s">
        <v>481</v>
      </c>
      <c r="G52" s="926" t="s">
        <v>423</v>
      </c>
      <c r="I52" s="934" t="s">
        <v>444</v>
      </c>
      <c r="J52" s="931"/>
      <c r="K52" s="929"/>
      <c r="M52" s="943" t="s">
        <v>375</v>
      </c>
      <c r="N52" s="942" t="s">
        <v>481</v>
      </c>
      <c r="O52" s="939"/>
    </row>
    <row r="53" spans="1:15">
      <c r="A53" s="919" t="s">
        <v>66</v>
      </c>
      <c r="B53" s="917" t="s">
        <v>481</v>
      </c>
      <c r="C53" s="920" t="s">
        <v>402</v>
      </c>
      <c r="E53" s="926" t="s">
        <v>405</v>
      </c>
      <c r="F53" s="925" t="s">
        <v>481</v>
      </c>
      <c r="G53" s="926">
        <v>1224125001</v>
      </c>
      <c r="I53" s="932" t="s">
        <v>431</v>
      </c>
      <c r="J53" s="931" t="s">
        <v>481</v>
      </c>
      <c r="K53" s="932">
        <v>82147266855</v>
      </c>
      <c r="M53" s="943" t="s">
        <v>385</v>
      </c>
      <c r="N53" s="942" t="s">
        <v>481</v>
      </c>
      <c r="O53" s="939"/>
    </row>
    <row r="54" spans="1:15">
      <c r="A54" s="919" t="s">
        <v>405</v>
      </c>
      <c r="B54" s="917" t="s">
        <v>481</v>
      </c>
      <c r="C54" s="920">
        <v>1224122002</v>
      </c>
      <c r="E54" s="926" t="s">
        <v>374</v>
      </c>
      <c r="F54" s="925" t="s">
        <v>481</v>
      </c>
      <c r="G54" s="926">
        <v>85189220661</v>
      </c>
      <c r="I54" s="932" t="s">
        <v>433</v>
      </c>
      <c r="J54" s="931" t="s">
        <v>481</v>
      </c>
      <c r="K54" s="932" t="s">
        <v>415</v>
      </c>
      <c r="M54" s="943"/>
      <c r="N54" s="942"/>
      <c r="O54" s="939"/>
    </row>
    <row r="55" spans="1:15" ht="15.6">
      <c r="A55" s="919" t="s">
        <v>374</v>
      </c>
      <c r="B55" s="917" t="s">
        <v>481</v>
      </c>
      <c r="C55" s="920">
        <v>82147266855</v>
      </c>
      <c r="E55" s="926" t="s">
        <v>383</v>
      </c>
      <c r="F55" s="925" t="s">
        <v>481</v>
      </c>
      <c r="G55" s="926" t="s">
        <v>397</v>
      </c>
      <c r="I55" s="932" t="s">
        <v>445</v>
      </c>
      <c r="J55" s="931" t="s">
        <v>481</v>
      </c>
      <c r="K55" s="932" t="s">
        <v>446</v>
      </c>
      <c r="M55" s="941" t="s">
        <v>404</v>
      </c>
      <c r="N55" s="942"/>
      <c r="O55" s="939"/>
    </row>
    <row r="56" spans="1:15">
      <c r="A56" s="919" t="s">
        <v>383</v>
      </c>
      <c r="B56" s="917" t="s">
        <v>481</v>
      </c>
      <c r="C56" s="920" t="s">
        <v>397</v>
      </c>
      <c r="E56" s="926" t="s">
        <v>385</v>
      </c>
      <c r="F56" s="925" t="s">
        <v>481</v>
      </c>
      <c r="G56" s="926">
        <v>40913</v>
      </c>
      <c r="I56" s="932" t="s">
        <v>434</v>
      </c>
      <c r="J56" s="931" t="s">
        <v>481</v>
      </c>
      <c r="K56" s="932">
        <v>6986084102</v>
      </c>
      <c r="M56" s="943" t="s">
        <v>66</v>
      </c>
      <c r="N56" s="942" t="s">
        <v>481</v>
      </c>
      <c r="O56" s="943" t="s">
        <v>436</v>
      </c>
    </row>
    <row r="57" spans="1:15">
      <c r="A57" s="919" t="s">
        <v>385</v>
      </c>
      <c r="B57" s="917" t="s">
        <v>481</v>
      </c>
      <c r="C57" s="920">
        <v>40913</v>
      </c>
      <c r="E57" s="926" t="s">
        <v>406</v>
      </c>
      <c r="F57" s="925" t="s">
        <v>481</v>
      </c>
      <c r="G57" s="926" t="s">
        <v>407</v>
      </c>
      <c r="I57" s="932" t="s">
        <v>435</v>
      </c>
      <c r="J57" s="931" t="s">
        <v>481</v>
      </c>
      <c r="K57" s="932" t="s">
        <v>402</v>
      </c>
      <c r="M57" s="943" t="s">
        <v>405</v>
      </c>
      <c r="N57" s="942" t="s">
        <v>481</v>
      </c>
      <c r="O57" s="943" t="s">
        <v>466</v>
      </c>
    </row>
    <row r="58" spans="1:15">
      <c r="A58" s="919" t="s">
        <v>406</v>
      </c>
      <c r="B58" s="917" t="s">
        <v>481</v>
      </c>
      <c r="C58" s="920" t="s">
        <v>407</v>
      </c>
      <c r="E58" s="926" t="s">
        <v>408</v>
      </c>
      <c r="F58" s="925" t="s">
        <v>481</v>
      </c>
      <c r="G58" s="928" t="s">
        <v>469</v>
      </c>
      <c r="I58" s="932" t="s">
        <v>437</v>
      </c>
      <c r="J58" s="931" t="s">
        <v>481</v>
      </c>
      <c r="K58" s="933" t="s">
        <v>474</v>
      </c>
      <c r="M58" s="943" t="s">
        <v>374</v>
      </c>
      <c r="N58" s="942" t="s">
        <v>481</v>
      </c>
      <c r="O58" s="943">
        <v>81246037420</v>
      </c>
    </row>
    <row r="59" spans="1:15">
      <c r="A59" s="919" t="s">
        <v>408</v>
      </c>
      <c r="B59" s="917" t="s">
        <v>481</v>
      </c>
      <c r="C59" s="921" t="s">
        <v>482</v>
      </c>
      <c r="E59" s="926" t="s">
        <v>378</v>
      </c>
      <c r="F59" s="925" t="s">
        <v>481</v>
      </c>
      <c r="G59" s="926" t="s">
        <v>409</v>
      </c>
      <c r="I59" s="932" t="s">
        <v>374</v>
      </c>
      <c r="J59" s="931" t="s">
        <v>481</v>
      </c>
      <c r="K59" s="932">
        <v>82147266855</v>
      </c>
      <c r="M59" s="943" t="s">
        <v>383</v>
      </c>
      <c r="N59" s="942" t="s">
        <v>481</v>
      </c>
      <c r="O59" s="943" t="s">
        <v>428</v>
      </c>
    </row>
    <row r="60" spans="1:15">
      <c r="A60" s="919" t="s">
        <v>378</v>
      </c>
      <c r="B60" s="917" t="s">
        <v>481</v>
      </c>
      <c r="C60" s="920" t="s">
        <v>409</v>
      </c>
      <c r="E60" s="926" t="s">
        <v>410</v>
      </c>
      <c r="F60" s="925" t="s">
        <v>481</v>
      </c>
      <c r="G60" s="926">
        <v>12241</v>
      </c>
      <c r="I60" s="932" t="s">
        <v>376</v>
      </c>
      <c r="J60" s="931" t="s">
        <v>481</v>
      </c>
      <c r="K60" s="935" t="s">
        <v>377</v>
      </c>
      <c r="M60" s="943" t="s">
        <v>385</v>
      </c>
      <c r="N60" s="942" t="s">
        <v>481</v>
      </c>
      <c r="O60" s="939"/>
    </row>
    <row r="61" spans="1:15">
      <c r="A61" s="919" t="s">
        <v>410</v>
      </c>
      <c r="B61" s="917" t="s">
        <v>370</v>
      </c>
      <c r="C61" s="920">
        <v>12241</v>
      </c>
      <c r="E61" s="926" t="s">
        <v>411</v>
      </c>
      <c r="F61" s="925" t="s">
        <v>481</v>
      </c>
      <c r="G61" s="926" t="s">
        <v>412</v>
      </c>
      <c r="I61" s="932" t="s">
        <v>385</v>
      </c>
      <c r="J61" s="931" t="s">
        <v>481</v>
      </c>
      <c r="K61" s="932">
        <v>102030</v>
      </c>
      <c r="M61" s="943" t="s">
        <v>406</v>
      </c>
      <c r="N61" s="942" t="s">
        <v>481</v>
      </c>
      <c r="O61" s="943" t="s">
        <v>429</v>
      </c>
    </row>
    <row r="62" spans="1:15">
      <c r="A62" s="919" t="s">
        <v>411</v>
      </c>
      <c r="B62" s="917" t="s">
        <v>481</v>
      </c>
      <c r="C62" s="920" t="s">
        <v>412</v>
      </c>
      <c r="E62" s="926"/>
      <c r="F62" s="925"/>
      <c r="G62" s="923"/>
      <c r="I62" s="936"/>
      <c r="J62" s="931"/>
      <c r="K62" s="929"/>
      <c r="M62" s="943" t="s">
        <v>408</v>
      </c>
      <c r="N62" s="942" t="s">
        <v>481</v>
      </c>
      <c r="O62" s="944" t="s">
        <v>480</v>
      </c>
    </row>
    <row r="63" spans="1:15">
      <c r="A63" s="919"/>
      <c r="B63" s="917"/>
      <c r="C63" s="920"/>
      <c r="E63" s="926"/>
      <c r="F63" s="925"/>
      <c r="G63" s="923"/>
      <c r="I63" s="936"/>
      <c r="J63" s="931"/>
      <c r="K63" s="929"/>
      <c r="M63" s="943" t="s">
        <v>378</v>
      </c>
      <c r="N63" s="942" t="s">
        <v>481</v>
      </c>
      <c r="O63" s="943" t="s">
        <v>467</v>
      </c>
    </row>
    <row r="64" spans="1:15">
      <c r="A64" s="919"/>
      <c r="B64" s="917"/>
      <c r="C64" s="920"/>
      <c r="E64" s="923"/>
      <c r="F64" s="923"/>
      <c r="G64" s="923"/>
      <c r="I64" s="934" t="s">
        <v>447</v>
      </c>
      <c r="J64" s="931"/>
      <c r="K64" s="929"/>
      <c r="M64" s="943" t="s">
        <v>410</v>
      </c>
      <c r="N64" s="942" t="s">
        <v>481</v>
      </c>
      <c r="O64" s="943">
        <v>12241</v>
      </c>
    </row>
    <row r="65" spans="1:15" ht="18">
      <c r="A65" s="1596"/>
      <c r="B65" s="1589"/>
      <c r="C65" s="1597"/>
      <c r="I65" s="932" t="s">
        <v>433</v>
      </c>
      <c r="J65" s="931" t="s">
        <v>481</v>
      </c>
      <c r="K65" s="932" t="s">
        <v>556</v>
      </c>
      <c r="M65" s="943" t="s">
        <v>411</v>
      </c>
      <c r="N65" s="942" t="s">
        <v>481</v>
      </c>
      <c r="O65" s="943" t="s">
        <v>412</v>
      </c>
    </row>
    <row r="66" spans="1:15" ht="15.6">
      <c r="A66" s="904"/>
      <c r="C66" s="905"/>
      <c r="I66" s="932" t="s">
        <v>445</v>
      </c>
      <c r="J66" s="931" t="s">
        <v>481</v>
      </c>
      <c r="K66" s="932" t="s">
        <v>448</v>
      </c>
      <c r="M66" s="943"/>
      <c r="N66" s="942"/>
      <c r="O66" s="939"/>
    </row>
    <row r="67" spans="1:15">
      <c r="A67" s="906"/>
      <c r="C67" s="907"/>
      <c r="I67" s="932" t="s">
        <v>434</v>
      </c>
      <c r="J67" s="931" t="s">
        <v>481</v>
      </c>
      <c r="K67" s="933" t="s">
        <v>483</v>
      </c>
      <c r="M67" s="939"/>
      <c r="N67" s="939"/>
      <c r="O67" s="939"/>
    </row>
    <row r="68" spans="1:15">
      <c r="A68" s="906"/>
      <c r="C68" s="907"/>
      <c r="I68" s="932" t="s">
        <v>435</v>
      </c>
      <c r="J68" s="931" t="s">
        <v>481</v>
      </c>
      <c r="K68" s="932" t="s">
        <v>402</v>
      </c>
      <c r="M68" s="939"/>
      <c r="N68" s="939"/>
      <c r="O68" s="939"/>
    </row>
    <row r="69" spans="1:15">
      <c r="A69" s="906"/>
      <c r="C69" s="907"/>
      <c r="I69" s="932" t="s">
        <v>437</v>
      </c>
      <c r="J69" s="931" t="s">
        <v>481</v>
      </c>
      <c r="K69" s="933" t="s">
        <v>475</v>
      </c>
      <c r="M69" s="939"/>
      <c r="N69" s="939"/>
      <c r="O69" s="939"/>
    </row>
    <row r="70" spans="1:15">
      <c r="A70" s="906"/>
      <c r="C70" s="907"/>
      <c r="I70" s="932" t="s">
        <v>449</v>
      </c>
      <c r="J70" s="931" t="s">
        <v>481</v>
      </c>
      <c r="K70" s="932" t="s">
        <v>450</v>
      </c>
      <c r="M70" s="939"/>
      <c r="N70" s="939"/>
      <c r="O70" s="939"/>
    </row>
    <row r="71" spans="1:15">
      <c r="A71" s="906"/>
      <c r="C71" s="905"/>
      <c r="I71" s="932" t="s">
        <v>374</v>
      </c>
      <c r="J71" s="931" t="s">
        <v>481</v>
      </c>
      <c r="K71" s="932">
        <v>82147266855</v>
      </c>
      <c r="M71" s="939"/>
      <c r="N71" s="939"/>
      <c r="O71" s="939"/>
    </row>
    <row r="72" spans="1:15">
      <c r="A72" s="906"/>
      <c r="C72" s="909"/>
      <c r="I72" s="932" t="s">
        <v>376</v>
      </c>
      <c r="J72" s="931" t="s">
        <v>481</v>
      </c>
      <c r="K72" s="935" t="s">
        <v>377</v>
      </c>
      <c r="M72" s="939"/>
      <c r="N72" s="939"/>
      <c r="O72" s="939"/>
    </row>
    <row r="73" spans="1:15">
      <c r="A73" s="906"/>
      <c r="C73" s="907"/>
      <c r="I73" s="932" t="s">
        <v>385</v>
      </c>
      <c r="J73" s="931" t="s">
        <v>481</v>
      </c>
      <c r="K73" s="932">
        <v>102030</v>
      </c>
      <c r="M73" s="939"/>
      <c r="N73" s="939"/>
      <c r="O73" s="939"/>
    </row>
    <row r="74" spans="1:15">
      <c r="A74" s="906"/>
      <c r="C74" s="907"/>
      <c r="I74" s="936"/>
      <c r="J74" s="931"/>
      <c r="K74" s="929"/>
      <c r="M74" s="939"/>
      <c r="N74" s="939"/>
      <c r="O74" s="939"/>
    </row>
    <row r="75" spans="1:15">
      <c r="A75" s="906"/>
      <c r="C75" s="907"/>
      <c r="I75" s="934" t="s">
        <v>451</v>
      </c>
      <c r="J75" s="931"/>
      <c r="K75" s="929"/>
      <c r="M75" s="939"/>
      <c r="N75" s="939"/>
      <c r="O75" s="939"/>
    </row>
    <row r="76" spans="1:15">
      <c r="A76" s="906"/>
      <c r="C76" s="907"/>
      <c r="I76" s="932" t="s">
        <v>374</v>
      </c>
      <c r="J76" s="931" t="s">
        <v>481</v>
      </c>
      <c r="K76" s="932">
        <v>82147266855</v>
      </c>
      <c r="M76" s="939"/>
      <c r="N76" s="939"/>
      <c r="O76" s="939"/>
    </row>
    <row r="77" spans="1:15">
      <c r="A77" s="906"/>
      <c r="C77" s="907"/>
      <c r="I77" s="932" t="s">
        <v>433</v>
      </c>
      <c r="J77" s="931" t="s">
        <v>481</v>
      </c>
      <c r="K77" s="932" t="s">
        <v>415</v>
      </c>
      <c r="M77" s="939"/>
      <c r="N77" s="939"/>
      <c r="O77" s="939"/>
    </row>
    <row r="78" spans="1:15">
      <c r="A78" s="906"/>
      <c r="C78" s="907"/>
      <c r="I78" s="932" t="s">
        <v>445</v>
      </c>
      <c r="J78" s="931" t="s">
        <v>481</v>
      </c>
      <c r="K78" s="932" t="s">
        <v>452</v>
      </c>
      <c r="M78" s="939"/>
      <c r="N78" s="939"/>
      <c r="O78" s="939"/>
    </row>
    <row r="79" spans="1:15">
      <c r="A79" s="906"/>
      <c r="C79" s="907"/>
      <c r="I79" s="932" t="s">
        <v>434</v>
      </c>
      <c r="J79" s="931" t="s">
        <v>481</v>
      </c>
      <c r="K79" s="932">
        <v>2511214109</v>
      </c>
      <c r="M79" s="939"/>
      <c r="N79" s="939"/>
      <c r="O79" s="939"/>
    </row>
    <row r="80" spans="1:15">
      <c r="A80" s="906"/>
      <c r="C80" s="905"/>
      <c r="I80" s="932" t="s">
        <v>435</v>
      </c>
      <c r="J80" s="931" t="s">
        <v>481</v>
      </c>
      <c r="K80" s="932" t="s">
        <v>402</v>
      </c>
      <c r="M80" s="939"/>
      <c r="N80" s="939"/>
      <c r="O80" s="939"/>
    </row>
    <row r="81" spans="1:15" ht="15.6">
      <c r="A81" s="904"/>
      <c r="C81" s="905"/>
      <c r="I81" s="932" t="s">
        <v>437</v>
      </c>
      <c r="J81" s="931" t="s">
        <v>481</v>
      </c>
      <c r="K81" s="933" t="s">
        <v>476</v>
      </c>
      <c r="M81" s="939"/>
      <c r="N81" s="939"/>
      <c r="O81" s="939"/>
    </row>
    <row r="82" spans="1:15">
      <c r="A82" s="906"/>
      <c r="C82" s="907"/>
      <c r="I82" s="932" t="s">
        <v>449</v>
      </c>
      <c r="J82" s="931" t="s">
        <v>481</v>
      </c>
      <c r="K82" s="929"/>
      <c r="M82" s="939"/>
      <c r="N82" s="939"/>
      <c r="O82" s="939"/>
    </row>
    <row r="83" spans="1:15">
      <c r="A83" s="906"/>
      <c r="C83" s="907"/>
      <c r="I83" s="932" t="s">
        <v>374</v>
      </c>
      <c r="J83" s="931" t="s">
        <v>481</v>
      </c>
      <c r="K83" s="932">
        <v>82147266855</v>
      </c>
      <c r="M83" s="939"/>
      <c r="N83" s="939"/>
      <c r="O83" s="939"/>
    </row>
    <row r="84" spans="1:15">
      <c r="A84" s="906"/>
      <c r="C84" s="907"/>
      <c r="I84" s="932" t="s">
        <v>376</v>
      </c>
      <c r="J84" s="931" t="s">
        <v>481</v>
      </c>
      <c r="K84" s="935" t="s">
        <v>377</v>
      </c>
      <c r="M84" s="939"/>
      <c r="N84" s="939"/>
      <c r="O84" s="939"/>
    </row>
    <row r="85" spans="1:15">
      <c r="A85" s="906"/>
      <c r="C85" s="905"/>
      <c r="I85" s="932" t="s">
        <v>385</v>
      </c>
      <c r="J85" s="931" t="s">
        <v>481</v>
      </c>
      <c r="K85" s="932">
        <v>102030</v>
      </c>
      <c r="M85" s="939"/>
      <c r="N85" s="939"/>
      <c r="O85" s="939"/>
    </row>
    <row r="86" spans="1:15">
      <c r="A86" s="906"/>
      <c r="C86" s="907"/>
      <c r="I86" s="936"/>
      <c r="J86" s="931"/>
      <c r="K86" s="929"/>
      <c r="M86" s="939"/>
      <c r="N86" s="939"/>
      <c r="O86" s="939"/>
    </row>
    <row r="87" spans="1:15">
      <c r="A87" s="906"/>
      <c r="C87" s="907"/>
    </row>
    <row r="88" spans="1:15">
      <c r="A88" s="906"/>
      <c r="C88" s="905"/>
    </row>
    <row r="89" spans="1:15" ht="15.6">
      <c r="A89" s="904"/>
      <c r="C89" s="905"/>
    </row>
    <row r="90" spans="1:15">
      <c r="A90" s="906"/>
      <c r="C90" s="907"/>
    </row>
    <row r="91" spans="1:15">
      <c r="A91" s="906"/>
      <c r="C91" s="907"/>
    </row>
    <row r="92" spans="1:15">
      <c r="A92" s="906"/>
      <c r="C92" s="907"/>
    </row>
    <row r="93" spans="1:15">
      <c r="A93" s="906"/>
      <c r="C93" s="905"/>
    </row>
    <row r="94" spans="1:15">
      <c r="A94" s="906"/>
      <c r="C94" s="907"/>
    </row>
    <row r="95" spans="1:15">
      <c r="A95" s="906"/>
      <c r="C95" s="907"/>
    </row>
    <row r="96" spans="1:15">
      <c r="A96" s="906"/>
      <c r="C96" s="905"/>
    </row>
    <row r="97" spans="1:3" ht="15.6">
      <c r="A97" s="904"/>
      <c r="C97" s="905"/>
    </row>
    <row r="98" spans="1:3">
      <c r="A98" s="906"/>
      <c r="C98" s="907"/>
    </row>
    <row r="99" spans="1:3">
      <c r="A99" s="906"/>
      <c r="C99" s="907"/>
    </row>
    <row r="100" spans="1:3">
      <c r="A100" s="906"/>
      <c r="C100" s="907"/>
    </row>
    <row r="101" spans="1:3">
      <c r="A101" s="906"/>
      <c r="C101" s="907"/>
    </row>
    <row r="102" spans="1:3">
      <c r="A102" s="906"/>
      <c r="C102" s="907"/>
    </row>
    <row r="103" spans="1:3">
      <c r="A103" s="906"/>
      <c r="C103" s="907"/>
    </row>
    <row r="104" spans="1:3">
      <c r="A104" s="906"/>
      <c r="C104" s="907"/>
    </row>
    <row r="105" spans="1:3">
      <c r="A105" s="906"/>
      <c r="C105" s="905"/>
    </row>
    <row r="106" spans="1:3" ht="15.6">
      <c r="A106" s="904"/>
      <c r="C106" s="905"/>
    </row>
    <row r="107" spans="1:3">
      <c r="A107" s="906"/>
      <c r="C107" s="907"/>
    </row>
    <row r="108" spans="1:3">
      <c r="A108" s="906"/>
      <c r="C108" s="907"/>
    </row>
    <row r="109" spans="1:3">
      <c r="A109" s="906"/>
      <c r="C109" s="907"/>
    </row>
    <row r="110" spans="1:3">
      <c r="A110" s="906"/>
      <c r="C110" s="907"/>
    </row>
    <row r="111" spans="1:3">
      <c r="A111" s="906"/>
      <c r="C111" s="905"/>
    </row>
    <row r="112" spans="1:3">
      <c r="A112" s="906"/>
      <c r="C112" s="907"/>
    </row>
    <row r="113" spans="1:3">
      <c r="A113" s="906"/>
      <c r="C113" s="905"/>
    </row>
    <row r="114" spans="1:3" ht="15.6">
      <c r="A114" s="904"/>
      <c r="C114" s="905"/>
    </row>
    <row r="115" spans="1:3">
      <c r="A115" s="906"/>
      <c r="C115" s="907"/>
    </row>
    <row r="116" spans="1:3">
      <c r="A116" s="906"/>
      <c r="C116" s="907"/>
    </row>
    <row r="117" spans="1:3">
      <c r="A117" s="906"/>
      <c r="C117" s="907"/>
    </row>
    <row r="118" spans="1:3">
      <c r="A118" s="906"/>
      <c r="C118" s="907"/>
    </row>
    <row r="119" spans="1:3">
      <c r="A119" s="906"/>
      <c r="C119" s="907"/>
    </row>
    <row r="120" spans="1:3">
      <c r="A120" s="906"/>
      <c r="C120" s="907"/>
    </row>
    <row r="121" spans="1:3">
      <c r="A121" s="906"/>
      <c r="C121" s="908"/>
    </row>
    <row r="122" spans="1:3">
      <c r="A122" s="906"/>
      <c r="C122" s="907"/>
    </row>
    <row r="123" spans="1:3">
      <c r="A123" s="906"/>
      <c r="C123" s="907"/>
    </row>
    <row r="124" spans="1:3">
      <c r="A124" s="906"/>
      <c r="C124" s="907"/>
    </row>
    <row r="125" spans="1:3" ht="15" thickBot="1">
      <c r="A125" s="910"/>
      <c r="B125" s="911"/>
      <c r="C125" s="912"/>
    </row>
    <row r="126" spans="1:3" ht="15" thickTop="1">
      <c r="A126" s="256"/>
    </row>
    <row r="127" spans="1:3" ht="18">
      <c r="A127" s="1589"/>
      <c r="B127" s="1589"/>
      <c r="C127" s="1589"/>
    </row>
    <row r="128" spans="1:3" ht="18">
      <c r="A128" s="254"/>
      <c r="B128" s="254"/>
      <c r="C128" s="254"/>
    </row>
    <row r="129" spans="1:3" ht="15.6">
      <c r="A129" s="255"/>
    </row>
    <row r="130" spans="1:3">
      <c r="A130" s="256"/>
      <c r="C130" s="256"/>
    </row>
    <row r="131" spans="1:3">
      <c r="A131" s="256"/>
      <c r="C131" s="256"/>
    </row>
    <row r="132" spans="1:3">
      <c r="A132" s="256"/>
      <c r="C132" s="256"/>
    </row>
    <row r="133" spans="1:3">
      <c r="A133" s="256"/>
    </row>
    <row r="134" spans="1:3">
      <c r="A134" s="256"/>
      <c r="C134" s="256"/>
    </row>
    <row r="135" spans="1:3">
      <c r="A135" s="256"/>
      <c r="C135" s="256"/>
    </row>
    <row r="136" spans="1:3">
      <c r="A136" s="256"/>
    </row>
    <row r="137" spans="1:3" ht="15.6">
      <c r="A137" s="255"/>
    </row>
    <row r="138" spans="1:3">
      <c r="A138" s="256"/>
      <c r="C138" s="256"/>
    </row>
    <row r="139" spans="1:3">
      <c r="A139" s="256"/>
      <c r="C139" s="256"/>
    </row>
    <row r="140" spans="1:3">
      <c r="A140" s="256"/>
      <c r="C140" s="256"/>
    </row>
    <row r="141" spans="1:3">
      <c r="A141" s="256"/>
      <c r="C141" s="256"/>
    </row>
    <row r="142" spans="1:3">
      <c r="A142" s="256"/>
    </row>
    <row r="143" spans="1:3">
      <c r="A143" s="256"/>
      <c r="C143" s="256"/>
    </row>
    <row r="144" spans="1:3">
      <c r="A144" s="256"/>
      <c r="C144" s="256"/>
    </row>
    <row r="145" spans="1:3">
      <c r="A145" s="256"/>
    </row>
    <row r="146" spans="1:3" ht="15.6">
      <c r="A146" s="255"/>
    </row>
    <row r="147" spans="1:3">
      <c r="A147" s="256"/>
      <c r="C147" s="256"/>
    </row>
    <row r="148" spans="1:3">
      <c r="A148" s="256"/>
      <c r="C148" s="256"/>
    </row>
    <row r="149" spans="1:3">
      <c r="A149" s="256"/>
      <c r="C149" s="256"/>
    </row>
    <row r="150" spans="1:3">
      <c r="A150" s="256"/>
      <c r="C150" s="256"/>
    </row>
    <row r="151" spans="1:3">
      <c r="A151" s="256"/>
      <c r="C151" s="256"/>
    </row>
    <row r="152" spans="1:3">
      <c r="A152" s="256"/>
      <c r="C152" s="256"/>
    </row>
    <row r="153" spans="1:3">
      <c r="A153" s="256"/>
      <c r="C153" s="261"/>
    </row>
    <row r="154" spans="1:3">
      <c r="A154" s="256"/>
      <c r="C154" s="256"/>
    </row>
    <row r="155" spans="1:3">
      <c r="A155" s="256"/>
      <c r="C155" s="256"/>
    </row>
    <row r="156" spans="1:3">
      <c r="A156" s="256"/>
      <c r="C156" s="256"/>
    </row>
    <row r="157" spans="1:3">
      <c r="A157" s="256"/>
    </row>
    <row r="158" spans="1:3">
      <c r="A158" s="258"/>
    </row>
    <row r="159" spans="1:3">
      <c r="A159" s="256"/>
      <c r="C159" s="256"/>
    </row>
    <row r="160" spans="1:3">
      <c r="A160" s="256"/>
      <c r="C160" s="256"/>
    </row>
    <row r="161" spans="1:3">
      <c r="A161" s="256"/>
      <c r="C161" s="261"/>
    </row>
    <row r="162" spans="1:3">
      <c r="A162" s="256"/>
      <c r="C162" s="256"/>
    </row>
    <row r="163" spans="1:3">
      <c r="A163" s="256"/>
      <c r="C163" s="261"/>
    </row>
    <row r="164" spans="1:3">
      <c r="A164" s="256"/>
      <c r="C164" s="256"/>
    </row>
    <row r="165" spans="1:3">
      <c r="A165" s="256"/>
      <c r="C165" s="257"/>
    </row>
    <row r="166" spans="1:3">
      <c r="A166" s="256"/>
      <c r="C166" s="256"/>
    </row>
    <row r="167" spans="1:3">
      <c r="A167" s="259"/>
    </row>
    <row r="168" spans="1:3">
      <c r="A168" s="260"/>
    </row>
    <row r="169" spans="1:3">
      <c r="A169" s="259"/>
      <c r="C169" s="259"/>
    </row>
    <row r="170" spans="1:3">
      <c r="A170" s="259"/>
      <c r="C170" s="259"/>
    </row>
    <row r="171" spans="1:3">
      <c r="A171" s="259"/>
      <c r="C171" s="259"/>
    </row>
    <row r="172" spans="1:3">
      <c r="A172" s="259"/>
      <c r="C172" s="259"/>
    </row>
    <row r="173" spans="1:3">
      <c r="A173" s="259"/>
      <c r="C173" s="262"/>
    </row>
    <row r="174" spans="1:3">
      <c r="A174" s="259"/>
      <c r="C174" s="259"/>
    </row>
    <row r="175" spans="1:3">
      <c r="A175" s="259"/>
      <c r="C175" s="257"/>
    </row>
    <row r="176" spans="1:3">
      <c r="A176" s="259"/>
    </row>
    <row r="177" spans="1:3">
      <c r="A177" s="258"/>
    </row>
    <row r="178" spans="1:3">
      <c r="A178" s="256"/>
      <c r="C178" s="256"/>
    </row>
    <row r="179" spans="1:3">
      <c r="A179" s="256"/>
      <c r="C179" s="256"/>
    </row>
    <row r="180" spans="1:3">
      <c r="A180" s="256"/>
      <c r="C180" s="256"/>
    </row>
    <row r="181" spans="1:3">
      <c r="A181" s="256"/>
      <c r="C181" s="256"/>
    </row>
    <row r="182" spans="1:3">
      <c r="A182" s="256"/>
      <c r="C182" s="256"/>
    </row>
    <row r="183" spans="1:3">
      <c r="A183" s="256"/>
      <c r="C183" s="261"/>
    </row>
    <row r="184" spans="1:3">
      <c r="A184" s="256"/>
      <c r="C184" s="256"/>
    </row>
    <row r="185" spans="1:3">
      <c r="A185" s="256"/>
      <c r="C185" s="257"/>
    </row>
    <row r="186" spans="1:3">
      <c r="A186" s="256"/>
      <c r="C186" s="256"/>
    </row>
    <row r="187" spans="1:3">
      <c r="A187" s="259"/>
    </row>
    <row r="188" spans="1:3">
      <c r="A188" s="259"/>
    </row>
    <row r="189" spans="1:3">
      <c r="A189" s="258"/>
    </row>
    <row r="190" spans="1:3">
      <c r="A190" s="256"/>
      <c r="C190" s="256"/>
    </row>
    <row r="191" spans="1:3">
      <c r="A191" s="256"/>
      <c r="C191" s="256"/>
    </row>
    <row r="192" spans="1:3">
      <c r="A192" s="256"/>
      <c r="C192" s="261"/>
    </row>
    <row r="193" spans="1:3">
      <c r="A193" s="256"/>
      <c r="C193" s="256"/>
    </row>
    <row r="194" spans="1:3">
      <c r="A194" s="256"/>
      <c r="C194" s="261"/>
    </row>
    <row r="195" spans="1:3">
      <c r="A195" s="256"/>
      <c r="C195" s="256"/>
    </row>
    <row r="196" spans="1:3">
      <c r="A196" s="256"/>
      <c r="C196" s="256"/>
    </row>
    <row r="197" spans="1:3">
      <c r="A197" s="256"/>
      <c r="C197" s="257"/>
    </row>
    <row r="198" spans="1:3">
      <c r="A198" s="256"/>
      <c r="C198" s="256"/>
    </row>
    <row r="199" spans="1:3">
      <c r="A199" s="259"/>
    </row>
    <row r="200" spans="1:3">
      <c r="A200" s="258"/>
    </row>
    <row r="201" spans="1:3">
      <c r="A201" s="256"/>
      <c r="C201" s="256"/>
    </row>
    <row r="202" spans="1:3">
      <c r="A202" s="256"/>
      <c r="C202" s="256"/>
    </row>
    <row r="203" spans="1:3">
      <c r="A203" s="256"/>
      <c r="C203" s="256"/>
    </row>
    <row r="204" spans="1:3">
      <c r="A204" s="256"/>
      <c r="C204" s="256"/>
    </row>
    <row r="205" spans="1:3">
      <c r="A205" s="256"/>
      <c r="C205" s="256"/>
    </row>
    <row r="206" spans="1:3">
      <c r="A206" s="256"/>
      <c r="C206" s="261"/>
    </row>
    <row r="207" spans="1:3">
      <c r="A207" s="256"/>
    </row>
    <row r="208" spans="1:3">
      <c r="A208" s="256"/>
      <c r="C208" s="256"/>
    </row>
    <row r="209" spans="1:3">
      <c r="A209" s="256"/>
      <c r="C209" s="257"/>
    </row>
    <row r="210" spans="1:3">
      <c r="A210" s="256"/>
      <c r="C210" s="256"/>
    </row>
    <row r="211" spans="1:3">
      <c r="A211" s="259"/>
    </row>
    <row r="212" spans="1:3" ht="18">
      <c r="A212" s="254"/>
    </row>
    <row r="213" spans="1:3" ht="18">
      <c r="A213" s="1589"/>
      <c r="B213" s="1589"/>
      <c r="C213" s="1589"/>
    </row>
    <row r="214" spans="1:3" ht="18">
      <c r="A214" s="254"/>
      <c r="B214" s="254"/>
      <c r="C214" s="254"/>
    </row>
    <row r="215" spans="1:3" ht="15.6">
      <c r="A215" s="255"/>
    </row>
    <row r="216" spans="1:3">
      <c r="A216" s="256"/>
      <c r="C216" s="256"/>
    </row>
    <row r="217" spans="1:3">
      <c r="A217" s="256"/>
      <c r="C217" s="256"/>
    </row>
    <row r="218" spans="1:3">
      <c r="A218" s="256"/>
      <c r="C218" s="261"/>
    </row>
    <row r="219" spans="1:3">
      <c r="A219" s="256"/>
      <c r="C219" s="261"/>
    </row>
    <row r="220" spans="1:3">
      <c r="A220" s="256"/>
      <c r="C220" s="256"/>
    </row>
    <row r="221" spans="1:3">
      <c r="A221" s="256"/>
      <c r="C221" s="256"/>
    </row>
    <row r="222" spans="1:3">
      <c r="A222" s="256"/>
      <c r="C222" s="256"/>
    </row>
    <row r="223" spans="1:3">
      <c r="A223" s="256"/>
      <c r="C223" s="256"/>
    </row>
    <row r="224" spans="1:3">
      <c r="A224" s="256"/>
      <c r="C224" s="256"/>
    </row>
    <row r="225" spans="1:3">
      <c r="A225" s="256"/>
      <c r="C225" s="257"/>
    </row>
    <row r="226" spans="1:3">
      <c r="A226" s="256"/>
      <c r="C226" s="256"/>
    </row>
    <row r="227" spans="1:3">
      <c r="A227" s="256"/>
      <c r="C227" s="256"/>
    </row>
    <row r="228" spans="1:3">
      <c r="A228" s="256"/>
      <c r="C228" s="256"/>
    </row>
    <row r="229" spans="1:3">
      <c r="A229" s="256"/>
      <c r="C229" s="256"/>
    </row>
    <row r="230" spans="1:3">
      <c r="A230" s="256"/>
    </row>
    <row r="231" spans="1:3" ht="15.6">
      <c r="A231" s="255"/>
    </row>
    <row r="232" spans="1:3">
      <c r="A232" s="256"/>
    </row>
    <row r="233" spans="1:3">
      <c r="A233" s="256"/>
      <c r="C233" s="256"/>
    </row>
    <row r="234" spans="1:3">
      <c r="A234" s="256"/>
      <c r="C234" s="256"/>
    </row>
    <row r="235" spans="1:3">
      <c r="A235" s="256"/>
    </row>
    <row r="236" spans="1:3">
      <c r="A236" s="256"/>
    </row>
    <row r="237" spans="1:3">
      <c r="A237" s="256"/>
      <c r="C237" s="256"/>
    </row>
    <row r="238" spans="1:3">
      <c r="A238" s="256"/>
    </row>
    <row r="239" spans="1:3" ht="15.6">
      <c r="A239" s="255"/>
    </row>
    <row r="240" spans="1:3">
      <c r="A240" s="256"/>
      <c r="C240" s="256"/>
    </row>
    <row r="241" spans="1:3">
      <c r="A241" s="256"/>
      <c r="C241" s="256"/>
    </row>
    <row r="242" spans="1:3">
      <c r="A242" s="256"/>
      <c r="C242" s="261"/>
    </row>
    <row r="243" spans="1:3">
      <c r="A243" s="256"/>
      <c r="C243" s="256"/>
    </row>
    <row r="244" spans="1:3">
      <c r="A244" s="256"/>
      <c r="C244" s="256"/>
    </row>
    <row r="245" spans="1:3">
      <c r="A245" s="256"/>
    </row>
    <row r="246" spans="1:3">
      <c r="A246" s="256"/>
    </row>
    <row r="247" spans="1:3">
      <c r="A247" s="256"/>
      <c r="C247" s="256"/>
    </row>
    <row r="248" spans="1:3">
      <c r="A248" s="256"/>
    </row>
    <row r="249" spans="1:3" ht="15.6">
      <c r="A249" s="255"/>
    </row>
    <row r="250" spans="1:3">
      <c r="A250" s="256"/>
    </row>
    <row r="251" spans="1:3">
      <c r="A251" s="256"/>
    </row>
    <row r="252" spans="1:3">
      <c r="A252" s="256"/>
      <c r="C252" s="256"/>
    </row>
    <row r="253" spans="1:3">
      <c r="A253" s="256"/>
      <c r="C253" s="256"/>
    </row>
    <row r="254" spans="1:3">
      <c r="A254" s="256"/>
    </row>
    <row r="255" spans="1:3">
      <c r="A255" s="256"/>
    </row>
    <row r="256" spans="1:3">
      <c r="A256" s="256"/>
    </row>
    <row r="257" spans="1:3">
      <c r="A257" s="256"/>
    </row>
    <row r="258" spans="1:3" ht="15.6">
      <c r="A258" s="255"/>
    </row>
    <row r="259" spans="1:3">
      <c r="A259" s="256"/>
    </row>
    <row r="260" spans="1:3">
      <c r="A260" s="256"/>
      <c r="C260" s="256"/>
    </row>
    <row r="261" spans="1:3">
      <c r="A261" s="256"/>
    </row>
    <row r="262" spans="1:3">
      <c r="A262" s="256"/>
      <c r="C262" s="256"/>
    </row>
    <row r="263" spans="1:3">
      <c r="A263" s="256"/>
    </row>
    <row r="264" spans="1:3">
      <c r="A264" s="256"/>
    </row>
    <row r="265" spans="1:3">
      <c r="A265" s="256"/>
    </row>
    <row r="266" spans="1:3" ht="15.6">
      <c r="A266" s="255"/>
    </row>
    <row r="267" spans="1:3">
      <c r="A267" s="256"/>
      <c r="C267" s="256"/>
    </row>
    <row r="268" spans="1:3">
      <c r="A268" s="256"/>
      <c r="C268" s="256"/>
    </row>
    <row r="269" spans="1:3">
      <c r="A269" s="256"/>
      <c r="C269" s="256"/>
    </row>
    <row r="270" spans="1:3">
      <c r="A270" s="256"/>
      <c r="C270" s="256"/>
    </row>
    <row r="271" spans="1:3">
      <c r="A271" s="256"/>
    </row>
    <row r="272" spans="1:3">
      <c r="A272" s="256"/>
      <c r="C272" s="256"/>
    </row>
    <row r="273" spans="1:3">
      <c r="A273" s="256"/>
      <c r="C273" s="261"/>
    </row>
    <row r="274" spans="1:3">
      <c r="A274" s="256"/>
      <c r="C274" s="256"/>
    </row>
    <row r="275" spans="1:3">
      <c r="A275" s="256"/>
      <c r="C275" s="256"/>
    </row>
    <row r="276" spans="1:3">
      <c r="A276" s="256"/>
      <c r="C276" s="256"/>
    </row>
    <row r="277" spans="1:3">
      <c r="A277" s="256"/>
    </row>
  </sheetData>
  <mergeCells count="7">
    <mergeCell ref="A213:C213"/>
    <mergeCell ref="E2:G2"/>
    <mergeCell ref="I2:K2"/>
    <mergeCell ref="M2:O2"/>
    <mergeCell ref="A1:C1"/>
    <mergeCell ref="A65:C65"/>
    <mergeCell ref="A127:C127"/>
  </mergeCells>
  <hyperlinks>
    <hyperlink ref="C9" r:id="rId1" display="mailto:seftianusr03@gmail.com"/>
    <hyperlink ref="G9" r:id="rId2" display="mailto:elreisunroy@gmail.com"/>
    <hyperlink ref="K40" r:id="rId3" display="mailto:aldopusyomansiusbura@gmail.com"/>
    <hyperlink ref="K50" r:id="rId4" display="mailto:seftianusr03@gmail.com"/>
    <hyperlink ref="K60" r:id="rId5" display="mailto:seftianusr03@gmail.com"/>
    <hyperlink ref="K72" r:id="rId6" display="mailto:seftianusr03@gmail.com"/>
    <hyperlink ref="K84" r:id="rId7" display="mailto:seftianusr03@gmail.com"/>
    <hyperlink ref="O14" r:id="rId8" display="mailto:seftianusr03@gmail.com"/>
    <hyperlink ref="G50" r:id="rId9"/>
    <hyperlink ref="C51" r:id="rId10"/>
  </hyperlinks>
  <pageMargins left="0.7" right="0.7" top="0.75" bottom="0.75" header="0.3" footer="0.3"/>
  <pageSetup paperSize="256" orientation="portrait" horizontalDpi="300" verticalDpi="300" r:id="rId11"/>
</worksheet>
</file>

<file path=xl/worksheets/sheet26.xml><?xml version="1.0" encoding="utf-8"?>
<worksheet xmlns="http://schemas.openxmlformats.org/spreadsheetml/2006/main" xmlns:r="http://schemas.openxmlformats.org/officeDocument/2006/relationships">
  <dimension ref="A3:H44"/>
  <sheetViews>
    <sheetView topLeftCell="A7" zoomScale="70" zoomScaleNormal="70" workbookViewId="0">
      <selection activeCell="L8" sqref="L8"/>
    </sheetView>
  </sheetViews>
  <sheetFormatPr defaultRowHeight="14.4"/>
  <cols>
    <col min="1" max="1" width="18.6640625" customWidth="1"/>
    <col min="2" max="3" width="27.33203125" customWidth="1"/>
    <col min="4" max="4" width="14.44140625" style="12" customWidth="1"/>
    <col min="5" max="5" width="14.6640625" style="12" customWidth="1"/>
    <col min="6" max="6" width="12.6640625" style="12" customWidth="1"/>
    <col min="7" max="7" width="17.33203125" customWidth="1"/>
    <col min="8" max="8" width="23" customWidth="1"/>
    <col min="9" max="9" width="14.33203125" customWidth="1"/>
    <col min="10" max="10" width="11.5546875" customWidth="1"/>
  </cols>
  <sheetData>
    <row r="3" spans="1:8" ht="15" thickBot="1"/>
    <row r="4" spans="1:8">
      <c r="A4" s="1657" t="s">
        <v>343</v>
      </c>
      <c r="B4" s="1628"/>
      <c r="C4" s="1631" t="s">
        <v>594</v>
      </c>
      <c r="D4" s="1631" t="s">
        <v>579</v>
      </c>
      <c r="E4" s="1631" t="s">
        <v>580</v>
      </c>
      <c r="F4" s="1631" t="s">
        <v>62</v>
      </c>
      <c r="G4" s="1670" t="s">
        <v>581</v>
      </c>
      <c r="H4" s="1670"/>
    </row>
    <row r="5" spans="1:8">
      <c r="A5" s="1658"/>
      <c r="B5" s="1629"/>
      <c r="C5" s="1632"/>
      <c r="D5" s="1632"/>
      <c r="E5" s="1632"/>
      <c r="F5" s="1632"/>
      <c r="G5" s="1663" t="s">
        <v>245</v>
      </c>
      <c r="H5" s="1663" t="s">
        <v>592</v>
      </c>
    </row>
    <row r="6" spans="1:8" ht="15" thickBot="1">
      <c r="A6" s="1658"/>
      <c r="B6" s="1630"/>
      <c r="C6" s="1633"/>
      <c r="D6" s="1633"/>
      <c r="E6" s="1633"/>
      <c r="F6" s="1633"/>
      <c r="G6" s="1633"/>
      <c r="H6" s="1633"/>
    </row>
    <row r="7" spans="1:8">
      <c r="A7" s="1658"/>
      <c r="B7" s="1666" t="s">
        <v>578</v>
      </c>
      <c r="C7" s="1614" t="s">
        <v>595</v>
      </c>
      <c r="D7" s="1660" t="s">
        <v>577</v>
      </c>
      <c r="E7" s="1632" t="s">
        <v>774</v>
      </c>
      <c r="F7" s="1674">
        <v>0</v>
      </c>
      <c r="G7" s="989" t="s">
        <v>583</v>
      </c>
      <c r="H7" s="989" t="s">
        <v>586</v>
      </c>
    </row>
    <row r="8" spans="1:8">
      <c r="A8" s="1658"/>
      <c r="B8" s="1667"/>
      <c r="C8" s="1604"/>
      <c r="D8" s="1661"/>
      <c r="E8" s="1671"/>
      <c r="F8" s="1675"/>
      <c r="G8" s="990" t="s">
        <v>587</v>
      </c>
      <c r="H8" s="990" t="s">
        <v>582</v>
      </c>
    </row>
    <row r="9" spans="1:8">
      <c r="A9" s="1658"/>
      <c r="B9" s="1666" t="s">
        <v>584</v>
      </c>
      <c r="C9" s="1603" t="s">
        <v>596</v>
      </c>
      <c r="D9" s="1662" t="s">
        <v>585</v>
      </c>
      <c r="E9" s="1672" t="s">
        <v>772</v>
      </c>
      <c r="F9" s="1668">
        <v>0</v>
      </c>
      <c r="G9" s="991"/>
      <c r="H9" s="991"/>
    </row>
    <row r="10" spans="1:8">
      <c r="A10" s="1658"/>
      <c r="B10" s="1667"/>
      <c r="C10" s="1604"/>
      <c r="D10" s="1661"/>
      <c r="E10" s="1673"/>
      <c r="F10" s="1675"/>
      <c r="G10" s="990"/>
      <c r="H10" s="990"/>
    </row>
    <row r="11" spans="1:8" ht="22.95" customHeight="1">
      <c r="A11" s="1658"/>
      <c r="B11" s="1052" t="s">
        <v>705</v>
      </c>
      <c r="C11" s="1054" t="s">
        <v>596</v>
      </c>
      <c r="D11" s="1042">
        <v>81510027073</v>
      </c>
      <c r="E11" s="1053" t="s">
        <v>706</v>
      </c>
      <c r="F11" s="1041"/>
      <c r="G11" s="989"/>
      <c r="H11" s="989"/>
    </row>
    <row r="12" spans="1:8">
      <c r="A12" s="1658"/>
      <c r="B12" s="1666" t="s">
        <v>588</v>
      </c>
      <c r="C12" s="1603" t="s">
        <v>597</v>
      </c>
      <c r="D12" s="1662" t="s">
        <v>589</v>
      </c>
      <c r="E12" s="1672" t="s">
        <v>773</v>
      </c>
      <c r="F12" s="1668">
        <v>10000</v>
      </c>
      <c r="G12" s="991" t="s">
        <v>590</v>
      </c>
      <c r="H12" s="991"/>
    </row>
    <row r="13" spans="1:8">
      <c r="A13" s="1658"/>
      <c r="B13" s="1667"/>
      <c r="C13" s="1604"/>
      <c r="D13" s="1661"/>
      <c r="E13" s="1673"/>
      <c r="F13" s="1675"/>
      <c r="G13" s="990" t="s">
        <v>591</v>
      </c>
      <c r="H13" s="990"/>
    </row>
    <row r="14" spans="1:8">
      <c r="A14" s="1658"/>
      <c r="B14" s="1664" t="s">
        <v>593</v>
      </c>
      <c r="C14" s="1663"/>
      <c r="D14" s="1663"/>
      <c r="E14" s="1663"/>
      <c r="F14" s="1668"/>
      <c r="G14" s="991"/>
      <c r="H14" s="991"/>
    </row>
    <row r="15" spans="1:8" ht="15" thickBot="1">
      <c r="A15" s="1659"/>
      <c r="B15" s="1665"/>
      <c r="C15" s="1633"/>
      <c r="D15" s="1633"/>
      <c r="E15" s="1633"/>
      <c r="F15" s="1669"/>
      <c r="G15" s="992"/>
      <c r="H15" s="992"/>
    </row>
    <row r="16" spans="1:8" ht="15" thickBot="1"/>
    <row r="17" spans="1:8">
      <c r="A17" s="1652" t="s">
        <v>138</v>
      </c>
      <c r="B17" s="1634"/>
      <c r="C17" s="1636" t="s">
        <v>594</v>
      </c>
      <c r="D17" s="1636" t="s">
        <v>579</v>
      </c>
      <c r="E17" s="1636" t="s">
        <v>580</v>
      </c>
      <c r="F17" s="1636" t="s">
        <v>62</v>
      </c>
      <c r="G17" s="1645" t="s">
        <v>581</v>
      </c>
      <c r="H17" s="1645"/>
    </row>
    <row r="18" spans="1:8">
      <c r="A18" s="1653"/>
      <c r="B18" s="1635"/>
      <c r="C18" s="1637"/>
      <c r="D18" s="1637"/>
      <c r="E18" s="1637"/>
      <c r="F18" s="1637"/>
      <c r="G18" s="1651" t="s">
        <v>245</v>
      </c>
      <c r="H18" s="1651" t="s">
        <v>592</v>
      </c>
    </row>
    <row r="19" spans="1:8" ht="15" thickBot="1">
      <c r="A19" s="1653"/>
      <c r="B19" s="1635"/>
      <c r="C19" s="1637"/>
      <c r="D19" s="1637"/>
      <c r="E19" s="1637"/>
      <c r="F19" s="1637"/>
      <c r="G19" s="1637"/>
      <c r="H19" s="1637"/>
    </row>
    <row r="20" spans="1:8">
      <c r="A20" s="1653"/>
      <c r="B20" s="1646" t="s">
        <v>598</v>
      </c>
      <c r="C20" s="1614" t="s">
        <v>599</v>
      </c>
      <c r="D20" s="1647" t="s">
        <v>606</v>
      </c>
      <c r="E20" s="1648" t="s">
        <v>771</v>
      </c>
      <c r="F20" s="1650">
        <v>0</v>
      </c>
      <c r="G20" s="993" t="s">
        <v>600</v>
      </c>
      <c r="H20" s="994"/>
    </row>
    <row r="21" spans="1:8">
      <c r="A21" s="1653"/>
      <c r="B21" s="1640"/>
      <c r="C21" s="1604"/>
      <c r="D21" s="1642"/>
      <c r="E21" s="1649"/>
      <c r="F21" s="1638"/>
      <c r="G21" s="995" t="s">
        <v>601</v>
      </c>
      <c r="H21" s="996"/>
    </row>
    <row r="22" spans="1:8">
      <c r="A22" s="1653"/>
      <c r="B22" s="1639" t="s">
        <v>584</v>
      </c>
      <c r="C22" s="1603" t="s">
        <v>602</v>
      </c>
      <c r="D22" s="1641" t="s">
        <v>605</v>
      </c>
      <c r="E22" s="1643" t="s">
        <v>772</v>
      </c>
      <c r="F22" s="1626">
        <v>0</v>
      </c>
      <c r="G22" s="997" t="s">
        <v>622</v>
      </c>
      <c r="H22" s="998"/>
    </row>
    <row r="23" spans="1:8">
      <c r="A23" s="1653"/>
      <c r="B23" s="1640"/>
      <c r="C23" s="1604"/>
      <c r="D23" s="1642"/>
      <c r="E23" s="1644"/>
      <c r="F23" s="1638"/>
      <c r="G23" s="995">
        <v>45987</v>
      </c>
      <c r="H23" s="996"/>
    </row>
    <row r="24" spans="1:8">
      <c r="A24" s="1653"/>
      <c r="B24" s="1639" t="s">
        <v>588</v>
      </c>
      <c r="C24" s="1603" t="s">
        <v>619</v>
      </c>
      <c r="D24" s="1641" t="s">
        <v>603</v>
      </c>
      <c r="E24" s="1643" t="s">
        <v>776</v>
      </c>
      <c r="F24" s="1626">
        <v>69</v>
      </c>
      <c r="G24" s="997"/>
      <c r="H24" s="998"/>
    </row>
    <row r="25" spans="1:8">
      <c r="A25" s="1653"/>
      <c r="B25" s="1640"/>
      <c r="C25" s="1604"/>
      <c r="D25" s="1642"/>
      <c r="E25" s="1644"/>
      <c r="F25" s="1638"/>
      <c r="G25" s="999"/>
      <c r="H25" s="996"/>
    </row>
    <row r="26" spans="1:8">
      <c r="A26" s="1653"/>
      <c r="B26" s="1639" t="s">
        <v>604</v>
      </c>
      <c r="C26" s="1651"/>
      <c r="D26" s="1641" t="s">
        <v>770</v>
      </c>
      <c r="E26" s="1651" t="s">
        <v>769</v>
      </c>
      <c r="F26" s="1626"/>
      <c r="G26" s="997"/>
      <c r="H26" s="998"/>
    </row>
    <row r="27" spans="1:8" ht="15" thickBot="1">
      <c r="A27" s="1654"/>
      <c r="B27" s="1655"/>
      <c r="C27" s="1656"/>
      <c r="D27" s="1656"/>
      <c r="E27" s="1656"/>
      <c r="F27" s="1627"/>
      <c r="G27" s="1000"/>
      <c r="H27" s="1001"/>
    </row>
    <row r="28" spans="1:8" ht="15" thickBot="1"/>
    <row r="29" spans="1:8">
      <c r="A29" s="1619" t="s">
        <v>172</v>
      </c>
      <c r="B29" s="1622"/>
      <c r="C29" s="1609" t="s">
        <v>594</v>
      </c>
      <c r="D29" s="1609" t="s">
        <v>579</v>
      </c>
      <c r="E29" s="1609" t="s">
        <v>580</v>
      </c>
      <c r="F29" s="1609" t="s">
        <v>62</v>
      </c>
      <c r="G29" s="1611" t="s">
        <v>581</v>
      </c>
      <c r="H29" s="1611"/>
    </row>
    <row r="30" spans="1:8">
      <c r="A30" s="1620"/>
      <c r="B30" s="1623"/>
      <c r="C30" s="1610"/>
      <c r="D30" s="1610"/>
      <c r="E30" s="1610"/>
      <c r="F30" s="1610"/>
      <c r="G30" s="1612" t="s">
        <v>245</v>
      </c>
      <c r="H30" s="1612" t="s">
        <v>592</v>
      </c>
    </row>
    <row r="31" spans="1:8" ht="15" thickBot="1">
      <c r="A31" s="1620"/>
      <c r="B31" s="1623"/>
      <c r="C31" s="1610"/>
      <c r="D31" s="1610"/>
      <c r="E31" s="1610"/>
      <c r="F31" s="1610"/>
      <c r="G31" s="1610"/>
      <c r="H31" s="1610"/>
    </row>
    <row r="32" spans="1:8">
      <c r="A32" s="1620"/>
      <c r="B32" s="1613" t="s">
        <v>598</v>
      </c>
      <c r="C32" s="1614" t="s">
        <v>611</v>
      </c>
      <c r="D32" s="1615" t="s">
        <v>607</v>
      </c>
      <c r="E32" s="1616" t="s">
        <v>698</v>
      </c>
      <c r="F32" s="1618">
        <v>60</v>
      </c>
      <c r="G32" s="1002" t="s">
        <v>609</v>
      </c>
      <c r="H32" s="1003"/>
    </row>
    <row r="33" spans="1:8">
      <c r="A33" s="1620"/>
      <c r="B33" s="1602"/>
      <c r="C33" s="1604"/>
      <c r="D33" s="1606"/>
      <c r="E33" s="1617"/>
      <c r="F33" s="1600"/>
      <c r="G33" s="1004">
        <v>45965</v>
      </c>
      <c r="H33" s="1005"/>
    </row>
    <row r="34" spans="1:8">
      <c r="A34" s="1620"/>
      <c r="B34" s="1601" t="s">
        <v>584</v>
      </c>
      <c r="C34" s="1603" t="s">
        <v>612</v>
      </c>
      <c r="D34" s="1605" t="s">
        <v>613</v>
      </c>
      <c r="E34" s="1607" t="s">
        <v>772</v>
      </c>
      <c r="F34" s="1598">
        <v>0</v>
      </c>
      <c r="G34" s="1006"/>
      <c r="H34" s="1007"/>
    </row>
    <row r="35" spans="1:8">
      <c r="A35" s="1620"/>
      <c r="B35" s="1602"/>
      <c r="C35" s="1604"/>
      <c r="D35" s="1606"/>
      <c r="E35" s="1608"/>
      <c r="F35" s="1600"/>
      <c r="G35" s="1008"/>
      <c r="H35" s="1005"/>
    </row>
    <row r="36" spans="1:8">
      <c r="A36" s="1620"/>
      <c r="B36" s="1601" t="s">
        <v>588</v>
      </c>
      <c r="C36" s="1603" t="s">
        <v>608</v>
      </c>
      <c r="D36" s="1605" t="s">
        <v>610</v>
      </c>
      <c r="E36" s="1607" t="s">
        <v>775</v>
      </c>
      <c r="F36" s="1598">
        <v>0</v>
      </c>
      <c r="G36" s="1006">
        <v>0</v>
      </c>
      <c r="H36" s="1007"/>
    </row>
    <row r="37" spans="1:8">
      <c r="A37" s="1620"/>
      <c r="B37" s="1602"/>
      <c r="C37" s="1604"/>
      <c r="D37" s="1606"/>
      <c r="E37" s="1608"/>
      <c r="F37" s="1600"/>
      <c r="G37" s="1008"/>
      <c r="H37" s="1005"/>
    </row>
    <row r="38" spans="1:8">
      <c r="A38" s="1620"/>
      <c r="B38" s="1601" t="s">
        <v>604</v>
      </c>
      <c r="C38" s="1612"/>
      <c r="D38" s="1612"/>
      <c r="E38" s="1612"/>
      <c r="F38" s="1598"/>
      <c r="G38" s="1006"/>
      <c r="H38" s="1007"/>
    </row>
    <row r="39" spans="1:8" ht="15" customHeight="1" thickBot="1">
      <c r="A39" s="1621"/>
      <c r="B39" s="1624"/>
      <c r="C39" s="1625"/>
      <c r="D39" s="1625"/>
      <c r="E39" s="1625"/>
      <c r="F39" s="1599"/>
      <c r="G39" s="1009"/>
      <c r="H39" s="1010"/>
    </row>
    <row r="40" spans="1:8" ht="15" thickBot="1"/>
    <row r="41" spans="1:8" ht="30" customHeight="1">
      <c r="A41" s="1676" t="s">
        <v>193</v>
      </c>
      <c r="B41" s="1681"/>
      <c r="C41" s="1681" t="s">
        <v>594</v>
      </c>
      <c r="D41" s="1681" t="s">
        <v>579</v>
      </c>
      <c r="E41" s="1681" t="s">
        <v>580</v>
      </c>
      <c r="F41" s="1681" t="s">
        <v>62</v>
      </c>
      <c r="G41" s="1679" t="s">
        <v>581</v>
      </c>
      <c r="H41" s="1680"/>
    </row>
    <row r="42" spans="1:8" ht="30" customHeight="1" thickBot="1">
      <c r="A42" s="1677"/>
      <c r="B42" s="1682"/>
      <c r="C42" s="1682"/>
      <c r="D42" s="1682"/>
      <c r="E42" s="1682"/>
      <c r="F42" s="1682"/>
      <c r="G42" s="1045" t="s">
        <v>245</v>
      </c>
      <c r="H42" s="1046" t="s">
        <v>592</v>
      </c>
    </row>
    <row r="43" spans="1:8" ht="30" customHeight="1">
      <c r="A43" s="1677"/>
      <c r="B43" s="1047" t="s">
        <v>598</v>
      </c>
      <c r="C43" s="1055" t="s">
        <v>700</v>
      </c>
      <c r="D43" s="1049" t="s">
        <v>699</v>
      </c>
      <c r="E43" s="1050" t="s">
        <v>774</v>
      </c>
      <c r="F43" s="1047"/>
      <c r="G43" s="1047"/>
      <c r="H43" s="1048"/>
    </row>
    <row r="44" spans="1:8" ht="30" customHeight="1" thickBot="1">
      <c r="A44" s="1678"/>
      <c r="B44" s="1045" t="s">
        <v>701</v>
      </c>
      <c r="C44" s="1056" t="s">
        <v>702</v>
      </c>
      <c r="D44" s="1051" t="s">
        <v>703</v>
      </c>
      <c r="E44" s="1045" t="s">
        <v>704</v>
      </c>
      <c r="F44" s="1045"/>
      <c r="G44" s="1045"/>
      <c r="H44" s="1046"/>
    </row>
  </sheetData>
  <mergeCells count="94">
    <mergeCell ref="A41:A44"/>
    <mergeCell ref="G41:H41"/>
    <mergeCell ref="B41:B42"/>
    <mergeCell ref="C41:C42"/>
    <mergeCell ref="D41:D42"/>
    <mergeCell ref="E41:E42"/>
    <mergeCell ref="F41:F42"/>
    <mergeCell ref="E14:E15"/>
    <mergeCell ref="F14:F15"/>
    <mergeCell ref="G4:H4"/>
    <mergeCell ref="E7:E8"/>
    <mergeCell ref="E9:E10"/>
    <mergeCell ref="E12:E13"/>
    <mergeCell ref="F7:F8"/>
    <mergeCell ref="G5:G6"/>
    <mergeCell ref="H5:H6"/>
    <mergeCell ref="F9:F10"/>
    <mergeCell ref="F12:F13"/>
    <mergeCell ref="A4:A15"/>
    <mergeCell ref="D7:D8"/>
    <mergeCell ref="D9:D10"/>
    <mergeCell ref="D12:D13"/>
    <mergeCell ref="C7:C8"/>
    <mergeCell ref="C9:C10"/>
    <mergeCell ref="C12:C13"/>
    <mergeCell ref="C14:C15"/>
    <mergeCell ref="B14:B15"/>
    <mergeCell ref="D14:D15"/>
    <mergeCell ref="B7:B8"/>
    <mergeCell ref="B9:B10"/>
    <mergeCell ref="B12:B13"/>
    <mergeCell ref="A17:A27"/>
    <mergeCell ref="B22:B23"/>
    <mergeCell ref="C22:C23"/>
    <mergeCell ref="D22:D23"/>
    <mergeCell ref="E22:E23"/>
    <mergeCell ref="B26:B27"/>
    <mergeCell ref="C26:C27"/>
    <mergeCell ref="D26:D27"/>
    <mergeCell ref="E26:E27"/>
    <mergeCell ref="F24:F25"/>
    <mergeCell ref="G17:H17"/>
    <mergeCell ref="B20:B21"/>
    <mergeCell ref="C20:C21"/>
    <mergeCell ref="D20:D21"/>
    <mergeCell ref="E20:E21"/>
    <mergeCell ref="F20:F21"/>
    <mergeCell ref="G18:G19"/>
    <mergeCell ref="H18:H19"/>
    <mergeCell ref="F26:F27"/>
    <mergeCell ref="B4:B6"/>
    <mergeCell ref="C4:C6"/>
    <mergeCell ref="D4:D6"/>
    <mergeCell ref="E4:E6"/>
    <mergeCell ref="F4:F6"/>
    <mergeCell ref="B17:B19"/>
    <mergeCell ref="C17:C19"/>
    <mergeCell ref="D17:D19"/>
    <mergeCell ref="E17:E19"/>
    <mergeCell ref="F17:F19"/>
    <mergeCell ref="F22:F23"/>
    <mergeCell ref="B24:B25"/>
    <mergeCell ref="C24:C25"/>
    <mergeCell ref="D24:D25"/>
    <mergeCell ref="E24:E25"/>
    <mergeCell ref="A29:A39"/>
    <mergeCell ref="B29:B31"/>
    <mergeCell ref="C29:C31"/>
    <mergeCell ref="D29:D31"/>
    <mergeCell ref="E29:E31"/>
    <mergeCell ref="B34:B35"/>
    <mergeCell ref="C34:C35"/>
    <mergeCell ref="D34:D35"/>
    <mergeCell ref="E34:E35"/>
    <mergeCell ref="B38:B39"/>
    <mergeCell ref="C38:C39"/>
    <mergeCell ref="D38:D39"/>
    <mergeCell ref="E38:E39"/>
    <mergeCell ref="F29:F31"/>
    <mergeCell ref="G29:H29"/>
    <mergeCell ref="G30:G31"/>
    <mergeCell ref="H30:H31"/>
    <mergeCell ref="B32:B33"/>
    <mergeCell ref="C32:C33"/>
    <mergeCell ref="D32:D33"/>
    <mergeCell ref="E32:E33"/>
    <mergeCell ref="F32:F33"/>
    <mergeCell ref="F38:F39"/>
    <mergeCell ref="F34:F35"/>
    <mergeCell ref="B36:B37"/>
    <mergeCell ref="C36:C37"/>
    <mergeCell ref="D36:D37"/>
    <mergeCell ref="E36:E37"/>
    <mergeCell ref="F36:F37"/>
  </mergeCells>
  <pageMargins left="0.7" right="0.7" top="0.75" bottom="0.75" header="0.3" footer="0.3"/>
  <pageSetup paperSize="256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AGEN BAOMEKOT</vt:lpstr>
      <vt:lpstr>AGEN SIKU EHA</vt:lpstr>
      <vt:lpstr>AGEN HABIBOLA</vt:lpstr>
      <vt:lpstr>AGEN WATUBLAPI</vt:lpstr>
      <vt:lpstr>2024</vt:lpstr>
      <vt:lpstr>2025</vt:lpstr>
      <vt:lpstr>JAN</vt:lpstr>
      <vt:lpstr>FEB</vt:lpstr>
      <vt:lpstr>MARET</vt:lpstr>
      <vt:lpstr>APRIL</vt:lpstr>
      <vt:lpstr>MEI</vt:lpstr>
      <vt:lpstr>JUNI</vt:lpstr>
      <vt:lpstr>JULI</vt:lpstr>
      <vt:lpstr>AGUST</vt:lpstr>
      <vt:lpstr>TAHUNAN</vt:lpstr>
      <vt:lpstr>2026</vt:lpstr>
      <vt:lpstr>SEPT</vt:lpstr>
      <vt:lpstr>TABEL INPUT</vt:lpstr>
      <vt:lpstr>KIOS</vt:lpstr>
      <vt:lpstr>RHUMAH</vt:lpstr>
      <vt:lpstr>REHAB RUMAH</vt:lpstr>
      <vt:lpstr>PESTA RIKI</vt:lpstr>
      <vt:lpstr>ESTIMASI PENGELUARAN BULANAN</vt:lpstr>
      <vt:lpstr>HITUNG GAJI REGULER KARYAWAN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reiroykey</dc:creator>
  <cp:lastModifiedBy>reiroykey</cp:lastModifiedBy>
  <cp:lastPrinted>2023-07-12T23:56:04Z</cp:lastPrinted>
  <dcterms:created xsi:type="dcterms:W3CDTF">2023-03-21T05:40:53Z</dcterms:created>
  <dcterms:modified xsi:type="dcterms:W3CDTF">2026-09-02T00:19:35Z</dcterms:modified>
</cp:coreProperties>
</file>